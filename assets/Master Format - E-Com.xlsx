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NipunArora\AppData\Local\Microsoft\Windows\INetCache\Content.Outlook\VENA2MD1\"/>
    </mc:Choice>
  </mc:AlternateContent>
  <xr:revisionPtr revIDLastSave="0" documentId="8_{77E088C2-FD9B-42BB-BFAE-F893D133E660}" xr6:coauthVersionLast="47" xr6:coauthVersionMax="47" xr10:uidLastSave="{00000000-0000-0000-0000-000000000000}"/>
  <bookViews>
    <workbookView xWindow="-110" yWindow="-110" windowWidth="19420" windowHeight="10300" firstSheet="5" activeTab="13" xr2:uid="{0DC027EF-A2CB-4F77-B81F-C274C7E9A4C0}"/>
  </bookViews>
  <sheets>
    <sheet name="Master Headers" sheetId="1" r:id="rId1"/>
    <sheet name="DTR_Summary" sheetId="2" r:id="rId2"/>
    <sheet name="DTR_Master Data" sheetId="3" r:id="rId3"/>
    <sheet name="DTR_Flipkart sale" sheetId="4" r:id="rId4"/>
    <sheet name="DTR_Amazon sale" sheetId="5" r:id="rId5"/>
    <sheet name="Flipkart PAYMENT Settl." sheetId="10" r:id="rId6"/>
    <sheet name="DTR_AJIO Sales" sheetId="6" r:id="rId7"/>
    <sheet name="Settl._Flipkart Summary" sheetId="7" r:id="rId8"/>
    <sheet name="Settl._Flipkart Payment" sheetId="8" r:id="rId9"/>
    <sheet name="Settle._Flipkart Credit Note" sheetId="9" r:id="rId10"/>
    <sheet name="AJIO Summary" sheetId="11" r:id="rId11"/>
    <sheet name="Ajio Sales Settl." sheetId="12" r:id="rId12"/>
    <sheet name="Ajio Payment Settl." sheetId="13" r:id="rId13"/>
    <sheet name="AJIO Payment vs Finance Settl." sheetId="14" r:id="rId14"/>
    <sheet name="AJIO Credit Note Settl." sheetId="15" r:id="rId15"/>
    <sheet name="Ecom Summary Settl." sheetId="16" r:id="rId16"/>
    <sheet name="eCom Sales" sheetId="17" r:id="rId17"/>
    <sheet name="eComTransaction" sheetId="18" r:id="rId18"/>
    <sheet name="eCom Payment Status" sheetId="19" r:id="rId19"/>
    <sheet name="Amazon Summary" sheetId="20" r:id="rId20"/>
    <sheet name="Amazon sale (2)" sheetId="21" r:id="rId21"/>
    <sheet name="AmazonCommission" sheetId="23" r:id="rId22"/>
    <sheet name="Amazon_Payment2" sheetId="22" r:id="rId23"/>
    <sheet name="Amazon Credit Note" sheetId="24" r:id="rId24"/>
    <sheet name="Top Selling Product of Month" sheetId="26" r:id="rId25"/>
    <sheet name="Amazon Payment Staus" sheetId="25" r:id="rId26"/>
    <sheet name="Dashboard SKUs Wise" sheetId="27" r:id="rId27"/>
    <sheet name="Dashboard Daily RR" sheetId="28" r:id="rId28"/>
    <sheet name="Dashboard Summary" sheetId="29" r:id="rId29"/>
    <sheet name="Dashboard Trend" sheetId="30" r:id="rId30"/>
    <sheet name="Razorpay YTD" sheetId="31" r:id="rId31"/>
    <sheet name="Refund Tracker" sheetId="32" r:id="rId32"/>
    <sheet name="Refund_format" sheetId="33" r:id="rId33"/>
    <sheet name="Review Meeting Status" sheetId="35" r:id="rId34"/>
    <sheet name="Commission Provision" sheetId="36" r:id="rId35"/>
    <sheet name="Prov. vs Actual Summary" sheetId="37" r:id="rId36"/>
    <sheet name="Prov. vs Actual Working" sheetId="38" r:id="rId37"/>
    <sheet name="Amazon Commission format" sheetId="39" r:id="rId38"/>
    <sheet name="Amazon Commission calc" sheetId="40" r:id="rId39"/>
  </sheets>
  <externalReferences>
    <externalReference r:id="rId40"/>
    <externalReference r:id="rId41"/>
  </externalReferences>
  <definedNames>
    <definedName name="_xlnm._FilterDatabase" localSheetId="14" hidden="1">'AJIO Credit Note Settl.'!$A$1:$AC$3</definedName>
    <definedName name="_xlnm._FilterDatabase" localSheetId="12" hidden="1">'Ajio Payment Settl.'!$A$1:$M$3</definedName>
    <definedName name="_xlnm._FilterDatabase" localSheetId="13" hidden="1">'AJIO Payment vs Finance Settl.'!$A$2:$J$5</definedName>
    <definedName name="_xlnm._FilterDatabase" localSheetId="11" hidden="1">'Ajio Sales Settl.'!$A$1:$AV$3</definedName>
    <definedName name="_xlnm._FilterDatabase" localSheetId="10" hidden="1">'AJIO Summary'!$A$1:$L$3</definedName>
    <definedName name="_xlnm._FilterDatabase" localSheetId="38" hidden="1">'Amazon Commission calc'!$A$1:$AO$3</definedName>
    <definedName name="_xlnm._FilterDatabase" localSheetId="37" hidden="1">'Amazon Commission format'!$B$5:$Q$7</definedName>
    <definedName name="_xlnm._FilterDatabase" localSheetId="23" hidden="1">'Amazon Credit Note'!$A$1:$L$3</definedName>
    <definedName name="_xlnm._FilterDatabase" localSheetId="25" hidden="1">'Amazon Payment Staus'!$A$2:$K$5</definedName>
    <definedName name="_xlnm._FilterDatabase" localSheetId="20" hidden="1">'Amazon sale (2)'!$A$1:$AD$3</definedName>
    <definedName name="_xlnm._FilterDatabase" localSheetId="19" hidden="1">'Amazon Summary'!#REF!</definedName>
    <definedName name="_xlnm._FilterDatabase" localSheetId="22" hidden="1">Amazon_Payment2!$A$1:$AA$1</definedName>
    <definedName name="_xlnm._FilterDatabase" localSheetId="21" hidden="1">AmazonCommission!$A$1:$AD$1</definedName>
    <definedName name="_xlnm._FilterDatabase" localSheetId="34" hidden="1">'Commission Provision'!$H$8:$M$9</definedName>
    <definedName name="_xlnm._FilterDatabase" localSheetId="29" hidden="1">'Dashboard Trend'!$A$21:$P$29</definedName>
    <definedName name="_xlnm._FilterDatabase" localSheetId="6" hidden="1">'DTR_AJIO Sales'!$A$1:$AW$3</definedName>
    <definedName name="_xlnm._FilterDatabase" localSheetId="4" hidden="1">'DTR_Amazon sale'!$A$1:$AI$3</definedName>
    <definedName name="_xlnm._FilterDatabase" localSheetId="3" hidden="1">'DTR_Flipkart sale'!$A$1:$AT$3</definedName>
    <definedName name="_xlnm._FilterDatabase" localSheetId="2" hidden="1">'DTR_Master Data'!$A$1:$CU$3</definedName>
    <definedName name="_xlnm._FilterDatabase" localSheetId="1" hidden="1">DTR_Summary!$B$2:$C$2</definedName>
    <definedName name="_xlnm._FilterDatabase" localSheetId="18" hidden="1">'eCom Payment Status'!$A$1:$H$3</definedName>
    <definedName name="_xlnm._FilterDatabase" localSheetId="16" hidden="1">'eCom Sales'!$A$1:$BD$3</definedName>
    <definedName name="_xlnm._FilterDatabase" localSheetId="17" hidden="1">eComTransaction!$A$1:$AD$3</definedName>
    <definedName name="_xlnm._FilterDatabase" localSheetId="5" hidden="1">'Flipkart PAYMENT Settl.'!$A$2:$O$5</definedName>
    <definedName name="_xlnm._FilterDatabase" localSheetId="36" hidden="1">'Prov. vs Actual Working'!$B$1:$K$6</definedName>
    <definedName name="_xlnm._FilterDatabase" localSheetId="30" hidden="1">'Razorpay YTD'!$A$1:$AG$3</definedName>
    <definedName name="_xlnm._FilterDatabase" localSheetId="31" hidden="1">'Refund Tracker'!$A$1:$L$2</definedName>
    <definedName name="_xlnm._FilterDatabase" localSheetId="32" hidden="1">Refund_format!$A$1:$C$1</definedName>
    <definedName name="_xlnm._FilterDatabase" localSheetId="8" hidden="1">'Settl._Flipkart Payment'!$A$1:$BV$3</definedName>
    <definedName name="_xlnm._FilterDatabase" localSheetId="7" hidden="1">'Settl._Flipkart Summary'!$A$2:$K$2</definedName>
    <definedName name="_xlnm._FilterDatabase" localSheetId="9" hidden="1">'Settle._Flipkart Credit Note'!$A$1:$J$3</definedName>
    <definedName name="List1" localSheetId="19">'Amazon Summary'!#REF!</definedName>
    <definedName name="List1" localSheetId="33">#REF!</definedName>
    <definedName name="List1" localSheetId="7">'Settl._Flipkart Summary'!#REF!</definedName>
    <definedName name="List1">#REF!</definedName>
    <definedName name="List2">'Settl._Flipkart Summary'!#REF!</definedName>
    <definedName name="Remark">#REF!</definedName>
    <definedName name="Weight">[1]Sheet3!$C$2:$C$8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8" l="1"/>
  <c r="I6" i="38"/>
  <c r="H6" i="38"/>
  <c r="H3" i="31" l="1"/>
  <c r="H2" i="31"/>
  <c r="C25" i="20" l="1"/>
  <c r="D25" i="20"/>
  <c r="E25" i="20"/>
  <c r="F25" i="20"/>
  <c r="G25" i="20"/>
  <c r="H25" i="20"/>
  <c r="I25" i="20"/>
  <c r="J25" i="20"/>
  <c r="K25" i="20"/>
  <c r="L25" i="20"/>
  <c r="M25" i="20"/>
  <c r="N25" i="20"/>
  <c r="O25" i="20"/>
  <c r="B25" i="20"/>
  <c r="J5" i="25"/>
  <c r="G5" i="25"/>
  <c r="F5" i="25"/>
  <c r="F4" i="19" l="1"/>
  <c r="C4" i="19"/>
  <c r="C3" i="16"/>
  <c r="D3" i="16"/>
  <c r="E3" i="16"/>
  <c r="F3" i="16"/>
  <c r="G3" i="16"/>
  <c r="H3" i="16"/>
  <c r="B3" i="16"/>
  <c r="C3" i="11" l="1"/>
  <c r="D3" i="11"/>
  <c r="E3" i="11"/>
  <c r="F3" i="11"/>
  <c r="G3" i="11"/>
  <c r="H3" i="11"/>
  <c r="I3" i="11"/>
  <c r="J3" i="11"/>
  <c r="K3" i="11"/>
  <c r="L3" i="11"/>
  <c r="B3" i="11"/>
  <c r="C4" i="7" l="1"/>
  <c r="D4" i="7"/>
  <c r="E4" i="7"/>
  <c r="F4" i="7"/>
  <c r="G4" i="7"/>
  <c r="H4" i="7"/>
  <c r="I4" i="7"/>
  <c r="J4" i="7"/>
  <c r="K4" i="7"/>
  <c r="L4" i="7"/>
  <c r="M4" i="7"/>
  <c r="B4" i="7"/>
  <c r="F5" i="10"/>
  <c r="C5" i="10"/>
  <c r="O4" i="10"/>
  <c r="M4" i="10"/>
  <c r="J4" i="10"/>
  <c r="K4" i="10" s="1"/>
  <c r="O3" i="10"/>
  <c r="M3" i="10"/>
  <c r="J3" i="10"/>
  <c r="J5" i="10" l="1"/>
  <c r="K3" i="10"/>
  <c r="K5" i="10" s="1"/>
  <c r="M5" i="10"/>
  <c r="GQ2" i="1" l="1"/>
  <c r="ET2" i="1" l="1"/>
  <c r="EV2" i="1" s="1"/>
  <c r="EW2" i="1"/>
  <c r="FA2" i="1"/>
  <c r="EZ2" i="1"/>
  <c r="DM2" i="1"/>
  <c r="EX2" i="1" l="1"/>
  <c r="DO2" i="1"/>
  <c r="EY2" i="1" l="1"/>
  <c r="FB2" i="1" s="1"/>
  <c r="FD2" i="1" s="1"/>
  <c r="CJ2" i="1" l="1"/>
  <c r="CK2" i="1" s="1"/>
  <c r="CM2" i="1"/>
  <c r="CL2" i="1" s="1"/>
  <c r="CS2" i="1"/>
  <c r="CT2" i="1" s="1"/>
  <c r="C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tc={56B6EEBB-E82B-4B1D-B1C6-A23AF387DDC4}</author>
  </authors>
  <commentList>
    <comment ref="ES2" authorId="0" shapeId="0" xr:uid="{56B6EEBB-E82B-4B1D-B1C6-A23AF387DDC4}">
      <text>
        <t>[Threaded comment]
Your version of Excel allows you to read this threaded comment; however, any edits to it will get removed if the file is opened in a newer version of Excel. Learn more: https://go.microsoft.com/fwlink/?linkid=870924
Comment:
    Gold fixed fee is 67 but FK charged 65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Manish Kumar</author>
  </authors>
  <commentList>
    <comment ref="F2" authorId="0" shapeId="0" xr:uid="{B12C4DB6-A129-46AB-9D8E-C6ACED478408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Mail received from Gopal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tc={1C99493C-3762-44CE-8C1C-733DB470E9C4}</author>
    <author>Manish Kumar</author>
  </authors>
  <commentList>
    <comment ref="D4" authorId="0" shapeId="0" xr:uid="{1C99493C-3762-44CE-8C1C-733DB470E9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on Hold due to tech glitch</t>
      </text>
    </comment>
    <comment ref="E42" authorId="1" shapeId="0" xr:uid="{F6BE9AE9-9F1B-4AF2-8DB1-1CD6658B3B62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calim denied 17,160</t>
        </r>
      </text>
    </comment>
    <comment ref="E43" authorId="1" shapeId="0" xr:uid="{AA76CDD0-6E1F-4178-88CB-05C56BDF3DA8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claim denied 12,300</t>
        </r>
      </text>
    </comment>
    <comment ref="G44" authorId="1" shapeId="0" xr:uid="{FA2E1B4B-B83C-47A2-81F5-2E5BB672D6A8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claim denied</t>
        </r>
      </text>
    </comment>
    <comment ref="G45" authorId="1" shapeId="0" xr:uid="{98344398-E83B-4E4B-9BF4-F7F7BDA0A1F9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Claim Denied Rs.2405.36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Manish Kumar</author>
  </authors>
  <commentList>
    <comment ref="F1" authorId="0" shapeId="0" xr:uid="{D2C04148-CCDF-4C86-92A8-DCFF757A72B3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Monthly Provision as per Reconciliation team</t>
        </r>
      </text>
    </comment>
    <comment ref="J1" authorId="0" shapeId="0" xr:uid="{036812F6-860B-48F4-B88A-71EE35BCCA1A}">
      <text>
        <r>
          <rPr>
            <b/>
            <sz val="9"/>
            <color indexed="81"/>
            <rFont val="Tahoma"/>
            <family val="2"/>
          </rPr>
          <t>Manish Kumar:</t>
        </r>
        <r>
          <rPr>
            <sz val="9"/>
            <color indexed="81"/>
            <rFont val="Tahoma"/>
            <family val="2"/>
          </rPr>
          <t xml:space="preserve">
Invoice Submitted as per Deepak Verma</t>
        </r>
      </text>
    </comment>
  </commentList>
</comments>
</file>

<file path=xl/sharedStrings.xml><?xml version="1.0" encoding="utf-8"?>
<sst xmlns="http://schemas.openxmlformats.org/spreadsheetml/2006/main" count="2292" uniqueCount="1105">
  <si>
    <t>S No</t>
  </si>
  <si>
    <t>Supplier Name</t>
  </si>
  <si>
    <t>Supplier Location</t>
  </si>
  <si>
    <t>Supplier Address</t>
  </si>
  <si>
    <t>Supplier City</t>
  </si>
  <si>
    <t>Supplier State</t>
  </si>
  <si>
    <t>Supplier State Oracle Code</t>
  </si>
  <si>
    <t>Supplier State Code</t>
  </si>
  <si>
    <t>Supplier Gst No</t>
  </si>
  <si>
    <t>Deal Ids</t>
  </si>
  <si>
    <t>Invoice No</t>
  </si>
  <si>
    <t>Invoice Date</t>
  </si>
  <si>
    <t>Credit Note No</t>
  </si>
  <si>
    <t>Credit Note Date</t>
  </si>
  <si>
    <t>Irn No</t>
  </si>
  <si>
    <t>Category</t>
  </si>
  <si>
    <t>Customer Name</t>
  </si>
  <si>
    <t>Customer Pan No</t>
  </si>
  <si>
    <t>Customer Billing Address</t>
  </si>
  <si>
    <t>Customer Billing City</t>
  </si>
  <si>
    <t>Customer Billing State</t>
  </si>
  <si>
    <t>Customer Billing State Oracle Code</t>
  </si>
  <si>
    <t>Customer Billing State Tp Code</t>
  </si>
  <si>
    <t>Customer Billing Pin Code</t>
  </si>
  <si>
    <t>Customer Billing Gst No</t>
  </si>
  <si>
    <t>Customer Delivery Location</t>
  </si>
  <si>
    <t>Customer Delivery Address</t>
  </si>
  <si>
    <t>Customer Delivery City</t>
  </si>
  <si>
    <t>Customer Delivery State</t>
  </si>
  <si>
    <t>Customer State Tp Code</t>
  </si>
  <si>
    <t>Customer Delivery Gst No</t>
  </si>
  <si>
    <t>Pincode</t>
  </si>
  <si>
    <t>Metal</t>
  </si>
  <si>
    <t>Purity</t>
  </si>
  <si>
    <t>Hsn Code</t>
  </si>
  <si>
    <t>Sku No</t>
  </si>
  <si>
    <t>Product Name</t>
  </si>
  <si>
    <t>Product Name Oracle Code</t>
  </si>
  <si>
    <t>Product Serial No</t>
  </si>
  <si>
    <t>Quantity</t>
  </si>
  <si>
    <t>Net Weight In Gm</t>
  </si>
  <si>
    <t>Net Weight In Kg</t>
  </si>
  <si>
    <t>Fine Weight In Gm</t>
  </si>
  <si>
    <t>Fine Weight In Kg</t>
  </si>
  <si>
    <t>Rate Per Pcs</t>
  </si>
  <si>
    <t>Total Inr</t>
  </si>
  <si>
    <t>Discount</t>
  </si>
  <si>
    <t>Value After Discount</t>
  </si>
  <si>
    <t>Taxable Value</t>
  </si>
  <si>
    <t>Delivery Charges</t>
  </si>
  <si>
    <t>Cgst (%)</t>
  </si>
  <si>
    <t>Cgst Value</t>
  </si>
  <si>
    <t xml:space="preserve"> Sgst (%)</t>
  </si>
  <si>
    <t>Sgst Value</t>
  </si>
  <si>
    <t xml:space="preserve"> Igst (%)</t>
  </si>
  <si>
    <t>Igst Value</t>
  </si>
  <si>
    <t>Total Tax Value</t>
  </si>
  <si>
    <t>Round Off Amt</t>
  </si>
  <si>
    <t>Total</t>
  </si>
  <si>
    <t>Payment Mode</t>
  </si>
  <si>
    <t>Razorpay Payment Id</t>
  </si>
  <si>
    <t>Razorpay Order Id</t>
  </si>
  <si>
    <t>Cash</t>
  </si>
  <si>
    <t>Credit Debit Card</t>
  </si>
  <si>
    <t>Bank Trfr</t>
  </si>
  <si>
    <t>Cheque</t>
  </si>
  <si>
    <t>Online</t>
  </si>
  <si>
    <t>Total Collect</t>
  </si>
  <si>
    <t>Document Details</t>
  </si>
  <si>
    <t>Bank Name</t>
  </si>
  <si>
    <t>Applicability Of Reverse Charge</t>
  </si>
  <si>
    <t>Place Of Supply</t>
  </si>
  <si>
    <t>Order Status</t>
  </si>
  <si>
    <t>Invoice Status</t>
  </si>
  <si>
    <t>Channel</t>
  </si>
  <si>
    <t>Channel Oracle Code</t>
  </si>
  <si>
    <t>Order No</t>
  </si>
  <si>
    <t>Channel Order Date</t>
  </si>
  <si>
    <t>Phone</t>
  </si>
  <si>
    <t>Email</t>
  </si>
  <si>
    <t>Promo Code</t>
  </si>
  <si>
    <t>Ref No</t>
  </si>
  <si>
    <t>Ref Type</t>
  </si>
  <si>
    <t>Created By</t>
  </si>
  <si>
    <t>Fulfilled By</t>
  </si>
  <si>
    <t>Fulfillment Location</t>
  </si>
  <si>
    <t>Remarks</t>
  </si>
  <si>
    <t>Order &amp; SKU</t>
  </si>
  <si>
    <t>Duplicate</t>
  </si>
  <si>
    <t>Unique Count</t>
  </si>
  <si>
    <t>Unique Order</t>
  </si>
  <si>
    <t>Sku Vs Partner</t>
  </si>
  <si>
    <t>Qty Vs Partner</t>
  </si>
  <si>
    <t>Final Status</t>
  </si>
  <si>
    <t>Sourcing</t>
  </si>
  <si>
    <t>Ageing</t>
  </si>
  <si>
    <t>P_Orderid &amp; Sku</t>
  </si>
  <si>
    <t>P_Duplicate</t>
  </si>
  <si>
    <t>P_Unique Order</t>
  </si>
  <si>
    <t>P_order_item_id</t>
  </si>
  <si>
    <t>P_order id</t>
  </si>
  <si>
    <t>P_order_date</t>
  </si>
  <si>
    <t>P_order_item_status</t>
  </si>
  <si>
    <t>P_sku</t>
  </si>
  <si>
    <t>P_description</t>
  </si>
  <si>
    <t>P_quantity</t>
  </si>
  <si>
    <t>P_Metal</t>
  </si>
  <si>
    <t>P_Weight</t>
  </si>
  <si>
    <t>P_Cancelled Qty</t>
  </si>
  <si>
    <t>P_Listing MRP</t>
  </si>
  <si>
    <t>P_Shipped QTY</t>
  </si>
  <si>
    <t>P_Invoice Value</t>
  </si>
  <si>
    <t>Settlement Value as per MMTC</t>
  </si>
  <si>
    <t>Settlement Value as per Flipkart</t>
  </si>
  <si>
    <t>Credit Note</t>
  </si>
  <si>
    <t>Return</t>
  </si>
  <si>
    <t>Amount Received</t>
  </si>
  <si>
    <t>Excess/Less Payment</t>
  </si>
  <si>
    <t>Difference</t>
  </si>
  <si>
    <t>Payment Status</t>
  </si>
  <si>
    <t>CN Number</t>
  </si>
  <si>
    <t>UTR No_1</t>
  </si>
  <si>
    <t>Date_1</t>
  </si>
  <si>
    <t>Amount Received_1</t>
  </si>
  <si>
    <t>UTR No_2</t>
  </si>
  <si>
    <t>Date_2</t>
  </si>
  <si>
    <t>Amount Received_2</t>
  </si>
  <si>
    <t>UTR No_3</t>
  </si>
  <si>
    <t>Date_3</t>
  </si>
  <si>
    <t>Amount Received_3</t>
  </si>
  <si>
    <t>UTR No_4</t>
  </si>
  <si>
    <t>Date_4</t>
  </si>
  <si>
    <t>Amount Received_4</t>
  </si>
  <si>
    <t>UTR No_5</t>
  </si>
  <si>
    <t>Date_5</t>
  </si>
  <si>
    <t>Amount Received_5</t>
  </si>
  <si>
    <t>Tier</t>
  </si>
  <si>
    <t>Weight Slab</t>
  </si>
  <si>
    <t>Loaction</t>
  </si>
  <si>
    <t>Shipping cost</t>
  </si>
  <si>
    <t>Fixed Cost</t>
  </si>
  <si>
    <t>Fixed Fee</t>
  </si>
  <si>
    <t>Collection slab</t>
  </si>
  <si>
    <t>Type</t>
  </si>
  <si>
    <t>Collection fee</t>
  </si>
  <si>
    <t>5% Commission Fee on Oval</t>
  </si>
  <si>
    <t>Marketplace Fee (Rs.)</t>
  </si>
  <si>
    <t>GST 18 %</t>
  </si>
  <si>
    <t>TCS</t>
  </si>
  <si>
    <t>TDS</t>
  </si>
  <si>
    <t>Final Sett Valu MMTC</t>
  </si>
  <si>
    <t>Sett Flikart</t>
  </si>
  <si>
    <t>Data</t>
  </si>
  <si>
    <t>NEFT ID</t>
  </si>
  <si>
    <t>Total Amount</t>
  </si>
  <si>
    <t>Details Amount</t>
  </si>
  <si>
    <t>TDS Amount</t>
  </si>
  <si>
    <t>TCS Amount</t>
  </si>
  <si>
    <t>Ad Fee</t>
  </si>
  <si>
    <t>Not found</t>
  </si>
  <si>
    <t>Remark</t>
  </si>
  <si>
    <t>Seller Invoice No</t>
  </si>
  <si>
    <t>Received amount</t>
  </si>
  <si>
    <t>Invoice value</t>
  </si>
  <si>
    <t xml:space="preserve">Date   </t>
  </si>
  <si>
    <t xml:space="preserve">Customer   </t>
  </si>
  <si>
    <t xml:space="preserve">Narration     </t>
  </si>
  <si>
    <t>CR</t>
  </si>
  <si>
    <t>Received Amount</t>
  </si>
  <si>
    <t>Invoice Number</t>
  </si>
  <si>
    <t>Dated</t>
  </si>
  <si>
    <t>Diifference</t>
  </si>
  <si>
    <t xml:space="preserve">product sales
</t>
  </si>
  <si>
    <t>shipping credits</t>
  </si>
  <si>
    <t>promotional rebates</t>
  </si>
  <si>
    <t>Total sales tax liable(GST before adjusting TCS)</t>
  </si>
  <si>
    <t>TCS-CGST</t>
  </si>
  <si>
    <t>TCS-SGST</t>
  </si>
  <si>
    <t>TCS-IGST</t>
  </si>
  <si>
    <t>selling fees</t>
  </si>
  <si>
    <t>fba fees</t>
  </si>
  <si>
    <t>other transaction fees</t>
  </si>
  <si>
    <t>other</t>
  </si>
  <si>
    <t>total</t>
  </si>
  <si>
    <t>total sale price</t>
  </si>
  <si>
    <t>settlement-id</t>
  </si>
  <si>
    <t>settlement-start-date</t>
  </si>
  <si>
    <t>settlement-end-date</t>
  </si>
  <si>
    <t>deposit-date</t>
  </si>
  <si>
    <t>total-amount</t>
  </si>
  <si>
    <t>amount-description</t>
  </si>
  <si>
    <t>amount</t>
  </si>
  <si>
    <t>Neft Type</t>
  </si>
  <si>
    <t>Payment Date</t>
  </si>
  <si>
    <t>Bank Settlement Value (Rs.) 
= SUM(I:Q)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</si>
  <si>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</si>
  <si>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</si>
  <si>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</si>
  <si>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</si>
  <si>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</si>
  <si>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</si>
  <si>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(U:AH)</t>
  </si>
  <si>
    <t>TCS (Rs.)</t>
  </si>
  <si>
    <t>TDS (Rs.)</t>
  </si>
  <si>
    <t>Taxes (Rs.)</t>
  </si>
  <si>
    <t>Protection Fund (Rs.)</t>
  </si>
  <si>
    <t>Refund (Rs.)</t>
  </si>
  <si>
    <t>Order Date</t>
  </si>
  <si>
    <t>Dispatch Date</t>
  </si>
  <si>
    <t>Fulfilment Type</t>
  </si>
  <si>
    <t>Seller SKU</t>
  </si>
  <si>
    <t>Product Sub Category</t>
  </si>
  <si>
    <t>Additional Information</t>
  </si>
  <si>
    <t>Return Type</t>
  </si>
  <si>
    <t>Item Return Status</t>
  </si>
  <si>
    <t>Sale Amount</t>
  </si>
  <si>
    <t>Total Offer Amount</t>
  </si>
  <si>
    <t>My Share</t>
  </si>
  <si>
    <t>Commission Rate (%)</t>
  </si>
  <si>
    <t>Commission (Rs.)</t>
  </si>
  <si>
    <t>Commission Fee Waiver(Rs.)</t>
  </si>
  <si>
    <t>Collection Fee (Rs.)</t>
  </si>
  <si>
    <t>Collection Fee Waiver(Rs.)</t>
  </si>
  <si>
    <t>Fixed Fee  (Rs.)</t>
  </si>
  <si>
    <t>Fixed Fee Waiver(Rs.)</t>
  </si>
  <si>
    <t>No Cost Emi Fee Reimbursement(Rs.)</t>
  </si>
  <si>
    <t>Installation Fee (Rs.)</t>
  </si>
  <si>
    <t>Uninstallation Fee (Rs.)</t>
  </si>
  <si>
    <t>Tech Visit Fee (Rs.)</t>
  </si>
  <si>
    <t>Uninstallation &amp; Packaging Fee (Rs.)</t>
  </si>
  <si>
    <t>Pick And Pack Fee (Rs.)</t>
  </si>
  <si>
    <t>Pick And Pack Fee Waiver(Rs.)</t>
  </si>
  <si>
    <t>Customer Shipping Fee Type</t>
  </si>
  <si>
    <t xml:space="preserve"> Customer Shipping Fee</t>
  </si>
  <si>
    <t>Shipping Fee Waiver(Rs.)</t>
  </si>
  <si>
    <t>Reverse Shipping Fee (Rs.)</t>
  </si>
  <si>
    <t>Franchise Fee (Rs.)</t>
  </si>
  <si>
    <t>Product Cancellation Fee (Rs.)</t>
  </si>
  <si>
    <t>Service Cancellation Fee(Rs.)</t>
  </si>
  <si>
    <t>Fee Discount (Rs.)</t>
  </si>
  <si>
    <t>Service Cancellation Charge(Rs.)</t>
  </si>
  <si>
    <t>Multipart Shipment?</t>
  </si>
  <si>
    <t>Profiler Dead Weight</t>
  </si>
  <si>
    <t>Dead Weight (kgs)</t>
  </si>
  <si>
    <t>Length*Breadth*Height</t>
  </si>
  <si>
    <t>Volumetric Weight (kgs)</t>
  </si>
  <si>
    <t>Chargeable Weight Type</t>
  </si>
  <si>
    <t>Chargeable Wt. Slab (In Kgs)</t>
  </si>
  <si>
    <t>Shipping Zone</t>
  </si>
  <si>
    <t>Invoice ID</t>
  </si>
  <si>
    <t>Buket</t>
  </si>
  <si>
    <t>Payemnt Buket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</si>
  <si>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</si>
  <si>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</si>
  <si>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</si>
  <si>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</si>
  <si>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</si>
  <si>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</si>
  <si>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</si>
  <si>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</si>
  <si>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</si>
  <si>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</si>
  <si>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AUYyRIG10.01207</t>
  </si>
  <si>
    <t>OD334008082895094100</t>
  </si>
  <si>
    <t>("Match","Not Match"),"Check"</t>
  </si>
  <si>
    <t>"Match &amp; Found","Open Exception"</t>
  </si>
  <si>
    <t>"Partner","MMTC"</t>
  </si>
  <si>
    <t>0-7 days, 8-15 days, 16-30 days &amp; 30 days above</t>
  </si>
  <si>
    <t>OI:433847789853150100</t>
  </si>
  <si>
    <t>OD433847789853150100</t>
  </si>
  <si>
    <t>MMTC-PAMP India Pvt Ltd Lotus 24 9999 K 10 g Yellow Gold Bar</t>
  </si>
  <si>
    <t>gold</t>
  </si>
  <si>
    <t>Match &amp; Found</t>
  </si>
  <si>
    <t>Payment Received</t>
  </si>
  <si>
    <t xml:space="preserve">NFT-419000547GN00165XXXXXXX </t>
  </si>
  <si>
    <t>2024-07-08</t>
  </si>
  <si>
    <t>Wood/Silver/Gold/platinum</t>
  </si>
  <si>
    <t>0.0 Kg - 0.5 Kg</t>
  </si>
  <si>
    <t>National</t>
  </si>
  <si>
    <t>Prepaid/Postpaid</t>
  </si>
  <si>
    <t>DEUTH02514667346</t>
  </si>
  <si>
    <t xml:space="preserve">NFT-/XUTR/DEUTH02514667346X </t>
  </si>
  <si>
    <t>ok</t>
  </si>
  <si>
    <t>RAJIO73</t>
  </si>
  <si>
    <t>FT109182935682</t>
  </si>
  <si>
    <t>RELIANCE RETAIL LIMITED</t>
  </si>
  <si>
    <t>ICIN213944832804</t>
  </si>
  <si>
    <t>Prepaid</t>
  </si>
  <si>
    <t>OD331644521034232100</t>
  </si>
  <si>
    <t>331644521034232100</t>
  </si>
  <si>
    <t>2024-06-28</t>
  </si>
  <si>
    <t>2024-06-29</t>
  </si>
  <si>
    <t>seller_easy_ship</t>
  </si>
  <si>
    <t>AUYyRIG2.0871</t>
  </si>
  <si>
    <t>coin</t>
  </si>
  <si>
    <t>NA</t>
  </si>
  <si>
    <t>FABCMT2500000600</t>
  </si>
  <si>
    <t>0 -15 Days</t>
  </si>
  <si>
    <t xml:space="preserve">Not Due </t>
  </si>
  <si>
    <t>15 - 30 Days</t>
  </si>
  <si>
    <t>Pending</t>
  </si>
  <si>
    <t>30 - 60 Days</t>
  </si>
  <si>
    <t>60 - 90 Days</t>
  </si>
  <si>
    <t>90 - 180 Days</t>
  </si>
  <si>
    <t>180 - 365 Days</t>
  </si>
  <si>
    <t xml:space="preserve">01 - 02 Year </t>
  </si>
  <si>
    <t xml:space="preserve">02 - 03 Year </t>
  </si>
  <si>
    <t>03 Year Plus</t>
  </si>
  <si>
    <t>Date</t>
  </si>
  <si>
    <t>Trade Reconciliation for 05-Jun-25</t>
  </si>
  <si>
    <t>Parameters</t>
  </si>
  <si>
    <t>Flipkart</t>
  </si>
  <si>
    <t xml:space="preserve">Amazon </t>
  </si>
  <si>
    <t>AJio</t>
  </si>
  <si>
    <t>eCom</t>
  </si>
  <si>
    <t>Grand Total</t>
  </si>
  <si>
    <t>Gold</t>
  </si>
  <si>
    <t>Silver</t>
  </si>
  <si>
    <t>Total Deal</t>
  </si>
  <si>
    <t>Total Weight (Grams)</t>
  </si>
  <si>
    <t>Total Gross Value (INR)</t>
  </si>
  <si>
    <t>Total Settlement Value (INR)</t>
  </si>
  <si>
    <t>Open Exceptions From 01-Jul-24 till 05-Jun-25</t>
  </si>
  <si>
    <t xml:space="preserve">Total Open Exception </t>
  </si>
  <si>
    <t>Total Exception Value (INR)</t>
  </si>
  <si>
    <t>Open Exceptions</t>
  </si>
  <si>
    <t>Not found in Partner Data</t>
  </si>
  <si>
    <t>Not found in MMTC Data</t>
  </si>
  <si>
    <t>Open Exceptions - Ageing</t>
  </si>
  <si>
    <t>0-7 Days</t>
  </si>
  <si>
    <t>8-15 Days</t>
  </si>
  <si>
    <t>16-30 Days</t>
  </si>
  <si>
    <t>30 days above</t>
  </si>
  <si>
    <t>Trade Reconciliation from 01 Jun'25 - 05-Jun-25</t>
  </si>
  <si>
    <t>Sl. 
No.</t>
  </si>
  <si>
    <t>Supplier GST No</t>
  </si>
  <si>
    <t>Customer PAN No</t>
  </si>
  <si>
    <t>Customer Billing State TP Code</t>
  </si>
  <si>
    <t>Customer Billing GST No</t>
  </si>
  <si>
    <t>Customer Delivery 
State</t>
  </si>
  <si>
    <t>Customer State TP Code</t>
  </si>
  <si>
    <t>Customer Delivery GST No</t>
  </si>
  <si>
    <t>HSN Code</t>
  </si>
  <si>
    <t>SKU No.</t>
  </si>
  <si>
    <t>Product Desc</t>
  </si>
  <si>
    <t>Net Weight In KG</t>
  </si>
  <si>
    <t>Fine Weight in Gm</t>
  </si>
  <si>
    <t>Fine Weight In KG</t>
  </si>
  <si>
    <t>Total INR</t>
  </si>
  <si>
    <t>CGST (%)</t>
  </si>
  <si>
    <t>CGST Value</t>
  </si>
  <si>
    <t>SGST (%)</t>
  </si>
  <si>
    <t>SGST Value</t>
  </si>
  <si>
    <t>IGST (%)</t>
  </si>
  <si>
    <t>IGST Value</t>
  </si>
  <si>
    <t>Credit/Debit Card</t>
  </si>
  <si>
    <t>Channel Order No</t>
  </si>
  <si>
    <t xml:space="preserve">Fulfillment Location
</t>
  </si>
  <si>
    <t>Month</t>
  </si>
  <si>
    <t>Sku vs Partner</t>
  </si>
  <si>
    <t>Qty vs Partner</t>
  </si>
  <si>
    <t>1.</t>
  </si>
  <si>
    <t>MMTC PAMP INDIA PVT. LTD.</t>
  </si>
  <si>
    <t>Okhla Online</t>
  </si>
  <si>
    <t>221, Ground Floor; Phase III, Okhla Industrial Estate</t>
  </si>
  <si>
    <t>Delhi</t>
  </si>
  <si>
    <t>07</t>
  </si>
  <si>
    <t>07AAFCM3576K1Z3</t>
  </si>
  <si>
    <t>ONLINE</t>
  </si>
  <si>
    <t>GST NON REGISTRED</t>
  </si>
  <si>
    <t>Ranjit</t>
  </si>
  <si>
    <t>House no 70 Biharipur Sonia Bihar wazirabad road</t>
  </si>
  <si>
    <t>NEW DELHI</t>
  </si>
  <si>
    <t>110094</t>
  </si>
  <si>
    <t>House no 70 BiharipurSonia Bihar wazirabad road</t>
  </si>
  <si>
    <t>999.9</t>
  </si>
  <si>
    <t>71081300</t>
  </si>
  <si>
    <t>10 gm Gold 999.9 Minted Bar Lotus Certicard (923)</t>
  </si>
  <si>
    <t>0130955-0130955</t>
  </si>
  <si>
    <t xml:space="preserve">   </t>
  </si>
  <si>
    <t>N</t>
  </si>
  <si>
    <t>Intra State Supply</t>
  </si>
  <si>
    <t>Active</t>
  </si>
  <si>
    <t>Siddharth Kumar</t>
  </si>
  <si>
    <t>OD334008082895094100AUYyRIG10.01207</t>
  </si>
  <si>
    <t>New ID</t>
  </si>
  <si>
    <t>Match</t>
  </si>
  <si>
    <t>MMTC</t>
  </si>
  <si>
    <t>2.</t>
  </si>
  <si>
    <t>Rama Krishna</t>
  </si>
  <si>
    <t>Near innotel hotel Ramavarappadu Ring Bus Stop, Veterinary Colony</t>
  </si>
  <si>
    <t>Vijayawada</t>
  </si>
  <si>
    <t>Andhra Pradesh</t>
  </si>
  <si>
    <t>37</t>
  </si>
  <si>
    <t>520008</t>
  </si>
  <si>
    <t>Near innotel hotelRamavarappadu Ring Bus Stop, Veterinary Colony</t>
  </si>
  <si>
    <t>710813</t>
  </si>
  <si>
    <t>AUYyRIG5.0353</t>
  </si>
  <si>
    <t>5 gm Gold 999.9 Minted Bar Lotus Rect. Coin QR</t>
  </si>
  <si>
    <t>0309733-0309733</t>
  </si>
  <si>
    <t>Inter State Supply</t>
  </si>
  <si>
    <t>OD334011282813486100</t>
  </si>
  <si>
    <t>OD334011282813486100AUYyRIG5.0353</t>
  </si>
  <si>
    <t>Orderid &amp; Sku</t>
  </si>
  <si>
    <t>order_item_id</t>
  </si>
  <si>
    <t>order_id</t>
  </si>
  <si>
    <t>fulfilment_source</t>
  </si>
  <si>
    <t>fulfilment_type</t>
  </si>
  <si>
    <t>order_date</t>
  </si>
  <si>
    <t>order_approval_date</t>
  </si>
  <si>
    <t>order_item_status</t>
  </si>
  <si>
    <t>sku</t>
  </si>
  <si>
    <t>fsn</t>
  </si>
  <si>
    <t>product_title</t>
  </si>
  <si>
    <t>quantity</t>
  </si>
  <si>
    <t>serial_no_imei</t>
  </si>
  <si>
    <t>delivery_logistics_partner</t>
  </si>
  <si>
    <t>pickup_logistics_partner</t>
  </si>
  <si>
    <t>delivery_tracking_id</t>
  </si>
  <si>
    <t>forward_logistics_form</t>
  </si>
  <si>
    <t>forward_logistics_form_no</t>
  </si>
  <si>
    <t>order_cancellation_date</t>
  </si>
  <si>
    <t>cancellation_reason</t>
  </si>
  <si>
    <t>cancellation_sub_reason</t>
  </si>
  <si>
    <t>order_return_approval_date</t>
  </si>
  <si>
    <t>return_id</t>
  </si>
  <si>
    <t>return_reason</t>
  </si>
  <si>
    <t>return_sub_reason</t>
  </si>
  <si>
    <t>procurement_dispatch_sla</t>
  </si>
  <si>
    <t>dispatch_after_date</t>
  </si>
  <si>
    <t>dispatch_by_date</t>
  </si>
  <si>
    <t>order_ready_for_dispatch_on_date</t>
  </si>
  <si>
    <t>dispatched_date</t>
  </si>
  <si>
    <t>dispatch_sla_breached</t>
  </si>
  <si>
    <t>seller_pickup_reattempts</t>
  </si>
  <si>
    <t>delivery_sla</t>
  </si>
  <si>
    <t>deliver_by_date</t>
  </si>
  <si>
    <t>order_delivery_date</t>
  </si>
  <si>
    <t>delivery_sla_breached</t>
  </si>
  <si>
    <t>order_service_completion_date</t>
  </si>
  <si>
    <t>service_by_date</t>
  </si>
  <si>
    <t>service_completion_sla</t>
  </si>
  <si>
    <t>service_sla_breached</t>
  </si>
  <si>
    <t>Weight</t>
  </si>
  <si>
    <t>Lookup with CEM</t>
  </si>
  <si>
    <t>QTY * Gms</t>
  </si>
  <si>
    <t>OD433847789853150100AUYyRIG10.01207</t>
  </si>
  <si>
    <t>OD433847789853150100-1</t>
  </si>
  <si>
    <t>Seller</t>
  </si>
  <si>
    <t>NON_FBF</t>
  </si>
  <si>
    <t/>
  </si>
  <si>
    <t>APPROVAL_HOLD</t>
  </si>
  <si>
    <t>CONGWMDCYVMZQWFW</t>
  </si>
  <si>
    <t>BVC eSHIP PrePaid</t>
  </si>
  <si>
    <t>9</t>
  </si>
  <si>
    <t>2025-03-19</t>
  </si>
  <si>
    <t>OD334017151135723100AUYyRIG2.0848</t>
  </si>
  <si>
    <t>OD334017151135723100-1</t>
  </si>
  <si>
    <t>OI:334017151135723100</t>
  </si>
  <si>
    <t>OD334017151135723100</t>
  </si>
  <si>
    <t>2025-03-30 12:03:13</t>
  </si>
  <si>
    <t>APPROVED</t>
  </si>
  <si>
    <t>AUYyRIG2.0848</t>
  </si>
  <si>
    <t>CONG8TZUYZFUGAXZ</t>
  </si>
  <si>
    <t>MMTC-PAMP India Pvt Ltd 24 9999 K 2 g Yellow Gold Bar</t>
  </si>
  <si>
    <t>11</t>
  </si>
  <si>
    <t>2025-04-10</t>
  </si>
  <si>
    <t>Order &amp; pro</t>
  </si>
  <si>
    <t>Duplicate_order</t>
  </si>
  <si>
    <t>date/time</t>
  </si>
  <si>
    <t>settlement id</t>
  </si>
  <si>
    <t>type</t>
  </si>
  <si>
    <t>order id</t>
  </si>
  <si>
    <t>Sku</t>
  </si>
  <si>
    <t>description</t>
  </si>
  <si>
    <t>marketplace</t>
  </si>
  <si>
    <t>account type</t>
  </si>
  <si>
    <t>fulfillment</t>
  </si>
  <si>
    <t>order city</t>
  </si>
  <si>
    <t>order state</t>
  </si>
  <si>
    <t>order postal</t>
  </si>
  <si>
    <t>product sales</t>
  </si>
  <si>
    <t>gift wrap credits</t>
  </si>
  <si>
    <t>TDS (Section 194-O)</t>
  </si>
  <si>
    <t>Weight in gm</t>
  </si>
  <si>
    <t>Amount</t>
  </si>
  <si>
    <t>407-1284391-1390767AGYyRIG50.01206</t>
  </si>
  <si>
    <t>407-1284391-1390767-1</t>
  </si>
  <si>
    <t>Order</t>
  </si>
  <si>
    <t>407-1284391-1390767</t>
  </si>
  <si>
    <t>AGYyRIG50.01206</t>
  </si>
  <si>
    <t>MMTC-PAMP 999.9+ Purity Banyan Tree 50 gm Silver Bar</t>
  </si>
  <si>
    <t>amazon.in</t>
  </si>
  <si>
    <t>Cash On Delivery Transactions and Non-Transactional Fees</t>
  </si>
  <si>
    <t>Amazon</t>
  </si>
  <si>
    <t>DELHI</t>
  </si>
  <si>
    <t>405-2869438-9216339AGYyRIG50.01206</t>
  </si>
  <si>
    <t>405-2869438-9216339-1</t>
  </si>
  <si>
    <t>405-2869438-9216339</t>
  </si>
  <si>
    <t>MMTC Fiance Team</t>
  </si>
  <si>
    <t>Partner</t>
  </si>
  <si>
    <t>UTR Match with Payment</t>
  </si>
  <si>
    <t xml:space="preserve">419000547GN00165    </t>
  </si>
  <si>
    <t xml:space="preserve">419000796GN00245    </t>
  </si>
  <si>
    <t xml:space="preserve">NFT-419000796GN00245XXXXXXX </t>
  </si>
  <si>
    <t>Cust Order No</t>
  </si>
  <si>
    <t>Cust Order Date</t>
  </si>
  <si>
    <t>Status</t>
  </si>
  <si>
    <t>FWD PO NO</t>
  </si>
  <si>
    <t>FWD PO Date</t>
  </si>
  <si>
    <t>Seller Invoice Date</t>
  </si>
  <si>
    <t>Cust Invoice No</t>
  </si>
  <si>
    <t>Cust Invoice Date</t>
  </si>
  <si>
    <t>POB ID</t>
  </si>
  <si>
    <t>Seller Name</t>
  </si>
  <si>
    <t>JioCode</t>
  </si>
  <si>
    <t>Description</t>
  </si>
  <si>
    <t>Order Qty</t>
  </si>
  <si>
    <t>Cancelled Qty</t>
  </si>
  <si>
    <t>Listing MRP</t>
  </si>
  <si>
    <t>Base Price</t>
  </si>
  <si>
    <t>CGST_PERCENTAGE</t>
  </si>
  <si>
    <t>CGST_AMOUNT</t>
  </si>
  <si>
    <t>SGST_PERCENTAGE</t>
  </si>
  <si>
    <t>SGST_AMOUNT</t>
  </si>
  <si>
    <t>IGST_PERCENTAGE</t>
  </si>
  <si>
    <t>IGST_AMOUNT</t>
  </si>
  <si>
    <t>Total Price</t>
  </si>
  <si>
    <t>Total Value</t>
  </si>
  <si>
    <t>Estimated Dispatch Date</t>
  </si>
  <si>
    <t>SLA Status</t>
  </si>
  <si>
    <t>Shipped QTY</t>
  </si>
  <si>
    <t>Seller TD</t>
  </si>
  <si>
    <t>DISCOUNT_PRICE</t>
  </si>
  <si>
    <t>Invoice Value</t>
  </si>
  <si>
    <t>Fulfillment Type</t>
  </si>
  <si>
    <t>NAME</t>
  </si>
  <si>
    <t>Seller Style Code</t>
  </si>
  <si>
    <t>Updated Sku</t>
  </si>
  <si>
    <t>Year</t>
  </si>
  <si>
    <t>FN9148509453AUYyOPG2.01107</t>
  </si>
  <si>
    <t>FN9148509453</t>
  </si>
  <si>
    <t>Sun Dec 08 13:16:26 IST 2024</t>
  </si>
  <si>
    <t>Cancelled</t>
  </si>
  <si>
    <t>DV00313399</t>
  </si>
  <si>
    <t>MMTC-PAMP INDIA PRIVATE LIMITED</t>
  </si>
  <si>
    <t>600638517</t>
  </si>
  <si>
    <t>2 GM ROSE 24K 999.9 GOLD PENDANT</t>
  </si>
  <si>
    <t>0.0</t>
  </si>
  <si>
    <t>Thu Dec 12 00:00:00 IST 2024</t>
  </si>
  <si>
    <t>Within SLA</t>
  </si>
  <si>
    <t>0</t>
  </si>
  <si>
    <t>DS</t>
  </si>
  <si>
    <t>AUYYOPG2.01107</t>
  </si>
  <si>
    <t>AUYyOPG2.01107</t>
  </si>
  <si>
    <t xml:space="preserve"> Dec</t>
  </si>
  <si>
    <t xml:space="preserve"> 08</t>
  </si>
  <si>
    <t>2024</t>
  </si>
  <si>
    <t>FN7394601873AUYyOPG2.01107</t>
  </si>
  <si>
    <t>FN7394601873</t>
  </si>
  <si>
    <t>Thu Mar 20 17:08:35 IST 2025</t>
  </si>
  <si>
    <t>Shipped</t>
  </si>
  <si>
    <t>5099148189</t>
  </si>
  <si>
    <t>Fri Mar 21 00:00:00 IST 2025</t>
  </si>
  <si>
    <t>REAJIO11386</t>
  </si>
  <si>
    <t>Fri Mar 21 11:19:42 IST 2025</t>
  </si>
  <si>
    <t>AF25DEL149081585</t>
  </si>
  <si>
    <t>Fri Mar 21 11:19:43 IST 2025</t>
  </si>
  <si>
    <t>Mon Mar 24 00:00:00 IST 2025</t>
  </si>
  <si>
    <t>1026</t>
  </si>
  <si>
    <t xml:space="preserve"> Mar</t>
  </si>
  <si>
    <t xml:space="preserve"> 20</t>
  </si>
  <si>
    <t>2025</t>
  </si>
  <si>
    <t>Tran. Month</t>
  </si>
  <si>
    <t>No. of Sales</t>
  </si>
  <si>
    <t>Net Weight in Gm.</t>
  </si>
  <si>
    <t>GST</t>
  </si>
  <si>
    <t>Receivable Amount</t>
  </si>
  <si>
    <t>Pending Amount</t>
  </si>
  <si>
    <t>Total Outstanding</t>
  </si>
  <si>
    <t>Note:-</t>
  </si>
  <si>
    <t>ss</t>
  </si>
  <si>
    <t>Order&amp;sku</t>
  </si>
  <si>
    <t>Check ids</t>
  </si>
  <si>
    <t>a</t>
  </si>
  <si>
    <t>Till Jun'24</t>
  </si>
  <si>
    <t>OD331644521034232100AUYyRIG2.0871</t>
  </si>
  <si>
    <t>Check id</t>
  </si>
  <si>
    <t>OD331651808542225100AUYyCOG5.8319699</t>
  </si>
  <si>
    <t>OD331651808542225100</t>
  </si>
  <si>
    <t>331651808542225100</t>
  </si>
  <si>
    <t>2024-07-02</t>
  </si>
  <si>
    <t>AUYyCOG5.8319699</t>
  </si>
  <si>
    <t>FABCMT2500000603</t>
  </si>
  <si>
    <t>2024-07-01</t>
  </si>
  <si>
    <t>creditNoteNo</t>
  </si>
  <si>
    <t>creditnotedate</t>
  </si>
  <si>
    <t>SKUNo_Fld</t>
  </si>
  <si>
    <t>TotalPriceWithCharges_Fld</t>
  </si>
  <si>
    <t>Partner Order ID</t>
  </si>
  <si>
    <t>MMTC Month</t>
  </si>
  <si>
    <t>Received Month</t>
  </si>
  <si>
    <t>OD331541487120759100AUYyRIG2.0871</t>
  </si>
  <si>
    <t>RAAWY32500000103</t>
  </si>
  <si>
    <t>2024-06-20 00:00:00.0</t>
  </si>
  <si>
    <t>OD331541487120759100</t>
  </si>
  <si>
    <t>Received in Jul-24</t>
  </si>
  <si>
    <t>OD331541487120759100AUYyRIG1.0703</t>
  </si>
  <si>
    <t>AUYyRIG1.0703</t>
  </si>
  <si>
    <t>Net Quantity</t>
  </si>
  <si>
    <t>Tax</t>
  </si>
  <si>
    <t>CN Amount</t>
  </si>
  <si>
    <t>Excess / Less Payment</t>
  </si>
  <si>
    <t>Total Outstanding Amount</t>
  </si>
  <si>
    <t>Order &amp; Sku</t>
  </si>
  <si>
    <t>With BM</t>
  </si>
  <si>
    <t>Updaed Sku</t>
  </si>
  <si>
    <t>FL0296759700AUYYCOG2.0337</t>
  </si>
  <si>
    <t>Check</t>
  </si>
  <si>
    <t>New Id</t>
  </si>
  <si>
    <t>FL0296759700</t>
  </si>
  <si>
    <t>Thu Sep 02 00:10:02 IST 2021</t>
  </si>
  <si>
    <t>DELIVERED</t>
  </si>
  <si>
    <t>Thu Sep 02 00:00:00 IST 2021</t>
  </si>
  <si>
    <t>RAJIO206</t>
  </si>
  <si>
    <t>Fri Sep 03 13:07:12 IST 2021</t>
  </si>
  <si>
    <t>FDEL211125459891</t>
  </si>
  <si>
    <t>Fri Sep 03 13:06:21 IST 2021</t>
  </si>
  <si>
    <t>DV00308678</t>
  </si>
  <si>
    <t>600535172</t>
  </si>
  <si>
    <t>24K (999.9) 2G GOLD COIN</t>
  </si>
  <si>
    <t>Fri Sep 03 00:08:38 IST 2021</t>
  </si>
  <si>
    <t>Delayed</t>
  </si>
  <si>
    <t>10770.0</t>
  </si>
  <si>
    <t>AUYYCOG2.0337</t>
  </si>
  <si>
    <t xml:space="preserve"> Sep</t>
  </si>
  <si>
    <t xml:space="preserve"> 02</t>
  </si>
  <si>
    <t>2021</t>
  </si>
  <si>
    <t>FL0266639825AUYyCOG1.0739</t>
  </si>
  <si>
    <t>FL0266639825</t>
  </si>
  <si>
    <t>RAJIO4</t>
  </si>
  <si>
    <t>AUYyCOG1.0739</t>
  </si>
  <si>
    <t>Aug</t>
  </si>
  <si>
    <t>Crdit note entry</t>
  </si>
  <si>
    <t>Duplicate order&amp;Sku</t>
  </si>
  <si>
    <t xml:space="preserve">Duplicate Doc NO. </t>
  </si>
  <si>
    <t>DocDate</t>
  </si>
  <si>
    <t>Invoice Amount</t>
  </si>
  <si>
    <t>ScrollDate</t>
  </si>
  <si>
    <t>invoice value</t>
  </si>
  <si>
    <t>Order No.</t>
  </si>
  <si>
    <t>CheckCheck</t>
  </si>
  <si>
    <t>Aug-21</t>
  </si>
  <si>
    <t>RAJIO74</t>
  </si>
  <si>
    <t>Finance</t>
  </si>
  <si>
    <t>Sr.No</t>
  </si>
  <si>
    <t>4200338347-21 08 2021-HD00713712</t>
  </si>
  <si>
    <t>FT108216882520</t>
  </si>
  <si>
    <t>4200420407-17 09 2021-HD00713712</t>
  </si>
  <si>
    <t>Month, Year of B2C Invoice Date</t>
  </si>
  <si>
    <t>Vendor Code</t>
  </si>
  <si>
    <t>Ship Node</t>
  </si>
  <si>
    <t>Flag</t>
  </si>
  <si>
    <t>Brand</t>
  </si>
  <si>
    <t>Return PO No</t>
  </si>
  <si>
    <t>Credit note NO</t>
  </si>
  <si>
    <t>Debit/Credit Indicator</t>
  </si>
  <si>
    <t>Return Order No</t>
  </si>
  <si>
    <t>Countd of B2C Invoices</t>
  </si>
  <si>
    <t>B2C Invoice Amount</t>
  </si>
  <si>
    <t>B2C Amount by Rank</t>
  </si>
  <si>
    <t xml:space="preserve">B2C Amount by Rank Tax </t>
  </si>
  <si>
    <t>B2B Invoice Amount</t>
  </si>
  <si>
    <t>B2B Invoice GST Amount</t>
  </si>
  <si>
    <t>B2B Invoice Net Amount</t>
  </si>
  <si>
    <t>Invoice Processed Amount</t>
  </si>
  <si>
    <t>Invoiced Qty</t>
  </si>
  <si>
    <t>Number of Records</t>
  </si>
  <si>
    <t>Ordered Qty</t>
  </si>
  <si>
    <t>PO GST Amount</t>
  </si>
  <si>
    <t>PO Value</t>
  </si>
  <si>
    <t>Returned Qty</t>
  </si>
  <si>
    <t>Scroll Amount</t>
  </si>
  <si>
    <t>CN Received &amp; Excess Payment</t>
  </si>
  <si>
    <t>Processed</t>
  </si>
  <si>
    <t>RETURN</t>
  </si>
  <si>
    <t>MMTC PAMP</t>
  </si>
  <si>
    <t>FL0245769024</t>
  </si>
  <si>
    <t>S</t>
  </si>
  <si>
    <t>RT49989396</t>
  </si>
  <si>
    <t>RAJIO279</t>
  </si>
  <si>
    <t>RT42940327</t>
  </si>
  <si>
    <t>Refund</t>
  </si>
  <si>
    <t>Month's</t>
  </si>
  <si>
    <t>Product SKU</t>
  </si>
  <si>
    <t>Product Description</t>
  </si>
  <si>
    <t>Weight per pc(G)</t>
  </si>
  <si>
    <t>Rate per pc</t>
  </si>
  <si>
    <t>Total Net Weight(G)</t>
  </si>
  <si>
    <t>Total price(Excl. Tax)</t>
  </si>
  <si>
    <t>IGST or CGST/SGST (%)</t>
  </si>
  <si>
    <t>Tax value</t>
  </si>
  <si>
    <t>CGST value</t>
  </si>
  <si>
    <t>SGST value</t>
  </si>
  <si>
    <t>IGST value</t>
  </si>
  <si>
    <t>Total price(Incl. Tax)</t>
  </si>
  <si>
    <t>Address 1</t>
  </si>
  <si>
    <t>Address 2</t>
  </si>
  <si>
    <t>City</t>
  </si>
  <si>
    <t>State</t>
  </si>
  <si>
    <t>Zip</t>
  </si>
  <si>
    <t>Country</t>
  </si>
  <si>
    <t>GST ID</t>
  </si>
  <si>
    <t>Shipping Address 1</t>
  </si>
  <si>
    <t>Shipping Address 2</t>
  </si>
  <si>
    <t>Shipping City</t>
  </si>
  <si>
    <t>Shipping State</t>
  </si>
  <si>
    <t>Shipping Zip</t>
  </si>
  <si>
    <t>Shipping Country</t>
  </si>
  <si>
    <t>Payment Method</t>
  </si>
  <si>
    <t>PAN</t>
  </si>
  <si>
    <t>Additional Info</t>
  </si>
  <si>
    <t>DGS Order Status</t>
  </si>
  <si>
    <t>Countif</t>
  </si>
  <si>
    <t>Credit Note No.</t>
  </si>
  <si>
    <t>Diff</t>
  </si>
  <si>
    <t>PAMP22090106239AUYyCOG1.0867</t>
  </si>
  <si>
    <t>PAMP22090106239</t>
  </si>
  <si>
    <t>Order Shipped</t>
  </si>
  <si>
    <t>01-09-2022 11:57:34 PM</t>
  </si>
  <si>
    <t>Paid</t>
  </si>
  <si>
    <t>AUYyCOG1.0867</t>
  </si>
  <si>
    <t>Lakshmi 24k (999.9) 1 gm Gold Coin</t>
  </si>
  <si>
    <t>3%</t>
  </si>
  <si>
    <t>Piyush Gathibandhe</t>
  </si>
  <si>
    <t>c/o Siddharth Borkar, 333, EMPRESS mill society,</t>
  </si>
  <si>
    <t>Shreenagar, Opp Narendra Nagar</t>
  </si>
  <si>
    <t>Nagpur</t>
  </si>
  <si>
    <t>MAHARASHTRA</t>
  </si>
  <si>
    <t>India</t>
  </si>
  <si>
    <t>piyushgathibandhe@gmail.com</t>
  </si>
  <si>
    <t>india</t>
  </si>
  <si>
    <t>pay_KCjbYXIJZbU2F9</t>
  </si>
  <si>
    <t>order_KCjbPcvh7Ud2SP</t>
  </si>
  <si>
    <t>Upi</t>
  </si>
  <si>
    <t>DHWPG5637P</t>
  </si>
  <si>
    <t>Another one...</t>
  </si>
  <si>
    <t>PAMP22090106238AUYyCOG8.01049</t>
  </si>
  <si>
    <t>PAMP22090106238</t>
  </si>
  <si>
    <t>01-09-2022 11:36:22 PM</t>
  </si>
  <si>
    <t>AUYyCOG8.01049</t>
  </si>
  <si>
    <t>Queen 24K (999.9) 8 gm Gold Coin (guinea)</t>
  </si>
  <si>
    <t>1,328.45</t>
  </si>
  <si>
    <t>Amit Agarwal</t>
  </si>
  <si>
    <t>Om Shanti Palace, Flat 2&amp;3, Sector-7, Shree Nagar,</t>
  </si>
  <si>
    <t>Opp Global Hospital, Thane(w)-400604</t>
  </si>
  <si>
    <t>Mumbai</t>
  </si>
  <si>
    <t>AMITAGG99@GMAIL.COM</t>
  </si>
  <si>
    <t>pay_KCjFHlxd3zKyp7</t>
  </si>
  <si>
    <t>order_KCjEPaVy07qKLM</t>
  </si>
  <si>
    <t>Card</t>
  </si>
  <si>
    <t>AIWPA6542P</t>
  </si>
  <si>
    <t xml:space="preserve">eCom Order NO. </t>
  </si>
  <si>
    <t>entity_id</t>
  </si>
  <si>
    <t>debit</t>
  </si>
  <si>
    <t>credit</t>
  </si>
  <si>
    <t>currency</t>
  </si>
  <si>
    <t>fee</t>
  </si>
  <si>
    <t>tax</t>
  </si>
  <si>
    <t>on_hold</t>
  </si>
  <si>
    <t>settled</t>
  </si>
  <si>
    <t>created_at</t>
  </si>
  <si>
    <t>settled_at</t>
  </si>
  <si>
    <t>settlement_id</t>
  </si>
  <si>
    <t>notes</t>
  </si>
  <si>
    <t>payment_id</t>
  </si>
  <si>
    <t>arn</t>
  </si>
  <si>
    <t>settlement_utr</t>
  </si>
  <si>
    <t>order_receipt</t>
  </si>
  <si>
    <t>method</t>
  </si>
  <si>
    <t>card_network</t>
  </si>
  <si>
    <t>card_issuer</t>
  </si>
  <si>
    <t>card_type</t>
  </si>
  <si>
    <t>dispute_id</t>
  </si>
  <si>
    <t>eCom date</t>
  </si>
  <si>
    <t>status</t>
  </si>
  <si>
    <t>pay_KOM6S4qPj5MrFr</t>
  </si>
  <si>
    <t>payment</t>
  </si>
  <si>
    <t>INR</t>
  </si>
  <si>
    <t>Swiss Excellence. Made in India</t>
  </si>
  <si>
    <t>[]</t>
  </si>
  <si>
    <t>order_KOM5N2hK7d6e3r</t>
  </si>
  <si>
    <t>card</t>
  </si>
  <si>
    <t>Visa</t>
  </si>
  <si>
    <t>ICIC</t>
  </si>
  <si>
    <t>pay_KOM7gL7XCg0LHt</t>
  </si>
  <si>
    <t>order_KOM7YBq86eTKzk</t>
  </si>
  <si>
    <t>netbanking</t>
  </si>
  <si>
    <t>Settled Date</t>
  </si>
  <si>
    <t>Razorpay Settlement ID</t>
  </si>
  <si>
    <t>E-com Razorpay Amt.</t>
  </si>
  <si>
    <t>UTR</t>
  </si>
  <si>
    <t>setl_KzD6VFL3RZjFjy</t>
  </si>
  <si>
    <t>UTIBR52023010200330914</t>
  </si>
  <si>
    <t>MATCH</t>
  </si>
  <si>
    <t>setl_KzbeA9rrSEy9LG</t>
  </si>
  <si>
    <t>AXISCN0194587145</t>
  </si>
  <si>
    <t>Commission</t>
  </si>
  <si>
    <t>Received in Bank</t>
  </si>
  <si>
    <t>Excess Payment</t>
  </si>
  <si>
    <t>Till Jun'22</t>
  </si>
  <si>
    <t xml:space="preserve">settlement id
</t>
  </si>
  <si>
    <t xml:space="preserve">description
</t>
  </si>
  <si>
    <t xml:space="preserve">marketplace
</t>
  </si>
  <si>
    <t xml:space="preserve">order city
</t>
  </si>
  <si>
    <t xml:space="preserve">order state
</t>
  </si>
  <si>
    <t xml:space="preserve">order postal
</t>
  </si>
  <si>
    <t>MMTC date</t>
  </si>
  <si>
    <t>TCS/TDS</t>
  </si>
  <si>
    <t>405-1582874-8505125AUYyRIG2.0848</t>
  </si>
  <si>
    <t>405-1582874-8505125</t>
  </si>
  <si>
    <t>MMTC PAMP 24K 999.9+ Purest Lotus Gold Bar, 2 Gram Gold Coin, LBMA Certified</t>
  </si>
  <si>
    <t>Electronic Transactions (Credit Card/Net Banking/GC)</t>
  </si>
  <si>
    <t>CHENNAI</t>
  </si>
  <si>
    <t>TAMIL NADU</t>
  </si>
  <si>
    <t>406-5226935-0033929AGYyCOG50.01212</t>
  </si>
  <si>
    <t>406-5226935-0033929</t>
  </si>
  <si>
    <t>AGYyCOG50.01212</t>
  </si>
  <si>
    <t>MMTC-PAMP 999.9+ Lakshmi Ganesh 50 gm Silver Coin</t>
  </si>
  <si>
    <t>SECUNDERABAD</t>
  </si>
  <si>
    <t>ANDRA PRADESH</t>
  </si>
  <si>
    <t>OrderLookup</t>
  </si>
  <si>
    <t>MMTC Month's</t>
  </si>
  <si>
    <t>Order&amp;Sku</t>
  </si>
  <si>
    <t xml:space="preserve">Comission </t>
  </si>
  <si>
    <t xml:space="preserve">type
</t>
  </si>
  <si>
    <t xml:space="preserve">shipping credits
</t>
  </si>
  <si>
    <t xml:space="preserve">promotional rebates
</t>
  </si>
  <si>
    <t xml:space="preserve">selling fees
</t>
  </si>
  <si>
    <t xml:space="preserve">fba fees
</t>
  </si>
  <si>
    <t xml:space="preserve">other transaction fees
</t>
  </si>
  <si>
    <t xml:space="preserve">other
</t>
  </si>
  <si>
    <t xml:space="preserve">total
</t>
  </si>
  <si>
    <t>transaction-type</t>
  </si>
  <si>
    <t>order-id</t>
  </si>
  <si>
    <t>merchant-order-id</t>
  </si>
  <si>
    <t>adjustment-id</t>
  </si>
  <si>
    <t>shipment-id</t>
  </si>
  <si>
    <t>marketplace-name</t>
  </si>
  <si>
    <t>amount-type</t>
  </si>
  <si>
    <t>fulfillment-id</t>
  </si>
  <si>
    <t>posted-date</t>
  </si>
  <si>
    <t>posted-date-time</t>
  </si>
  <si>
    <t>order-item-code</t>
  </si>
  <si>
    <t>merchant-order-item-id</t>
  </si>
  <si>
    <t>merchant-adjustment-item-id</t>
  </si>
  <si>
    <t>quantity-purchased</t>
  </si>
  <si>
    <t>promotion-id</t>
  </si>
  <si>
    <t>404-3880031-4274700AGYyCOG50.01212</t>
  </si>
  <si>
    <t>27.05.2025 08:11:03</t>
  </si>
  <si>
    <t>03.06.2025 08:13:48</t>
  </si>
  <si>
    <t>05.06.2025 08:13:48</t>
  </si>
  <si>
    <t>COD</t>
  </si>
  <si>
    <t>404-3880031-4274700</t>
  </si>
  <si>
    <t>UwTBVZsvK</t>
  </si>
  <si>
    <t>Amazon.in</t>
  </si>
  <si>
    <t>ItemPrice</t>
  </si>
  <si>
    <t>Product Tax</t>
  </si>
  <si>
    <t>AFN</t>
  </si>
  <si>
    <t>28.05.2025</t>
  </si>
  <si>
    <t>28.05.2025 13:30:10</t>
  </si>
  <si>
    <t>Shipping</t>
  </si>
  <si>
    <t>Order&amp;pro</t>
  </si>
  <si>
    <t>InvoiceNo.</t>
  </si>
  <si>
    <t>Invoicedate</t>
  </si>
  <si>
    <t>PartnerOrderID</t>
  </si>
  <si>
    <t>MMTCMonth</t>
  </si>
  <si>
    <t>Sales Amount</t>
  </si>
  <si>
    <t>405-8557942-0832355AUYyRIG5.0353</t>
  </si>
  <si>
    <t>YNKV-C-178</t>
  </si>
  <si>
    <t>YNKV-3483</t>
  </si>
  <si>
    <t>405-8557942-0832355</t>
  </si>
  <si>
    <t>408-9567987-3777939AUYyOPG2.01078</t>
  </si>
  <si>
    <t>YNKV-C-179</t>
  </si>
  <si>
    <t>AUYyOPG2.01078</t>
  </si>
  <si>
    <t>YNKV-2740</t>
  </si>
  <si>
    <t>408-9567987-3777939</t>
  </si>
  <si>
    <t>MTD - Jun'25</t>
  </si>
  <si>
    <t>Gold Top Selling Products in Jun'25</t>
  </si>
  <si>
    <t xml:space="preserve">QTY </t>
  </si>
  <si>
    <t>Net Weight (in gms)</t>
  </si>
  <si>
    <t>2 gm Gold 999.9 Minted Oval Coin New Rose Certicard</t>
  </si>
  <si>
    <t>1 gm Gold 999.9 Minted Bar Lotus Certicard QR</t>
  </si>
  <si>
    <t>2 gm Gold 999.9 Minted Bar Peacock Certicard QR</t>
  </si>
  <si>
    <t>Silver Top Selling Products in Jun'25</t>
  </si>
  <si>
    <t>10 gm Silver 999.9 Minted Coin Ganesh Laxmi (New) Certicard QR</t>
  </si>
  <si>
    <t>50 gm Silver 999.9 Minted Bar Laddu Gopal Colored Minted Card (Box)</t>
  </si>
  <si>
    <t>20 gm Silver 999.9 Minted Bar Banyan Tree Certicard QR</t>
  </si>
  <si>
    <t>Partner/Portal</t>
  </si>
  <si>
    <t>AMAZON RETAIL INDIA PRIVATE LIMITED</t>
  </si>
  <si>
    <t xml:space="preserve">07.07.2022 08:13:59 </t>
  </si>
  <si>
    <t xml:space="preserve">07.07.2022 08:04:00 </t>
  </si>
  <si>
    <t>In Kgs</t>
  </si>
  <si>
    <t>2024-2025</t>
  </si>
  <si>
    <t>May'25 (MTD)</t>
  </si>
  <si>
    <t>Jun'25 (MTD)</t>
  </si>
  <si>
    <t>SKUs(gms)</t>
  </si>
  <si>
    <t>LMTD</t>
  </si>
  <si>
    <t>MTD</t>
  </si>
  <si>
    <t>MTD Vs LMTD %</t>
  </si>
  <si>
    <t>FTD</t>
  </si>
  <si>
    <t>amazon</t>
  </si>
  <si>
    <t>mpiplECOM</t>
  </si>
  <si>
    <t>ajio</t>
  </si>
  <si>
    <t>0.5 gm</t>
  </si>
  <si>
    <t>1 gm</t>
  </si>
  <si>
    <t>2 gm</t>
  </si>
  <si>
    <t>2.5 gm</t>
  </si>
  <si>
    <t>2.9 gm</t>
  </si>
  <si>
    <t>3 gm</t>
  </si>
  <si>
    <t>4 gm</t>
  </si>
  <si>
    <t>5 gm</t>
  </si>
  <si>
    <t>5.8 gm</t>
  </si>
  <si>
    <t>6 gm</t>
  </si>
  <si>
    <t>8 gm</t>
  </si>
  <si>
    <t>10 gm</t>
  </si>
  <si>
    <t>11.6 gm</t>
  </si>
  <si>
    <t>12 gm</t>
  </si>
  <si>
    <t>14 gm</t>
  </si>
  <si>
    <t>16 gm</t>
  </si>
  <si>
    <t>20 gm</t>
  </si>
  <si>
    <t>31.1 gm</t>
  </si>
  <si>
    <t>50 gm</t>
  </si>
  <si>
    <t>58.3 gm</t>
  </si>
  <si>
    <t>100 gm</t>
  </si>
  <si>
    <t>250 gm</t>
  </si>
  <si>
    <t>500 gm</t>
  </si>
  <si>
    <t>1000 gm</t>
  </si>
  <si>
    <t>MTD Vs LMTD%</t>
  </si>
  <si>
    <t xml:space="preserve">Number of orders </t>
  </si>
  <si>
    <t xml:space="preserve"> Net Weight (gm) </t>
  </si>
  <si>
    <t>Avg. weight / order</t>
  </si>
  <si>
    <t>DRR</t>
  </si>
  <si>
    <t xml:space="preserve">Gold </t>
  </si>
  <si>
    <t xml:space="preserve"> Silver </t>
  </si>
  <si>
    <t>Mar'25 DRR</t>
  </si>
  <si>
    <t>Apr'25 DRR</t>
  </si>
  <si>
    <t>May'25 DRR</t>
  </si>
  <si>
    <t>Jun'25 DRR</t>
  </si>
  <si>
    <t>Total Jun'25</t>
  </si>
  <si>
    <t>Chesk</t>
  </si>
  <si>
    <t>Gold (Kg)</t>
  </si>
  <si>
    <t>Silver (Kg)</t>
  </si>
  <si>
    <t>Avg Gram MTD</t>
  </si>
  <si>
    <t>LYMTD</t>
  </si>
  <si>
    <t>MTD*</t>
  </si>
  <si>
    <t>MTD vs LMTD</t>
  </si>
  <si>
    <t>LYTD</t>
  </si>
  <si>
    <t>YTD</t>
  </si>
  <si>
    <t>Amazon Prime</t>
  </si>
  <si>
    <t>eComWebsite</t>
  </si>
  <si>
    <t>Reliance AJIO</t>
  </si>
  <si>
    <t>FY23</t>
  </si>
  <si>
    <t>Jul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</si>
  <si>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</si>
  <si>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</si>
  <si>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</si>
  <si>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</si>
  <si>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</si>
  <si>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</si>
  <si>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</si>
  <si>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</si>
  <si>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</si>
  <si>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Jun*</t>
  </si>
  <si>
    <t>Snapdeal</t>
  </si>
  <si>
    <t>FY24</t>
  </si>
  <si>
    <t>Jun</t>
  </si>
  <si>
    <t>TATA Cliq</t>
  </si>
  <si>
    <t>FY</t>
  </si>
  <si>
    <t>Apr*</t>
  </si>
  <si>
    <t>FY25</t>
  </si>
  <si>
    <t>Transaction No</t>
  </si>
  <si>
    <t>Refunded Date</t>
  </si>
  <si>
    <t>Refunded Value</t>
  </si>
  <si>
    <t>MPLNKGYPAKFJ759</t>
  </si>
  <si>
    <t>Released</t>
  </si>
  <si>
    <t>pay_QcZyr7ph323gwJ</t>
  </si>
  <si>
    <t>order_QcZy11UwWzkAaz</t>
  </si>
  <si>
    <t>2pjx2GAzCZ2Ij_V</t>
  </si>
  <si>
    <t>upi</t>
  </si>
  <si>
    <t>MPLGJWS50G1TQKK</t>
  </si>
  <si>
    <t>rfnd_QcaXt3UEOCq60o</t>
  </si>
  <si>
    <t>pay_QcaQVItNz1ADBb</t>
  </si>
  <si>
    <t>order_QcaQPNM2fQQOMD</t>
  </si>
  <si>
    <t>xzNiq77ZGbfgbtB</t>
  </si>
  <si>
    <t>Request  Date</t>
  </si>
  <si>
    <t>Transaction Date</t>
  </si>
  <si>
    <t>Method</t>
  </si>
  <si>
    <t>Final Remarks</t>
  </si>
  <si>
    <t>Action</t>
  </si>
  <si>
    <t>Refunded Ref No.</t>
  </si>
  <si>
    <t>pay_NJ5HJGdXqpiKpy</t>
  </si>
  <si>
    <t>order_NJ5H9yjv5U0KUe</t>
  </si>
  <si>
    <t>Unsuccessful transaction, refund to be processed</t>
  </si>
  <si>
    <t>To be Refund</t>
  </si>
  <si>
    <t>Closed</t>
  </si>
  <si>
    <t>rfnd_NK2xcNu1MhjObu</t>
  </si>
  <si>
    <t>PaymentId</t>
  </si>
  <si>
    <t>Speed</t>
  </si>
  <si>
    <t>pay_NNa3hrZMAObAuT</t>
  </si>
  <si>
    <t>normal</t>
  </si>
  <si>
    <t>Open Exception</t>
  </si>
  <si>
    <t>Open Exception Remarks</t>
  </si>
  <si>
    <t>Count</t>
  </si>
  <si>
    <t>Rest all are 0- 07 days</t>
  </si>
  <si>
    <t>Outstanding Payment Details</t>
  </si>
  <si>
    <t>No. of Days</t>
  </si>
  <si>
    <t>AJIO</t>
  </si>
  <si>
    <t>Amazon Trade data updated till 31 May'25</t>
  </si>
  <si>
    <t>Amazon Payment updated till 27 May'25</t>
  </si>
  <si>
    <t>AJIO Trade data updated till 31 May'25</t>
  </si>
  <si>
    <t>AJIO Payment updated till 30 May'25</t>
  </si>
  <si>
    <t>Flipkart Trade data updated till 31 May'25</t>
  </si>
  <si>
    <t>Flipkart Payment updated till 30 May'25</t>
  </si>
  <si>
    <t>FY22-FY23</t>
  </si>
  <si>
    <t>Snapdeal Remarks</t>
  </si>
  <si>
    <t>Payment Received on 03 Jun'24</t>
  </si>
  <si>
    <t>Balance as on 03 Jun'24</t>
  </si>
  <si>
    <t xml:space="preserve">        3,089.88 </t>
  </si>
  <si>
    <t>Flipkart Remarks</t>
  </si>
  <si>
    <t>Flipkart OD428517796057220100 Dt. 03 Jul'23 Amt deduct (61,186.17) , ticket ID - IN2308031252201576621 raised on 03 Aug'23 and is still open</t>
  </si>
  <si>
    <r>
      <t xml:space="preserve">Ticket ID - </t>
    </r>
    <r>
      <rPr>
        <b/>
        <sz val="11"/>
        <color theme="1"/>
        <rFont val="Aptos Narrow"/>
        <family val="2"/>
        <scheme val="minor"/>
      </rPr>
      <t>IN2308021633472001702</t>
    </r>
    <r>
      <rPr>
        <sz val="11"/>
        <color theme="1"/>
        <rFont val="Aptos Narrow"/>
        <family val="2"/>
        <scheme val="minor"/>
      </rPr>
      <t xml:space="preserve"> Dt. 12 May'23 Amt. 9,509 (CN Pending), Flipkart Claim Denied</t>
    </r>
  </si>
  <si>
    <t>Pending Credit Note</t>
  </si>
  <si>
    <t>Less Payment Received</t>
  </si>
  <si>
    <t>Commission Difference</t>
  </si>
  <si>
    <t>14 Dec'23</t>
  </si>
  <si>
    <t>10 Dec'23</t>
  </si>
  <si>
    <t>Electronic</t>
  </si>
  <si>
    <t>Payment Received - Dec'23 &amp; Jan'24</t>
  </si>
  <si>
    <t>16 Jan'24</t>
  </si>
  <si>
    <t>FY22-23</t>
  </si>
  <si>
    <t>24 Jan'24</t>
  </si>
  <si>
    <t>FY23-24</t>
  </si>
  <si>
    <t>Total Bal.</t>
  </si>
  <si>
    <t>Current outstanding</t>
  </si>
  <si>
    <t>From 01- 31 May'25</t>
  </si>
  <si>
    <t>Partner  Name</t>
  </si>
  <si>
    <t>Commission / Fees</t>
  </si>
  <si>
    <t xml:space="preserve">Ads Spend </t>
  </si>
  <si>
    <t>Commission Tax</t>
  </si>
  <si>
    <t>Invoice Commission</t>
  </si>
  <si>
    <t>Invoice Commission GST</t>
  </si>
  <si>
    <t>Payment Outstanding</t>
  </si>
  <si>
    <t>Razorpay / Own Website</t>
  </si>
  <si>
    <t>Razorpay fees is part of commission and Own wesbite is part of Ads spend on own website</t>
  </si>
  <si>
    <t>AJIO commission fees referes to AJIO Logistic support services and RTV charges</t>
  </si>
  <si>
    <t>PD</t>
  </si>
  <si>
    <t>Pro- Data basis</t>
  </si>
  <si>
    <t>Provision</t>
  </si>
  <si>
    <t>Actual</t>
  </si>
  <si>
    <t>Remaining</t>
  </si>
  <si>
    <t>Own Website (Razorpay)</t>
  </si>
  <si>
    <t>Month &amp; Partner Name</t>
  </si>
  <si>
    <t>Invoice Submitted</t>
  </si>
  <si>
    <t>Balance Provision</t>
  </si>
  <si>
    <t>45474Amazon</t>
  </si>
  <si>
    <t>45474Flipkart</t>
  </si>
  <si>
    <t>45474Own Website (Razorpay)</t>
  </si>
  <si>
    <t>45474AJIO</t>
  </si>
  <si>
    <t>How to Fill the reimbrusement template</t>
  </si>
  <si>
    <r>
      <t xml:space="preserve">1.	In order to procure the order amount, we need to add the following values which are available in the data range report-  
a. </t>
    </r>
    <r>
      <rPr>
        <b/>
        <sz val="11"/>
        <color theme="1"/>
        <rFont val="Amazon Ember"/>
        <family val="2"/>
      </rPr>
      <t xml:space="preserve">product sales   </t>
    </r>
    <r>
      <rPr>
        <sz val="11"/>
        <color theme="1"/>
        <rFont val="Amazon Ember"/>
        <family val="2"/>
      </rPr>
      <t xml:space="preserve">b. </t>
    </r>
    <r>
      <rPr>
        <b/>
        <sz val="11"/>
        <color theme="1"/>
        <rFont val="Amazon Ember"/>
        <family val="2"/>
      </rPr>
      <t xml:space="preserve">shipping credits,    </t>
    </r>
    <r>
      <rPr>
        <sz val="11"/>
        <color theme="1"/>
        <rFont val="Amazon Ember"/>
        <family val="2"/>
      </rPr>
      <t xml:space="preserve">c. </t>
    </r>
    <r>
      <rPr>
        <b/>
        <sz val="11"/>
        <color theme="1"/>
        <rFont val="Amazon Ember"/>
        <family val="2"/>
      </rPr>
      <t>promotional rebates</t>
    </r>
    <r>
      <rPr>
        <sz val="11"/>
        <color theme="1"/>
        <rFont val="Amazon Ember"/>
        <family val="2"/>
      </rPr>
      <t xml:space="preserve"> and   d. </t>
    </r>
    <r>
      <rPr>
        <b/>
        <sz val="11"/>
        <color theme="1"/>
        <rFont val="Amazon Ember"/>
        <family val="2"/>
      </rPr>
      <t xml:space="preserve">Total sales tax liable  </t>
    </r>
    <r>
      <rPr>
        <sz val="11"/>
        <color theme="1"/>
        <rFont val="Amazon Ember"/>
        <family val="2"/>
      </rPr>
      <t>from the date range report. Post addition we will have the order amount or "</t>
    </r>
    <r>
      <rPr>
        <b/>
        <sz val="11"/>
        <color theme="1"/>
        <rFont val="Amazon Ember"/>
        <family val="2"/>
      </rPr>
      <t>Sales Proceeds"
Sales Proceeds = Product Sales + Shipping Credits + Promotional rebates + Total sales tax liable</t>
    </r>
    <r>
      <rPr>
        <sz val="11"/>
        <color theme="1"/>
        <rFont val="Amazon Ember"/>
        <family val="2"/>
      </rPr>
      <t xml:space="preserve">
2.	To get commission charged and its respective tax , we need to take the value </t>
    </r>
    <r>
      <rPr>
        <b/>
        <sz val="11"/>
        <color theme="1"/>
        <rFont val="Amazon Ember"/>
        <family val="2"/>
      </rPr>
      <t>“Selling Fees”</t>
    </r>
    <r>
      <rPr>
        <sz val="11"/>
        <color theme="1"/>
        <rFont val="Amazon Ember"/>
        <family val="2"/>
      </rPr>
      <t xml:space="preserve"> which constitutes the total commission charged including tax. In order to break it down into the commission and tax, 
we need to apply a mathematical formula.
</t>
    </r>
    <r>
      <rPr>
        <b/>
        <sz val="11"/>
        <color theme="1"/>
        <rFont val="Amazon Ember"/>
        <family val="2"/>
      </rPr>
      <t>Note</t>
    </r>
    <r>
      <rPr>
        <sz val="11"/>
        <color theme="1"/>
        <rFont val="Amazon Ember"/>
        <family val="2"/>
      </rPr>
      <t>: The "</t>
    </r>
    <r>
      <rPr>
        <b/>
        <sz val="11"/>
        <color theme="1"/>
        <rFont val="Amazon Ember"/>
        <family val="2"/>
      </rPr>
      <t>Selling Fees</t>
    </r>
    <r>
      <rPr>
        <sz val="11"/>
        <color theme="1"/>
        <rFont val="Amazon Ember"/>
        <family val="2"/>
      </rPr>
      <t xml:space="preserve">" values in date range reports are updated with negative signs to show the deduction from the order amount. Please remove the negative sign before pasting the values in Commission charged
</t>
    </r>
    <r>
      <rPr>
        <b/>
        <sz val="11"/>
        <color theme="1"/>
        <rFont val="Amazon Ember"/>
        <family val="2"/>
      </rPr>
      <t>Commission charged, INR</t>
    </r>
    <r>
      <rPr>
        <sz val="11"/>
        <color theme="1"/>
        <rFont val="Amazon Ember"/>
        <family val="2"/>
      </rPr>
      <t xml:space="preserve">: </t>
    </r>
    <r>
      <rPr>
        <b/>
        <sz val="11"/>
        <color theme="1"/>
        <rFont val="Amazon Ember"/>
        <family val="2"/>
      </rPr>
      <t xml:space="preserve"> "Selling Fees" </t>
    </r>
    <r>
      <rPr>
        <sz val="11"/>
        <color theme="1"/>
        <rFont val="Amazon Ember"/>
        <family val="2"/>
      </rPr>
      <t xml:space="preserve">* 100 / 118
</t>
    </r>
    <r>
      <rPr>
        <b/>
        <sz val="11"/>
        <color theme="1"/>
        <rFont val="Amazon Ember"/>
        <family val="2"/>
      </rPr>
      <t>Tax on commission charged, INR</t>
    </r>
    <r>
      <rPr>
        <sz val="11"/>
        <color theme="1"/>
        <rFont val="Amazon Ember"/>
        <family val="2"/>
      </rPr>
      <t>:</t>
    </r>
    <r>
      <rPr>
        <b/>
        <sz val="11"/>
        <color theme="1"/>
        <rFont val="Amazon Ember"/>
        <family val="2"/>
      </rPr>
      <t xml:space="preserve"> "Selling Fees"</t>
    </r>
    <r>
      <rPr>
        <sz val="11"/>
        <color theme="1"/>
        <rFont val="Amazon Ember"/>
        <family val="2"/>
      </rPr>
      <t xml:space="preserve"> *18 / 118
Example : In case the "Selling Fees"  is reported as INR 14.63
   Commission: (14.63*100)/118 = 12.40. 
   Tax on commission: 14.63 -12.40 = 2.23 ( Tax – can be verified from the payments column)
3.	To know the % of commission charged , divide the </t>
    </r>
    <r>
      <rPr>
        <b/>
        <sz val="11"/>
        <color theme="1"/>
        <rFont val="Amazon Ember"/>
        <family val="2"/>
      </rPr>
      <t>Commission Charged, INR</t>
    </r>
    <r>
      <rPr>
        <sz val="11"/>
        <color theme="1"/>
        <rFont val="Amazon Ember"/>
        <family val="2"/>
      </rPr>
      <t xml:space="preserve"> by </t>
    </r>
    <r>
      <rPr>
        <b/>
        <sz val="11"/>
        <color theme="1"/>
        <rFont val="Amazon Ember"/>
        <family val="2"/>
      </rPr>
      <t xml:space="preserve">Sales Proceeds </t>
    </r>
    <r>
      <rPr>
        <sz val="11"/>
        <color theme="1"/>
        <rFont val="Amazon Ember"/>
        <family val="2"/>
      </rPr>
      <t xml:space="preserve"> and multiply it by 100. 
5.	The </t>
    </r>
    <r>
      <rPr>
        <b/>
        <sz val="11"/>
        <color theme="1"/>
        <rFont val="Amazon Ember"/>
        <family val="2"/>
      </rPr>
      <t>expected commission</t>
    </r>
    <r>
      <rPr>
        <sz val="11"/>
        <color theme="1"/>
        <rFont val="Amazon Ember"/>
        <family val="2"/>
      </rPr>
      <t xml:space="preserve"> is calculated by sellers as per the % be charged on the </t>
    </r>
    <r>
      <rPr>
        <b/>
        <sz val="11"/>
        <color theme="1"/>
        <rFont val="Amazon Ember"/>
        <family val="2"/>
      </rPr>
      <t>sales proceeds</t>
    </r>
    <r>
      <rPr>
        <sz val="11"/>
        <color theme="1"/>
        <rFont val="Amazon Ember"/>
        <family val="2"/>
      </rPr>
      <t xml:space="preserve">. 
</t>
    </r>
    <r>
      <rPr>
        <b/>
        <sz val="11"/>
        <color theme="1"/>
        <rFont val="Amazon Ember"/>
        <family val="2"/>
      </rPr>
      <t>Expected Commission, INR</t>
    </r>
    <r>
      <rPr>
        <sz val="11"/>
        <color theme="1"/>
        <rFont val="Amazon Ember"/>
        <family val="2"/>
      </rPr>
      <t xml:space="preserve"> :</t>
    </r>
    <r>
      <rPr>
        <b/>
        <sz val="11"/>
        <color theme="1"/>
        <rFont val="Amazon Ember"/>
        <family val="2"/>
      </rPr>
      <t xml:space="preserve"> Expected commission</t>
    </r>
    <r>
      <rPr>
        <sz val="11"/>
        <color theme="1"/>
        <rFont val="Amazon Ember"/>
        <family val="2"/>
      </rPr>
      <t xml:space="preserve"> % * </t>
    </r>
    <r>
      <rPr>
        <b/>
        <sz val="11"/>
        <color theme="1"/>
        <rFont val="Amazon Ember"/>
        <family val="2"/>
      </rPr>
      <t>Sales proceeds</t>
    </r>
    <r>
      <rPr>
        <sz val="11"/>
        <color theme="1"/>
        <rFont val="Amazon Ember"/>
        <family val="2"/>
      </rPr>
      <t xml:space="preserve">
</t>
    </r>
    <r>
      <rPr>
        <b/>
        <sz val="11"/>
        <color theme="1"/>
        <rFont val="Amazon Ember"/>
        <family val="2"/>
      </rPr>
      <t>Expected Tax on Commission, INR</t>
    </r>
    <r>
      <rPr>
        <sz val="11"/>
        <color theme="1"/>
        <rFont val="Amazon Ember"/>
        <family val="2"/>
      </rPr>
      <t xml:space="preserve">: </t>
    </r>
    <r>
      <rPr>
        <b/>
        <sz val="11"/>
        <color theme="1"/>
        <rFont val="Amazon Ember"/>
        <family val="2"/>
      </rPr>
      <t>18% * Expected Commission, INR</t>
    </r>
    <r>
      <rPr>
        <sz val="11"/>
        <color theme="1"/>
        <rFont val="Amazon Ember"/>
        <family val="2"/>
      </rPr>
      <t xml:space="preserve">
6.	</t>
    </r>
    <r>
      <rPr>
        <b/>
        <sz val="11"/>
        <color theme="1"/>
        <rFont val="Amazon Ember"/>
        <family val="2"/>
      </rPr>
      <t>Difference amount</t>
    </r>
    <r>
      <rPr>
        <sz val="11"/>
        <color theme="1"/>
        <rFont val="Amazon Ember"/>
        <family val="2"/>
      </rPr>
      <t xml:space="preserve"> = Commission charged, INR + Tax on Commission charged, INR  - ( Expected Commission, INR + Expected Tax on Commission, INR)</t>
    </r>
  </si>
  <si>
    <t>Details as per what has been actually charged</t>
  </si>
  <si>
    <t>What was expected/is being claimed</t>
  </si>
  <si>
    <t>S.No.</t>
  </si>
  <si>
    <t>Order Id</t>
  </si>
  <si>
    <t>ASIN</t>
  </si>
  <si>
    <t>Order date</t>
  </si>
  <si>
    <t>Order amount / Sales Proceeds</t>
  </si>
  <si>
    <t>Commission charged INR</t>
  </si>
  <si>
    <t xml:space="preserve">Tax </t>
  </si>
  <si>
    <t>Shipping hold back</t>
  </si>
  <si>
    <t>Closing Fee</t>
  </si>
  <si>
    <t>Expected Commission, INR</t>
  </si>
  <si>
    <t>Commission charged %</t>
  </si>
  <si>
    <t>Expected Commission %</t>
  </si>
  <si>
    <t>Difference Amount</t>
  </si>
  <si>
    <t>171-0312060-0472369</t>
  </si>
  <si>
    <t>B0D17XWKLV</t>
  </si>
  <si>
    <t>171-1887588-5353108</t>
  </si>
  <si>
    <t>B0BFT8XN6V</t>
  </si>
  <si>
    <t>Total Sales with Tax</t>
  </si>
  <si>
    <t>Percent Charges</t>
  </si>
  <si>
    <t>Categaory</t>
  </si>
  <si>
    <t>Selling fees</t>
  </si>
  <si>
    <t>Actual CommissionTo Be Charged</t>
  </si>
  <si>
    <t>Commission TO BE Charged %</t>
  </si>
  <si>
    <t>407-2799104-8183569</t>
  </si>
  <si>
    <t>MMTC-PAMP 24k (999.9) Lakshmi 2 gm Yellow Gold Pendant</t>
  </si>
  <si>
    <t>TANUKU</t>
  </si>
  <si>
    <t>ANDHRA PRADESH</t>
  </si>
  <si>
    <t>Pendant</t>
  </si>
  <si>
    <t>Ok</t>
  </si>
  <si>
    <t>405-0644030-1037162</t>
  </si>
  <si>
    <t>MMTC-PAMP 24k 999.9+ Purity Rose 2gram Yellow Gold Pendant</t>
  </si>
  <si>
    <t>MANDAPETA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</si>
</sst>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 * #,##0.00_ ;_ * \-#,##0.00_ ;_ * &quot;-&quot;??_ ;_ @_ "/>
    <numFmt numFmtId="165" formatCode="#,##0.0"/>
    <numFmt numFmtId="166" formatCode="_ * #,##0.0_ ;_ * \-#,##0.0_ ;_ * &quot;-&quot;??_ ;_ @_ "/>
    <numFmt numFmtId="167" formatCode="\ dd\/mm\/yyyy"/>
    <numFmt numFmtId="168" formatCode="[$-409]d\-mmm\-yy;@"/>
    <numFmt numFmtId="169" formatCode="0.00_);[Red]\(0.00\)"/>
    <numFmt numFmtId="170" formatCode="_(* #,##0_);_(* \(#,##0\);_(* &quot;-&quot;??_);_(@_)"/>
    <numFmt numFmtId="171" formatCode="_(* #,##0.000_);_(* \(#,##0.000\);_(* &quot;-&quot;??_);_(@_)"/>
    <numFmt numFmtId="172" formatCode="0.000"/>
    <numFmt numFmtId="173" formatCode="#,##0.000"/>
    <numFmt numFmtId="174" formatCode="#,##0.000_);\(#,##0.000\)"/>
    <numFmt numFmtId="175" formatCode="dd\-mmmm\-yyyy"/>
    <numFmt numFmtId="176" formatCode="&quot;₹&quot;\ #,##0.00"/>
    <numFmt numFmtId="177" formatCode="[$-409]mmm\-yy;@"/>
    <numFmt numFmtId="178" formatCode="dd\-mmm\-yy"/>
    <numFmt numFmtId="179" formatCode="mm/dd/yy;@"/>
    <numFmt numFmtId="180" formatCode="dd\-mmm\-yyyy"/>
    <numFmt numFmtId="181" formatCode="_ * #,##0_ ;_ * \-#,##0_ ;_ * &quot;-&quot;??_ ;_ @_ "/>
    <numFmt numFmtId="182" formatCode="0.00_ ;[Red]\-0.00\ "/>
    <numFmt numFmtId="183" formatCode="_ * #,##0.000_ ;_ * \-#,##0.000_ ;_ * &quot;-&quot;??_ ;_ @_ "/>
    <numFmt numFmtId="184" formatCode="0.0"/>
    <numFmt numFmtId="185" formatCode="0.0%"/>
  </numFmts>
  <fonts count="7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indexed="8"/>
      <name val="Arial"/>
      <family val="2"/>
    </font>
    <font>
      <b/>
      <sz val="10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sz val="9"/>
      <color indexed="8"/>
      <name val="Segoe U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indexed="8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9"/>
      <color indexed="8"/>
      <name val="Calibri"/>
      <family val="2"/>
    </font>
    <font>
      <b/>
      <u/>
      <sz val="9"/>
      <color indexed="8"/>
      <name val="Calibri"/>
      <family val="2"/>
    </font>
    <font>
      <sz val="9"/>
      <color rgb="FF000000"/>
      <name val="Calibri"/>
      <family val="2"/>
    </font>
    <font>
      <b/>
      <sz val="9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name val="Segoe UI"/>
      <family val="2"/>
    </font>
    <font>
      <b/>
      <sz val="9"/>
      <color indexed="8"/>
      <name val="Segoe UI"/>
      <family val="2"/>
    </font>
    <font>
      <sz val="9"/>
      <color theme="0"/>
      <name val="Segoe UI"/>
      <family val="2"/>
    </font>
    <font>
      <sz val="12"/>
      <color indexed="8"/>
      <name val="Aptos Narrow"/>
      <family val="2"/>
      <scheme val="minor"/>
    </font>
    <font>
      <sz val="9"/>
      <color rgb="FF000000"/>
      <name val="Segoe Ul"/>
    </font>
    <font>
      <b/>
      <sz val="9"/>
      <color indexed="8"/>
      <name val="Segoe Ul"/>
    </font>
    <font>
      <b/>
      <sz val="9"/>
      <name val="Segoe Ul"/>
    </font>
    <font>
      <sz val="9"/>
      <color indexed="8"/>
      <name val="Segoe Ul"/>
    </font>
    <font>
      <b/>
      <u/>
      <sz val="11"/>
      <color theme="1"/>
      <name val="Aptos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4"/>
      <color rgb="FF000000"/>
      <name val="Ubuntu Mono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0"/>
      <name val="Amazon Ember"/>
      <family val="2"/>
    </font>
    <font>
      <sz val="11"/>
      <color theme="1"/>
      <name val="Amazon Ember"/>
      <family val="2"/>
    </font>
    <font>
      <b/>
      <sz val="11"/>
      <color theme="1"/>
      <name val="Amazon Ember"/>
      <family val="2"/>
    </font>
    <font>
      <b/>
      <sz val="11"/>
      <color theme="0"/>
      <name val="Amazon Ember"/>
      <family val="2"/>
    </font>
  </fonts>
  <fills count="5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8F7C8"/>
      </patternFill>
    </fill>
    <fill>
      <patternFill patternType="solid">
        <fgColor indexed="42"/>
      </patternFill>
    </fill>
    <fill>
      <patternFill patternType="solid">
        <fgColor theme="0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  <xf numFmtId="0" fontId="15" fillId="0" borderId="0"/>
    <xf numFmtId="0" fontId="18" fillId="0" borderId="0">
      <alignment vertical="top"/>
    </xf>
    <xf numFmtId="0" fontId="4" fillId="0" borderId="0" applyNumberForma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4" fillId="0" borderId="0">
      <alignment vertical="top"/>
    </xf>
    <xf numFmtId="9" fontId="1" fillId="0" borderId="0" applyFont="0" applyFill="0" applyBorder="0" applyAlignment="0" applyProtection="0"/>
    <xf numFmtId="0" fontId="15" fillId="0" borderId="0"/>
    <xf numFmtId="0" fontId="57" fillId="0" borderId="0" applyNumberForma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59" fillId="0" borderId="0"/>
  </cellStyleXfs>
  <cellXfs count="787">
    <xf numFmtId="0" fontId="0" fillId="0" borderId="0" xfId="0"/>
    <xf numFmtId="3" fontId="6" fillId="3" borderId="1" xfId="0" applyNumberFormat="1" applyFont="1" applyFill="1" applyBorder="1" applyAlignment="1">
      <alignment horizontal="left" vertical="center"/>
    </xf>
    <xf numFmtId="15" fontId="5" fillId="2" borderId="1" xfId="2" applyNumberFormat="1" applyFont="1" applyFill="1" applyBorder="1" applyAlignment="1">
      <alignment horizontal="left" vertical="center"/>
    </xf>
    <xf numFmtId="3" fontId="5" fillId="2" borderId="1" xfId="2" applyNumberFormat="1" applyFont="1" applyFill="1" applyBorder="1" applyAlignment="1">
      <alignment horizontal="left" vertical="center"/>
    </xf>
    <xf numFmtId="3" fontId="6" fillId="3" borderId="1" xfId="2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/>
    </xf>
    <xf numFmtId="15" fontId="7" fillId="0" borderId="1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39" fontId="8" fillId="0" borderId="1" xfId="0" applyNumberFormat="1" applyFont="1" applyBorder="1" applyAlignment="1">
      <alignment horizontal="center" vertical="top"/>
    </xf>
    <xf numFmtId="15" fontId="9" fillId="6" borderId="1" xfId="0" applyNumberFormat="1" applyFont="1" applyFill="1" applyBorder="1" applyAlignment="1">
      <alignment vertical="center"/>
    </xf>
    <xf numFmtId="15" fontId="9" fillId="7" borderId="1" xfId="0" applyNumberFormat="1" applyFont="1" applyFill="1" applyBorder="1" applyAlignment="1">
      <alignment vertical="center"/>
    </xf>
    <xf numFmtId="15" fontId="9" fillId="3" borderId="1" xfId="0" applyNumberFormat="1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vertical="top"/>
    </xf>
    <xf numFmtId="3" fontId="10" fillId="2" borderId="1" xfId="0" applyNumberFormat="1" applyFont="1" applyFill="1" applyBorder="1" applyAlignment="1">
      <alignment horizontal="center" vertical="top"/>
    </xf>
    <xf numFmtId="39" fontId="10" fillId="0" borderId="1" xfId="0" applyNumberFormat="1" applyFont="1" applyBorder="1" applyAlignment="1">
      <alignment vertical="top"/>
    </xf>
    <xf numFmtId="4" fontId="10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15" fontId="10" fillId="0" borderId="1" xfId="0" applyNumberFormat="1" applyFont="1" applyBorder="1" applyAlignment="1">
      <alignment vertical="top"/>
    </xf>
    <xf numFmtId="165" fontId="11" fillId="0" borderId="1" xfId="0" applyNumberFormat="1" applyFont="1" applyBorder="1" applyAlignment="1">
      <alignment vertical="top"/>
    </xf>
    <xf numFmtId="4" fontId="1" fillId="10" borderId="1" xfId="1" applyNumberFormat="1" applyFill="1" applyBorder="1" applyAlignment="1">
      <alignment vertical="top"/>
    </xf>
    <xf numFmtId="165" fontId="1" fillId="10" borderId="1" xfId="1" applyNumberFormat="1" applyFill="1" applyBorder="1" applyAlignment="1">
      <alignment vertical="top"/>
    </xf>
    <xf numFmtId="166" fontId="1" fillId="10" borderId="1" xfId="1" applyNumberFormat="1" applyFill="1" applyBorder="1" applyAlignment="1">
      <alignment vertical="top"/>
    </xf>
    <xf numFmtId="43" fontId="11" fillId="2" borderId="1" xfId="0" applyNumberFormat="1" applyFont="1" applyFill="1" applyBorder="1" applyAlignment="1">
      <alignment vertical="top"/>
    </xf>
    <xf numFmtId="3" fontId="11" fillId="2" borderId="1" xfId="0" applyNumberFormat="1" applyFont="1" applyFill="1" applyBorder="1" applyAlignment="1">
      <alignment vertical="top"/>
    </xf>
    <xf numFmtId="0" fontId="5" fillId="7" borderId="1" xfId="0" applyFont="1" applyFill="1" applyBorder="1" applyAlignment="1">
      <alignment horizontal="center"/>
    </xf>
    <xf numFmtId="164" fontId="2" fillId="11" borderId="1" xfId="1" applyFont="1" applyFill="1" applyBorder="1" applyAlignment="1">
      <alignment horizontal="left"/>
    </xf>
    <xf numFmtId="1" fontId="2" fillId="11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15" fontId="0" fillId="0" borderId="1" xfId="0" applyNumberFormat="1" applyBorder="1" applyAlignment="1">
      <alignment horizontal="left"/>
    </xf>
    <xf numFmtId="167" fontId="4" fillId="0" borderId="1" xfId="0" applyNumberFormat="1" applyFont="1" applyBorder="1" applyAlignment="1">
      <alignment horizontal="center" vertical="top"/>
    </xf>
    <xf numFmtId="0" fontId="4" fillId="0" borderId="1" xfId="1" applyNumberFormat="1" applyFont="1" applyBorder="1" applyAlignment="1">
      <alignment horizontal="center" vertical="top"/>
    </xf>
    <xf numFmtId="164" fontId="4" fillId="0" borderId="1" xfId="1" applyFont="1" applyBorder="1" applyAlignment="1">
      <alignment horizontal="center" vertical="top"/>
    </xf>
    <xf numFmtId="164" fontId="0" fillId="0" borderId="1" xfId="1" applyFont="1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center"/>
    </xf>
    <xf numFmtId="169" fontId="10" fillId="2" borderId="1" xfId="0" applyNumberFormat="1" applyFont="1" applyFill="1" applyBorder="1" applyAlignment="1">
      <alignment vertical="top"/>
    </xf>
    <xf numFmtId="1" fontId="10" fillId="0" borderId="1" xfId="0" applyNumberFormat="1" applyFont="1" applyBorder="1" applyAlignment="1">
      <alignment vertical="top"/>
    </xf>
    <xf numFmtId="2" fontId="10" fillId="0" borderId="1" xfId="0" applyNumberFormat="1" applyFont="1" applyBorder="1" applyAlignment="1">
      <alignment vertical="top"/>
    </xf>
    <xf numFmtId="3" fontId="10" fillId="0" borderId="1" xfId="1" applyNumberFormat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3" fillId="12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9" borderId="1" xfId="0" applyFill="1" applyBorder="1"/>
    <xf numFmtId="0" fontId="2" fillId="0" borderId="1" xfId="0" applyFont="1" applyBorder="1"/>
    <xf numFmtId="0" fontId="2" fillId="9" borderId="1" xfId="0" applyFont="1" applyFill="1" applyBorder="1"/>
    <xf numFmtId="0" fontId="7" fillId="0" borderId="1" xfId="0" applyFont="1" applyBorder="1"/>
    <xf numFmtId="0" fontId="15" fillId="0" borderId="0" xfId="3"/>
    <xf numFmtId="0" fontId="19" fillId="7" borderId="1" xfId="4" applyFont="1" applyFill="1" applyBorder="1" applyAlignment="1">
      <alignment horizontal="center" vertical="center"/>
    </xf>
    <xf numFmtId="15" fontId="19" fillId="2" borderId="1" xfId="4" applyNumberFormat="1" applyFont="1" applyFill="1" applyBorder="1" applyAlignment="1">
      <alignment horizontal="center" vertical="center"/>
    </xf>
    <xf numFmtId="0" fontId="20" fillId="0" borderId="0" xfId="4" applyFont="1">
      <alignment vertical="top"/>
    </xf>
    <xf numFmtId="15" fontId="20" fillId="0" borderId="0" xfId="4" applyNumberFormat="1" applyFont="1">
      <alignment vertical="top"/>
    </xf>
    <xf numFmtId="4" fontId="20" fillId="0" borderId="0" xfId="4" applyNumberFormat="1" applyFont="1">
      <alignment vertical="top"/>
    </xf>
    <xf numFmtId="170" fontId="21" fillId="0" borderId="0" xfId="5" applyNumberFormat="1" applyFont="1" applyFill="1" applyBorder="1" applyAlignment="1">
      <alignment horizontal="right" vertical="center"/>
    </xf>
    <xf numFmtId="16" fontId="20" fillId="0" borderId="0" xfId="4" applyNumberFormat="1" applyFont="1">
      <alignment vertical="top"/>
    </xf>
    <xf numFmtId="0" fontId="22" fillId="20" borderId="1" xfId="4" applyFont="1" applyFill="1" applyBorder="1" applyAlignment="1">
      <alignment horizontal="center" vertical="center"/>
    </xf>
    <xf numFmtId="0" fontId="23" fillId="21" borderId="1" xfId="4" applyFont="1" applyFill="1" applyBorder="1" applyAlignment="1">
      <alignment horizontal="center" vertical="top"/>
    </xf>
    <xf numFmtId="0" fontId="23" fillId="22" borderId="9" xfId="4" applyFont="1" applyFill="1" applyBorder="1" applyAlignment="1">
      <alignment horizontal="center" vertical="top"/>
    </xf>
    <xf numFmtId="0" fontId="24" fillId="0" borderId="8" xfId="4" applyFont="1" applyBorder="1" applyAlignment="1">
      <alignment vertical="center"/>
    </xf>
    <xf numFmtId="170" fontId="25" fillId="0" borderId="1" xfId="5" applyNumberFormat="1" applyFont="1" applyBorder="1" applyAlignment="1">
      <alignment horizontal="center" vertical="top"/>
    </xf>
    <xf numFmtId="170" fontId="26" fillId="21" borderId="1" xfId="4" applyNumberFormat="1" applyFont="1" applyFill="1" applyBorder="1">
      <alignment vertical="top"/>
    </xf>
    <xf numFmtId="170" fontId="26" fillId="22" borderId="9" xfId="4" applyNumberFormat="1" applyFont="1" applyFill="1" applyBorder="1">
      <alignment vertical="top"/>
    </xf>
    <xf numFmtId="171" fontId="25" fillId="0" borderId="1" xfId="5" applyNumberFormat="1" applyFont="1" applyBorder="1" applyAlignment="1">
      <alignment horizontal="center" vertical="top"/>
    </xf>
    <xf numFmtId="43" fontId="25" fillId="0" borderId="1" xfId="5" applyNumberFormat="1" applyFont="1" applyBorder="1" applyAlignment="1">
      <alignment horizontal="center" vertical="top"/>
    </xf>
    <xf numFmtId="43" fontId="26" fillId="0" borderId="1" xfId="5" applyNumberFormat="1" applyFont="1" applyBorder="1" applyAlignment="1">
      <alignment vertical="top"/>
    </xf>
    <xf numFmtId="43" fontId="26" fillId="21" borderId="1" xfId="4" applyNumberFormat="1" applyFont="1" applyFill="1" applyBorder="1">
      <alignment vertical="top"/>
    </xf>
    <xf numFmtId="43" fontId="26" fillId="22" borderId="9" xfId="4" applyNumberFormat="1" applyFont="1" applyFill="1" applyBorder="1">
      <alignment vertical="top"/>
    </xf>
    <xf numFmtId="0" fontId="22" fillId="23" borderId="4" xfId="4" applyFont="1" applyFill="1" applyBorder="1" applyAlignment="1">
      <alignment horizontal="left" vertical="center"/>
    </xf>
    <xf numFmtId="4" fontId="26" fillId="3" borderId="5" xfId="5" applyNumberFormat="1" applyFont="1" applyFill="1" applyBorder="1" applyAlignment="1">
      <alignment vertical="top"/>
    </xf>
    <xf numFmtId="0" fontId="27" fillId="0" borderId="0" xfId="4" applyFont="1" applyAlignment="1"/>
    <xf numFmtId="0" fontId="26" fillId="21" borderId="1" xfId="4" applyFont="1" applyFill="1" applyBorder="1">
      <alignment vertical="top"/>
    </xf>
    <xf numFmtId="4" fontId="26" fillId="0" borderId="1" xfId="5" applyNumberFormat="1" applyFont="1" applyBorder="1" applyAlignment="1">
      <alignment vertical="top"/>
    </xf>
    <xf numFmtId="0" fontId="27" fillId="0" borderId="0" xfId="4" applyFont="1">
      <alignment vertical="top"/>
    </xf>
    <xf numFmtId="0" fontId="28" fillId="0" borderId="0" xfId="4" applyFont="1">
      <alignment vertical="top"/>
    </xf>
    <xf numFmtId="0" fontId="29" fillId="0" borderId="25" xfId="4" applyFont="1" applyBorder="1" applyAlignment="1">
      <alignment vertical="center"/>
    </xf>
    <xf numFmtId="170" fontId="30" fillId="0" borderId="26" xfId="5" applyNumberFormat="1" applyFont="1" applyBorder="1" applyAlignment="1">
      <alignment horizontal="center" vertical="top"/>
    </xf>
    <xf numFmtId="0" fontId="26" fillId="21" borderId="26" xfId="4" applyFont="1" applyFill="1" applyBorder="1">
      <alignment vertical="top"/>
    </xf>
    <xf numFmtId="170" fontId="26" fillId="22" borderId="27" xfId="4" applyNumberFormat="1" applyFont="1" applyFill="1" applyBorder="1">
      <alignment vertical="top"/>
    </xf>
    <xf numFmtId="0" fontId="29" fillId="0" borderId="4" xfId="4" applyFont="1" applyBorder="1" applyAlignment="1">
      <alignment vertical="center"/>
    </xf>
    <xf numFmtId="170" fontId="30" fillId="0" borderId="28" xfId="5" applyNumberFormat="1" applyFont="1" applyBorder="1" applyAlignment="1">
      <alignment horizontal="center" vertical="top"/>
    </xf>
    <xf numFmtId="0" fontId="26" fillId="21" borderId="5" xfId="4" applyFont="1" applyFill="1" applyBorder="1">
      <alignment vertical="top"/>
    </xf>
    <xf numFmtId="170" fontId="26" fillId="22" borderId="6" xfId="4" applyNumberFormat="1" applyFont="1" applyFill="1" applyBorder="1">
      <alignment vertical="top"/>
    </xf>
    <xf numFmtId="170" fontId="25" fillId="0" borderId="29" xfId="5" applyNumberFormat="1" applyFont="1" applyBorder="1" applyAlignment="1">
      <alignment horizontal="right" vertical="top"/>
    </xf>
    <xf numFmtId="0" fontId="29" fillId="0" borderId="30" xfId="4" applyFont="1" applyBorder="1" applyAlignment="1">
      <alignment vertical="center"/>
    </xf>
    <xf numFmtId="170" fontId="25" fillId="0" borderId="28" xfId="5" applyNumberFormat="1" applyFont="1" applyBorder="1" applyAlignment="1">
      <alignment horizontal="right" vertical="top"/>
    </xf>
    <xf numFmtId="0" fontId="6" fillId="20" borderId="1" xfId="4" applyFont="1" applyFill="1" applyBorder="1" applyAlignment="1">
      <alignment horizontal="left" vertical="center"/>
    </xf>
    <xf numFmtId="0" fontId="3" fillId="5" borderId="0" xfId="4" applyFont="1" applyFill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6" fillId="5" borderId="1" xfId="4" applyFont="1" applyFill="1" applyBorder="1" applyAlignment="1">
      <alignment horizontal="left" vertical="center"/>
    </xf>
    <xf numFmtId="15" fontId="5" fillId="2" borderId="1" xfId="4" applyNumberFormat="1" applyFont="1" applyFill="1" applyBorder="1" applyAlignment="1">
      <alignment horizontal="center" vertical="center"/>
    </xf>
    <xf numFmtId="15" fontId="5" fillId="2" borderId="1" xfId="4" applyNumberFormat="1" applyFont="1" applyFill="1" applyBorder="1" applyAlignment="1">
      <alignment horizontal="left" vertical="center"/>
    </xf>
    <xf numFmtId="3" fontId="5" fillId="2" borderId="1" xfId="4" applyNumberFormat="1" applyFont="1" applyFill="1" applyBorder="1" applyAlignment="1">
      <alignment horizontal="left" vertical="center"/>
    </xf>
    <xf numFmtId="3" fontId="6" fillId="3" borderId="1" xfId="4" applyNumberFormat="1" applyFont="1" applyFill="1" applyBorder="1" applyAlignment="1">
      <alignment horizontal="left" vertical="center"/>
    </xf>
    <xf numFmtId="15" fontId="6" fillId="3" borderId="1" xfId="4" applyNumberFormat="1" applyFont="1" applyFill="1" applyBorder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1" xfId="4" applyFont="1" applyBorder="1" applyAlignment="1">
      <alignment horizontal="left" vertical="top"/>
    </xf>
    <xf numFmtId="0" fontId="7" fillId="0" borderId="1" xfId="4" applyFont="1" applyBorder="1" applyAlignment="1">
      <alignment horizontal="right" vertical="top"/>
    </xf>
    <xf numFmtId="0" fontId="7" fillId="0" borderId="1" xfId="4" applyFont="1" applyBorder="1">
      <alignment vertical="top"/>
    </xf>
    <xf numFmtId="15" fontId="7" fillId="0" borderId="1" xfId="4" applyNumberFormat="1" applyFont="1" applyBorder="1">
      <alignment vertical="top"/>
    </xf>
    <xf numFmtId="0" fontId="7" fillId="0" borderId="1" xfId="4" applyFont="1" applyBorder="1" applyAlignment="1">
      <alignment horizontal="center" vertical="top"/>
    </xf>
    <xf numFmtId="37" fontId="7" fillId="0" borderId="1" xfId="4" applyNumberFormat="1" applyFont="1" applyBorder="1" applyAlignment="1">
      <alignment horizontal="center" vertical="top"/>
    </xf>
    <xf numFmtId="173" fontId="7" fillId="0" borderId="1" xfId="4" applyNumberFormat="1" applyFont="1" applyBorder="1" applyAlignment="1">
      <alignment horizontal="right" vertical="top"/>
    </xf>
    <xf numFmtId="174" fontId="7" fillId="0" borderId="1" xfId="4" applyNumberFormat="1" applyFont="1" applyBorder="1" applyAlignment="1">
      <alignment horizontal="right" vertical="top"/>
    </xf>
    <xf numFmtId="39" fontId="7" fillId="0" borderId="1" xfId="4" applyNumberFormat="1" applyFont="1" applyBorder="1" applyAlignment="1">
      <alignment horizontal="right" vertical="top"/>
    </xf>
    <xf numFmtId="4" fontId="7" fillId="0" borderId="1" xfId="4" applyNumberFormat="1" applyFont="1" applyBorder="1" applyAlignment="1">
      <alignment horizontal="right" vertical="top"/>
    </xf>
    <xf numFmtId="175" fontId="7" fillId="0" borderId="1" xfId="4" applyNumberFormat="1" applyFont="1" applyBorder="1">
      <alignment vertical="top"/>
    </xf>
    <xf numFmtId="14" fontId="7" fillId="0" borderId="1" xfId="4" applyNumberFormat="1" applyFont="1" applyBorder="1" applyAlignment="1">
      <alignment horizontal="center" vertical="top"/>
    </xf>
    <xf numFmtId="17" fontId="7" fillId="0" borderId="1" xfId="4" applyNumberFormat="1" applyFont="1" applyBorder="1" applyAlignment="1">
      <alignment horizontal="center" vertical="top"/>
    </xf>
    <xf numFmtId="15" fontId="7" fillId="0" borderId="1" xfId="4" applyNumberFormat="1" applyFont="1" applyBorder="1" applyAlignment="1">
      <alignment horizontal="center" vertical="top"/>
    </xf>
    <xf numFmtId="3" fontId="7" fillId="0" borderId="1" xfId="4" applyNumberFormat="1" applyFont="1" applyBorder="1" applyAlignment="1">
      <alignment horizontal="center" vertical="top"/>
    </xf>
    <xf numFmtId="39" fontId="8" fillId="0" borderId="1" xfId="4" applyNumberFormat="1" applyFont="1" applyBorder="1" applyAlignment="1">
      <alignment horizontal="center" vertical="top"/>
    </xf>
    <xf numFmtId="3" fontId="8" fillId="0" borderId="1" xfId="4" applyNumberFormat="1" applyFont="1" applyBorder="1" applyAlignment="1">
      <alignment horizontal="center" vertical="top"/>
    </xf>
    <xf numFmtId="0" fontId="8" fillId="0" borderId="1" xfId="4" applyFont="1" applyBorder="1" applyAlignment="1">
      <alignment horizontal="center" vertical="top"/>
    </xf>
    <xf numFmtId="0" fontId="7" fillId="0" borderId="0" xfId="4" applyFont="1">
      <alignment vertical="top"/>
    </xf>
    <xf numFmtId="15" fontId="7" fillId="0" borderId="0" xfId="4" applyNumberFormat="1" applyFont="1">
      <alignment vertical="top"/>
    </xf>
    <xf numFmtId="0" fontId="5" fillId="4" borderId="1" xfId="4" applyFont="1" applyFill="1" applyBorder="1" applyAlignment="1">
      <alignment horizontal="center" wrapText="1"/>
    </xf>
    <xf numFmtId="0" fontId="5" fillId="0" borderId="1" xfId="4" applyFont="1" applyBorder="1" applyAlignment="1">
      <alignment vertical="top" wrapText="1"/>
    </xf>
    <xf numFmtId="0" fontId="5" fillId="5" borderId="1" xfId="4" applyFont="1" applyFill="1" applyBorder="1" applyAlignment="1">
      <alignment vertical="top" wrapText="1"/>
    </xf>
    <xf numFmtId="49" fontId="4" fillId="24" borderId="1" xfId="4" applyNumberFormat="1" applyFont="1" applyFill="1" applyBorder="1" applyAlignment="1"/>
    <xf numFmtId="49" fontId="4" fillId="5" borderId="1" xfId="4" applyNumberFormat="1" applyFont="1" applyFill="1" applyBorder="1" applyAlignment="1"/>
    <xf numFmtId="49" fontId="31" fillId="5" borderId="1" xfId="4" applyNumberFormat="1" applyFont="1" applyFill="1" applyBorder="1" applyAlignment="1"/>
    <xf numFmtId="0" fontId="7" fillId="0" borderId="0" xfId="4" applyFont="1" applyAlignment="1">
      <alignment vertical="top" wrapText="1"/>
    </xf>
    <xf numFmtId="0" fontId="7" fillId="0" borderId="1" xfId="4" applyFont="1" applyBorder="1" applyAlignment="1">
      <alignment horizontal="center" wrapText="1"/>
    </xf>
    <xf numFmtId="0" fontId="7" fillId="0" borderId="1" xfId="4" applyFont="1" applyBorder="1" applyAlignment="1">
      <alignment vertical="top" wrapText="1"/>
    </xf>
    <xf numFmtId="22" fontId="7" fillId="0" borderId="1" xfId="4" applyNumberFormat="1" applyFont="1" applyBorder="1" applyAlignment="1">
      <alignment vertical="top" wrapText="1"/>
    </xf>
    <xf numFmtId="0" fontId="5" fillId="25" borderId="1" xfId="4" applyFont="1" applyFill="1" applyBorder="1" applyAlignment="1">
      <alignment horizontal="center" vertical="center"/>
    </xf>
    <xf numFmtId="15" fontId="5" fillId="0" borderId="1" xfId="4" applyNumberFormat="1" applyFont="1" applyBorder="1" applyAlignment="1"/>
    <xf numFmtId="0" fontId="5" fillId="0" borderId="1" xfId="4" applyFont="1" applyBorder="1" applyAlignment="1"/>
    <xf numFmtId="0" fontId="2" fillId="0" borderId="1" xfId="4" applyFont="1" applyBorder="1" applyAlignment="1"/>
    <xf numFmtId="0" fontId="31" fillId="0" borderId="0" xfId="4" applyFont="1" applyAlignment="1"/>
    <xf numFmtId="0" fontId="5" fillId="26" borderId="1" xfId="4" applyFont="1" applyFill="1" applyBorder="1" applyAlignment="1"/>
    <xf numFmtId="0" fontId="5" fillId="26" borderId="1" xfId="4" applyFont="1" applyFill="1" applyBorder="1">
      <alignment vertical="top"/>
    </xf>
    <xf numFmtId="0" fontId="7" fillId="4" borderId="10" xfId="4" applyFont="1" applyFill="1" applyBorder="1" applyAlignment="1">
      <alignment horizontal="center"/>
    </xf>
    <xf numFmtId="15" fontId="7" fillId="0" borderId="10" xfId="4" applyNumberFormat="1" applyFont="1" applyBorder="1" applyAlignment="1"/>
    <xf numFmtId="0" fontId="7" fillId="0" borderId="10" xfId="4" applyFont="1" applyBorder="1" applyAlignment="1"/>
    <xf numFmtId="0" fontId="7" fillId="0" borderId="0" xfId="4" applyFont="1" applyAlignment="1"/>
    <xf numFmtId="0" fontId="7" fillId="0" borderId="10" xfId="4" applyFont="1" applyBorder="1">
      <alignment vertical="top"/>
    </xf>
    <xf numFmtId="0" fontId="32" fillId="27" borderId="2" xfId="4" applyFont="1" applyFill="1" applyBorder="1" applyAlignment="1">
      <alignment horizontal="center" vertical="center"/>
    </xf>
    <xf numFmtId="0" fontId="32" fillId="5" borderId="2" xfId="4" applyFont="1" applyFill="1" applyBorder="1" applyAlignment="1">
      <alignment horizontal="center" vertical="center"/>
    </xf>
    <xf numFmtId="0" fontId="5" fillId="28" borderId="1" xfId="4" applyFont="1" applyFill="1" applyBorder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5" fillId="3" borderId="1" xfId="4" applyFont="1" applyFill="1" applyBorder="1">
      <alignment vertical="top"/>
    </xf>
    <xf numFmtId="0" fontId="5" fillId="3" borderId="1" xfId="4" applyFont="1" applyFill="1" applyBorder="1" applyAlignment="1">
      <alignment vertical="top" wrapText="1"/>
    </xf>
    <xf numFmtId="15" fontId="5" fillId="3" borderId="1" xfId="4" applyNumberFormat="1" applyFont="1" applyFill="1" applyBorder="1">
      <alignment vertical="top"/>
    </xf>
    <xf numFmtId="0" fontId="7" fillId="29" borderId="1" xfId="4" applyFont="1" applyFill="1" applyBorder="1" applyAlignment="1">
      <alignment horizontal="center"/>
    </xf>
    <xf numFmtId="0" fontId="18" fillId="0" borderId="0" xfId="4" applyAlignment="1"/>
    <xf numFmtId="0" fontId="4" fillId="0" borderId="0" xfId="4" applyFont="1" applyAlignment="1"/>
    <xf numFmtId="0" fontId="4" fillId="0" borderId="1" xfId="4" applyFont="1" applyBorder="1" applyAlignment="1"/>
    <xf numFmtId="0" fontId="7" fillId="10" borderId="1" xfId="4" applyFont="1" applyFill="1" applyBorder="1">
      <alignment vertical="top"/>
    </xf>
    <xf numFmtId="0" fontId="4" fillId="0" borderId="0" xfId="4" applyFont="1" applyAlignment="1">
      <alignment horizontal="center" vertical="top"/>
    </xf>
    <xf numFmtId="0" fontId="4" fillId="0" borderId="0" xfId="4" applyFont="1">
      <alignment vertical="top"/>
    </xf>
    <xf numFmtId="17" fontId="4" fillId="0" borderId="0" xfId="4" applyNumberFormat="1" applyFont="1" applyAlignment="1">
      <alignment horizontal="center" vertical="top"/>
    </xf>
    <xf numFmtId="3" fontId="4" fillId="0" borderId="0" xfId="4" applyNumberFormat="1" applyFont="1">
      <alignment vertical="top"/>
    </xf>
    <xf numFmtId="0" fontId="35" fillId="30" borderId="1" xfId="4" applyFont="1" applyFill="1" applyBorder="1" applyAlignment="1">
      <alignment horizontal="center" vertical="top"/>
    </xf>
    <xf numFmtId="176" fontId="35" fillId="30" borderId="1" xfId="4" applyNumberFormat="1" applyFont="1" applyFill="1" applyBorder="1" applyAlignment="1">
      <alignment horizontal="center" vertical="top"/>
    </xf>
    <xf numFmtId="0" fontId="31" fillId="7" borderId="1" xfId="4" applyFont="1" applyFill="1" applyBorder="1" applyAlignment="1">
      <alignment horizontal="center" vertical="top"/>
    </xf>
    <xf numFmtId="17" fontId="4" fillId="26" borderId="1" xfId="4" applyNumberFormat="1" applyFont="1" applyFill="1" applyBorder="1" applyAlignment="1">
      <alignment horizontal="center" vertical="top"/>
    </xf>
    <xf numFmtId="1" fontId="4" fillId="0" borderId="1" xfId="5" applyNumberFormat="1" applyFill="1" applyBorder="1" applyAlignment="1">
      <alignment horizontal="center" vertical="top"/>
    </xf>
    <xf numFmtId="172" fontId="4" fillId="0" borderId="1" xfId="5" applyNumberFormat="1" applyFill="1" applyBorder="1" applyAlignment="1">
      <alignment vertical="top"/>
    </xf>
    <xf numFmtId="3" fontId="4" fillId="0" borderId="1" xfId="5" applyNumberFormat="1" applyFill="1" applyBorder="1" applyAlignment="1">
      <alignment vertical="top"/>
    </xf>
    <xf numFmtId="3" fontId="4" fillId="10" borderId="1" xfId="5" applyNumberFormat="1" applyFill="1" applyBorder="1" applyAlignment="1">
      <alignment vertical="top"/>
    </xf>
    <xf numFmtId="176" fontId="4" fillId="5" borderId="1" xfId="5" applyNumberFormat="1" applyFill="1" applyBorder="1" applyAlignment="1">
      <alignment vertical="top"/>
    </xf>
    <xf numFmtId="3" fontId="4" fillId="31" borderId="1" xfId="5" applyNumberFormat="1" applyFill="1" applyBorder="1" applyAlignment="1">
      <alignment vertical="top"/>
    </xf>
    <xf numFmtId="176" fontId="4" fillId="5" borderId="1" xfId="5" applyNumberFormat="1" applyFill="1" applyBorder="1">
      <alignment vertical="top"/>
    </xf>
    <xf numFmtId="16" fontId="36" fillId="32" borderId="1" xfId="4" applyNumberFormat="1" applyFont="1" applyFill="1" applyBorder="1" applyAlignment="1">
      <alignment horizontal="center" vertical="top"/>
    </xf>
    <xf numFmtId="1" fontId="37" fillId="32" borderId="1" xfId="5" applyNumberFormat="1" applyFont="1" applyFill="1" applyBorder="1" applyAlignment="1">
      <alignment horizontal="center" vertical="top"/>
    </xf>
    <xf numFmtId="176" fontId="4" fillId="0" borderId="0" xfId="4" applyNumberFormat="1" applyFont="1">
      <alignment vertical="top"/>
    </xf>
    <xf numFmtId="0" fontId="4" fillId="0" borderId="0" xfId="5">
      <alignment vertical="top"/>
    </xf>
    <xf numFmtId="0" fontId="31" fillId="0" borderId="0" xfId="4" applyFont="1">
      <alignment vertical="top"/>
    </xf>
    <xf numFmtId="4" fontId="4" fillId="0" borderId="0" xfId="4" applyNumberFormat="1" applyFont="1" applyAlignment="1">
      <alignment horizontal="center" vertical="top"/>
    </xf>
    <xf numFmtId="3" fontId="4" fillId="0" borderId="0" xfId="4" quotePrefix="1" applyNumberFormat="1" applyFont="1">
      <alignment vertical="top"/>
    </xf>
    <xf numFmtId="170" fontId="4" fillId="0" borderId="0" xfId="5" applyNumberFormat="1" applyAlignment="1"/>
    <xf numFmtId="4" fontId="4" fillId="0" borderId="0" xfId="4" applyNumberFormat="1" applyFont="1">
      <alignment vertical="top"/>
    </xf>
    <xf numFmtId="177" fontId="10" fillId="33" borderId="1" xfId="4" applyNumberFormat="1" applyFont="1" applyFill="1" applyBorder="1" applyAlignment="1">
      <alignment horizontal="center"/>
    </xf>
    <xf numFmtId="15" fontId="10" fillId="2" borderId="1" xfId="4" applyNumberFormat="1" applyFont="1" applyFill="1" applyBorder="1" applyAlignment="1">
      <alignment horizontal="center" vertical="top"/>
    </xf>
    <xf numFmtId="0" fontId="9" fillId="25" borderId="1" xfId="4" applyFont="1" applyFill="1" applyBorder="1" applyAlignment="1">
      <alignment horizontal="center" vertical="center"/>
    </xf>
    <xf numFmtId="0" fontId="13" fillId="12" borderId="1" xfId="4" applyFont="1" applyFill="1" applyBorder="1" applyAlignment="1">
      <alignment horizontal="center"/>
    </xf>
    <xf numFmtId="0" fontId="13" fillId="12" borderId="11" xfId="4" applyFont="1" applyFill="1" applyBorder="1" applyAlignment="1">
      <alignment vertical="center"/>
    </xf>
    <xf numFmtId="0" fontId="13" fillId="12" borderId="11" xfId="4" applyFont="1" applyFill="1" applyBorder="1" applyAlignment="1">
      <alignment vertical="center" wrapText="1"/>
    </xf>
    <xf numFmtId="0" fontId="13" fillId="13" borderId="11" xfId="4" applyFont="1" applyFill="1" applyBorder="1" applyAlignment="1">
      <alignment vertical="center"/>
    </xf>
    <xf numFmtId="0" fontId="13" fillId="13" borderId="12" xfId="4" applyFont="1" applyFill="1" applyBorder="1" applyAlignment="1">
      <alignment vertical="center"/>
    </xf>
    <xf numFmtId="0" fontId="13" fillId="13" borderId="11" xfId="4" applyFont="1" applyFill="1" applyBorder="1" applyAlignment="1">
      <alignment vertical="center" wrapText="1"/>
    </xf>
    <xf numFmtId="0" fontId="13" fillId="13" borderId="13" xfId="4" applyFont="1" applyFill="1" applyBorder="1" applyAlignment="1">
      <alignment vertical="center" wrapText="1"/>
    </xf>
    <xf numFmtId="0" fontId="13" fillId="0" borderId="1" xfId="4" applyFont="1" applyBorder="1" applyAlignment="1">
      <alignment horizontal="center"/>
    </xf>
    <xf numFmtId="0" fontId="13" fillId="14" borderId="11" xfId="4" applyFont="1" applyFill="1" applyBorder="1" applyAlignment="1">
      <alignment vertical="center" wrapText="1"/>
    </xf>
    <xf numFmtId="0" fontId="13" fillId="15" borderId="1" xfId="4" applyFont="1" applyFill="1" applyBorder="1" applyAlignment="1">
      <alignment horizontal="center"/>
    </xf>
    <xf numFmtId="0" fontId="13" fillId="16" borderId="1" xfId="4" applyFont="1" applyFill="1" applyBorder="1" applyAlignment="1">
      <alignment horizontal="center"/>
    </xf>
    <xf numFmtId="0" fontId="14" fillId="16" borderId="1" xfId="4" applyFont="1" applyFill="1" applyBorder="1" applyAlignment="1">
      <alignment horizontal="center"/>
    </xf>
    <xf numFmtId="0" fontId="13" fillId="17" borderId="1" xfId="4" applyFont="1" applyFill="1" applyBorder="1" applyAlignment="1">
      <alignment horizontal="center"/>
    </xf>
    <xf numFmtId="0" fontId="14" fillId="18" borderId="1" xfId="4" applyFont="1" applyFill="1" applyBorder="1" applyAlignment="1">
      <alignment horizontal="center"/>
    </xf>
    <xf numFmtId="0" fontId="13" fillId="18" borderId="1" xfId="4" applyFont="1" applyFill="1" applyBorder="1" applyAlignment="1">
      <alignment horizontal="center"/>
    </xf>
    <xf numFmtId="0" fontId="13" fillId="19" borderId="1" xfId="4" applyFont="1" applyFill="1" applyBorder="1" applyAlignment="1">
      <alignment horizontal="center"/>
    </xf>
    <xf numFmtId="0" fontId="10" fillId="4" borderId="1" xfId="4" applyFont="1" applyFill="1" applyBorder="1" applyAlignment="1">
      <alignment horizontal="center"/>
    </xf>
    <xf numFmtId="177" fontId="10" fillId="4" borderId="1" xfId="4" applyNumberFormat="1" applyFont="1" applyFill="1" applyBorder="1" applyAlignment="1">
      <alignment horizontal="center"/>
    </xf>
    <xf numFmtId="0" fontId="15" fillId="0" borderId="14" xfId="4" applyFont="1" applyBorder="1" applyAlignment="1">
      <alignment horizontal="center"/>
    </xf>
    <xf numFmtId="0" fontId="18" fillId="0" borderId="1" xfId="4" applyBorder="1" applyAlignment="1">
      <alignment horizontal="center"/>
    </xf>
    <xf numFmtId="0" fontId="16" fillId="0" borderId="15" xfId="4" applyFont="1" applyBorder="1" applyAlignment="1">
      <alignment horizontal="center"/>
    </xf>
    <xf numFmtId="0" fontId="16" fillId="0" borderId="15" xfId="4" applyFont="1" applyBorder="1" applyAlignment="1"/>
    <xf numFmtId="0" fontId="15" fillId="0" borderId="15" xfId="4" applyFont="1" applyBorder="1" applyAlignment="1"/>
    <xf numFmtId="0" fontId="15" fillId="0" borderId="15" xfId="4" applyFont="1" applyBorder="1" applyAlignment="1">
      <alignment horizontal="center"/>
    </xf>
    <xf numFmtId="0" fontId="15" fillId="0" borderId="0" xfId="3" applyAlignment="1">
      <alignment horizontal="left"/>
    </xf>
    <xf numFmtId="0" fontId="5" fillId="0" borderId="1" xfId="4" applyFont="1" applyBorder="1" applyAlignment="1">
      <alignment horizontal="center" vertical="top"/>
    </xf>
    <xf numFmtId="0" fontId="5" fillId="0" borderId="1" xfId="4" applyFont="1" applyBorder="1" applyAlignment="1">
      <alignment horizontal="center" vertical="center"/>
    </xf>
    <xf numFmtId="0" fontId="6" fillId="0" borderId="1" xfId="4" applyFont="1" applyBorder="1" applyAlignment="1">
      <alignment horizontal="center"/>
    </xf>
    <xf numFmtId="15" fontId="6" fillId="0" borderId="1" xfId="4" applyNumberFormat="1" applyFont="1" applyBorder="1" applyAlignment="1">
      <alignment horizontal="center"/>
    </xf>
    <xf numFmtId="0" fontId="5" fillId="0" borderId="1" xfId="5" applyFont="1" applyFill="1" applyBorder="1" applyAlignment="1">
      <alignment horizontal="center"/>
    </xf>
    <xf numFmtId="177" fontId="5" fillId="0" borderId="1" xfId="4" applyNumberFormat="1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1" xfId="4" applyFont="1" applyBorder="1" applyAlignment="1">
      <alignment horizontal="center" vertical="center"/>
    </xf>
    <xf numFmtId="14" fontId="7" fillId="0" borderId="1" xfId="4" applyNumberFormat="1" applyFont="1" applyBorder="1" applyAlignment="1">
      <alignment horizontal="center" vertical="center"/>
    </xf>
    <xf numFmtId="2" fontId="7" fillId="0" borderId="1" xfId="5" applyNumberFormat="1" applyFont="1" applyBorder="1" applyAlignment="1">
      <alignment horizontal="center" vertical="center"/>
    </xf>
    <xf numFmtId="177" fontId="7" fillId="0" borderId="1" xfId="4" applyNumberFormat="1" applyFont="1" applyBorder="1" applyAlignment="1">
      <alignment horizontal="center"/>
    </xf>
    <xf numFmtId="178" fontId="10" fillId="2" borderId="25" xfId="4" applyNumberFormat="1" applyFont="1" applyFill="1" applyBorder="1" applyAlignment="1">
      <alignment horizontal="center" vertical="top"/>
    </xf>
    <xf numFmtId="178" fontId="10" fillId="2" borderId="26" xfId="4" applyNumberFormat="1" applyFont="1" applyFill="1" applyBorder="1" applyAlignment="1">
      <alignment horizontal="center" vertical="top"/>
    </xf>
    <xf numFmtId="4" fontId="4" fillId="2" borderId="26" xfId="5" applyNumberFormat="1" applyFill="1" applyBorder="1" applyAlignment="1">
      <alignment horizontal="center" vertical="top"/>
    </xf>
    <xf numFmtId="178" fontId="10" fillId="2" borderId="27" xfId="4" applyNumberFormat="1" applyFont="1" applyFill="1" applyBorder="1" applyAlignment="1">
      <alignment horizontal="center" vertical="top"/>
    </xf>
    <xf numFmtId="169" fontId="10" fillId="2" borderId="7" xfId="4" applyNumberFormat="1" applyFont="1" applyFill="1" applyBorder="1" applyAlignment="1">
      <alignment horizontal="center" vertical="top"/>
    </xf>
    <xf numFmtId="169" fontId="10" fillId="2" borderId="1" xfId="4" applyNumberFormat="1" applyFont="1" applyFill="1" applyBorder="1" applyAlignment="1">
      <alignment horizontal="center" vertical="top"/>
    </xf>
    <xf numFmtId="0" fontId="10" fillId="0" borderId="0" xfId="4" applyFont="1">
      <alignment vertical="top"/>
    </xf>
    <xf numFmtId="168" fontId="10" fillId="2" borderId="4" xfId="4" applyNumberFormat="1" applyFont="1" applyFill="1" applyBorder="1">
      <alignment vertical="top"/>
    </xf>
    <xf numFmtId="0" fontId="10" fillId="2" borderId="5" xfId="4" applyFont="1" applyFill="1" applyBorder="1">
      <alignment vertical="top"/>
    </xf>
    <xf numFmtId="0" fontId="10" fillId="2" borderId="6" xfId="4" applyFont="1" applyFill="1" applyBorder="1">
      <alignment vertical="top"/>
    </xf>
    <xf numFmtId="169" fontId="10" fillId="2" borderId="6" xfId="4" applyNumberFormat="1" applyFont="1" applyFill="1" applyBorder="1">
      <alignment vertical="top"/>
    </xf>
    <xf numFmtId="169" fontId="10" fillId="2" borderId="7" xfId="4" applyNumberFormat="1" applyFont="1" applyFill="1" applyBorder="1">
      <alignment vertical="top"/>
    </xf>
    <xf numFmtId="169" fontId="10" fillId="2" borderId="1" xfId="4" applyNumberFormat="1" applyFont="1" applyFill="1" applyBorder="1">
      <alignment vertical="top"/>
    </xf>
    <xf numFmtId="168" fontId="10" fillId="0" borderId="8" xfId="4" applyNumberFormat="1" applyFont="1" applyBorder="1">
      <alignment vertical="top"/>
    </xf>
    <xf numFmtId="1" fontId="10" fillId="0" borderId="1" xfId="4" applyNumberFormat="1" applyFont="1" applyBorder="1">
      <alignment vertical="top"/>
    </xf>
    <xf numFmtId="3" fontId="10" fillId="0" borderId="9" xfId="5" applyNumberFormat="1" applyFont="1" applyBorder="1">
      <alignment vertical="top"/>
    </xf>
    <xf numFmtId="2" fontId="10" fillId="0" borderId="1" xfId="4" applyNumberFormat="1" applyFont="1" applyBorder="1">
      <alignment vertical="top"/>
    </xf>
    <xf numFmtId="3" fontId="10" fillId="0" borderId="1" xfId="5" applyNumberFormat="1" applyFont="1" applyBorder="1">
      <alignment vertical="top"/>
    </xf>
    <xf numFmtId="3" fontId="10" fillId="0" borderId="10" xfId="5" applyNumberFormat="1" applyFont="1" applyBorder="1">
      <alignment vertical="top"/>
    </xf>
    <xf numFmtId="169" fontId="10" fillId="0" borderId="9" xfId="4" applyNumberFormat="1" applyFont="1" applyBorder="1">
      <alignment vertical="top"/>
    </xf>
    <xf numFmtId="169" fontId="10" fillId="0" borderId="7" xfId="4" applyNumberFormat="1" applyFont="1" applyBorder="1">
      <alignment vertical="top"/>
    </xf>
    <xf numFmtId="0" fontId="10" fillId="0" borderId="1" xfId="4" applyFont="1" applyBorder="1">
      <alignment vertical="top"/>
    </xf>
    <xf numFmtId="168" fontId="10" fillId="0" borderId="31" xfId="4" applyNumberFormat="1" applyFont="1" applyBorder="1">
      <alignment vertical="top"/>
    </xf>
    <xf numFmtId="3" fontId="9" fillId="0" borderId="32" xfId="4" applyNumberFormat="1" applyFont="1" applyBorder="1">
      <alignment vertical="top"/>
    </xf>
    <xf numFmtId="168" fontId="10" fillId="0" borderId="0" xfId="4" applyNumberFormat="1" applyFont="1">
      <alignment vertical="top"/>
    </xf>
    <xf numFmtId="169" fontId="10" fillId="0" borderId="0" xfId="4" applyNumberFormat="1" applyFont="1">
      <alignment vertical="top"/>
    </xf>
    <xf numFmtId="0" fontId="35" fillId="7" borderId="1" xfId="0" applyFont="1" applyFill="1" applyBorder="1" applyAlignment="1">
      <alignment horizontal="center" vertical="top"/>
    </xf>
    <xf numFmtId="0" fontId="31" fillId="7" borderId="1" xfId="0" applyFont="1" applyFill="1" applyBorder="1" applyAlignment="1">
      <alignment horizontal="center" vertical="top"/>
    </xf>
    <xf numFmtId="17" fontId="4" fillId="0" borderId="1" xfId="0" applyNumberFormat="1" applyFont="1" applyBorder="1" applyAlignment="1">
      <alignment horizontal="center" vertical="center"/>
    </xf>
    <xf numFmtId="170" fontId="1" fillId="0" borderId="1" xfId="6" applyNumberFormat="1" applyFill="1" applyBorder="1" applyAlignment="1">
      <alignment horizontal="center" vertical="center"/>
    </xf>
    <xf numFmtId="170" fontId="1" fillId="10" borderId="1" xfId="6" applyNumberFormat="1" applyFill="1" applyBorder="1" applyAlignment="1">
      <alignment horizontal="center" vertical="center"/>
    </xf>
    <xf numFmtId="170" fontId="38" fillId="0" borderId="1" xfId="6" applyNumberFormat="1" applyFont="1" applyFill="1" applyBorder="1" applyAlignment="1">
      <alignment horizontal="center" vertical="center"/>
    </xf>
    <xf numFmtId="170" fontId="0" fillId="0" borderId="0" xfId="0" applyNumberFormat="1"/>
    <xf numFmtId="0" fontId="17" fillId="34" borderId="1" xfId="0" applyFont="1" applyFill="1" applyBorder="1" applyAlignment="1">
      <alignment horizontal="center" vertical="center"/>
    </xf>
    <xf numFmtId="170" fontId="17" fillId="34" borderId="1" xfId="6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5" fillId="28" borderId="1" xfId="0" applyFont="1" applyFill="1" applyBorder="1" applyAlignment="1">
      <alignment horizontal="center"/>
    </xf>
    <xf numFmtId="15" fontId="5" fillId="28" borderId="1" xfId="0" applyNumberFormat="1" applyFont="1" applyFill="1" applyBorder="1" applyAlignment="1">
      <alignment horizontal="center"/>
    </xf>
    <xf numFmtId="0" fontId="5" fillId="35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7" fontId="0" fillId="0" borderId="1" xfId="0" applyNumberFormat="1" applyBorder="1"/>
    <xf numFmtId="15" fontId="7" fillId="0" borderId="1" xfId="0" applyNumberFormat="1" applyFont="1" applyBorder="1"/>
    <xf numFmtId="0" fontId="2" fillId="31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2" fontId="2" fillId="11" borderId="1" xfId="0" applyNumberFormat="1" applyFont="1" applyFill="1" applyBorder="1" applyAlignment="1">
      <alignment horizontal="left"/>
    </xf>
    <xf numFmtId="43" fontId="2" fillId="11" borderId="1" xfId="6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1" xfId="6" applyNumberFormat="1" applyFont="1" applyBorder="1" applyAlignment="1">
      <alignment horizontal="left"/>
    </xf>
    <xf numFmtId="43" fontId="0" fillId="0" borderId="0" xfId="6" applyFont="1"/>
    <xf numFmtId="17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43" fontId="4" fillId="0" borderId="1" xfId="6" applyFont="1" applyBorder="1" applyAlignment="1">
      <alignment horizontal="center" vertical="top"/>
    </xf>
    <xf numFmtId="179" fontId="0" fillId="0" borderId="1" xfId="0" applyNumberFormat="1" applyBorder="1" applyAlignment="1">
      <alignment horizontal="center"/>
    </xf>
    <xf numFmtId="43" fontId="0" fillId="0" borderId="1" xfId="6" applyFont="1" applyBorder="1" applyAlignment="1">
      <alignment horizontal="center"/>
    </xf>
    <xf numFmtId="43" fontId="2" fillId="0" borderId="32" xfId="0" applyNumberFormat="1" applyFont="1" applyBorder="1"/>
    <xf numFmtId="1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17" fontId="0" fillId="0" borderId="0" xfId="0" applyNumberFormat="1"/>
    <xf numFmtId="4" fontId="0" fillId="0" borderId="0" xfId="0" applyNumberFormat="1"/>
    <xf numFmtId="3" fontId="0" fillId="0" borderId="0" xfId="0" applyNumberFormat="1"/>
    <xf numFmtId="0" fontId="35" fillId="30" borderId="1" xfId="0" applyFont="1" applyFill="1" applyBorder="1" applyAlignment="1">
      <alignment horizontal="center" vertical="top"/>
    </xf>
    <xf numFmtId="17" fontId="4" fillId="26" borderId="1" xfId="0" applyNumberFormat="1" applyFont="1" applyFill="1" applyBorder="1" applyAlignment="1">
      <alignment horizontal="center" vertical="top"/>
    </xf>
    <xf numFmtId="43" fontId="1" fillId="26" borderId="1" xfId="6" applyFill="1" applyBorder="1" applyAlignment="1">
      <alignment horizontal="center" vertical="top"/>
    </xf>
    <xf numFmtId="43" fontId="1" fillId="10" borderId="1" xfId="6" applyFill="1" applyBorder="1" applyAlignment="1">
      <alignment horizontal="center" vertical="top"/>
    </xf>
    <xf numFmtId="43" fontId="1" fillId="0" borderId="1" xfId="6" applyFill="1" applyBorder="1" applyAlignment="1">
      <alignment horizontal="center" vertical="top"/>
    </xf>
    <xf numFmtId="170" fontId="39" fillId="32" borderId="1" xfId="6" applyNumberFormat="1" applyFont="1" applyFill="1" applyBorder="1" applyAlignment="1">
      <alignment horizontal="center" vertical="center"/>
    </xf>
    <xf numFmtId="0" fontId="40" fillId="11" borderId="1" xfId="0" applyFont="1" applyFill="1" applyBorder="1"/>
    <xf numFmtId="0" fontId="40" fillId="36" borderId="1" xfId="0" applyFont="1" applyFill="1" applyBorder="1"/>
    <xf numFmtId="0" fontId="40" fillId="31" borderId="1" xfId="0" applyFont="1" applyFill="1" applyBorder="1"/>
    <xf numFmtId="0" fontId="40" fillId="36" borderId="2" xfId="0" applyFont="1" applyFill="1" applyBorder="1"/>
    <xf numFmtId="0" fontId="40" fillId="31" borderId="2" xfId="0" applyFont="1" applyFill="1" applyBorder="1"/>
    <xf numFmtId="0" fontId="41" fillId="0" borderId="1" xfId="0" applyFont="1" applyBorder="1"/>
    <xf numFmtId="17" fontId="41" fillId="0" borderId="1" xfId="0" applyNumberFormat="1" applyFont="1" applyBorder="1"/>
    <xf numFmtId="14" fontId="41" fillId="0" borderId="1" xfId="0" applyNumberFormat="1" applyFont="1" applyBorder="1"/>
    <xf numFmtId="180" fontId="0" fillId="0" borderId="1" xfId="0" applyNumberFormat="1" applyBorder="1"/>
    <xf numFmtId="170" fontId="0" fillId="0" borderId="1" xfId="6" applyNumberFormat="1" applyFont="1" applyBorder="1" applyAlignment="1">
      <alignment horizontal="right"/>
    </xf>
    <xf numFmtId="0" fontId="0" fillId="26" borderId="1" xfId="0" applyFill="1" applyBorder="1"/>
    <xf numFmtId="0" fontId="0" fillId="0" borderId="2" xfId="0" applyBorder="1"/>
    <xf numFmtId="15" fontId="0" fillId="0" borderId="1" xfId="0" applyNumberFormat="1" applyBorder="1"/>
    <xf numFmtId="0" fontId="2" fillId="2" borderId="1" xfId="0" applyFont="1" applyFill="1" applyBorder="1"/>
    <xf numFmtId="0" fontId="2" fillId="37" borderId="1" xfId="0" applyFont="1" applyFill="1" applyBorder="1"/>
    <xf numFmtId="167" fontId="4" fillId="0" borderId="1" xfId="0" applyNumberFormat="1" applyFont="1" applyBorder="1" applyAlignment="1">
      <alignment vertical="top"/>
    </xf>
    <xf numFmtId="4" fontId="4" fillId="0" borderId="1" xfId="0" applyNumberFormat="1" applyFont="1" applyBorder="1" applyAlignment="1">
      <alignment vertical="top"/>
    </xf>
    <xf numFmtId="4" fontId="0" fillId="0" borderId="1" xfId="0" applyNumberFormat="1" applyBorder="1"/>
    <xf numFmtId="167" fontId="4" fillId="0" borderId="0" xfId="0" applyNumberFormat="1" applyFont="1" applyAlignment="1">
      <alignment vertical="top"/>
    </xf>
    <xf numFmtId="43" fontId="2" fillId="0" borderId="32" xfId="6" applyFont="1" applyBorder="1"/>
    <xf numFmtId="0" fontId="44" fillId="38" borderId="1" xfId="7" applyFont="1" applyFill="1" applyBorder="1" applyAlignment="1">
      <alignment horizontal="center" vertical="top"/>
    </xf>
    <xf numFmtId="0" fontId="7" fillId="0" borderId="0" xfId="7" applyFont="1">
      <alignment vertical="top"/>
    </xf>
    <xf numFmtId="17" fontId="12" fillId="2" borderId="1" xfId="7" applyNumberFormat="1" applyFont="1" applyFill="1" applyBorder="1" applyAlignment="1">
      <alignment horizontal="center" vertical="top"/>
    </xf>
    <xf numFmtId="1" fontId="12" fillId="0" borderId="1" xfId="5" applyNumberFormat="1" applyFont="1" applyFill="1" applyBorder="1" applyAlignment="1">
      <alignment horizontal="center" vertical="top"/>
    </xf>
    <xf numFmtId="172" fontId="12" fillId="0" borderId="1" xfId="5" applyNumberFormat="1" applyFont="1" applyFill="1" applyBorder="1" applyAlignment="1">
      <alignment vertical="top"/>
    </xf>
    <xf numFmtId="3" fontId="12" fillId="0" borderId="1" xfId="5" applyNumberFormat="1" applyFont="1" applyFill="1" applyBorder="1" applyAlignment="1">
      <alignment vertical="top"/>
    </xf>
    <xf numFmtId="4" fontId="12" fillId="2" borderId="1" xfId="5" applyNumberFormat="1" applyFont="1" applyFill="1" applyBorder="1" applyAlignment="1">
      <alignment vertical="top"/>
    </xf>
    <xf numFmtId="17" fontId="12" fillId="0" borderId="1" xfId="7" applyNumberFormat="1" applyFont="1" applyBorder="1" applyAlignment="1">
      <alignment horizontal="center" vertical="center"/>
    </xf>
    <xf numFmtId="3" fontId="12" fillId="39" borderId="1" xfId="5" applyNumberFormat="1" applyFont="1" applyFill="1" applyBorder="1" applyAlignment="1">
      <alignment vertical="top"/>
    </xf>
    <xf numFmtId="3" fontId="7" fillId="0" borderId="0" xfId="7" applyNumberFormat="1" applyFont="1">
      <alignment vertical="top"/>
    </xf>
    <xf numFmtId="17" fontId="12" fillId="0" borderId="1" xfId="7" applyNumberFormat="1" applyFont="1" applyBorder="1" applyAlignment="1">
      <alignment horizontal="center" vertical="top"/>
    </xf>
    <xf numFmtId="16" fontId="45" fillId="2" borderId="1" xfId="7" applyNumberFormat="1" applyFont="1" applyFill="1" applyBorder="1" applyAlignment="1">
      <alignment horizontal="center" vertical="center"/>
    </xf>
    <xf numFmtId="3" fontId="12" fillId="2" borderId="1" xfId="5" applyNumberFormat="1" applyFont="1" applyFill="1" applyBorder="1" applyAlignment="1">
      <alignment vertical="top"/>
    </xf>
    <xf numFmtId="176" fontId="12" fillId="2" borderId="1" xfId="5" applyNumberFormat="1" applyFont="1" applyFill="1" applyBorder="1" applyAlignment="1">
      <alignment vertical="top"/>
    </xf>
    <xf numFmtId="0" fontId="12" fillId="0" borderId="0" xfId="7" applyFont="1" applyAlignment="1">
      <alignment horizontal="center" vertical="top"/>
    </xf>
    <xf numFmtId="0" fontId="12" fillId="0" borderId="0" xfId="7" applyFont="1">
      <alignment vertical="top"/>
    </xf>
    <xf numFmtId="17" fontId="12" fillId="0" borderId="0" xfId="7" applyNumberFormat="1" applyFont="1" applyAlignment="1">
      <alignment horizontal="center" vertical="top"/>
    </xf>
    <xf numFmtId="3" fontId="12" fillId="0" borderId="0" xfId="7" applyNumberFormat="1" applyFont="1">
      <alignment vertical="top"/>
    </xf>
    <xf numFmtId="4" fontId="12" fillId="0" borderId="1" xfId="5" applyNumberFormat="1" applyFont="1" applyFill="1" applyBorder="1" applyAlignment="1">
      <alignment vertical="top"/>
    </xf>
    <xf numFmtId="4" fontId="12" fillId="5" borderId="1" xfId="5" applyNumberFormat="1" applyFont="1" applyFill="1" applyBorder="1" applyAlignment="1">
      <alignment vertical="top"/>
    </xf>
    <xf numFmtId="4" fontId="7" fillId="0" borderId="0" xfId="7" applyNumberFormat="1" applyFont="1">
      <alignment vertical="top"/>
    </xf>
    <xf numFmtId="16" fontId="46" fillId="32" borderId="1" xfId="7" applyNumberFormat="1" applyFont="1" applyFill="1" applyBorder="1" applyAlignment="1">
      <alignment horizontal="center" vertical="top"/>
    </xf>
    <xf numFmtId="3" fontId="37" fillId="32" borderId="1" xfId="5" applyNumberFormat="1" applyFont="1" applyFill="1" applyBorder="1" applyAlignment="1">
      <alignment vertical="top"/>
    </xf>
    <xf numFmtId="16" fontId="45" fillId="0" borderId="0" xfId="7" applyNumberFormat="1" applyFont="1" applyAlignment="1">
      <alignment horizontal="center" vertical="top"/>
    </xf>
    <xf numFmtId="3" fontId="12" fillId="0" borderId="0" xfId="5" applyNumberFormat="1" applyFont="1" applyFill="1" applyBorder="1" applyAlignment="1">
      <alignment vertical="top"/>
    </xf>
    <xf numFmtId="3" fontId="12" fillId="5" borderId="0" xfId="5" applyNumberFormat="1" applyFont="1" applyFill="1" applyBorder="1" applyAlignment="1">
      <alignment vertical="top"/>
    </xf>
    <xf numFmtId="0" fontId="7" fillId="0" borderId="0" xfId="7" applyFont="1" applyAlignment="1">
      <alignment horizontal="center" vertical="top"/>
    </xf>
    <xf numFmtId="17" fontId="7" fillId="0" borderId="0" xfId="7" applyNumberFormat="1" applyFont="1" applyAlignment="1">
      <alignment horizontal="center" vertical="top"/>
    </xf>
    <xf numFmtId="0" fontId="7" fillId="0" borderId="0" xfId="7" applyFont="1" applyAlignment="1">
      <alignment horizontal="left" vertical="top"/>
    </xf>
    <xf numFmtId="3" fontId="7" fillId="0" borderId="0" xfId="7" quotePrefix="1" applyNumberFormat="1" applyFont="1">
      <alignment vertical="top"/>
    </xf>
    <xf numFmtId="170" fontId="7" fillId="0" borderId="0" xfId="5" applyNumberFormat="1" applyFont="1" applyAlignment="1"/>
    <xf numFmtId="0" fontId="7" fillId="0" borderId="0" xfId="5" applyFont="1" applyFill="1">
      <alignment vertical="top"/>
    </xf>
    <xf numFmtId="15" fontId="45" fillId="0" borderId="3" xfId="7" applyNumberFormat="1" applyFont="1" applyBorder="1" applyAlignment="1">
      <alignment horizontal="left" vertical="center"/>
    </xf>
    <xf numFmtId="0" fontId="12" fillId="0" borderId="3" xfId="7" applyFont="1" applyBorder="1" applyAlignment="1"/>
    <xf numFmtId="177" fontId="12" fillId="0" borderId="3" xfId="7" applyNumberFormat="1" applyFont="1" applyBorder="1" applyAlignment="1"/>
    <xf numFmtId="0" fontId="47" fillId="0" borderId="0" xfId="7" applyFont="1" applyAlignment="1"/>
    <xf numFmtId="0" fontId="12" fillId="0" borderId="0" xfId="7" applyFont="1" applyAlignment="1">
      <alignment horizontal="left"/>
    </xf>
    <xf numFmtId="15" fontId="12" fillId="0" borderId="0" xfId="7" applyNumberFormat="1" applyFont="1" applyAlignment="1"/>
    <xf numFmtId="0" fontId="12" fillId="0" borderId="0" xfId="7" applyFont="1" applyAlignment="1"/>
    <xf numFmtId="4" fontId="12" fillId="0" borderId="0" xfId="7" applyNumberFormat="1" applyFont="1" applyAlignment="1"/>
    <xf numFmtId="4" fontId="12" fillId="0" borderId="0" xfId="7" applyNumberFormat="1" applyFont="1">
      <alignment vertical="top"/>
    </xf>
    <xf numFmtId="177" fontId="12" fillId="0" borderId="0" xfId="7" applyNumberFormat="1" applyFont="1" applyAlignment="1"/>
    <xf numFmtId="0" fontId="10" fillId="0" borderId="0" xfId="7" applyFont="1">
      <alignment vertical="top"/>
    </xf>
    <xf numFmtId="177" fontId="12" fillId="0" borderId="3" xfId="7" applyNumberFormat="1" applyFont="1" applyBorder="1" applyAlignment="1">
      <alignment horizontal="center"/>
    </xf>
    <xf numFmtId="0" fontId="45" fillId="0" borderId="3" xfId="7" applyFont="1" applyBorder="1" applyAlignment="1">
      <alignment horizontal="center" vertical="center"/>
    </xf>
    <xf numFmtId="0" fontId="4" fillId="0" borderId="0" xfId="7">
      <alignment vertical="top"/>
    </xf>
    <xf numFmtId="177" fontId="12" fillId="0" borderId="0" xfId="7" applyNumberFormat="1" applyFont="1" applyAlignment="1">
      <alignment horizontal="center"/>
    </xf>
    <xf numFmtId="0" fontId="12" fillId="0" borderId="0" xfId="7" applyFont="1" applyAlignment="1">
      <alignment horizontal="center"/>
    </xf>
    <xf numFmtId="17" fontId="12" fillId="0" borderId="0" xfId="7" applyNumberFormat="1" applyFont="1" applyAlignment="1"/>
    <xf numFmtId="0" fontId="15" fillId="0" borderId="0" xfId="9"/>
    <xf numFmtId="17" fontId="48" fillId="0" borderId="0" xfId="9" applyNumberFormat="1" applyFont="1"/>
    <xf numFmtId="1" fontId="48" fillId="0" borderId="0" xfId="9" applyNumberFormat="1" applyFont="1"/>
    <xf numFmtId="22" fontId="4" fillId="0" borderId="0" xfId="7" applyNumberFormat="1" applyAlignment="1"/>
    <xf numFmtId="0" fontId="4" fillId="0" borderId="0" xfId="7" applyAlignment="1"/>
    <xf numFmtId="4" fontId="4" fillId="0" borderId="0" xfId="7" applyNumberFormat="1" applyAlignment="1"/>
    <xf numFmtId="0" fontId="49" fillId="0" borderId="3" xfId="7" applyFont="1" applyBorder="1">
      <alignment vertical="top"/>
    </xf>
    <xf numFmtId="0" fontId="49" fillId="0" borderId="3" xfId="7" applyFont="1" applyBorder="1" applyAlignment="1">
      <alignment horizontal="center" vertical="center"/>
    </xf>
    <xf numFmtId="0" fontId="50" fillId="0" borderId="3" xfId="7" applyFont="1" applyBorder="1" applyAlignment="1"/>
    <xf numFmtId="15" fontId="50" fillId="0" borderId="3" xfId="7" applyNumberFormat="1" applyFont="1" applyBorder="1" applyAlignment="1"/>
    <xf numFmtId="0" fontId="51" fillId="0" borderId="3" xfId="5" applyFont="1" applyFill="1" applyBorder="1" applyAlignment="1"/>
    <xf numFmtId="0" fontId="51" fillId="0" borderId="3" xfId="7" applyFont="1" applyBorder="1">
      <alignment vertical="top"/>
    </xf>
    <xf numFmtId="177" fontId="51" fillId="0" borderId="3" xfId="7" applyNumberFormat="1" applyFont="1" applyBorder="1" applyAlignment="1">
      <alignment horizontal="center"/>
    </xf>
    <xf numFmtId="0" fontId="51" fillId="0" borderId="0" xfId="7" applyFont="1">
      <alignment vertical="top"/>
    </xf>
    <xf numFmtId="0" fontId="48" fillId="0" borderId="0" xfId="7" applyFont="1" applyAlignment="1">
      <alignment vertical="center"/>
    </xf>
    <xf numFmtId="15" fontId="48" fillId="0" borderId="0" xfId="7" applyNumberFormat="1" applyFont="1" applyAlignment="1">
      <alignment horizontal="left" vertical="center"/>
    </xf>
    <xf numFmtId="15" fontId="48" fillId="0" borderId="0" xfId="7" applyNumberFormat="1" applyFont="1" applyAlignment="1">
      <alignment vertical="center"/>
    </xf>
    <xf numFmtId="17" fontId="48" fillId="0" borderId="0" xfId="7" applyNumberFormat="1" applyFont="1" applyAlignment="1"/>
    <xf numFmtId="177" fontId="51" fillId="0" borderId="0" xfId="7" applyNumberFormat="1" applyFont="1" applyAlignment="1">
      <alignment horizontal="center"/>
    </xf>
    <xf numFmtId="0" fontId="2" fillId="5" borderId="1" xfId="7" applyFont="1" applyFill="1" applyBorder="1" applyAlignment="1">
      <alignment horizontal="center" vertical="top"/>
    </xf>
    <xf numFmtId="0" fontId="2" fillId="9" borderId="1" xfId="7" applyFont="1" applyFill="1" applyBorder="1" applyAlignment="1">
      <alignment horizontal="center" vertical="top"/>
    </xf>
    <xf numFmtId="0" fontId="4" fillId="0" borderId="1" xfId="7" applyBorder="1" applyAlignment="1">
      <alignment horizontal="center" vertical="top"/>
    </xf>
    <xf numFmtId="15" fontId="4" fillId="0" borderId="1" xfId="7" applyNumberFormat="1" applyBorder="1" applyAlignment="1">
      <alignment horizontal="left"/>
    </xf>
    <xf numFmtId="167" fontId="4" fillId="0" borderId="1" xfId="7" applyNumberFormat="1" applyBorder="1" applyAlignment="1">
      <alignment horizontal="center" vertical="top"/>
    </xf>
    <xf numFmtId="1" fontId="4" fillId="0" borderId="1" xfId="7" applyNumberFormat="1" applyBorder="1" applyAlignment="1">
      <alignment horizontal="left"/>
    </xf>
    <xf numFmtId="4" fontId="4" fillId="0" borderId="1" xfId="7" applyNumberFormat="1" applyBorder="1">
      <alignment vertical="top"/>
    </xf>
    <xf numFmtId="179" fontId="4" fillId="0" borderId="1" xfId="7" applyNumberFormat="1" applyBorder="1" applyAlignment="1">
      <alignment horizontal="center"/>
    </xf>
    <xf numFmtId="4" fontId="4" fillId="0" borderId="1" xfId="7" applyNumberFormat="1" applyBorder="1" applyAlignment="1">
      <alignment horizontal="center"/>
    </xf>
    <xf numFmtId="0" fontId="4" fillId="0" borderId="1" xfId="7" applyBorder="1" applyAlignment="1"/>
    <xf numFmtId="4" fontId="31" fillId="0" borderId="0" xfId="7" applyNumberFormat="1" applyFont="1">
      <alignment vertical="top"/>
    </xf>
    <xf numFmtId="0" fontId="52" fillId="0" borderId="0" xfId="0" applyFont="1" applyAlignment="1">
      <alignment vertical="center"/>
    </xf>
    <xf numFmtId="181" fontId="0" fillId="0" borderId="0" xfId="1" applyNumberFormat="1" applyFont="1"/>
    <xf numFmtId="0" fontId="54" fillId="40" borderId="1" xfId="0" applyFont="1" applyFill="1" applyBorder="1" applyAlignment="1">
      <alignment vertical="center"/>
    </xf>
    <xf numFmtId="181" fontId="54" fillId="40" borderId="1" xfId="1" applyNumberFormat="1" applyFont="1" applyFill="1" applyBorder="1" applyAlignment="1">
      <alignment vertical="center"/>
    </xf>
    <xf numFmtId="0" fontId="55" fillId="0" borderId="1" xfId="0" applyFont="1" applyBorder="1" applyAlignment="1">
      <alignment vertical="center"/>
    </xf>
    <xf numFmtId="0" fontId="56" fillId="0" borderId="1" xfId="0" applyFont="1" applyBorder="1" applyAlignment="1">
      <alignment horizontal="right" vertical="center"/>
    </xf>
    <xf numFmtId="181" fontId="56" fillId="0" borderId="1" xfId="1" applyNumberFormat="1" applyFont="1" applyBorder="1" applyAlignment="1">
      <alignment horizontal="right" vertical="center"/>
    </xf>
    <xf numFmtId="0" fontId="56" fillId="0" borderId="1" xfId="0" applyFont="1" applyBorder="1" applyAlignment="1">
      <alignment vertical="center"/>
    </xf>
    <xf numFmtId="0" fontId="43" fillId="10" borderId="0" xfId="0" applyFont="1" applyFill="1"/>
    <xf numFmtId="0" fontId="0" fillId="10" borderId="0" xfId="0" applyFill="1"/>
    <xf numFmtId="0" fontId="0" fillId="10" borderId="0" xfId="0" applyFill="1" applyAlignment="1">
      <alignment horizontal="center" vertical="center"/>
    </xf>
    <xf numFmtId="166" fontId="0" fillId="10" borderId="0" xfId="1" applyNumberFormat="1" applyFont="1" applyFill="1"/>
    <xf numFmtId="2" fontId="0" fillId="10" borderId="0" xfId="0" applyNumberFormat="1" applyFill="1"/>
    <xf numFmtId="0" fontId="0" fillId="42" borderId="34" xfId="0" applyFill="1" applyBorder="1"/>
    <xf numFmtId="0" fontId="0" fillId="43" borderId="35" xfId="0" applyFill="1" applyBorder="1"/>
    <xf numFmtId="166" fontId="0" fillId="7" borderId="35" xfId="1" applyNumberFormat="1" applyFont="1" applyFill="1" applyBorder="1" applyAlignment="1">
      <alignment horizontal="left" indent="2"/>
    </xf>
    <xf numFmtId="0" fontId="43" fillId="44" borderId="34" xfId="0" applyFont="1" applyFill="1" applyBorder="1"/>
    <xf numFmtId="0" fontId="43" fillId="44" borderId="35" xfId="0" applyFont="1" applyFill="1" applyBorder="1"/>
    <xf numFmtId="182" fontId="43" fillId="44" borderId="35" xfId="0" applyNumberFormat="1" applyFont="1" applyFill="1" applyBorder="1"/>
    <xf numFmtId="0" fontId="0" fillId="7" borderId="38" xfId="0" applyFill="1" applyBorder="1"/>
    <xf numFmtId="0" fontId="0" fillId="7" borderId="24" xfId="0" applyFill="1" applyBorder="1"/>
    <xf numFmtId="0" fontId="0" fillId="7" borderId="39" xfId="0" applyFill="1" applyBorder="1"/>
    <xf numFmtId="166" fontId="0" fillId="7" borderId="24" xfId="1" applyNumberFormat="1" applyFont="1" applyFill="1" applyBorder="1" applyAlignment="1">
      <alignment horizontal="left" indent="2"/>
    </xf>
    <xf numFmtId="0" fontId="0" fillId="7" borderId="40" xfId="0" applyFill="1" applyBorder="1"/>
    <xf numFmtId="0" fontId="0" fillId="22" borderId="41" xfId="0" applyFill="1" applyBorder="1" applyAlignment="1">
      <alignment horizontal="left"/>
    </xf>
    <xf numFmtId="166" fontId="0" fillId="10" borderId="0" xfId="1" applyNumberFormat="1" applyFont="1" applyFill="1" applyBorder="1" applyAlignment="1">
      <alignment horizontal="left" indent="2"/>
    </xf>
    <xf numFmtId="9" fontId="0" fillId="2" borderId="0" xfId="1" applyNumberFormat="1" applyFont="1" applyFill="1" applyBorder="1" applyAlignment="1"/>
    <xf numFmtId="166" fontId="0" fillId="10" borderId="0" xfId="1" applyNumberFormat="1" applyFont="1" applyFill="1" applyBorder="1" applyAlignment="1">
      <alignment horizontal="center" vertical="center"/>
    </xf>
    <xf numFmtId="166" fontId="0" fillId="43" borderId="0" xfId="1" applyNumberFormat="1" applyFont="1" applyFill="1" applyBorder="1" applyAlignment="1">
      <alignment horizontal="left" indent="2"/>
    </xf>
    <xf numFmtId="166" fontId="0" fillId="10" borderId="31" xfId="1" applyNumberFormat="1" applyFont="1" applyFill="1" applyBorder="1" applyAlignment="1">
      <alignment horizontal="left" indent="2"/>
    </xf>
    <xf numFmtId="166" fontId="0" fillId="10" borderId="42" xfId="1" applyNumberFormat="1" applyFont="1" applyFill="1" applyBorder="1" applyAlignment="1">
      <alignment horizontal="left" indent="2"/>
    </xf>
    <xf numFmtId="166" fontId="0" fillId="22" borderId="33" xfId="1" applyNumberFormat="1" applyFont="1" applyFill="1" applyBorder="1" applyAlignment="1">
      <alignment horizontal="left" indent="2"/>
    </xf>
    <xf numFmtId="166" fontId="0" fillId="10" borderId="43" xfId="1" applyNumberFormat="1" applyFont="1" applyFill="1" applyBorder="1" applyAlignment="1">
      <alignment horizontal="left" indent="2"/>
    </xf>
    <xf numFmtId="164" fontId="0" fillId="10" borderId="0" xfId="1" applyFont="1" applyFill="1"/>
    <xf numFmtId="166" fontId="0" fillId="10" borderId="31" xfId="1" applyNumberFormat="1" applyFont="1" applyFill="1" applyBorder="1" applyAlignment="1">
      <alignment horizontal="left" vertical="center" indent="2"/>
    </xf>
    <xf numFmtId="0" fontId="0" fillId="22" borderId="44" xfId="0" applyFill="1" applyBorder="1" applyAlignment="1">
      <alignment horizontal="left"/>
    </xf>
    <xf numFmtId="166" fontId="0" fillId="22" borderId="45" xfId="1" applyNumberFormat="1" applyFont="1" applyFill="1" applyBorder="1" applyAlignment="1">
      <alignment horizontal="left" indent="2"/>
    </xf>
    <xf numFmtId="9" fontId="0" fillId="22" borderId="45" xfId="1" applyNumberFormat="1" applyFont="1" applyFill="1" applyBorder="1" applyAlignment="1"/>
    <xf numFmtId="166" fontId="0" fillId="43" borderId="45" xfId="1" applyNumberFormat="1" applyFont="1" applyFill="1" applyBorder="1" applyAlignment="1">
      <alignment horizontal="left" indent="2"/>
    </xf>
    <xf numFmtId="166" fontId="0" fillId="22" borderId="46" xfId="1" applyNumberFormat="1" applyFont="1" applyFill="1" applyBorder="1" applyAlignment="1">
      <alignment horizontal="left" indent="2"/>
    </xf>
    <xf numFmtId="166" fontId="0" fillId="22" borderId="47" xfId="1" applyNumberFormat="1" applyFont="1" applyFill="1" applyBorder="1" applyAlignment="1">
      <alignment horizontal="left" indent="2"/>
    </xf>
    <xf numFmtId="183" fontId="0" fillId="22" borderId="45" xfId="1" applyNumberFormat="1" applyFont="1" applyFill="1" applyBorder="1" applyAlignment="1">
      <alignment horizontal="left" indent="2"/>
    </xf>
    <xf numFmtId="183" fontId="0" fillId="22" borderId="47" xfId="1" applyNumberFormat="1" applyFont="1" applyFill="1" applyBorder="1" applyAlignment="1">
      <alignment horizontal="left" indent="2"/>
    </xf>
    <xf numFmtId="17" fontId="0" fillId="10" borderId="0" xfId="0" quotePrefix="1" applyNumberFormat="1" applyFill="1"/>
    <xf numFmtId="166" fontId="0" fillId="2" borderId="35" xfId="1" applyNumberFormat="1" applyFont="1" applyFill="1" applyBorder="1" applyAlignment="1">
      <alignment horizontal="left" indent="2"/>
    </xf>
    <xf numFmtId="0" fontId="43" fillId="44" borderId="31" xfId="0" applyFont="1" applyFill="1" applyBorder="1"/>
    <xf numFmtId="0" fontId="43" fillId="44" borderId="0" xfId="0" applyFont="1" applyFill="1"/>
    <xf numFmtId="182" fontId="43" fillId="44" borderId="0" xfId="0" applyNumberFormat="1" applyFont="1" applyFill="1"/>
    <xf numFmtId="0" fontId="0" fillId="43" borderId="0" xfId="0" applyFill="1"/>
    <xf numFmtId="166" fontId="0" fillId="2" borderId="38" xfId="1" applyNumberFormat="1" applyFont="1" applyFill="1" applyBorder="1" applyAlignment="1">
      <alignment wrapText="1"/>
    </xf>
    <xf numFmtId="166" fontId="0" fillId="2" borderId="24" xfId="1" applyNumberFormat="1" applyFont="1" applyFill="1" applyBorder="1" applyAlignment="1">
      <alignment wrapText="1"/>
    </xf>
    <xf numFmtId="166" fontId="0" fillId="2" borderId="39" xfId="1" applyNumberFormat="1" applyFont="1" applyFill="1" applyBorder="1" applyAlignment="1">
      <alignment wrapText="1"/>
    </xf>
    <xf numFmtId="166" fontId="0" fillId="2" borderId="24" xfId="1" applyNumberFormat="1" applyFont="1" applyFill="1" applyBorder="1" applyAlignment="1">
      <alignment horizontal="left" indent="2"/>
    </xf>
    <xf numFmtId="166" fontId="0" fillId="2" borderId="40" xfId="1" applyNumberFormat="1" applyFont="1" applyFill="1" applyBorder="1" applyAlignment="1">
      <alignment wrapText="1"/>
    </xf>
    <xf numFmtId="182" fontId="0" fillId="2" borderId="0" xfId="1" applyNumberFormat="1" applyFont="1" applyFill="1" applyBorder="1" applyAlignment="1"/>
    <xf numFmtId="9" fontId="38" fillId="22" borderId="45" xfId="1" applyNumberFormat="1" applyFont="1" applyFill="1" applyBorder="1" applyAlignment="1"/>
    <xf numFmtId="166" fontId="0" fillId="22" borderId="45" xfId="1" applyNumberFormat="1" applyFont="1" applyFill="1" applyBorder="1" applyAlignment="1">
      <alignment horizontal="center" vertical="center"/>
    </xf>
    <xf numFmtId="166" fontId="0" fillId="22" borderId="48" xfId="1" applyNumberFormat="1" applyFont="1" applyFill="1" applyBorder="1" applyAlignment="1">
      <alignment horizontal="left" indent="2"/>
    </xf>
    <xf numFmtId="3" fontId="0" fillId="10" borderId="0" xfId="0" applyNumberFormat="1" applyFill="1"/>
    <xf numFmtId="15" fontId="0" fillId="10" borderId="0" xfId="0" applyNumberFormat="1" applyFill="1"/>
    <xf numFmtId="0" fontId="0" fillId="10" borderId="0" xfId="0" applyFill="1" applyAlignment="1">
      <alignment horizontal="center"/>
    </xf>
    <xf numFmtId="181" fontId="0" fillId="10" borderId="0" xfId="1" applyNumberFormat="1" applyFont="1" applyFill="1" applyAlignment="1">
      <alignment horizontal="center"/>
    </xf>
    <xf numFmtId="166" fontId="0" fillId="10" borderId="0" xfId="1" applyNumberFormat="1" applyFont="1" applyFill="1" applyAlignment="1">
      <alignment horizontal="right"/>
    </xf>
    <xf numFmtId="15" fontId="43" fillId="45" borderId="34" xfId="0" applyNumberFormat="1" applyFont="1" applyFill="1" applyBorder="1" applyAlignment="1">
      <alignment horizontal="left"/>
    </xf>
    <xf numFmtId="15" fontId="43" fillId="45" borderId="8" xfId="0" applyNumberFormat="1" applyFont="1" applyFill="1" applyBorder="1"/>
    <xf numFmtId="0" fontId="0" fillId="7" borderId="21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81" fontId="0" fillId="7" borderId="20" xfId="1" applyNumberFormat="1" applyFont="1" applyFill="1" applyBorder="1" applyAlignment="1">
      <alignment horizontal="center"/>
    </xf>
    <xf numFmtId="181" fontId="0" fillId="31" borderId="7" xfId="1" applyNumberFormat="1" applyFont="1" applyFill="1" applyBorder="1" applyAlignment="1">
      <alignment horizontal="center"/>
    </xf>
    <xf numFmtId="166" fontId="0" fillId="7" borderId="20" xfId="1" applyNumberFormat="1" applyFont="1" applyFill="1" applyBorder="1" applyAlignment="1">
      <alignment horizontal="right"/>
    </xf>
    <xf numFmtId="166" fontId="0" fillId="31" borderId="22" xfId="1" applyNumberFormat="1" applyFont="1" applyFill="1" applyBorder="1" applyAlignment="1">
      <alignment horizontal="right"/>
    </xf>
    <xf numFmtId="15" fontId="2" fillId="42" borderId="41" xfId="0" applyNumberFormat="1" applyFont="1" applyFill="1" applyBorder="1"/>
    <xf numFmtId="1" fontId="2" fillId="42" borderId="0" xfId="0" applyNumberFormat="1" applyFont="1" applyFill="1" applyAlignment="1">
      <alignment horizontal="right"/>
    </xf>
    <xf numFmtId="1" fontId="2" fillId="42" borderId="50" xfId="0" applyNumberFormat="1" applyFont="1" applyFill="1" applyBorder="1" applyAlignment="1">
      <alignment horizontal="right"/>
    </xf>
    <xf numFmtId="181" fontId="2" fillId="42" borderId="43" xfId="1" applyNumberFormat="1" applyFont="1" applyFill="1" applyBorder="1" applyAlignment="1">
      <alignment horizontal="right"/>
    </xf>
    <xf numFmtId="181" fontId="2" fillId="42" borderId="50" xfId="1" applyNumberFormat="1" applyFont="1" applyFill="1" applyBorder="1" applyAlignment="1">
      <alignment horizontal="right"/>
    </xf>
    <xf numFmtId="166" fontId="2" fillId="42" borderId="43" xfId="1" applyNumberFormat="1" applyFont="1" applyFill="1" applyBorder="1" applyAlignment="1">
      <alignment horizontal="right"/>
    </xf>
    <xf numFmtId="166" fontId="2" fillId="42" borderId="42" xfId="1" applyNumberFormat="1" applyFont="1" applyFill="1" applyBorder="1" applyAlignment="1">
      <alignment horizontal="right"/>
    </xf>
    <xf numFmtId="181" fontId="2" fillId="42" borderId="0" xfId="1" applyNumberFormat="1" applyFont="1" applyFill="1" applyBorder="1" applyAlignment="1">
      <alignment horizontal="right"/>
    </xf>
    <xf numFmtId="15" fontId="43" fillId="46" borderId="23" xfId="0" applyNumberFormat="1" applyFont="1" applyFill="1" applyBorder="1"/>
    <xf numFmtId="3" fontId="43" fillId="46" borderId="20" xfId="0" applyNumberFormat="1" applyFont="1" applyFill="1" applyBorder="1" applyAlignment="1">
      <alignment horizontal="right"/>
    </xf>
    <xf numFmtId="166" fontId="43" fillId="46" borderId="20" xfId="1" applyNumberFormat="1" applyFont="1" applyFill="1" applyBorder="1" applyAlignment="1">
      <alignment horizontal="right"/>
    </xf>
    <xf numFmtId="166" fontId="43" fillId="46" borderId="22" xfId="1" applyNumberFormat="1" applyFont="1" applyFill="1" applyBorder="1" applyAlignment="1">
      <alignment horizontal="right"/>
    </xf>
    <xf numFmtId="15" fontId="0" fillId="10" borderId="8" xfId="0" applyNumberFormat="1" applyFill="1" applyBorder="1" applyAlignment="1">
      <alignment horizontal="left"/>
    </xf>
    <xf numFmtId="0" fontId="0" fillId="10" borderId="20" xfId="0" applyFill="1" applyBorder="1" applyAlignment="1">
      <alignment horizontal="right"/>
    </xf>
    <xf numFmtId="0" fontId="0" fillId="10" borderId="7" xfId="0" applyFill="1" applyBorder="1" applyAlignment="1">
      <alignment horizontal="right"/>
    </xf>
    <xf numFmtId="181" fontId="0" fillId="10" borderId="7" xfId="1" applyNumberFormat="1" applyFont="1" applyFill="1" applyBorder="1" applyAlignment="1">
      <alignment horizontal="right"/>
    </xf>
    <xf numFmtId="166" fontId="0" fillId="10" borderId="20" xfId="1" applyNumberFormat="1" applyFont="1" applyFill="1" applyBorder="1" applyAlignment="1">
      <alignment horizontal="right"/>
    </xf>
    <xf numFmtId="166" fontId="0" fillId="10" borderId="22" xfId="1" applyNumberFormat="1" applyFont="1" applyFill="1" applyBorder="1" applyAlignment="1">
      <alignment horizontal="right"/>
    </xf>
    <xf numFmtId="15" fontId="2" fillId="2" borderId="4" xfId="0" applyNumberFormat="1" applyFont="1" applyFill="1" applyBorder="1"/>
    <xf numFmtId="1" fontId="2" fillId="2" borderId="51" xfId="0" applyNumberFormat="1" applyFont="1" applyFill="1" applyBorder="1" applyAlignment="1">
      <alignment horizontal="right"/>
    </xf>
    <xf numFmtId="1" fontId="2" fillId="2" borderId="52" xfId="0" applyNumberFormat="1" applyFont="1" applyFill="1" applyBorder="1" applyAlignment="1">
      <alignment horizontal="right"/>
    </xf>
    <xf numFmtId="181" fontId="2" fillId="2" borderId="52" xfId="1" applyNumberFormat="1" applyFont="1" applyFill="1" applyBorder="1" applyAlignment="1">
      <alignment horizontal="right"/>
    </xf>
    <xf numFmtId="166" fontId="2" fillId="2" borderId="45" xfId="1" applyNumberFormat="1" applyFont="1" applyFill="1" applyBorder="1" applyAlignment="1">
      <alignment horizontal="right"/>
    </xf>
    <xf numFmtId="166" fontId="2" fillId="2" borderId="47" xfId="1" applyNumberFormat="1" applyFont="1" applyFill="1" applyBorder="1" applyAlignment="1">
      <alignment horizontal="right"/>
    </xf>
    <xf numFmtId="15" fontId="0" fillId="3" borderId="0" xfId="0" applyNumberFormat="1" applyFill="1"/>
    <xf numFmtId="0" fontId="0" fillId="3" borderId="0" xfId="0" applyFill="1" applyAlignment="1">
      <alignment horizontal="center"/>
    </xf>
    <xf numFmtId="181" fontId="0" fillId="3" borderId="0" xfId="1" applyNumberFormat="1" applyFont="1" applyFill="1" applyAlignment="1">
      <alignment horizontal="center"/>
    </xf>
    <xf numFmtId="166" fontId="0" fillId="3" borderId="0" xfId="1" applyNumberFormat="1" applyFont="1" applyFill="1" applyAlignment="1">
      <alignment horizontal="right"/>
    </xf>
    <xf numFmtId="166" fontId="0" fillId="10" borderId="0" xfId="1" applyNumberFormat="1" applyFont="1" applyFill="1" applyAlignment="1">
      <alignment horizontal="center"/>
    </xf>
    <xf numFmtId="0" fontId="41" fillId="0" borderId="0" xfId="0" applyFont="1"/>
    <xf numFmtId="16" fontId="41" fillId="0" borderId="0" xfId="0" applyNumberFormat="1" applyFont="1"/>
    <xf numFmtId="164" fontId="41" fillId="0" borderId="0" xfId="1" applyFont="1" applyFill="1"/>
    <xf numFmtId="10" fontId="41" fillId="0" borderId="0" xfId="0" applyNumberFormat="1" applyFont="1"/>
    <xf numFmtId="0" fontId="41" fillId="10" borderId="0" xfId="0" applyFont="1" applyFill="1"/>
    <xf numFmtId="164" fontId="41" fillId="10" borderId="0" xfId="1" applyFont="1" applyFill="1"/>
    <xf numFmtId="15" fontId="41" fillId="5" borderId="33" xfId="0" applyNumberFormat="1" applyFont="1" applyFill="1" applyBorder="1" applyAlignment="1">
      <alignment horizontal="left"/>
    </xf>
    <xf numFmtId="15" fontId="41" fillId="5" borderId="33" xfId="0" applyNumberFormat="1" applyFont="1" applyFill="1" applyBorder="1"/>
    <xf numFmtId="16" fontId="41" fillId="10" borderId="0" xfId="0" applyNumberFormat="1" applyFont="1" applyFill="1"/>
    <xf numFmtId="0" fontId="41" fillId="20" borderId="1" xfId="0" applyFont="1" applyFill="1" applyBorder="1"/>
    <xf numFmtId="166" fontId="41" fillId="20" borderId="21" xfId="1" applyNumberFormat="1" applyFont="1" applyFill="1" applyBorder="1"/>
    <xf numFmtId="164" fontId="41" fillId="20" borderId="21" xfId="1" applyFont="1" applyFill="1" applyBorder="1"/>
    <xf numFmtId="166" fontId="41" fillId="20" borderId="7" xfId="1" applyNumberFormat="1" applyFont="1" applyFill="1" applyBorder="1"/>
    <xf numFmtId="0" fontId="41" fillId="10" borderId="43" xfId="0" applyFont="1" applyFill="1" applyBorder="1"/>
    <xf numFmtId="166" fontId="41" fillId="10" borderId="2" xfId="1" applyNumberFormat="1" applyFont="1" applyFill="1" applyBorder="1"/>
    <xf numFmtId="166" fontId="41" fillId="10" borderId="0" xfId="1" applyNumberFormat="1" applyFont="1" applyFill="1" applyBorder="1"/>
    <xf numFmtId="9" fontId="41" fillId="2" borderId="50" xfId="1" applyNumberFormat="1" applyFont="1" applyFill="1" applyBorder="1"/>
    <xf numFmtId="166" fontId="41" fillId="10" borderId="50" xfId="1" applyNumberFormat="1" applyFont="1" applyFill="1" applyBorder="1"/>
    <xf numFmtId="0" fontId="41" fillId="22" borderId="53" xfId="0" applyFont="1" applyFill="1" applyBorder="1"/>
    <xf numFmtId="166" fontId="41" fillId="22" borderId="54" xfId="1" applyNumberFormat="1" applyFont="1" applyFill="1" applyBorder="1"/>
    <xf numFmtId="166" fontId="41" fillId="22" borderId="33" xfId="1" applyNumberFormat="1" applyFont="1" applyFill="1" applyBorder="1"/>
    <xf numFmtId="9" fontId="41" fillId="22" borderId="54" xfId="1" applyNumberFormat="1" applyFont="1" applyFill="1" applyBorder="1"/>
    <xf numFmtId="165" fontId="41" fillId="22" borderId="10" xfId="0" applyNumberFormat="1" applyFont="1" applyFill="1" applyBorder="1"/>
    <xf numFmtId="9" fontId="41" fillId="0" borderId="0" xfId="8" applyFont="1"/>
    <xf numFmtId="9" fontId="41" fillId="0" borderId="0" xfId="0" applyNumberFormat="1" applyFont="1"/>
    <xf numFmtId="2" fontId="2" fillId="47" borderId="55" xfId="0" applyNumberFormat="1" applyFont="1" applyFill="1" applyBorder="1"/>
    <xf numFmtId="0" fontId="2" fillId="47" borderId="55" xfId="0" applyFont="1" applyFill="1" applyBorder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2" fillId="47" borderId="56" xfId="0" applyFont="1" applyFill="1" applyBorder="1"/>
    <xf numFmtId="2" fontId="2" fillId="47" borderId="56" xfId="0" applyNumberFormat="1" applyFont="1" applyFill="1" applyBorder="1"/>
    <xf numFmtId="2" fontId="2" fillId="47" borderId="1" xfId="0" applyNumberFormat="1" applyFont="1" applyFill="1" applyBorder="1"/>
    <xf numFmtId="0" fontId="2" fillId="47" borderId="1" xfId="0" applyFont="1" applyFill="1" applyBorder="1"/>
    <xf numFmtId="0" fontId="0" fillId="2" borderId="1" xfId="0" applyFill="1" applyBorder="1"/>
    <xf numFmtId="2" fontId="0" fillId="2" borderId="1" xfId="0" applyNumberFormat="1" applyFill="1" applyBorder="1"/>
    <xf numFmtId="164" fontId="0" fillId="10" borderId="1" xfId="1" applyFont="1" applyFill="1" applyBorder="1"/>
    <xf numFmtId="164" fontId="0" fillId="5" borderId="1" xfId="1" applyFont="1" applyFill="1" applyBorder="1"/>
    <xf numFmtId="15" fontId="17" fillId="48" borderId="1" xfId="11" applyNumberFormat="1" applyFont="1" applyFill="1" applyBorder="1"/>
    <xf numFmtId="0" fontId="17" fillId="48" borderId="1" xfId="11" applyFont="1" applyFill="1" applyBorder="1"/>
    <xf numFmtId="0" fontId="2" fillId="49" borderId="1" xfId="11" applyFont="1" applyFill="1" applyBorder="1"/>
    <xf numFmtId="0" fontId="58" fillId="26" borderId="1" xfId="11" applyFill="1" applyBorder="1"/>
    <xf numFmtId="170" fontId="0" fillId="26" borderId="1" xfId="12" applyNumberFormat="1" applyFont="1" applyFill="1" applyBorder="1"/>
    <xf numFmtId="15" fontId="58" fillId="26" borderId="1" xfId="11" applyNumberFormat="1" applyFill="1" applyBorder="1"/>
    <xf numFmtId="0" fontId="58" fillId="0" borderId="1" xfId="11" applyBorder="1"/>
    <xf numFmtId="0" fontId="58" fillId="0" borderId="0" xfId="11"/>
    <xf numFmtId="16" fontId="58" fillId="50" borderId="1" xfId="11" applyNumberFormat="1" applyFill="1" applyBorder="1"/>
    <xf numFmtId="3" fontId="58" fillId="26" borderId="1" xfId="11" applyNumberFormat="1" applyFill="1" applyBorder="1"/>
    <xf numFmtId="170" fontId="0" fillId="0" borderId="1" xfId="12" applyNumberFormat="1" applyFont="1" applyBorder="1"/>
    <xf numFmtId="15" fontId="58" fillId="0" borderId="1" xfId="11" applyNumberFormat="1" applyBorder="1"/>
    <xf numFmtId="15" fontId="58" fillId="0" borderId="0" xfId="11" applyNumberFormat="1"/>
    <xf numFmtId="170" fontId="0" fillId="0" borderId="0" xfId="12" applyNumberFormat="1" applyFont="1"/>
    <xf numFmtId="0" fontId="58" fillId="10" borderId="0" xfId="11" applyFill="1"/>
    <xf numFmtId="0" fontId="2" fillId="22" borderId="1" xfId="0" applyFont="1" applyFill="1" applyBorder="1" applyAlignment="1">
      <alignment horizontal="center" vertical="center" wrapText="1"/>
    </xf>
    <xf numFmtId="43" fontId="2" fillId="22" borderId="1" xfId="6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0" borderId="0" xfId="0" applyFont="1"/>
    <xf numFmtId="15" fontId="0" fillId="26" borderId="1" xfId="0" applyNumberFormat="1" applyFill="1" applyBorder="1"/>
    <xf numFmtId="15" fontId="58" fillId="0" borderId="1" xfId="0" applyNumberFormat="1" applyFont="1" applyBorder="1" applyAlignment="1">
      <alignment horizontal="right" vertical="center"/>
    </xf>
    <xf numFmtId="43" fontId="0" fillId="0" borderId="1" xfId="6" applyFont="1" applyBorder="1"/>
    <xf numFmtId="16" fontId="58" fillId="50" borderId="1" xfId="0" applyNumberFormat="1" applyFont="1" applyFill="1" applyBorder="1"/>
    <xf numFmtId="15" fontId="0" fillId="0" borderId="0" xfId="0" applyNumberFormat="1"/>
    <xf numFmtId="0" fontId="60" fillId="0" borderId="0" xfId="13" applyFont="1"/>
    <xf numFmtId="0" fontId="61" fillId="0" borderId="0" xfId="13" applyFont="1"/>
    <xf numFmtId="0" fontId="0" fillId="0" borderId="0" xfId="0" applyAlignment="1">
      <alignment horizontal="center" vertical="center"/>
    </xf>
    <xf numFmtId="0" fontId="57" fillId="0" borderId="0" xfId="10"/>
    <xf numFmtId="0" fontId="63" fillId="20" borderId="1" xfId="0" applyFont="1" applyFill="1" applyBorder="1" applyAlignment="1">
      <alignment horizontal="center" vertical="center"/>
    </xf>
    <xf numFmtId="0" fontId="63" fillId="20" borderId="7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17" fontId="64" fillId="0" borderId="1" xfId="0" applyNumberFormat="1" applyFont="1" applyBorder="1" applyAlignment="1">
      <alignment horizontal="center" vertical="center"/>
    </xf>
    <xf numFmtId="170" fontId="0" fillId="0" borderId="1" xfId="6" applyNumberFormat="1" applyFont="1" applyFill="1" applyBorder="1" applyAlignment="1">
      <alignment horizontal="center" vertical="center"/>
    </xf>
    <xf numFmtId="170" fontId="43" fillId="6" borderId="1" xfId="6" applyNumberFormat="1" applyFont="1" applyFill="1" applyBorder="1" applyAlignment="1">
      <alignment horizontal="center" vertical="top"/>
    </xf>
    <xf numFmtId="0" fontId="10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3" fillId="20" borderId="57" xfId="0" applyFont="1" applyFill="1" applyBorder="1" applyAlignment="1">
      <alignment horizontal="center" vertical="center"/>
    </xf>
    <xf numFmtId="0" fontId="10" fillId="26" borderId="58" xfId="0" applyFont="1" applyFill="1" applyBorder="1" applyAlignment="1">
      <alignment vertical="top"/>
    </xf>
    <xf numFmtId="43" fontId="0" fillId="7" borderId="58" xfId="6" applyFont="1" applyFill="1" applyBorder="1"/>
    <xf numFmtId="17" fontId="64" fillId="51" borderId="1" xfId="0" applyNumberFormat="1" applyFont="1" applyFill="1" applyBorder="1" applyAlignment="1">
      <alignment horizontal="center" vertical="center"/>
    </xf>
    <xf numFmtId="170" fontId="0" fillId="51" borderId="1" xfId="6" applyNumberFormat="1" applyFont="1" applyFill="1" applyBorder="1" applyAlignment="1">
      <alignment horizontal="center" vertical="top"/>
    </xf>
    <xf numFmtId="3" fontId="0" fillId="2" borderId="1" xfId="0" applyNumberFormat="1" applyFill="1" applyBorder="1"/>
    <xf numFmtId="0" fontId="10" fillId="26" borderId="57" xfId="0" applyFont="1" applyFill="1" applyBorder="1" applyAlignment="1">
      <alignment vertical="top"/>
    </xf>
    <xf numFmtId="43" fontId="10" fillId="7" borderId="57" xfId="6" applyFont="1" applyFill="1" applyBorder="1" applyAlignment="1">
      <alignment vertical="top"/>
    </xf>
    <xf numFmtId="170" fontId="0" fillId="10" borderId="1" xfId="6" applyNumberFormat="1" applyFont="1" applyFill="1" applyBorder="1" applyAlignment="1">
      <alignment horizontal="center" vertical="top"/>
    </xf>
    <xf numFmtId="170" fontId="0" fillId="10" borderId="1" xfId="6" applyNumberFormat="1" applyFont="1" applyFill="1" applyBorder="1" applyAlignment="1">
      <alignment horizontal="center" vertical="center"/>
    </xf>
    <xf numFmtId="170" fontId="0" fillId="0" borderId="1" xfId="6" applyNumberFormat="1" applyFont="1" applyFill="1" applyBorder="1" applyAlignment="1">
      <alignment horizontal="center" vertical="top"/>
    </xf>
    <xf numFmtId="43" fontId="0" fillId="7" borderId="57" xfId="6" applyFont="1" applyFill="1" applyBorder="1"/>
    <xf numFmtId="170" fontId="10" fillId="0" borderId="0" xfId="0" applyNumberFormat="1" applyFont="1" applyAlignment="1">
      <alignment vertical="top"/>
    </xf>
    <xf numFmtId="17" fontId="65" fillId="2" borderId="20" xfId="0" applyNumberFormat="1" applyFont="1" applyFill="1" applyBorder="1" applyAlignment="1">
      <alignment horizontal="center" vertical="center"/>
    </xf>
    <xf numFmtId="170" fontId="65" fillId="2" borderId="21" xfId="0" applyNumberFormat="1" applyFont="1" applyFill="1" applyBorder="1" applyAlignment="1">
      <alignment horizontal="center" vertical="center"/>
    </xf>
    <xf numFmtId="170" fontId="65" fillId="2" borderId="1" xfId="6" applyNumberFormat="1" applyFont="1" applyFill="1" applyBorder="1" applyAlignment="1">
      <alignment horizontal="center" vertical="center"/>
    </xf>
    <xf numFmtId="3" fontId="65" fillId="2" borderId="1" xfId="0" applyNumberFormat="1" applyFont="1" applyFill="1" applyBorder="1"/>
    <xf numFmtId="0" fontId="2" fillId="0" borderId="59" xfId="0" applyFont="1" applyBorder="1"/>
    <xf numFmtId="43" fontId="2" fillId="26" borderId="18" xfId="0" applyNumberFormat="1" applyFont="1" applyFill="1" applyBorder="1"/>
    <xf numFmtId="0" fontId="66" fillId="0" borderId="60" xfId="0" applyFont="1" applyBorder="1" applyAlignment="1">
      <alignment vertical="center"/>
    </xf>
    <xf numFmtId="4" fontId="66" fillId="0" borderId="22" xfId="0" applyNumberFormat="1" applyFont="1" applyBorder="1" applyAlignment="1">
      <alignment horizontal="right" vertical="center"/>
    </xf>
    <xf numFmtId="0" fontId="67" fillId="0" borderId="61" xfId="0" applyFont="1" applyBorder="1" applyAlignment="1">
      <alignment vertical="center"/>
    </xf>
    <xf numFmtId="0" fontId="67" fillId="41" borderId="62" xfId="0" applyFont="1" applyFill="1" applyBorder="1" applyAlignment="1">
      <alignment vertical="center"/>
    </xf>
    <xf numFmtId="0" fontId="63" fillId="20" borderId="20" xfId="0" applyFont="1" applyFill="1" applyBorder="1" applyAlignment="1">
      <alignment horizontal="center" vertical="center"/>
    </xf>
    <xf numFmtId="0" fontId="63" fillId="20" borderId="7" xfId="0" applyFont="1" applyFill="1" applyBorder="1" applyAlignment="1">
      <alignment horizontal="center" vertical="center"/>
    </xf>
    <xf numFmtId="170" fontId="10" fillId="0" borderId="1" xfId="6" applyNumberFormat="1" applyFont="1" applyFill="1" applyBorder="1" applyAlignment="1">
      <alignment horizontal="center" vertical="top"/>
    </xf>
    <xf numFmtId="170" fontId="42" fillId="0" borderId="1" xfId="6" applyNumberFormat="1" applyFont="1" applyFill="1" applyBorder="1" applyAlignment="1">
      <alignment horizontal="center" vertical="top"/>
    </xf>
    <xf numFmtId="170" fontId="42" fillId="0" borderId="1" xfId="6" applyNumberFormat="1" applyFont="1" applyFill="1" applyBorder="1" applyAlignment="1">
      <alignment horizontal="center" vertical="center"/>
    </xf>
    <xf numFmtId="17" fontId="43" fillId="6" borderId="1" xfId="0" applyNumberFormat="1" applyFont="1" applyFill="1" applyBorder="1" applyAlignment="1">
      <alignment horizontal="center" vertical="center"/>
    </xf>
    <xf numFmtId="0" fontId="63" fillId="20" borderId="21" xfId="0" applyFont="1" applyFill="1" applyBorder="1" applyAlignment="1">
      <alignment horizontal="center" vertical="center"/>
    </xf>
    <xf numFmtId="43" fontId="0" fillId="0" borderId="1" xfId="6" applyFont="1" applyFill="1" applyBorder="1" applyAlignment="1">
      <alignment horizontal="center" vertical="center"/>
    </xf>
    <xf numFmtId="43" fontId="17" fillId="6" borderId="1" xfId="6" applyFont="1" applyFill="1" applyBorder="1" applyAlignment="1">
      <alignment horizontal="center" vertical="top"/>
    </xf>
    <xf numFmtId="43" fontId="43" fillId="6" borderId="1" xfId="6" applyFont="1" applyFill="1" applyBorder="1" applyAlignment="1">
      <alignment horizontal="center" vertical="top"/>
    </xf>
    <xf numFmtId="43" fontId="0" fillId="0" borderId="2" xfId="6" applyFont="1" applyFill="1" applyBorder="1" applyAlignment="1">
      <alignment horizontal="center" vertical="center"/>
    </xf>
    <xf numFmtId="43" fontId="2" fillId="0" borderId="0" xfId="6" applyFont="1"/>
    <xf numFmtId="0" fontId="35" fillId="7" borderId="57" xfId="0" applyFont="1" applyFill="1" applyBorder="1" applyAlignment="1">
      <alignment horizontal="center" vertical="top"/>
    </xf>
    <xf numFmtId="181" fontId="35" fillId="7" borderId="57" xfId="1" applyNumberFormat="1" applyFont="1" applyFill="1" applyBorder="1" applyAlignment="1">
      <alignment horizontal="center" vertical="top"/>
    </xf>
    <xf numFmtId="181" fontId="35" fillId="7" borderId="7" xfId="1" applyNumberFormat="1" applyFont="1" applyFill="1" applyBorder="1" applyAlignment="1">
      <alignment horizontal="center" vertical="top"/>
    </xf>
    <xf numFmtId="181" fontId="35" fillId="7" borderId="1" xfId="1" applyNumberFormat="1" applyFont="1" applyFill="1" applyBorder="1" applyAlignment="1">
      <alignment horizontal="center" vertical="top"/>
    </xf>
    <xf numFmtId="0" fontId="2" fillId="2" borderId="57" xfId="0" applyFont="1" applyFill="1" applyBorder="1" applyAlignment="1">
      <alignment horizontal="left" vertical="center"/>
    </xf>
    <xf numFmtId="0" fontId="2" fillId="2" borderId="57" xfId="0" applyFont="1" applyFill="1" applyBorder="1" applyAlignment="1">
      <alignment horizontal="center" vertical="center"/>
    </xf>
    <xf numFmtId="181" fontId="2" fillId="2" borderId="57" xfId="1" applyNumberFormat="1" applyFont="1" applyFill="1" applyBorder="1" applyAlignment="1">
      <alignment horizontal="center" vertical="center"/>
    </xf>
    <xf numFmtId="164" fontId="2" fillId="2" borderId="57" xfId="1" applyFont="1" applyFill="1" applyBorder="1" applyAlignment="1">
      <alignment horizontal="center" vertical="center"/>
    </xf>
    <xf numFmtId="164" fontId="2" fillId="6" borderId="57" xfId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81" fontId="2" fillId="10" borderId="1" xfId="1" applyNumberFormat="1" applyFont="1" applyFill="1" applyBorder="1" applyAlignment="1">
      <alignment horizontal="center" vertical="center"/>
    </xf>
    <xf numFmtId="164" fontId="2" fillId="10" borderId="1" xfId="1" applyFont="1" applyFill="1" applyBorder="1" applyAlignment="1">
      <alignment horizontal="center" vertical="center"/>
    </xf>
    <xf numFmtId="181" fontId="2" fillId="52" borderId="1" xfId="1" applyNumberFormat="1" applyFont="1" applyFill="1" applyBorder="1" applyAlignment="1">
      <alignment horizontal="center" vertical="center"/>
    </xf>
    <xf numFmtId="181" fontId="2" fillId="2" borderId="1" xfId="1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2" fillId="53" borderId="57" xfId="0" applyFont="1" applyFill="1" applyBorder="1" applyAlignment="1">
      <alignment vertical="center"/>
    </xf>
    <xf numFmtId="0" fontId="32" fillId="53" borderId="39" xfId="0" applyFont="1" applyFill="1" applyBorder="1" applyAlignment="1">
      <alignment horizontal="center" vertical="center"/>
    </xf>
    <xf numFmtId="16" fontId="0" fillId="0" borderId="0" xfId="0" applyNumberFormat="1"/>
    <xf numFmtId="164" fontId="32" fillId="53" borderId="39" xfId="1" applyFont="1" applyFill="1" applyBorder="1" applyAlignment="1">
      <alignment horizontal="center" vertical="center"/>
    </xf>
    <xf numFmtId="164" fontId="0" fillId="0" borderId="0" xfId="0" applyNumberFormat="1"/>
    <xf numFmtId="0" fontId="32" fillId="53" borderId="0" xfId="0" applyFont="1" applyFill="1" applyAlignment="1">
      <alignment vertical="center"/>
    </xf>
    <xf numFmtId="0" fontId="35" fillId="7" borderId="39" xfId="0" applyFont="1" applyFill="1" applyBorder="1" applyAlignment="1">
      <alignment horizontal="center" vertical="top"/>
    </xf>
    <xf numFmtId="181" fontId="35" fillId="7" borderId="39" xfId="1" applyNumberFormat="1" applyFont="1" applyFill="1" applyBorder="1" applyAlignment="1">
      <alignment horizontal="center" vertical="top"/>
    </xf>
    <xf numFmtId="181" fontId="2" fillId="0" borderId="57" xfId="1" applyNumberFormat="1" applyFont="1" applyBorder="1"/>
    <xf numFmtId="0" fontId="2" fillId="0" borderId="63" xfId="0" applyFont="1" applyBorder="1" applyAlignment="1">
      <alignment vertical="center"/>
    </xf>
    <xf numFmtId="164" fontId="2" fillId="0" borderId="37" xfId="1" applyFont="1" applyBorder="1"/>
    <xf numFmtId="164" fontId="2" fillId="0" borderId="42" xfId="1" applyFont="1" applyBorder="1"/>
    <xf numFmtId="0" fontId="2" fillId="0" borderId="58" xfId="0" applyFont="1" applyBorder="1" applyAlignment="1">
      <alignment vertical="center"/>
    </xf>
    <xf numFmtId="0" fontId="0" fillId="0" borderId="58" xfId="0" applyBorder="1"/>
    <xf numFmtId="0" fontId="0" fillId="0" borderId="42" xfId="0" applyBorder="1"/>
    <xf numFmtId="181" fontId="0" fillId="0" borderId="42" xfId="1" applyNumberFormat="1" applyFont="1" applyBorder="1"/>
    <xf numFmtId="181" fontId="2" fillId="0" borderId="39" xfId="1" applyNumberFormat="1" applyFont="1" applyBorder="1"/>
    <xf numFmtId="0" fontId="35" fillId="7" borderId="64" xfId="0" applyFont="1" applyFill="1" applyBorder="1" applyAlignment="1">
      <alignment horizontal="center" vertical="top"/>
    </xf>
    <xf numFmtId="17" fontId="2" fillId="7" borderId="24" xfId="0" applyNumberFormat="1" applyFont="1" applyFill="1" applyBorder="1" applyAlignment="1">
      <alignment horizontal="left"/>
    </xf>
    <xf numFmtId="0" fontId="2" fillId="2" borderId="23" xfId="0" applyFont="1" applyFill="1" applyBorder="1" applyAlignment="1">
      <alignment horizontal="left" vertical="center"/>
    </xf>
    <xf numFmtId="164" fontId="0" fillId="0" borderId="10" xfId="1" applyFont="1" applyBorder="1"/>
    <xf numFmtId="164" fontId="0" fillId="0" borderId="53" xfId="1" applyFont="1" applyBorder="1"/>
    <xf numFmtId="164" fontId="0" fillId="42" borderId="65" xfId="1" applyFont="1" applyFill="1" applyBorder="1"/>
    <xf numFmtId="164" fontId="0" fillId="0" borderId="54" xfId="1" applyFont="1" applyBorder="1"/>
    <xf numFmtId="164" fontId="0" fillId="42" borderId="66" xfId="0" applyNumberFormat="1" applyFill="1" applyBorder="1"/>
    <xf numFmtId="0" fontId="2" fillId="2" borderId="8" xfId="0" applyFont="1" applyFill="1" applyBorder="1" applyAlignment="1">
      <alignment horizontal="left" vertical="center"/>
    </xf>
    <xf numFmtId="164" fontId="0" fillId="42" borderId="22" xfId="0" applyNumberFormat="1" applyFill="1" applyBorder="1"/>
    <xf numFmtId="0" fontId="32" fillId="53" borderId="8" xfId="0" applyFont="1" applyFill="1" applyBorder="1" applyAlignment="1">
      <alignment vertical="center"/>
    </xf>
    <xf numFmtId="0" fontId="32" fillId="53" borderId="4" xfId="0" applyFont="1" applyFill="1" applyBorder="1" applyAlignment="1">
      <alignment vertical="center"/>
    </xf>
    <xf numFmtId="164" fontId="0" fillId="0" borderId="67" xfId="1" applyFont="1" applyBorder="1"/>
    <xf numFmtId="164" fontId="0" fillId="0" borderId="48" xfId="1" applyFont="1" applyBorder="1"/>
    <xf numFmtId="164" fontId="0" fillId="42" borderId="68" xfId="1" applyFont="1" applyFill="1" applyBorder="1"/>
    <xf numFmtId="164" fontId="0" fillId="0" borderId="69" xfId="1" applyFont="1" applyBorder="1"/>
    <xf numFmtId="164" fontId="0" fillId="42" borderId="62" xfId="0" applyNumberFormat="1" applyFill="1" applyBorder="1"/>
    <xf numFmtId="181" fontId="35" fillId="7" borderId="58" xfId="1" applyNumberFormat="1" applyFont="1" applyFill="1" applyBorder="1" applyAlignment="1">
      <alignment horizontal="center" vertical="top"/>
    </xf>
    <xf numFmtId="17" fontId="2" fillId="2" borderId="57" xfId="0" applyNumberFormat="1" applyFont="1" applyFill="1" applyBorder="1" applyAlignment="1">
      <alignment horizontal="left" vertical="center"/>
    </xf>
    <xf numFmtId="164" fontId="2" fillId="6" borderId="38" xfId="1" applyFont="1" applyFill="1" applyBorder="1" applyAlignment="1">
      <alignment horizontal="center" vertical="center"/>
    </xf>
    <xf numFmtId="164" fontId="0" fillId="0" borderId="1" xfId="1" applyFont="1" applyBorder="1"/>
    <xf numFmtId="164" fontId="0" fillId="0" borderId="1" xfId="0" applyNumberFormat="1" applyBorder="1"/>
    <xf numFmtId="164" fontId="2" fillId="0" borderId="32" xfId="0" applyNumberFormat="1" applyFont="1" applyBorder="1"/>
    <xf numFmtId="0" fontId="69" fillId="0" borderId="0" xfId="0" applyFont="1"/>
    <xf numFmtId="0" fontId="69" fillId="0" borderId="0" xfId="0" applyFont="1" applyAlignment="1">
      <alignment wrapText="1"/>
    </xf>
    <xf numFmtId="0" fontId="71" fillId="43" borderId="10" xfId="0" applyFont="1" applyFill="1" applyBorder="1" applyAlignment="1">
      <alignment horizontal="center" vertical="center" wrapText="1"/>
    </xf>
    <xf numFmtId="14" fontId="69" fillId="0" borderId="1" xfId="0" applyNumberFormat="1" applyFont="1" applyBorder="1"/>
    <xf numFmtId="2" fontId="69" fillId="0" borderId="1" xfId="0" applyNumberFormat="1" applyFont="1" applyBorder="1"/>
    <xf numFmtId="0" fontId="69" fillId="0" borderId="1" xfId="0" applyFont="1" applyBorder="1"/>
    <xf numFmtId="10" fontId="69" fillId="0" borderId="1" xfId="8" applyNumberFormat="1" applyFont="1" applyBorder="1"/>
    <xf numFmtId="184" fontId="69" fillId="0" borderId="1" xfId="0" applyNumberFormat="1" applyFont="1" applyBorder="1"/>
    <xf numFmtId="2" fontId="69" fillId="0" borderId="0" xfId="0" applyNumberFormat="1" applyFont="1"/>
    <xf numFmtId="0" fontId="0" fillId="38" borderId="1" xfId="0" applyFill="1" applyBorder="1"/>
    <xf numFmtId="0" fontId="0" fillId="5" borderId="1" xfId="0" applyFill="1" applyBorder="1"/>
    <xf numFmtId="0" fontId="2" fillId="7" borderId="1" xfId="0" applyFont="1" applyFill="1" applyBorder="1" applyAlignment="1">
      <alignment horizontal="center" vertical="center"/>
    </xf>
    <xf numFmtId="185" fontId="2" fillId="7" borderId="1" xfId="8" applyNumberFormat="1" applyFont="1" applyFill="1" applyBorder="1" applyAlignment="1">
      <alignment horizontal="center" vertical="center"/>
    </xf>
    <xf numFmtId="181" fontId="2" fillId="7" borderId="1" xfId="1" applyNumberFormat="1" applyFont="1" applyFill="1" applyBorder="1" applyAlignment="1">
      <alignment horizontal="center" vertical="center"/>
    </xf>
    <xf numFmtId="15" fontId="0" fillId="0" borderId="23" xfId="0" applyNumberFormat="1" applyBorder="1"/>
    <xf numFmtId="0" fontId="0" fillId="0" borderId="5" xfId="0" applyBorder="1"/>
    <xf numFmtId="4" fontId="0" fillId="0" borderId="5" xfId="0" applyNumberFormat="1" applyBorder="1"/>
    <xf numFmtId="2" fontId="0" fillId="0" borderId="1" xfId="0" applyNumberFormat="1" applyBorder="1"/>
    <xf numFmtId="4" fontId="0" fillId="0" borderId="6" xfId="0" applyNumberFormat="1" applyBorder="1"/>
    <xf numFmtId="10" fontId="0" fillId="0" borderId="1" xfId="0" applyNumberFormat="1" applyBorder="1"/>
    <xf numFmtId="4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wrapText="1"/>
    </xf>
    <xf numFmtId="9" fontId="0" fillId="0" borderId="1" xfId="0" applyNumberFormat="1" applyBorder="1"/>
    <xf numFmtId="181" fontId="0" fillId="0" borderId="1" xfId="1" applyNumberFormat="1" applyFont="1" applyBorder="1"/>
    <xf numFmtId="0" fontId="16" fillId="0" borderId="7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4" fillId="8" borderId="1" xfId="0" applyFont="1" applyFill="1" applyBorder="1"/>
    <xf numFmtId="164" fontId="1" fillId="8" borderId="1" xfId="1" applyFill="1" applyBorder="1" applyAlignment="1">
      <alignment horizontal="left" vertical="center"/>
    </xf>
    <xf numFmtId="2" fontId="1" fillId="8" borderId="1" xfId="1" applyNumberFormat="1" applyFill="1" applyBorder="1" applyAlignment="1">
      <alignment horizontal="left" vertical="center"/>
    </xf>
    <xf numFmtId="168" fontId="10" fillId="2" borderId="1" xfId="0" applyNumberFormat="1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12" fillId="0" borderId="1" xfId="0" applyFont="1" applyBorder="1"/>
    <xf numFmtId="0" fontId="13" fillId="12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3" fillId="14" borderId="1" xfId="0" applyFont="1" applyFill="1" applyBorder="1" applyAlignment="1">
      <alignment vertical="center"/>
    </xf>
    <xf numFmtId="168" fontId="10" fillId="0" borderId="1" xfId="0" applyNumberFormat="1" applyFont="1" applyBorder="1" applyAlignment="1">
      <alignment vertical="top"/>
    </xf>
    <xf numFmtId="169" fontId="10" fillId="0" borderId="1" xfId="0" applyNumberFormat="1" applyFont="1" applyBorder="1" applyAlignment="1">
      <alignment vertical="top"/>
    </xf>
    <xf numFmtId="4" fontId="12" fillId="0" borderId="1" xfId="0" applyNumberFormat="1" applyFont="1" applyBorder="1"/>
    <xf numFmtId="4" fontId="12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5" fillId="0" borderId="1" xfId="3" applyBorder="1"/>
    <xf numFmtId="0" fontId="15" fillId="0" borderId="1" xfId="0" applyFont="1" applyBorder="1"/>
    <xf numFmtId="0" fontId="22" fillId="20" borderId="16" xfId="4" applyFont="1" applyFill="1" applyBorder="1" applyAlignment="1">
      <alignment horizontal="center" vertical="center"/>
    </xf>
    <xf numFmtId="0" fontId="22" fillId="20" borderId="17" xfId="4" applyFont="1" applyFill="1" applyBorder="1" applyAlignment="1">
      <alignment horizontal="center" vertical="center"/>
    </xf>
    <xf numFmtId="0" fontId="22" fillId="20" borderId="18" xfId="4" applyFont="1" applyFill="1" applyBorder="1" applyAlignment="1">
      <alignment horizontal="center" vertical="center"/>
    </xf>
    <xf numFmtId="0" fontId="22" fillId="20" borderId="8" xfId="4" applyFont="1" applyFill="1" applyBorder="1" applyAlignment="1">
      <alignment horizontal="center" vertical="center"/>
    </xf>
    <xf numFmtId="0" fontId="22" fillId="20" borderId="1" xfId="4" applyFont="1" applyFill="1" applyBorder="1" applyAlignment="1">
      <alignment horizontal="center" vertical="center"/>
    </xf>
    <xf numFmtId="0" fontId="23" fillId="21" borderId="1" xfId="4" applyFont="1" applyFill="1" applyBorder="1" applyAlignment="1">
      <alignment horizontal="center" vertical="top"/>
    </xf>
    <xf numFmtId="0" fontId="23" fillId="21" borderId="9" xfId="4" applyFont="1" applyFill="1" applyBorder="1" applyAlignment="1">
      <alignment horizontal="center" vertical="top"/>
    </xf>
    <xf numFmtId="0" fontId="22" fillId="0" borderId="24" xfId="4" applyFont="1" applyBorder="1" applyAlignment="1">
      <alignment horizontal="center" vertical="center"/>
    </xf>
    <xf numFmtId="0" fontId="22" fillId="20" borderId="19" xfId="4" applyFont="1" applyFill="1" applyBorder="1" applyAlignment="1">
      <alignment horizontal="center" vertical="center"/>
    </xf>
    <xf numFmtId="0" fontId="22" fillId="20" borderId="23" xfId="4" applyFont="1" applyFill="1" applyBorder="1" applyAlignment="1">
      <alignment horizontal="center" vertical="center"/>
    </xf>
    <xf numFmtId="0" fontId="22" fillId="20" borderId="20" xfId="4" applyFont="1" applyFill="1" applyBorder="1" applyAlignment="1">
      <alignment horizontal="center" vertical="center"/>
    </xf>
    <xf numFmtId="0" fontId="22" fillId="20" borderId="7" xfId="4" applyFont="1" applyFill="1" applyBorder="1" applyAlignment="1">
      <alignment horizontal="center" vertical="center"/>
    </xf>
    <xf numFmtId="0" fontId="23" fillId="21" borderId="20" xfId="4" applyFont="1" applyFill="1" applyBorder="1" applyAlignment="1">
      <alignment horizontal="center" vertical="top"/>
    </xf>
    <xf numFmtId="0" fontId="23" fillId="21" borderId="21" xfId="4" applyFont="1" applyFill="1" applyBorder="1" applyAlignment="1">
      <alignment horizontal="center" vertical="top"/>
    </xf>
    <xf numFmtId="0" fontId="23" fillId="21" borderId="22" xfId="4" applyFont="1" applyFill="1" applyBorder="1" applyAlignment="1">
      <alignment horizontal="center" vertical="top"/>
    </xf>
    <xf numFmtId="178" fontId="10" fillId="2" borderId="16" xfId="4" applyNumberFormat="1" applyFont="1" applyFill="1" applyBorder="1" applyAlignment="1">
      <alignment horizontal="center" vertical="top"/>
    </xf>
    <xf numFmtId="178" fontId="10" fillId="2" borderId="17" xfId="4" applyNumberFormat="1" applyFont="1" applyFill="1" applyBorder="1" applyAlignment="1">
      <alignment horizontal="center" vertical="top"/>
    </xf>
    <xf numFmtId="0" fontId="2" fillId="0" borderId="33" xfId="0" applyFont="1" applyBorder="1" applyAlignment="1">
      <alignment horizontal="center"/>
    </xf>
    <xf numFmtId="0" fontId="53" fillId="7" borderId="1" xfId="0" applyFont="1" applyFill="1" applyBorder="1" applyAlignment="1">
      <alignment horizontal="center" vertical="center"/>
    </xf>
    <xf numFmtId="0" fontId="53" fillId="41" borderId="1" xfId="0" applyFont="1" applyFill="1" applyBorder="1" applyAlignment="1">
      <alignment horizontal="center" vertical="center"/>
    </xf>
    <xf numFmtId="0" fontId="2" fillId="0" borderId="16" xfId="7" applyFont="1" applyBorder="1" applyAlignment="1">
      <alignment horizontal="center"/>
    </xf>
    <xf numFmtId="0" fontId="2" fillId="0" borderId="17" xfId="7" applyFont="1" applyBorder="1" applyAlignment="1">
      <alignment horizontal="center"/>
    </xf>
    <xf numFmtId="0" fontId="2" fillId="0" borderId="18" xfId="7" applyFont="1" applyBorder="1" applyAlignment="1">
      <alignment horizontal="center"/>
    </xf>
    <xf numFmtId="0" fontId="2" fillId="4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10" borderId="45" xfId="0" applyFont="1" applyFill="1" applyBorder="1" applyAlignment="1">
      <alignment horizontal="center" vertical="center"/>
    </xf>
    <xf numFmtId="17" fontId="2" fillId="10" borderId="24" xfId="0" quotePrefix="1" applyNumberFormat="1" applyFont="1" applyFill="1" applyBorder="1" applyAlignment="1">
      <alignment horizontal="center"/>
    </xf>
    <xf numFmtId="0" fontId="2" fillId="7" borderId="36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7" borderId="37" xfId="0" applyFont="1" applyFill="1" applyBorder="1" applyAlignment="1">
      <alignment horizontal="center"/>
    </xf>
    <xf numFmtId="0" fontId="43" fillId="45" borderId="36" xfId="0" applyFont="1" applyFill="1" applyBorder="1" applyAlignment="1">
      <alignment horizontal="center"/>
    </xf>
    <xf numFmtId="0" fontId="43" fillId="45" borderId="49" xfId="0" applyFont="1" applyFill="1" applyBorder="1" applyAlignment="1">
      <alignment horizontal="center"/>
    </xf>
    <xf numFmtId="166" fontId="43" fillId="45" borderId="36" xfId="1" applyNumberFormat="1" applyFont="1" applyFill="1" applyBorder="1" applyAlignment="1">
      <alignment horizontal="right" wrapText="1"/>
    </xf>
    <xf numFmtId="166" fontId="43" fillId="45" borderId="37" xfId="1" applyNumberFormat="1" applyFont="1" applyFill="1" applyBorder="1" applyAlignment="1">
      <alignment horizontal="right" wrapText="1"/>
    </xf>
    <xf numFmtId="0" fontId="41" fillId="20" borderId="3" xfId="0" applyFont="1" applyFill="1" applyBorder="1" applyAlignment="1">
      <alignment horizontal="center" vertical="center"/>
    </xf>
    <xf numFmtId="0" fontId="41" fillId="20" borderId="10" xfId="0" applyFont="1" applyFill="1" applyBorder="1" applyAlignment="1">
      <alignment horizontal="center" vertical="center"/>
    </xf>
    <xf numFmtId="0" fontId="41" fillId="7" borderId="20" xfId="0" applyFont="1" applyFill="1" applyBorder="1" applyAlignment="1">
      <alignment horizontal="center"/>
    </xf>
    <xf numFmtId="0" fontId="41" fillId="7" borderId="21" xfId="0" applyFont="1" applyFill="1" applyBorder="1" applyAlignment="1">
      <alignment horizontal="center"/>
    </xf>
    <xf numFmtId="0" fontId="41" fillId="7" borderId="7" xfId="0" applyFont="1" applyFill="1" applyBorder="1" applyAlignment="1">
      <alignment horizontal="center"/>
    </xf>
    <xf numFmtId="0" fontId="41" fillId="2" borderId="20" xfId="0" applyFont="1" applyFill="1" applyBorder="1" applyAlignment="1">
      <alignment horizontal="center"/>
    </xf>
    <xf numFmtId="0" fontId="41" fillId="2" borderId="21" xfId="0" applyFont="1" applyFill="1" applyBorder="1" applyAlignment="1">
      <alignment horizontal="center"/>
    </xf>
    <xf numFmtId="0" fontId="41" fillId="2" borderId="7" xfId="0" applyFont="1" applyFill="1" applyBorder="1" applyAlignment="1">
      <alignment horizontal="center"/>
    </xf>
    <xf numFmtId="0" fontId="63" fillId="7" borderId="53" xfId="0" applyFont="1" applyFill="1" applyBorder="1" applyAlignment="1">
      <alignment horizontal="center" vertical="center"/>
    </xf>
    <xf numFmtId="0" fontId="63" fillId="7" borderId="33" xfId="0" applyFont="1" applyFill="1" applyBorder="1" applyAlignment="1">
      <alignment horizontal="center" vertical="center"/>
    </xf>
    <xf numFmtId="0" fontId="63" fillId="20" borderId="3" xfId="0" applyFont="1" applyFill="1" applyBorder="1" applyAlignment="1">
      <alignment horizontal="center" vertical="center"/>
    </xf>
    <xf numFmtId="0" fontId="63" fillId="20" borderId="10" xfId="0" applyFont="1" applyFill="1" applyBorder="1" applyAlignment="1">
      <alignment horizontal="center" vertical="center"/>
    </xf>
    <xf numFmtId="0" fontId="63" fillId="20" borderId="1" xfId="0" applyFont="1" applyFill="1" applyBorder="1" applyAlignment="1">
      <alignment horizontal="center" vertical="center"/>
    </xf>
    <xf numFmtId="0" fontId="63" fillId="20" borderId="48" xfId="0" applyFont="1" applyFill="1" applyBorder="1" applyAlignment="1">
      <alignment horizontal="center" vertical="center"/>
    </xf>
    <xf numFmtId="0" fontId="63" fillId="20" borderId="45" xfId="0" applyFont="1" applyFill="1" applyBorder="1" applyAlignment="1">
      <alignment horizontal="center" vertical="center"/>
    </xf>
    <xf numFmtId="0" fontId="63" fillId="20" borderId="20" xfId="0" applyFont="1" applyFill="1" applyBorder="1" applyAlignment="1">
      <alignment horizontal="center" vertical="center"/>
    </xf>
    <xf numFmtId="0" fontId="63" fillId="20" borderId="7" xfId="0" applyFont="1" applyFill="1" applyBorder="1" applyAlignment="1">
      <alignment horizontal="center" vertical="center"/>
    </xf>
    <xf numFmtId="17" fontId="65" fillId="2" borderId="20" xfId="0" applyNumberFormat="1" applyFont="1" applyFill="1" applyBorder="1" applyAlignment="1">
      <alignment horizontal="center" vertical="center"/>
    </xf>
    <xf numFmtId="17" fontId="65" fillId="2" borderId="21" xfId="0" applyNumberFormat="1" applyFont="1" applyFill="1" applyBorder="1" applyAlignment="1">
      <alignment horizontal="center" vertical="center"/>
    </xf>
    <xf numFmtId="17" fontId="65" fillId="2" borderId="7" xfId="0" applyNumberFormat="1" applyFont="1" applyFill="1" applyBorder="1" applyAlignment="1">
      <alignment horizontal="center" vertical="center"/>
    </xf>
    <xf numFmtId="17" fontId="64" fillId="51" borderId="20" xfId="0" applyNumberFormat="1" applyFont="1" applyFill="1" applyBorder="1" applyAlignment="1">
      <alignment horizontal="center" vertical="center"/>
    </xf>
    <xf numFmtId="17" fontId="64" fillId="51" borderId="21" xfId="0" applyNumberFormat="1" applyFont="1" applyFill="1" applyBorder="1" applyAlignment="1">
      <alignment horizontal="center" vertical="center"/>
    </xf>
    <xf numFmtId="17" fontId="64" fillId="51" borderId="7" xfId="0" applyNumberFormat="1" applyFont="1" applyFill="1" applyBorder="1" applyAlignment="1">
      <alignment horizontal="center" vertical="center"/>
    </xf>
    <xf numFmtId="0" fontId="62" fillId="8" borderId="45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68" fillId="43" borderId="45" xfId="0" applyFont="1" applyFill="1" applyBorder="1" applyAlignment="1">
      <alignment horizontal="center"/>
    </xf>
    <xf numFmtId="0" fontId="69" fillId="0" borderId="34" xfId="0" applyFont="1" applyBorder="1" applyAlignment="1">
      <alignment horizontal="left" wrapText="1"/>
    </xf>
    <xf numFmtId="0" fontId="69" fillId="0" borderId="35" xfId="0" applyFont="1" applyBorder="1" applyAlignment="1">
      <alignment horizontal="left" wrapText="1"/>
    </xf>
    <xf numFmtId="0" fontId="69" fillId="0" borderId="37" xfId="0" applyFont="1" applyBorder="1" applyAlignment="1">
      <alignment horizontal="left" wrapText="1"/>
    </xf>
    <xf numFmtId="0" fontId="69" fillId="0" borderId="46" xfId="0" applyFont="1" applyBorder="1" applyAlignment="1">
      <alignment horizontal="left" wrapText="1"/>
    </xf>
    <xf numFmtId="0" fontId="69" fillId="0" borderId="45" xfId="0" applyFont="1" applyBorder="1" applyAlignment="1">
      <alignment horizontal="left" wrapText="1"/>
    </xf>
    <xf numFmtId="0" fontId="69" fillId="0" borderId="47" xfId="0" applyFont="1" applyBorder="1" applyAlignment="1">
      <alignment horizontal="left" wrapText="1"/>
    </xf>
    <xf numFmtId="0" fontId="69" fillId="0" borderId="46" xfId="0" applyFont="1" applyBorder="1" applyAlignment="1">
      <alignment horizontal="center" wrapText="1"/>
    </xf>
    <xf numFmtId="0" fontId="69" fillId="0" borderId="45" xfId="0" applyFont="1" applyBorder="1" applyAlignment="1">
      <alignment horizontal="center" wrapText="1"/>
    </xf>
    <xf numFmtId="0" fontId="69" fillId="0" borderId="47" xfId="0" applyFont="1" applyBorder="1" applyAlignment="1">
      <alignment horizontal="center" wrapText="1"/>
    </xf>
    <xf numFmtId="0" fontId="69" fillId="0" borderId="46" xfId="0" applyFont="1" applyBorder="1" applyAlignment="1">
      <alignment horizontal="center"/>
    </xf>
    <xf numFmtId="0" fontId="69" fillId="0" borderId="45" xfId="0" applyFont="1" applyBorder="1" applyAlignment="1">
      <alignment horizontal="center"/>
    </xf>
    <xf numFmtId="0" fontId="69" fillId="0" borderId="47" xfId="0" applyFont="1" applyBorder="1" applyAlignment="1">
      <alignment horizontal="center"/>
    </xf>
  </cellXfs>
  <cellStyles count="14">
    <cellStyle name="Comma" xfId="1" builtinId="3"/>
    <cellStyle name="Comma 2" xfId="5" xr:uid="{3F7DE6EF-43E3-4A50-9C83-15A7D2417F26}"/>
    <cellStyle name="Comma 3" xfId="6" xr:uid="{F50A608F-0A7E-4ED7-8272-AB874DB159B9}"/>
    <cellStyle name="Comma 4" xfId="12" xr:uid="{87D4F0DB-FA32-494E-B4B4-C9AB59977E4E}"/>
    <cellStyle name="Hyperlink" xfId="10" builtinId="8"/>
    <cellStyle name="Normal" xfId="0" builtinId="0"/>
    <cellStyle name="Normal 2" xfId="3" xr:uid="{DA3C16D7-16A4-4345-B3EA-FA009C84F24C}"/>
    <cellStyle name="Normal 3" xfId="4" xr:uid="{267A4146-5F67-44E3-B84E-426D45337E55}"/>
    <cellStyle name="Normal 3 2" xfId="9" xr:uid="{F2358FB8-3918-4BDE-8FEF-4932BF50BAA6}"/>
    <cellStyle name="Normal 4" xfId="11" xr:uid="{15FEBC16-6307-40D7-AB9D-83DE4A9734EC}"/>
    <cellStyle name="Normal 5" xfId="13" xr:uid="{BCC2B784-71B4-49BD-9948-623B1AC02CC8}"/>
    <cellStyle name="Normal 6" xfId="7" xr:uid="{7AB1533D-65C2-4105-8BD9-461D0690FA0F}"/>
    <cellStyle name="Normal 7" xfId="2" xr:uid="{F5A57D8D-0C6B-4F4F-A49B-E7666B5993CF}"/>
    <cellStyle name="Percent" xfId="8" builtinId="5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Gold in Kg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454388989654281E-2"/>
          <c:y val="0.16643480332822549"/>
          <c:w val="0.92347808466778647"/>
          <c:h val="0.59444805259071332"/>
        </c:manualLayout>
      </c:layout>
      <c:lineChart>
        <c:grouping val="standard"/>
        <c:varyColors val="0"/>
        <c:ser>
          <c:idx val="6"/>
          <c:order val="0"/>
          <c:tx>
            <c:strRef>
              <c:f>'Dashboard Trend'!$C$22</c:f>
              <c:strCache>
                <c:ptCount val="1"/>
                <c:pt idx="0">
                  <c:v>FY23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Trend'!$D$22:$O$22</c:f>
              <c:numCache>
                <c:formatCode>_ * #,##0.00_ ;_ * \-#,##0.00_ ;_ * "-"??_ ;_ @_ </c:formatCode>
                <c:ptCount val="12"/>
                <c:pt idx="0">
                  <c:v>17.919999999999735</c:v>
                </c:pt>
                <c:pt idx="1">
                  <c:v>21.808000000000664</c:v>
                </c:pt>
                <c:pt idx="2">
                  <c:v>57.707000000001145</c:v>
                </c:pt>
                <c:pt idx="3">
                  <c:v>52.787000000001441</c:v>
                </c:pt>
                <c:pt idx="4">
                  <c:v>6.4529999999999115</c:v>
                </c:pt>
                <c:pt idx="5">
                  <c:v>5.4369999999999585</c:v>
                </c:pt>
                <c:pt idx="6">
                  <c:v>12.218999999999728</c:v>
                </c:pt>
                <c:pt idx="7">
                  <c:v>11.607999999999514</c:v>
                </c:pt>
                <c:pt idx="8">
                  <c:v>8.9989999999999224</c:v>
                </c:pt>
                <c:pt idx="9">
                  <c:v>13.11999999999982</c:v>
                </c:pt>
                <c:pt idx="10">
                  <c:v>14.709999999999706</c:v>
                </c:pt>
                <c:pt idx="11">
                  <c:v>12.549999999999741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2-42F7-9EFB-835539ECF576}"/>
            </c:ext>
          </c:extLst>
        </c:ser>
        <c:ser>
          <c:idx val="7"/>
          <c:order val="1"/>
          <c:tx>
            <c:strRef>
              <c:f>'Dashboard Trend'!$C$23</c:f>
              <c:strCache>
                <c:ptCount val="1"/>
                <c:pt idx="0">
                  <c:v>FY24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Trend'!$D$23:$O$23</c:f>
              <c:numCache>
                <c:formatCode>_ * #,##0.00_ ;_ * \-#,##0.00_ ;_ * "-"??_ ;_ @_ </c:formatCode>
                <c:ptCount val="12"/>
                <c:pt idx="0">
                  <c:v>17.565000000000566</c:v>
                </c:pt>
                <c:pt idx="1">
                  <c:v>21.155000000000381</c:v>
                </c:pt>
                <c:pt idx="2">
                  <c:v>11.381999999999852</c:v>
                </c:pt>
                <c:pt idx="3">
                  <c:v>42.566000000000109</c:v>
                </c:pt>
                <c:pt idx="4">
                  <c:v>27.728000000000787</c:v>
                </c:pt>
                <c:pt idx="5">
                  <c:v>6.8349999999999058</c:v>
                </c:pt>
                <c:pt idx="6">
                  <c:v>7.917999999999898</c:v>
                </c:pt>
                <c:pt idx="7">
                  <c:v>6.3819999999999633</c:v>
                </c:pt>
                <c:pt idx="8">
                  <c:v>5.639999999999981</c:v>
                </c:pt>
                <c:pt idx="9">
                  <c:v>6.5389999999999704</c:v>
                </c:pt>
                <c:pt idx="10">
                  <c:v>8.4229999999998526</c:v>
                </c:pt>
                <c:pt idx="11">
                  <c:v>5.8749999999999698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2-42F7-9EFB-835539ECF576}"/>
            </c:ext>
          </c:extLst>
        </c:ser>
        <c:ser>
          <c:idx val="8"/>
          <c:order val="2"/>
          <c:tx>
            <c:strRef>
              <c:f>'Dashboard Trend'!$C$24</c:f>
              <c:strCache>
                <c:ptCount val="1"/>
                <c:pt idx="0">
                  <c:v>FY25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Trend'!$D$24:$O$24</c:f>
              <c:numCache>
                <c:formatCode>_ * #,##0.00_ ;_ * \-#,##0.00_ ;_ * "-"??_ ;_ @_ </c:formatCode>
                <c:ptCount val="12"/>
                <c:pt idx="0">
                  <c:v>16.86</c:v>
                </c:pt>
                <c:pt idx="1">
                  <c:v>13.082000000000008</c:v>
                </c:pt>
                <c:pt idx="2">
                  <c:v>12.271000000000084</c:v>
                </c:pt>
                <c:pt idx="3">
                  <c:v>26.864999999999739</c:v>
                </c:pt>
                <c:pt idx="4">
                  <c:v>15.50599999999997</c:v>
                </c:pt>
                <c:pt idx="5">
                  <c:v>11.061000000000003</c:v>
                </c:pt>
                <c:pt idx="6">
                  <c:v>13.997999999999866</c:v>
                </c:pt>
                <c:pt idx="7">
                  <c:v>12.914999999999997</c:v>
                </c:pt>
                <c:pt idx="8">
                  <c:v>13.6</c:v>
                </c:pt>
                <c:pt idx="9">
                  <c:v>18.554000000000002</c:v>
                </c:pt>
                <c:pt idx="10">
                  <c:v>15.425262200000013</c:v>
                </c:pt>
                <c:pt idx="11">
                  <c:v>0.91433340000000018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2-42F7-9EFB-835539ECF576}"/>
            </c:ext>
          </c:extLst>
        </c:ser>
        <c:ser>
          <c:idx val="9"/>
          <c:order val="3"/>
          <c:tx>
            <c:strRef>
              <c:f>'Dashboard Trend'!$C$22</c:f>
              <c:strCache>
                <c:ptCount val="1"/>
                <c:pt idx="0">
                  <c:v>FY23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Trend'!$D$22:$O$22</c:f>
              <c:numCache>
                <c:formatCode>_ * #,##0.00_ ;_ * \-#,##0.00_ ;_ * "-"??_ ;_ @_ </c:formatCode>
                <c:ptCount val="12"/>
                <c:pt idx="0">
                  <c:v>17.919999999999735</c:v>
                </c:pt>
                <c:pt idx="1">
                  <c:v>21.808000000000664</c:v>
                </c:pt>
                <c:pt idx="2">
                  <c:v>57.707000000001145</c:v>
                </c:pt>
                <c:pt idx="3">
                  <c:v>52.787000000001441</c:v>
                </c:pt>
                <c:pt idx="4">
                  <c:v>6.4529999999999115</c:v>
                </c:pt>
                <c:pt idx="5">
                  <c:v>5.4369999999999585</c:v>
                </c:pt>
                <c:pt idx="6">
                  <c:v>12.218999999999728</c:v>
                </c:pt>
                <c:pt idx="7">
                  <c:v>11.607999999999514</c:v>
                </c:pt>
                <c:pt idx="8">
                  <c:v>8.9989999999999224</c:v>
                </c:pt>
                <c:pt idx="9">
                  <c:v>13.11999999999982</c:v>
                </c:pt>
                <c:pt idx="10">
                  <c:v>14.709999999999706</c:v>
                </c:pt>
                <c:pt idx="11">
                  <c:v>12.549999999999741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42-42F7-9EFB-835539ECF576}"/>
            </c:ext>
          </c:extLst>
        </c:ser>
        <c:ser>
          <c:idx val="10"/>
          <c:order val="4"/>
          <c:tx>
            <c:strRef>
              <c:f>'Dashboard Trend'!$C$23</c:f>
              <c:strCache>
                <c:ptCount val="1"/>
                <c:pt idx="0">
                  <c:v>FY24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Trend'!$D$23:$O$23</c:f>
              <c:numCache>
                <c:formatCode>_ * #,##0.00_ ;_ * \-#,##0.00_ ;_ * "-"??_ ;_ @_ </c:formatCode>
                <c:ptCount val="12"/>
                <c:pt idx="0">
                  <c:v>17.565000000000566</c:v>
                </c:pt>
                <c:pt idx="1">
                  <c:v>21.155000000000381</c:v>
                </c:pt>
                <c:pt idx="2">
                  <c:v>11.381999999999852</c:v>
                </c:pt>
                <c:pt idx="3">
                  <c:v>42.566000000000109</c:v>
                </c:pt>
                <c:pt idx="4">
                  <c:v>27.728000000000787</c:v>
                </c:pt>
                <c:pt idx="5">
                  <c:v>6.8349999999999058</c:v>
                </c:pt>
                <c:pt idx="6">
                  <c:v>7.917999999999898</c:v>
                </c:pt>
                <c:pt idx="7">
                  <c:v>6.3819999999999633</c:v>
                </c:pt>
                <c:pt idx="8">
                  <c:v>5.639999999999981</c:v>
                </c:pt>
                <c:pt idx="9">
                  <c:v>6.5389999999999704</c:v>
                </c:pt>
                <c:pt idx="10">
                  <c:v>8.4229999999998526</c:v>
                </c:pt>
                <c:pt idx="11">
                  <c:v>5.8749999999999698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42-42F7-9EFB-835539ECF576}"/>
            </c:ext>
          </c:extLst>
        </c:ser>
        <c:ser>
          <c:idx val="11"/>
          <c:order val="5"/>
          <c:tx>
            <c:strRef>
              <c:f>'Dashboard Trend'!$C$24</c:f>
              <c:strCache>
                <c:ptCount val="1"/>
                <c:pt idx="0">
                  <c:v>FY25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Trend'!$D$24:$O$24</c:f>
              <c:numCache>
                <c:formatCode>_ * #,##0.00_ ;_ * \-#,##0.00_ ;_ * "-"??_ ;_ @_ </c:formatCode>
                <c:ptCount val="12"/>
                <c:pt idx="0">
                  <c:v>16.86</c:v>
                </c:pt>
                <c:pt idx="1">
                  <c:v>13.082000000000008</c:v>
                </c:pt>
                <c:pt idx="2">
                  <c:v>12.271000000000084</c:v>
                </c:pt>
                <c:pt idx="3">
                  <c:v>26.864999999999739</c:v>
                </c:pt>
                <c:pt idx="4">
                  <c:v>15.50599999999997</c:v>
                </c:pt>
                <c:pt idx="5">
                  <c:v>11.061000000000003</c:v>
                </c:pt>
                <c:pt idx="6">
                  <c:v>13.997999999999866</c:v>
                </c:pt>
                <c:pt idx="7">
                  <c:v>12.914999999999997</c:v>
                </c:pt>
                <c:pt idx="8">
                  <c:v>13.6</c:v>
                </c:pt>
                <c:pt idx="9">
                  <c:v>18.554000000000002</c:v>
                </c:pt>
                <c:pt idx="10">
                  <c:v>15.425262200000013</c:v>
                </c:pt>
                <c:pt idx="11">
                  <c:v>0.91433340000000018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42-42F7-9EFB-835539ECF576}"/>
            </c:ext>
          </c:extLst>
        </c:ser>
        <c:ser>
          <c:idx val="3"/>
          <c:order val="6"/>
          <c:tx>
            <c:strRef>
              <c:f>'Dashboard Trend'!$C$22</c:f>
              <c:strCache>
                <c:ptCount val="1"/>
                <c:pt idx="0">
                  <c:v>FY23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Trend'!$D$22:$O$22</c:f>
              <c:numCache>
                <c:formatCode>_ * #,##0.00_ ;_ * \-#,##0.00_ ;_ * "-"??_ ;_ @_ </c:formatCode>
                <c:ptCount val="12"/>
                <c:pt idx="0">
                  <c:v>17.919999999999735</c:v>
                </c:pt>
                <c:pt idx="1">
                  <c:v>21.808000000000664</c:v>
                </c:pt>
                <c:pt idx="2">
                  <c:v>57.707000000001145</c:v>
                </c:pt>
                <c:pt idx="3">
                  <c:v>52.787000000001441</c:v>
                </c:pt>
                <c:pt idx="4">
                  <c:v>6.4529999999999115</c:v>
                </c:pt>
                <c:pt idx="5">
                  <c:v>5.4369999999999585</c:v>
                </c:pt>
                <c:pt idx="6">
                  <c:v>12.218999999999728</c:v>
                </c:pt>
                <c:pt idx="7">
                  <c:v>11.607999999999514</c:v>
                </c:pt>
                <c:pt idx="8">
                  <c:v>8.9989999999999224</c:v>
                </c:pt>
                <c:pt idx="9">
                  <c:v>13.11999999999982</c:v>
                </c:pt>
                <c:pt idx="10">
                  <c:v>14.709999999999706</c:v>
                </c:pt>
                <c:pt idx="11">
                  <c:v>12.549999999999741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42-42F7-9EFB-835539ECF576}"/>
            </c:ext>
          </c:extLst>
        </c:ser>
        <c:ser>
          <c:idx val="4"/>
          <c:order val="7"/>
          <c:tx>
            <c:strRef>
              <c:f>'Dashboard Trend'!$C$23</c:f>
              <c:strCache>
                <c:ptCount val="1"/>
                <c:pt idx="0">
                  <c:v>FY24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Trend'!$D$23:$O$23</c:f>
              <c:numCache>
                <c:formatCode>_ * #,##0.00_ ;_ * \-#,##0.00_ ;_ * "-"??_ ;_ @_ </c:formatCode>
                <c:ptCount val="12"/>
                <c:pt idx="0">
                  <c:v>17.565000000000566</c:v>
                </c:pt>
                <c:pt idx="1">
                  <c:v>21.155000000000381</c:v>
                </c:pt>
                <c:pt idx="2">
                  <c:v>11.381999999999852</c:v>
                </c:pt>
                <c:pt idx="3">
                  <c:v>42.566000000000109</c:v>
                </c:pt>
                <c:pt idx="4">
                  <c:v>27.728000000000787</c:v>
                </c:pt>
                <c:pt idx="5">
                  <c:v>6.8349999999999058</c:v>
                </c:pt>
                <c:pt idx="6">
                  <c:v>7.917999999999898</c:v>
                </c:pt>
                <c:pt idx="7">
                  <c:v>6.3819999999999633</c:v>
                </c:pt>
                <c:pt idx="8">
                  <c:v>5.639999999999981</c:v>
                </c:pt>
                <c:pt idx="9">
                  <c:v>6.5389999999999704</c:v>
                </c:pt>
                <c:pt idx="10">
                  <c:v>8.4229999999998526</c:v>
                </c:pt>
                <c:pt idx="11">
                  <c:v>5.8749999999999698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42-42F7-9EFB-835539ECF576}"/>
            </c:ext>
          </c:extLst>
        </c:ser>
        <c:ser>
          <c:idx val="5"/>
          <c:order val="8"/>
          <c:tx>
            <c:strRef>
              <c:f>'Dashboard Trend'!$C$24</c:f>
              <c:strCache>
                <c:ptCount val="1"/>
                <c:pt idx="0">
                  <c:v>FY25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Trend'!$D$24:$O$24</c:f>
              <c:numCache>
                <c:formatCode>_ * #,##0.00_ ;_ * \-#,##0.00_ ;_ * "-"??_ ;_ @_ </c:formatCode>
                <c:ptCount val="12"/>
                <c:pt idx="0">
                  <c:v>16.86</c:v>
                </c:pt>
                <c:pt idx="1">
                  <c:v>13.082000000000008</c:v>
                </c:pt>
                <c:pt idx="2">
                  <c:v>12.271000000000084</c:v>
                </c:pt>
                <c:pt idx="3">
                  <c:v>26.864999999999739</c:v>
                </c:pt>
                <c:pt idx="4">
                  <c:v>15.50599999999997</c:v>
                </c:pt>
                <c:pt idx="5">
                  <c:v>11.061000000000003</c:v>
                </c:pt>
                <c:pt idx="6">
                  <c:v>13.997999999999866</c:v>
                </c:pt>
                <c:pt idx="7">
                  <c:v>12.914999999999997</c:v>
                </c:pt>
                <c:pt idx="8">
                  <c:v>13.6</c:v>
                </c:pt>
                <c:pt idx="9">
                  <c:v>18.554000000000002</c:v>
                </c:pt>
                <c:pt idx="10">
                  <c:v>15.425262200000013</c:v>
                </c:pt>
                <c:pt idx="11">
                  <c:v>0.91433340000000018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42-42F7-9EFB-835539ECF576}"/>
            </c:ext>
          </c:extLst>
        </c:ser>
        <c:ser>
          <c:idx val="0"/>
          <c:order val="9"/>
          <c:tx>
            <c:strRef>
              <c:f>'Dashboard Trend'!$C$22</c:f>
              <c:strCache>
                <c:ptCount val="1"/>
                <c:pt idx="0">
                  <c:v>FY23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268391469950361E-2"/>
                  <c:y val="-3.6758073506875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42-42F7-9EFB-835539ECF576}"/>
                </c:ext>
              </c:extLst>
            </c:dLbl>
            <c:dLbl>
              <c:idx val="1"/>
              <c:layout>
                <c:manualLayout>
                  <c:x val="-5.3545964751591554E-2"/>
                  <c:y val="-3.67579507107066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42-42F7-9EFB-835539ECF576}"/>
                </c:ext>
              </c:extLst>
            </c:dLbl>
            <c:dLbl>
              <c:idx val="2"/>
              <c:layout>
                <c:manualLayout>
                  <c:x val="-3.3070866141732283E-2"/>
                  <c:y val="-3.48043277632690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42-42F7-9EFB-835539ECF576}"/>
                </c:ext>
              </c:extLst>
            </c:dLbl>
            <c:dLbl>
              <c:idx val="3"/>
              <c:layout>
                <c:manualLayout>
                  <c:x val="-1.0826176257919996E-2"/>
                  <c:y val="-4.4120257695060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42-42F7-9EFB-835539ECF576}"/>
                </c:ext>
              </c:extLst>
            </c:dLbl>
            <c:dLbl>
              <c:idx val="4"/>
              <c:layout>
                <c:manualLayout>
                  <c:x val="-1.049643435248764E-2"/>
                  <c:y val="-2.6051480010143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42-42F7-9EFB-835539ECF576}"/>
                </c:ext>
              </c:extLst>
            </c:dLbl>
            <c:dLbl>
              <c:idx val="5"/>
              <c:layout>
                <c:manualLayout>
                  <c:x val="-4.6413593715511847E-2"/>
                  <c:y val="2.6122439528485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242-42F7-9EFB-835539ECF576}"/>
                </c:ext>
              </c:extLst>
            </c:dLbl>
            <c:dLbl>
              <c:idx val="6"/>
              <c:layout>
                <c:manualLayout>
                  <c:x val="-4.9125756563478132E-2"/>
                  <c:y val="6.2238178776875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42-42F7-9EFB-835539ECF576}"/>
                </c:ext>
              </c:extLst>
            </c:dLbl>
            <c:dLbl>
              <c:idx val="7"/>
              <c:layout>
                <c:manualLayout>
                  <c:x val="-4.3498490242827113E-2"/>
                  <c:y val="7.0168728908886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242-42F7-9EFB-835539ECF576}"/>
                </c:ext>
              </c:extLst>
            </c:dLbl>
            <c:dLbl>
              <c:idx val="8"/>
              <c:layout>
                <c:manualLayout>
                  <c:x val="-3.6865526598174658E-2"/>
                  <c:y val="5.4584313324470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42-42F7-9EFB-835539ECF576}"/>
                </c:ext>
              </c:extLst>
            </c:dLbl>
            <c:dLbl>
              <c:idx val="9"/>
              <c:layout>
                <c:manualLayout>
                  <c:x val="-3.0246245261009042E-2"/>
                  <c:y val="1.8039116078232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242-42F7-9EFB-835539ECF576}"/>
                </c:ext>
              </c:extLst>
            </c:dLbl>
            <c:dLbl>
              <c:idx val="10"/>
              <c:layout>
                <c:manualLayout>
                  <c:x val="-6.248086176727892E-2"/>
                  <c:y val="-3.89221911777156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42-42F7-9EFB-835539ECF576}"/>
                </c:ext>
              </c:extLst>
            </c:dLbl>
            <c:dLbl>
              <c:idx val="11"/>
              <c:layout>
                <c:manualLayout>
                  <c:x val="-1.9493657042869643E-2"/>
                  <c:y val="-3.3364236728473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242-42F7-9EFB-835539ECF57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Trend'!$D$22:$O$22</c:f>
              <c:numCache>
                <c:formatCode>_ * #,##0.00_ ;_ * \-#,##0.00_ ;_ * "-"??_ ;_ @_ </c:formatCode>
                <c:ptCount val="12"/>
                <c:pt idx="0">
                  <c:v>17.919999999999735</c:v>
                </c:pt>
                <c:pt idx="1">
                  <c:v>21.808000000000664</c:v>
                </c:pt>
                <c:pt idx="2">
                  <c:v>57.707000000001145</c:v>
                </c:pt>
                <c:pt idx="3">
                  <c:v>52.787000000001441</c:v>
                </c:pt>
                <c:pt idx="4">
                  <c:v>6.4529999999999115</c:v>
                </c:pt>
                <c:pt idx="5">
                  <c:v>5.4369999999999585</c:v>
                </c:pt>
                <c:pt idx="6">
                  <c:v>12.218999999999728</c:v>
                </c:pt>
                <c:pt idx="7">
                  <c:v>11.607999999999514</c:v>
                </c:pt>
                <c:pt idx="8">
                  <c:v>8.9989999999999224</c:v>
                </c:pt>
                <c:pt idx="9">
                  <c:v>13.11999999999982</c:v>
                </c:pt>
                <c:pt idx="10">
                  <c:v>14.709999999999706</c:v>
                </c:pt>
                <c:pt idx="11">
                  <c:v>12.549999999999741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242-42F7-9EFB-835539ECF576}"/>
            </c:ext>
          </c:extLst>
        </c:ser>
        <c:ser>
          <c:idx val="1"/>
          <c:order val="10"/>
          <c:tx>
            <c:strRef>
              <c:f>'Dashboard Trend'!$C$23</c:f>
              <c:strCache>
                <c:ptCount val="1"/>
                <c:pt idx="0">
                  <c:v>FY24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125838436862065E-2"/>
                  <c:y val="1.5913555160443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242-42F7-9EFB-835539ECF576}"/>
                </c:ext>
              </c:extLst>
            </c:dLbl>
            <c:dLbl>
              <c:idx val="1"/>
              <c:layout>
                <c:manualLayout>
                  <c:x val="-3.5412169063792173E-2"/>
                  <c:y val="3.0305757792669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242-42F7-9EFB-835539ECF576}"/>
                </c:ext>
              </c:extLst>
            </c:dLbl>
            <c:dLbl>
              <c:idx val="2"/>
              <c:layout>
                <c:manualLayout>
                  <c:x val="-2.9774463186827485E-2"/>
                  <c:y val="2.5237157272636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242-42F7-9EFB-835539ECF576}"/>
                </c:ext>
              </c:extLst>
            </c:dLbl>
            <c:dLbl>
              <c:idx val="3"/>
              <c:layout>
                <c:manualLayout>
                  <c:x val="-4.7083268084331074E-2"/>
                  <c:y val="-2.3822476735862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242-42F7-9EFB-835539ECF576}"/>
                </c:ext>
              </c:extLst>
            </c:dLbl>
            <c:dLbl>
              <c:idx val="4"/>
              <c:layout>
                <c:manualLayout>
                  <c:x val="-2.2422222085181139E-2"/>
                  <c:y val="-3.7563116070990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242-42F7-9EFB-835539ECF576}"/>
                </c:ext>
              </c:extLst>
            </c:dLbl>
            <c:dLbl>
              <c:idx val="5"/>
              <c:layout>
                <c:manualLayout>
                  <c:x val="-8.361499050380021E-3"/>
                  <c:y val="2.86578155764919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242-42F7-9EFB-835539ECF576}"/>
                </c:ext>
              </c:extLst>
            </c:dLbl>
            <c:dLbl>
              <c:idx val="6"/>
              <c:layout>
                <c:manualLayout>
                  <c:x val="-4.1766190709415611E-3"/>
                  <c:y val="4.0688436389341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242-42F7-9EFB-835539ECF576}"/>
                </c:ext>
              </c:extLst>
            </c:dLbl>
            <c:dLbl>
              <c:idx val="7"/>
              <c:layout>
                <c:manualLayout>
                  <c:x val="-2.5053545704091522E-3"/>
                  <c:y val="3.1259637999795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42-42F7-9EFB-835539ECF576}"/>
                </c:ext>
              </c:extLst>
            </c:dLbl>
            <c:dLbl>
              <c:idx val="8"/>
              <c:layout>
                <c:manualLayout>
                  <c:x val="-4.4248950144335749E-3"/>
                  <c:y val="3.0794559770937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242-42F7-9EFB-835539ECF576}"/>
                </c:ext>
              </c:extLst>
            </c:dLbl>
            <c:dLbl>
              <c:idx val="9"/>
              <c:layout>
                <c:manualLayout>
                  <c:x val="-3.4758518224102281E-2"/>
                  <c:y val="3.07945636045642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242-42F7-9EFB-835539ECF576}"/>
                </c:ext>
              </c:extLst>
            </c:dLbl>
            <c:dLbl>
              <c:idx val="10"/>
              <c:layout>
                <c:manualLayout>
                  <c:x val="-5.3165828229804611E-2"/>
                  <c:y val="3.55376344086020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242-42F7-9EFB-835539ECF576}"/>
                </c:ext>
              </c:extLst>
            </c:dLbl>
            <c:dLbl>
              <c:idx val="11"/>
              <c:layout>
                <c:manualLayout>
                  <c:x val="-3.4647264335169181E-2"/>
                  <c:y val="3.2149708559157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242-42F7-9EFB-835539ECF57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Trend'!$D$23:$O$23</c:f>
              <c:numCache>
                <c:formatCode>_ * #,##0.00_ ;_ * \-#,##0.00_ ;_ * "-"??_ ;_ @_ </c:formatCode>
                <c:ptCount val="12"/>
                <c:pt idx="0">
                  <c:v>17.565000000000566</c:v>
                </c:pt>
                <c:pt idx="1">
                  <c:v>21.155000000000381</c:v>
                </c:pt>
                <c:pt idx="2">
                  <c:v>11.381999999999852</c:v>
                </c:pt>
                <c:pt idx="3">
                  <c:v>42.566000000000109</c:v>
                </c:pt>
                <c:pt idx="4">
                  <c:v>27.728000000000787</c:v>
                </c:pt>
                <c:pt idx="5">
                  <c:v>6.8349999999999058</c:v>
                </c:pt>
                <c:pt idx="6">
                  <c:v>7.917999999999898</c:v>
                </c:pt>
                <c:pt idx="7">
                  <c:v>6.3819999999999633</c:v>
                </c:pt>
                <c:pt idx="8">
                  <c:v>5.639999999999981</c:v>
                </c:pt>
                <c:pt idx="9">
                  <c:v>6.5389999999999704</c:v>
                </c:pt>
                <c:pt idx="10">
                  <c:v>8.4229999999998526</c:v>
                </c:pt>
                <c:pt idx="11">
                  <c:v>5.8749999999999698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242-42F7-9EFB-835539ECF576}"/>
            </c:ext>
          </c:extLst>
        </c:ser>
        <c:ser>
          <c:idx val="2"/>
          <c:order val="11"/>
          <c:tx>
            <c:strRef>
              <c:f>'Dashboard Trend'!$C$24</c:f>
              <c:strCache>
                <c:ptCount val="1"/>
                <c:pt idx="0">
                  <c:v>FY25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92774119196823E-2"/>
                  <c:y val="5.90902787247414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242-42F7-9EFB-835539ECF576}"/>
                </c:ext>
              </c:extLst>
            </c:dLbl>
            <c:dLbl>
              <c:idx val="1"/>
              <c:layout>
                <c:manualLayout>
                  <c:x val="-4.0114619214195686E-2"/>
                  <c:y val="3.43417869240845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242-42F7-9EFB-835539ECF576}"/>
                </c:ext>
              </c:extLst>
            </c:dLbl>
            <c:dLbl>
              <c:idx val="2"/>
              <c:layout>
                <c:manualLayout>
                  <c:x val="-5.5155371483240616E-2"/>
                  <c:y val="-4.6643215052663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242-42F7-9EFB-835539ECF576}"/>
                </c:ext>
              </c:extLst>
            </c:dLbl>
            <c:dLbl>
              <c:idx val="3"/>
              <c:layout>
                <c:manualLayout>
                  <c:x val="-3.505734946601835E-2"/>
                  <c:y val="-2.7019530780709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242-42F7-9EFB-835539ECF576}"/>
                </c:ext>
              </c:extLst>
            </c:dLbl>
            <c:dLbl>
              <c:idx val="4"/>
              <c:layout>
                <c:manualLayout>
                  <c:x val="-3.8614570104997421E-2"/>
                  <c:y val="-4.0108425790257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242-42F7-9EFB-835539ECF576}"/>
                </c:ext>
              </c:extLst>
            </c:dLbl>
            <c:dLbl>
              <c:idx val="5"/>
              <c:layout>
                <c:manualLayout>
                  <c:x val="-2.0105741955755464E-2"/>
                  <c:y val="-3.6831469901876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242-42F7-9EFB-835539ECF576}"/>
                </c:ext>
              </c:extLst>
            </c:dLbl>
            <c:dLbl>
              <c:idx val="6"/>
              <c:layout>
                <c:manualLayout>
                  <c:x val="-4.2816057218386661E-2"/>
                  <c:y val="-3.7718983313614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242-42F7-9EFB-835539ECF576}"/>
                </c:ext>
              </c:extLst>
            </c:dLbl>
            <c:dLbl>
              <c:idx val="7"/>
              <c:layout>
                <c:manualLayout>
                  <c:x val="-3.771550643145561E-2"/>
                  <c:y val="-3.9073933940075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242-42F7-9EFB-835539ECF576}"/>
                </c:ext>
              </c:extLst>
            </c:dLbl>
            <c:dLbl>
              <c:idx val="8"/>
              <c:layout>
                <c:manualLayout>
                  <c:x val="-4.9246761501996208E-2"/>
                  <c:y val="-4.938950812966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242-42F7-9EFB-835539ECF576}"/>
                </c:ext>
              </c:extLst>
            </c:dLbl>
            <c:dLbl>
              <c:idx val="9"/>
              <c:layout>
                <c:manualLayout>
                  <c:x val="-4.9812990105808148E-2"/>
                  <c:y val="-4.9389508129665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242-42F7-9EFB-835539ECF576}"/>
                </c:ext>
              </c:extLst>
            </c:dLbl>
            <c:dLbl>
              <c:idx val="10"/>
              <c:layout>
                <c:manualLayout>
                  <c:x val="-1.7019721493146692E-2"/>
                  <c:y val="-5.6491829650325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242-42F7-9EFB-835539ECF5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Trend'!$D$24:$O$24</c:f>
              <c:numCache>
                <c:formatCode>_ * #,##0.00_ ;_ * \-#,##0.00_ ;_ * "-"??_ ;_ @_ </c:formatCode>
                <c:ptCount val="12"/>
                <c:pt idx="0">
                  <c:v>16.86</c:v>
                </c:pt>
                <c:pt idx="1">
                  <c:v>13.082000000000008</c:v>
                </c:pt>
                <c:pt idx="2">
                  <c:v>12.271000000000084</c:v>
                </c:pt>
                <c:pt idx="3">
                  <c:v>26.864999999999739</c:v>
                </c:pt>
                <c:pt idx="4">
                  <c:v>15.50599999999997</c:v>
                </c:pt>
                <c:pt idx="5">
                  <c:v>11.061000000000003</c:v>
                </c:pt>
                <c:pt idx="6">
                  <c:v>13.997999999999866</c:v>
                </c:pt>
                <c:pt idx="7">
                  <c:v>12.914999999999997</c:v>
                </c:pt>
                <c:pt idx="8">
                  <c:v>13.6</c:v>
                </c:pt>
                <c:pt idx="9">
                  <c:v>18.554000000000002</c:v>
                </c:pt>
                <c:pt idx="10">
                  <c:v>15.425262200000013</c:v>
                </c:pt>
                <c:pt idx="11">
                  <c:v>0.91433340000000018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242-42F7-9EFB-835539ECF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46368"/>
        <c:axId val="1799446848"/>
      </c:lineChart>
      <c:catAx>
        <c:axId val="17994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6848"/>
        <c:crosses val="autoZero"/>
        <c:auto val="1"/>
        <c:lblAlgn val="ctr"/>
        <c:lblOffset val="100"/>
        <c:noMultiLvlLbl val="0"/>
      </c:catAx>
      <c:valAx>
        <c:axId val="1799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6368"/>
        <c:crosses val="autoZero"/>
        <c:crossBetween val="between"/>
      </c:valAx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2627803143202439"/>
          <c:y val="0.89409667541557303"/>
          <c:w val="0.46639021866168773"/>
          <c:h val="9.1520598987967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Sliver in Kg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'Dashboard Trend'!$C$25</c:f>
              <c:strCache>
                <c:ptCount val="1"/>
                <c:pt idx="0">
                  <c:v>FY23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Trend'!$D$25:$O$25</c:f>
              <c:numCache>
                <c:formatCode>_ * #,##0.00_ ;_ * \-#,##0.00_ ;_ * "-"??_ ;_ @_ </c:formatCode>
                <c:ptCount val="12"/>
                <c:pt idx="0">
                  <c:v>100.58799999999984</c:v>
                </c:pt>
                <c:pt idx="1">
                  <c:v>150.70199999999915</c:v>
                </c:pt>
                <c:pt idx="2">
                  <c:v>163.79900000000009</c:v>
                </c:pt>
                <c:pt idx="3">
                  <c:v>313.76400000000086</c:v>
                </c:pt>
                <c:pt idx="4">
                  <c:v>47.111999999999981</c:v>
                </c:pt>
                <c:pt idx="5">
                  <c:v>39.128</c:v>
                </c:pt>
                <c:pt idx="6">
                  <c:v>48.926999999999985</c:v>
                </c:pt>
                <c:pt idx="7">
                  <c:v>43.178000000000047</c:v>
                </c:pt>
                <c:pt idx="8">
                  <c:v>103.26199999999982</c:v>
                </c:pt>
                <c:pt idx="9">
                  <c:v>77.089000000000112</c:v>
                </c:pt>
                <c:pt idx="10">
                  <c:v>79.257000000000062</c:v>
                </c:pt>
                <c:pt idx="11">
                  <c:v>61.481000000000108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9-4982-B2F7-24FB3907379D}"/>
            </c:ext>
          </c:extLst>
        </c:ser>
        <c:ser>
          <c:idx val="7"/>
          <c:order val="1"/>
          <c:tx>
            <c:strRef>
              <c:f>'Dashboard Trend'!$C$26</c:f>
              <c:strCache>
                <c:ptCount val="1"/>
                <c:pt idx="0">
                  <c:v>FY24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Trend'!$D$26:$O$26</c:f>
              <c:numCache>
                <c:formatCode>_ * #,##0.00_ ;_ * \-#,##0.00_ ;_ * "-"??_ ;_ @_ </c:formatCode>
                <c:ptCount val="12"/>
                <c:pt idx="0">
                  <c:v>76.405000000000101</c:v>
                </c:pt>
                <c:pt idx="1">
                  <c:v>96.480999999999938</c:v>
                </c:pt>
                <c:pt idx="2">
                  <c:v>96.092000000000255</c:v>
                </c:pt>
                <c:pt idx="3">
                  <c:v>235.91899999999845</c:v>
                </c:pt>
                <c:pt idx="4">
                  <c:v>264.03599999999733</c:v>
                </c:pt>
                <c:pt idx="5">
                  <c:v>56.811000000000107</c:v>
                </c:pt>
                <c:pt idx="6">
                  <c:v>72.607000000000113</c:v>
                </c:pt>
                <c:pt idx="7">
                  <c:v>73.620000000000061</c:v>
                </c:pt>
                <c:pt idx="8">
                  <c:v>59.937000000000168</c:v>
                </c:pt>
                <c:pt idx="9">
                  <c:v>92.489999999999895</c:v>
                </c:pt>
                <c:pt idx="10">
                  <c:v>94.64200000000001</c:v>
                </c:pt>
                <c:pt idx="11">
                  <c:v>78.2590000000001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9-4982-B2F7-24FB3907379D}"/>
            </c:ext>
          </c:extLst>
        </c:ser>
        <c:ser>
          <c:idx val="8"/>
          <c:order val="2"/>
          <c:tx>
            <c:strRef>
              <c:f>'Dashboard Trend'!$C$27</c:f>
              <c:strCache>
                <c:ptCount val="1"/>
                <c:pt idx="0">
                  <c:v>FY25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Trend'!$D$27:$O$27</c:f>
              <c:numCache>
                <c:formatCode>_ * #,##0.00_ ;_ * \-#,##0.00_ ;_ * "-"??_ ;_ @_ </c:formatCode>
                <c:ptCount val="12"/>
                <c:pt idx="0">
                  <c:v>103.52999999999997</c:v>
                </c:pt>
                <c:pt idx="1">
                  <c:v>113.09099999999992</c:v>
                </c:pt>
                <c:pt idx="2">
                  <c:v>112.35999999999871</c:v>
                </c:pt>
                <c:pt idx="3">
                  <c:v>406.5099999999992</c:v>
                </c:pt>
                <c:pt idx="4">
                  <c:v>233.30000000000021</c:v>
                </c:pt>
                <c:pt idx="5">
                  <c:v>123.2500000000001</c:v>
                </c:pt>
                <c:pt idx="6">
                  <c:v>103.06999999999995</c:v>
                </c:pt>
                <c:pt idx="7">
                  <c:v>123.01600000000005</c:v>
                </c:pt>
                <c:pt idx="8">
                  <c:v>139.51</c:v>
                </c:pt>
                <c:pt idx="9">
                  <c:v>288.07799999999992</c:v>
                </c:pt>
                <c:pt idx="10">
                  <c:v>182.1050000000003</c:v>
                </c:pt>
                <c:pt idx="11">
                  <c:v>12.935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89-4982-B2F7-24FB3907379D}"/>
            </c:ext>
          </c:extLst>
        </c:ser>
        <c:ser>
          <c:idx val="9"/>
          <c:order val="3"/>
          <c:tx>
            <c:strRef>
              <c:f>'Dashboard Trend'!$C$25</c:f>
              <c:strCache>
                <c:ptCount val="1"/>
                <c:pt idx="0">
                  <c:v>FY23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Trend'!$D$25:$O$25</c:f>
              <c:numCache>
                <c:formatCode>_ * #,##0.00_ ;_ * \-#,##0.00_ ;_ * "-"??_ ;_ @_ </c:formatCode>
                <c:ptCount val="12"/>
                <c:pt idx="0">
                  <c:v>100.58799999999984</c:v>
                </c:pt>
                <c:pt idx="1">
                  <c:v>150.70199999999915</c:v>
                </c:pt>
                <c:pt idx="2">
                  <c:v>163.79900000000009</c:v>
                </c:pt>
                <c:pt idx="3">
                  <c:v>313.76400000000086</c:v>
                </c:pt>
                <c:pt idx="4">
                  <c:v>47.111999999999981</c:v>
                </c:pt>
                <c:pt idx="5">
                  <c:v>39.128</c:v>
                </c:pt>
                <c:pt idx="6">
                  <c:v>48.926999999999985</c:v>
                </c:pt>
                <c:pt idx="7">
                  <c:v>43.178000000000047</c:v>
                </c:pt>
                <c:pt idx="8">
                  <c:v>103.26199999999982</c:v>
                </c:pt>
                <c:pt idx="9">
                  <c:v>77.089000000000112</c:v>
                </c:pt>
                <c:pt idx="10">
                  <c:v>79.257000000000062</c:v>
                </c:pt>
                <c:pt idx="11">
                  <c:v>61.481000000000108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89-4982-B2F7-24FB3907379D}"/>
            </c:ext>
          </c:extLst>
        </c:ser>
        <c:ser>
          <c:idx val="10"/>
          <c:order val="4"/>
          <c:tx>
            <c:strRef>
              <c:f>'Dashboard Trend'!$C$26</c:f>
              <c:strCache>
                <c:ptCount val="1"/>
                <c:pt idx="0">
                  <c:v>FY24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Trend'!$D$26:$O$26</c:f>
              <c:numCache>
                <c:formatCode>_ * #,##0.00_ ;_ * \-#,##0.00_ ;_ * "-"??_ ;_ @_ </c:formatCode>
                <c:ptCount val="12"/>
                <c:pt idx="0">
                  <c:v>76.405000000000101</c:v>
                </c:pt>
                <c:pt idx="1">
                  <c:v>96.480999999999938</c:v>
                </c:pt>
                <c:pt idx="2">
                  <c:v>96.092000000000255</c:v>
                </c:pt>
                <c:pt idx="3">
                  <c:v>235.91899999999845</c:v>
                </c:pt>
                <c:pt idx="4">
                  <c:v>264.03599999999733</c:v>
                </c:pt>
                <c:pt idx="5">
                  <c:v>56.811000000000107</c:v>
                </c:pt>
                <c:pt idx="6">
                  <c:v>72.607000000000113</c:v>
                </c:pt>
                <c:pt idx="7">
                  <c:v>73.620000000000061</c:v>
                </c:pt>
                <c:pt idx="8">
                  <c:v>59.937000000000168</c:v>
                </c:pt>
                <c:pt idx="9">
                  <c:v>92.489999999999895</c:v>
                </c:pt>
                <c:pt idx="10">
                  <c:v>94.64200000000001</c:v>
                </c:pt>
                <c:pt idx="11">
                  <c:v>78.2590000000001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89-4982-B2F7-24FB3907379D}"/>
            </c:ext>
          </c:extLst>
        </c:ser>
        <c:ser>
          <c:idx val="11"/>
          <c:order val="5"/>
          <c:tx>
            <c:strRef>
              <c:f>'Dashboard Trend'!$C$27</c:f>
              <c:strCache>
                <c:ptCount val="1"/>
                <c:pt idx="0">
                  <c:v>FY25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Trend'!$D$27:$O$27</c:f>
              <c:numCache>
                <c:formatCode>_ * #,##0.00_ ;_ * \-#,##0.00_ ;_ * "-"??_ ;_ @_ </c:formatCode>
                <c:ptCount val="12"/>
                <c:pt idx="0">
                  <c:v>103.52999999999997</c:v>
                </c:pt>
                <c:pt idx="1">
                  <c:v>113.09099999999992</c:v>
                </c:pt>
                <c:pt idx="2">
                  <c:v>112.35999999999871</c:v>
                </c:pt>
                <c:pt idx="3">
                  <c:v>406.5099999999992</c:v>
                </c:pt>
                <c:pt idx="4">
                  <c:v>233.30000000000021</c:v>
                </c:pt>
                <c:pt idx="5">
                  <c:v>123.2500000000001</c:v>
                </c:pt>
                <c:pt idx="6">
                  <c:v>103.06999999999995</c:v>
                </c:pt>
                <c:pt idx="7">
                  <c:v>123.01600000000005</c:v>
                </c:pt>
                <c:pt idx="8">
                  <c:v>139.51</c:v>
                </c:pt>
                <c:pt idx="9">
                  <c:v>288.07799999999992</c:v>
                </c:pt>
                <c:pt idx="10">
                  <c:v>182.1050000000003</c:v>
                </c:pt>
                <c:pt idx="11">
                  <c:v>12.935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89-4982-B2F7-24FB3907379D}"/>
            </c:ext>
          </c:extLst>
        </c:ser>
        <c:ser>
          <c:idx val="3"/>
          <c:order val="6"/>
          <c:tx>
            <c:strRef>
              <c:f>'Dashboard Trend'!$C$25</c:f>
              <c:strCache>
                <c:ptCount val="1"/>
                <c:pt idx="0">
                  <c:v>FY23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Trend'!$D$25:$O$25</c:f>
              <c:numCache>
                <c:formatCode>_ * #,##0.00_ ;_ * \-#,##0.00_ ;_ * "-"??_ ;_ @_ </c:formatCode>
                <c:ptCount val="12"/>
                <c:pt idx="0">
                  <c:v>100.58799999999984</c:v>
                </c:pt>
                <c:pt idx="1">
                  <c:v>150.70199999999915</c:v>
                </c:pt>
                <c:pt idx="2">
                  <c:v>163.79900000000009</c:v>
                </c:pt>
                <c:pt idx="3">
                  <c:v>313.76400000000086</c:v>
                </c:pt>
                <c:pt idx="4">
                  <c:v>47.111999999999981</c:v>
                </c:pt>
                <c:pt idx="5">
                  <c:v>39.128</c:v>
                </c:pt>
                <c:pt idx="6">
                  <c:v>48.926999999999985</c:v>
                </c:pt>
                <c:pt idx="7">
                  <c:v>43.178000000000047</c:v>
                </c:pt>
                <c:pt idx="8">
                  <c:v>103.26199999999982</c:v>
                </c:pt>
                <c:pt idx="9">
                  <c:v>77.089000000000112</c:v>
                </c:pt>
                <c:pt idx="10">
                  <c:v>79.257000000000062</c:v>
                </c:pt>
                <c:pt idx="11">
                  <c:v>61.481000000000108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89-4982-B2F7-24FB3907379D}"/>
            </c:ext>
          </c:extLst>
        </c:ser>
        <c:ser>
          <c:idx val="4"/>
          <c:order val="7"/>
          <c:tx>
            <c:strRef>
              <c:f>'Dashboard Trend'!$C$26</c:f>
              <c:strCache>
                <c:ptCount val="1"/>
                <c:pt idx="0">
                  <c:v>FY24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Trend'!$D$26:$O$26</c:f>
              <c:numCache>
                <c:formatCode>_ * #,##0.00_ ;_ * \-#,##0.00_ ;_ * "-"??_ ;_ @_ </c:formatCode>
                <c:ptCount val="12"/>
                <c:pt idx="0">
                  <c:v>76.405000000000101</c:v>
                </c:pt>
                <c:pt idx="1">
                  <c:v>96.480999999999938</c:v>
                </c:pt>
                <c:pt idx="2">
                  <c:v>96.092000000000255</c:v>
                </c:pt>
                <c:pt idx="3">
                  <c:v>235.91899999999845</c:v>
                </c:pt>
                <c:pt idx="4">
                  <c:v>264.03599999999733</c:v>
                </c:pt>
                <c:pt idx="5">
                  <c:v>56.811000000000107</c:v>
                </c:pt>
                <c:pt idx="6">
                  <c:v>72.607000000000113</c:v>
                </c:pt>
                <c:pt idx="7">
                  <c:v>73.620000000000061</c:v>
                </c:pt>
                <c:pt idx="8">
                  <c:v>59.937000000000168</c:v>
                </c:pt>
                <c:pt idx="9">
                  <c:v>92.489999999999895</c:v>
                </c:pt>
                <c:pt idx="10">
                  <c:v>94.64200000000001</c:v>
                </c:pt>
                <c:pt idx="11">
                  <c:v>78.2590000000001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89-4982-B2F7-24FB3907379D}"/>
            </c:ext>
          </c:extLst>
        </c:ser>
        <c:ser>
          <c:idx val="5"/>
          <c:order val="8"/>
          <c:tx>
            <c:strRef>
              <c:f>'Dashboard Trend'!$C$27</c:f>
              <c:strCache>
                <c:ptCount val="1"/>
                <c:pt idx="0">
                  <c:v>FY25</c:v>
                </c:pt>
              </c:strCache>
            </c:strRef>
          </c:tx>
          <c:marker>
            <c:symbol val="none"/>
          </c:marker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Trend'!$D$27:$O$27</c:f>
              <c:numCache>
                <c:formatCode>_ * #,##0.00_ ;_ * \-#,##0.00_ ;_ * "-"??_ ;_ @_ </c:formatCode>
                <c:ptCount val="12"/>
                <c:pt idx="0">
                  <c:v>103.52999999999997</c:v>
                </c:pt>
                <c:pt idx="1">
                  <c:v>113.09099999999992</c:v>
                </c:pt>
                <c:pt idx="2">
                  <c:v>112.35999999999871</c:v>
                </c:pt>
                <c:pt idx="3">
                  <c:v>406.5099999999992</c:v>
                </c:pt>
                <c:pt idx="4">
                  <c:v>233.30000000000021</c:v>
                </c:pt>
                <c:pt idx="5">
                  <c:v>123.2500000000001</c:v>
                </c:pt>
                <c:pt idx="6">
                  <c:v>103.06999999999995</c:v>
                </c:pt>
                <c:pt idx="7">
                  <c:v>123.01600000000005</c:v>
                </c:pt>
                <c:pt idx="8">
                  <c:v>139.51</c:v>
                </c:pt>
                <c:pt idx="9">
                  <c:v>288.07799999999992</c:v>
                </c:pt>
                <c:pt idx="10">
                  <c:v>182.1050000000003</c:v>
                </c:pt>
                <c:pt idx="11">
                  <c:v>12.935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89-4982-B2F7-24FB3907379D}"/>
            </c:ext>
          </c:extLst>
        </c:ser>
        <c:ser>
          <c:idx val="0"/>
          <c:order val="9"/>
          <c:tx>
            <c:strRef>
              <c:f>'Dashboard Trend'!$C$25</c:f>
              <c:strCache>
                <c:ptCount val="1"/>
                <c:pt idx="0">
                  <c:v>FY23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1571362568442987E-2"/>
                  <c:y val="2.4446143261218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89-4982-B2F7-24FB3907379D}"/>
                </c:ext>
              </c:extLst>
            </c:dLbl>
            <c:dLbl>
              <c:idx val="1"/>
              <c:layout>
                <c:manualLayout>
                  <c:x val="-4.1853657005545372E-2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289-4982-B2F7-24FB3907379D}"/>
                </c:ext>
              </c:extLst>
            </c:dLbl>
            <c:dLbl>
              <c:idx val="2"/>
              <c:layout>
                <c:manualLayout>
                  <c:x val="-5.3932634496323281E-2"/>
                  <c:y val="-3.93172207640712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89-4982-B2F7-24FB3907379D}"/>
                </c:ext>
              </c:extLst>
            </c:dLbl>
            <c:dLbl>
              <c:idx val="3"/>
              <c:layout>
                <c:manualLayout>
                  <c:x val="-3.0048008407442459E-2"/>
                  <c:y val="-1.8725632596896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89-4982-B2F7-24FB3907379D}"/>
                </c:ext>
              </c:extLst>
            </c:dLbl>
            <c:dLbl>
              <c:idx val="4"/>
              <c:layout>
                <c:manualLayout>
                  <c:x val="-4.9693502803512327E-2"/>
                  <c:y val="1.7402567326143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89-4982-B2F7-24FB3907379D}"/>
                </c:ext>
              </c:extLst>
            </c:dLbl>
            <c:dLbl>
              <c:idx val="5"/>
              <c:layout>
                <c:manualLayout>
                  <c:x val="-6.1934347937793836E-2"/>
                  <c:y val="2.5769867001918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289-4982-B2F7-24FB3907379D}"/>
                </c:ext>
              </c:extLst>
            </c:dLbl>
            <c:dLbl>
              <c:idx val="6"/>
              <c:layout>
                <c:manualLayout>
                  <c:x val="-5.1180119339015208E-2"/>
                  <c:y val="3.1589710266799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89-4982-B2F7-24FB3907379D}"/>
                </c:ext>
              </c:extLst>
            </c:dLbl>
            <c:dLbl>
              <c:idx val="7"/>
              <c:layout>
                <c:manualLayout>
                  <c:x val="-4.0065125832981698E-2"/>
                  <c:y val="3.0441862242947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289-4982-B2F7-24FB3907379D}"/>
                </c:ext>
              </c:extLst>
            </c:dLbl>
            <c:dLbl>
              <c:idx val="8"/>
              <c:layout>
                <c:manualLayout>
                  <c:x val="-9.5509253952439296E-3"/>
                  <c:y val="-2.5603164895650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89-4982-B2F7-24FB3907379D}"/>
                </c:ext>
              </c:extLst>
            </c:dLbl>
            <c:dLbl>
              <c:idx val="9"/>
              <c:layout>
                <c:manualLayout>
                  <c:x val="-2.12989921612542E-2"/>
                  <c:y val="-5.5788930509899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289-4982-B2F7-24FB3907379D}"/>
                </c:ext>
              </c:extLst>
            </c:dLbl>
            <c:dLbl>
              <c:idx val="10"/>
              <c:layout>
                <c:manualLayout>
                  <c:x val="-1.2784222737819026E-2"/>
                  <c:y val="3.46142569944714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289-4982-B2F7-24FB3907379D}"/>
                </c:ext>
              </c:extLst>
            </c:dLbl>
            <c:dLbl>
              <c:idx val="11"/>
              <c:layout>
                <c:manualLayout>
                  <c:x val="-2.8219303213548423E-2"/>
                  <c:y val="-4.5172977048081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289-4982-B2F7-24FB3907379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Trend'!$D$25:$O$25</c:f>
              <c:numCache>
                <c:formatCode>_ * #,##0.00_ ;_ * \-#,##0.00_ ;_ * "-"??_ ;_ @_ </c:formatCode>
                <c:ptCount val="12"/>
                <c:pt idx="0">
                  <c:v>100.58799999999984</c:v>
                </c:pt>
                <c:pt idx="1">
                  <c:v>150.70199999999915</c:v>
                </c:pt>
                <c:pt idx="2">
                  <c:v>163.79900000000009</c:v>
                </c:pt>
                <c:pt idx="3">
                  <c:v>313.76400000000086</c:v>
                </c:pt>
                <c:pt idx="4">
                  <c:v>47.111999999999981</c:v>
                </c:pt>
                <c:pt idx="5">
                  <c:v>39.128</c:v>
                </c:pt>
                <c:pt idx="6">
                  <c:v>48.926999999999985</c:v>
                </c:pt>
                <c:pt idx="7">
                  <c:v>43.178000000000047</c:v>
                </c:pt>
                <c:pt idx="8">
                  <c:v>103.26199999999982</c:v>
                </c:pt>
                <c:pt idx="9">
                  <c:v>77.089000000000112</c:v>
                </c:pt>
                <c:pt idx="10">
                  <c:v>79.257000000000062</c:v>
                </c:pt>
                <c:pt idx="11">
                  <c:v>61.481000000000108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89-4982-B2F7-24FB3907379D}"/>
            </c:ext>
          </c:extLst>
        </c:ser>
        <c:ser>
          <c:idx val="1"/>
          <c:order val="10"/>
          <c:tx>
            <c:strRef>
              <c:f>'Dashboard Trend'!$C$26</c:f>
              <c:strCache>
                <c:ptCount val="1"/>
                <c:pt idx="0">
                  <c:v>FY24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152610441767066E-2"/>
                  <c:y val="3.452243774406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289-4982-B2F7-24FB3907379D}"/>
                </c:ext>
              </c:extLst>
            </c:dLbl>
            <c:dLbl>
              <c:idx val="1"/>
              <c:layout>
                <c:manualLayout>
                  <c:x val="-2.9136578657034493E-2"/>
                  <c:y val="3.63815920068815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289-4982-B2F7-24FB3907379D}"/>
                </c:ext>
              </c:extLst>
            </c:dLbl>
            <c:dLbl>
              <c:idx val="2"/>
              <c:layout>
                <c:manualLayout>
                  <c:x val="-3.1144578313253048E-2"/>
                  <c:y val="3.2881057550732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289-4982-B2F7-24FB3907379D}"/>
                </c:ext>
              </c:extLst>
            </c:dLbl>
            <c:dLbl>
              <c:idx val="3"/>
              <c:layout>
                <c:manualLayout>
                  <c:x val="-3.3504538077778478E-2"/>
                  <c:y val="6.35498050607751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289-4982-B2F7-24FB3907379D}"/>
                </c:ext>
              </c:extLst>
            </c:dLbl>
            <c:dLbl>
              <c:idx val="4"/>
              <c:layout>
                <c:manualLayout>
                  <c:x val="-3.2593286683694288E-2"/>
                  <c:y val="-2.6352477999073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289-4982-B2F7-24FB3907379D}"/>
                </c:ext>
              </c:extLst>
            </c:dLbl>
            <c:dLbl>
              <c:idx val="5"/>
              <c:layout>
                <c:manualLayout>
                  <c:x val="-6.4318618042226494E-2"/>
                  <c:y val="-1.8938992920002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289-4982-B2F7-24FB3907379D}"/>
                </c:ext>
              </c:extLst>
            </c:dLbl>
            <c:dLbl>
              <c:idx val="6"/>
              <c:layout>
                <c:manualLayout>
                  <c:x val="-4.6113617820244378E-3"/>
                  <c:y val="6.7095023316260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289-4982-B2F7-24FB3907379D}"/>
                </c:ext>
              </c:extLst>
            </c:dLbl>
            <c:dLbl>
              <c:idx val="7"/>
              <c:layout>
                <c:manualLayout>
                  <c:x val="-3.0274754583888069E-3"/>
                  <c:y val="4.7452794128889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289-4982-B2F7-24FB3907379D}"/>
                </c:ext>
              </c:extLst>
            </c:dLbl>
            <c:dLbl>
              <c:idx val="8"/>
              <c:layout>
                <c:manualLayout>
                  <c:x val="-1.3014816525083E-2"/>
                  <c:y val="2.4529470223988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289-4982-B2F7-24FB3907379D}"/>
                </c:ext>
              </c:extLst>
            </c:dLbl>
            <c:dLbl>
              <c:idx val="10"/>
              <c:layout>
                <c:manualLayout>
                  <c:x val="-6.8468677494199534E-2"/>
                  <c:y val="5.58112749204221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289-4982-B2F7-24FB3907379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Trend'!$D$26:$O$26</c:f>
              <c:numCache>
                <c:formatCode>_ * #,##0.00_ ;_ * \-#,##0.00_ ;_ * "-"??_ ;_ @_ </c:formatCode>
                <c:ptCount val="12"/>
                <c:pt idx="0">
                  <c:v>76.405000000000101</c:v>
                </c:pt>
                <c:pt idx="1">
                  <c:v>96.480999999999938</c:v>
                </c:pt>
                <c:pt idx="2">
                  <c:v>96.092000000000255</c:v>
                </c:pt>
                <c:pt idx="3">
                  <c:v>235.91899999999845</c:v>
                </c:pt>
                <c:pt idx="4">
                  <c:v>264.03599999999733</c:v>
                </c:pt>
                <c:pt idx="5">
                  <c:v>56.811000000000107</c:v>
                </c:pt>
                <c:pt idx="6">
                  <c:v>72.607000000000113</c:v>
                </c:pt>
                <c:pt idx="7">
                  <c:v>73.620000000000061</c:v>
                </c:pt>
                <c:pt idx="8">
                  <c:v>59.937000000000168</c:v>
                </c:pt>
                <c:pt idx="9">
                  <c:v>92.489999999999895</c:v>
                </c:pt>
                <c:pt idx="10">
                  <c:v>94.64200000000001</c:v>
                </c:pt>
                <c:pt idx="11">
                  <c:v>78.2590000000001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289-4982-B2F7-24FB3907379D}"/>
            </c:ext>
          </c:extLst>
        </c:ser>
        <c:ser>
          <c:idx val="2"/>
          <c:order val="11"/>
          <c:tx>
            <c:strRef>
              <c:f>'Dashboard Trend'!$C$27</c:f>
              <c:strCache>
                <c:ptCount val="1"/>
                <c:pt idx="0">
                  <c:v>FY25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2898574818262887E-2"/>
                  <c:y val="-3.1823926420962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289-4982-B2F7-24FB3907379D}"/>
                </c:ext>
              </c:extLst>
            </c:dLbl>
            <c:dLbl>
              <c:idx val="1"/>
              <c:layout>
                <c:manualLayout>
                  <c:x val="-3.1883753080483262E-3"/>
                  <c:y val="-2.1772418010855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289-4982-B2F7-24FB3907379D}"/>
                </c:ext>
              </c:extLst>
            </c:dLbl>
            <c:dLbl>
              <c:idx val="2"/>
              <c:layout>
                <c:manualLayout>
                  <c:x val="-7.426218669231581E-4"/>
                  <c:y val="1.4084550110847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289-4982-B2F7-24FB3907379D}"/>
                </c:ext>
              </c:extLst>
            </c:dLbl>
            <c:dLbl>
              <c:idx val="3"/>
              <c:layout>
                <c:manualLayout>
                  <c:x val="-5.111808000967253E-2"/>
                  <c:y val="-2.307781380268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289-4982-B2F7-24FB3907379D}"/>
                </c:ext>
              </c:extLst>
            </c:dLbl>
            <c:dLbl>
              <c:idx val="4"/>
              <c:layout>
                <c:manualLayout>
                  <c:x val="-5.5455009917653425E-2"/>
                  <c:y val="4.2123308615549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289-4982-B2F7-24FB3907379D}"/>
                </c:ext>
              </c:extLst>
            </c:dLbl>
            <c:dLbl>
              <c:idx val="5"/>
              <c:layout>
                <c:manualLayout>
                  <c:x val="-3.6489427585596743E-2"/>
                  <c:y val="-3.4089136916137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289-4982-B2F7-24FB3907379D}"/>
                </c:ext>
              </c:extLst>
            </c:dLbl>
            <c:dLbl>
              <c:idx val="6"/>
              <c:layout>
                <c:manualLayout>
                  <c:x val="-4.9862278451148663E-2"/>
                  <c:y val="-2.6662716917666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289-4982-B2F7-24FB3907379D}"/>
                </c:ext>
              </c:extLst>
            </c:dLbl>
            <c:dLbl>
              <c:idx val="7"/>
              <c:layout>
                <c:manualLayout>
                  <c:x val="-5.9482177973456049E-2"/>
                  <c:y val="-3.6371454781744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289-4982-B2F7-24FB3907379D}"/>
                </c:ext>
              </c:extLst>
            </c:dLbl>
            <c:dLbl>
              <c:idx val="8"/>
              <c:layout>
                <c:manualLayout>
                  <c:x val="-5.5748207845799792E-2"/>
                  <c:y val="-4.1225823713783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289-4982-B2F7-24FB3907379D}"/>
                </c:ext>
              </c:extLst>
            </c:dLbl>
            <c:dLbl>
              <c:idx val="9"/>
              <c:layout>
                <c:manualLayout>
                  <c:x val="-4.9076191903783581E-2"/>
                  <c:y val="-3.1517085849705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289-4982-B2F7-24FB3907379D}"/>
                </c:ext>
              </c:extLst>
            </c:dLbl>
            <c:dLbl>
              <c:idx val="10"/>
              <c:layout>
                <c:manualLayout>
                  <c:x val="-1.7708862378281603E-2"/>
                  <c:y val="2.69936337745015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289-4982-B2F7-24FB39073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Trend'!$D$21:$O$21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Apr*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'Dashboard Trend'!$D$27:$O$27</c:f>
              <c:numCache>
                <c:formatCode>_ * #,##0.00_ ;_ * \-#,##0.00_ ;_ * "-"??_ ;_ @_ </c:formatCode>
                <c:ptCount val="12"/>
                <c:pt idx="0">
                  <c:v>103.52999999999997</c:v>
                </c:pt>
                <c:pt idx="1">
                  <c:v>113.09099999999992</c:v>
                </c:pt>
                <c:pt idx="2">
                  <c:v>112.35999999999871</c:v>
                </c:pt>
                <c:pt idx="3">
                  <c:v>406.5099999999992</c:v>
                </c:pt>
                <c:pt idx="4">
                  <c:v>233.30000000000021</c:v>
                </c:pt>
                <c:pt idx="5">
                  <c:v>123.2500000000001</c:v>
                </c:pt>
                <c:pt idx="6">
                  <c:v>103.06999999999995</c:v>
                </c:pt>
                <c:pt idx="7">
                  <c:v>123.01600000000005</c:v>
                </c:pt>
                <c:pt idx="8">
                  <c:v>139.51</c:v>
                </c:pt>
                <c:pt idx="9">
                  <c:v>288.07799999999992</c:v>
                </c:pt>
                <c:pt idx="10">
                  <c:v>182.1050000000003</c:v>
                </c:pt>
                <c:pt idx="11">
                  <c:v>12.935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289-4982-B2F7-24FB39073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46368"/>
        <c:axId val="1799446848"/>
      </c:lineChart>
      <c:catAx>
        <c:axId val="17994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6848"/>
        <c:crosses val="autoZero"/>
        <c:auto val="1"/>
        <c:lblAlgn val="ctr"/>
        <c:lblOffset val="100"/>
        <c:noMultiLvlLbl val="0"/>
      </c:catAx>
      <c:valAx>
        <c:axId val="1799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6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642005462617601"/>
          <c:y val="0.89409667541557303"/>
          <c:w val="0.41853065806533218"/>
          <c:h val="7.84373599641508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0</xdr:row>
      <xdr:rowOff>165100</xdr:rowOff>
    </xdr:from>
    <xdr:to>
      <xdr:col>25</xdr:col>
      <xdr:colOff>6350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03FA9-8C6F-43B7-883D-26C1A6233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6350</xdr:colOff>
      <xdr:row>15</xdr:row>
      <xdr:rowOff>19050</xdr:rowOff>
    </xdr:from>
    <xdr:to>
      <xdr:col>24</xdr:col>
      <xdr:colOff>603250</xdr:colOff>
      <xdr:row>28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6DFED5-CA80-44A9-9C59-4DE882AEF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kspamp-my.sharepoint.com/personal/manish_kumar_mmtcpamp_com/Documents/Desktop/New%20folder/Desktop/New%20folder/New%20folder/Flipkart%20Working%20Nipu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kspamp-my.sharepoint.com/personal/manish_kumar_mmtcpamp_com/Documents/Desktop/New%20folder/Flipkart%20Settlement%20Report_FY24-FY25.xlsb" TargetMode="External"/><Relationship Id="rId1" Type="http://schemas.openxmlformats.org/officeDocument/2006/relationships/externalLinkPath" Target="https://mkspamp-my.sharepoint.com/personal/manish_kumar_mmtcpamp_com/Documents/Desktop/New%20folder/Flipkart%20Settlement%20Report_FY24-FY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TD Summary"/>
      <sheetName val="Payment Status"/>
      <sheetName val="MMTC Data"/>
      <sheetName val="Logic"/>
      <sheetName val="Flipkart sale"/>
      <sheetName val="Flipkart Payment"/>
      <sheetName val="Commission Invoice Report"/>
      <sheetName val="Credit Note"/>
      <sheetName val="PAYMENT"/>
      <sheetName val="Sheet1"/>
      <sheetName val="Cancelled Pending Credit Note"/>
    </sheetNames>
    <sheetDataSet>
      <sheetData sheetId="0"/>
      <sheetData sheetId="1" refreshError="1"/>
      <sheetData sheetId="2">
        <row r="1">
          <cell r="CJ1" t="str">
            <v>UTR No_1</v>
          </cell>
          <cell r="CK1" t="str">
            <v>Date_1</v>
          </cell>
          <cell r="CL1" t="str">
            <v>Amount Received_1</v>
          </cell>
          <cell r="CM1" t="str">
            <v>UTR No_2</v>
          </cell>
          <cell r="CN1" t="str">
            <v>Date_2</v>
          </cell>
          <cell r="CO1" t="str">
            <v>Amount Received_2</v>
          </cell>
          <cell r="CP1" t="str">
            <v>UTR No_3</v>
          </cell>
          <cell r="CQ1" t="str">
            <v>Date_3</v>
          </cell>
          <cell r="CR1" t="str">
            <v>Amount Received_3</v>
          </cell>
          <cell r="CS1" t="str">
            <v>UTR No_4</v>
          </cell>
          <cell r="CT1" t="str">
            <v>Date_4</v>
          </cell>
          <cell r="CU1" t="str">
            <v>Amount Received_4</v>
          </cell>
          <cell r="CV1" t="str">
            <v>UTR No_5</v>
          </cell>
          <cell r="CW1" t="str">
            <v>Date_5</v>
          </cell>
          <cell r="CX1" t="str">
            <v>Amount Received_5</v>
          </cell>
          <cell r="CY1" t="str">
            <v>UTR No_6</v>
          </cell>
          <cell r="CZ1" t="str">
            <v>Date_6</v>
          </cell>
          <cell r="DA1" t="str">
            <v>Amount Received_6</v>
          </cell>
          <cell r="DB1" t="str">
            <v>UTR No_7</v>
          </cell>
          <cell r="DC1" t="str">
            <v>Date_7</v>
          </cell>
          <cell r="DD1" t="str">
            <v>Amount Received_7</v>
          </cell>
        </row>
        <row r="2">
          <cell r="CJ2" t="str">
            <v xml:space="preserve">NFT-419000547GN00165XXXXXXX </v>
          </cell>
          <cell r="CK2" t="str">
            <v>2024-07-08</v>
          </cell>
          <cell r="CL2">
            <v>45054.591999999997</v>
          </cell>
        </row>
        <row r="3">
          <cell r="CJ3" t="str">
            <v xml:space="preserve">NFT-419000547GN00165XXXXXXX </v>
          </cell>
          <cell r="CK3" t="str">
            <v>2024-07-08</v>
          </cell>
          <cell r="CL3">
            <v>10842.466</v>
          </cell>
          <cell r="CM3" t="str">
            <v xml:space="preserve">NFT-420100958GN00194XXXXXXX </v>
          </cell>
          <cell r="CN3" t="str">
            <v>2024-07-19</v>
          </cell>
          <cell r="CO3">
            <v>-10842.466</v>
          </cell>
        </row>
        <row r="4">
          <cell r="CJ4" t="str">
            <v xml:space="preserve">NFT-419000547GN00165XXXXXXX </v>
          </cell>
          <cell r="CK4" t="str">
            <v>2024-07-08</v>
          </cell>
          <cell r="CL4">
            <v>45035.712</v>
          </cell>
        </row>
        <row r="5">
          <cell r="CJ5" t="str">
            <v xml:space="preserve">NFT-419000547GN00165XXXXXXX </v>
          </cell>
          <cell r="CK5" t="str">
            <v>2024-07-08</v>
          </cell>
          <cell r="CL5">
            <v>44078.73</v>
          </cell>
          <cell r="CM5" t="str">
            <v xml:space="preserve">NFT-419000796GN00245XXXXXXX </v>
          </cell>
          <cell r="CN5" t="str">
            <v>2024-07-08</v>
          </cell>
          <cell r="CO5">
            <v>956.98199999999997</v>
          </cell>
        </row>
        <row r="6">
          <cell r="CJ6" t="str">
            <v xml:space="preserve">NFT-420100958GN00194XXXXXXX </v>
          </cell>
          <cell r="CK6" t="str">
            <v>2024-07-19</v>
          </cell>
          <cell r="CL6">
            <v>8240.7579999999998</v>
          </cell>
          <cell r="CM6" t="str">
            <v xml:space="preserve">NFT-420101052GN00052XXXXXXX </v>
          </cell>
          <cell r="CN6" t="str">
            <v>2024-07-19</v>
          </cell>
          <cell r="CO6">
            <v>2635.5320000000002</v>
          </cell>
        </row>
        <row r="7">
          <cell r="CJ7" t="str">
            <v xml:space="preserve">NFT-420100958GN00194XXXXXXX </v>
          </cell>
          <cell r="CK7" t="str">
            <v>2024-07-19</v>
          </cell>
          <cell r="CL7">
            <v>43585.69</v>
          </cell>
          <cell r="CM7" t="str">
            <v xml:space="preserve">NFT-420101052GN00052XXXXXXX </v>
          </cell>
          <cell r="CN7" t="str">
            <v>2024-07-19</v>
          </cell>
          <cell r="CO7">
            <v>1435.473</v>
          </cell>
        </row>
        <row r="8">
          <cell r="CJ8" t="str">
            <v xml:space="preserve">NFT-420100958GN00194XXXXXXX </v>
          </cell>
          <cell r="CK8" t="str">
            <v>2024-07-19</v>
          </cell>
          <cell r="CL8">
            <v>43585.69</v>
          </cell>
          <cell r="CM8" t="str">
            <v xml:space="preserve">NFT-420101052GN00052XXXXXXX </v>
          </cell>
          <cell r="CN8" t="str">
            <v>2024-07-19</v>
          </cell>
          <cell r="CO8">
            <v>1435.473</v>
          </cell>
        </row>
        <row r="9">
          <cell r="CJ9" t="str">
            <v xml:space="preserve">NFT-420100958GN00194XXXXXXX </v>
          </cell>
          <cell r="CK9" t="str">
            <v>2024-07-19</v>
          </cell>
          <cell r="CL9">
            <v>8680.9760000000006</v>
          </cell>
          <cell r="CM9" t="str">
            <v xml:space="preserve">NFT-420101052GN00052XXXXXXX </v>
          </cell>
          <cell r="CN9" t="str">
            <v>2024-07-19</v>
          </cell>
          <cell r="CO9">
            <v>2195.3159999999998</v>
          </cell>
        </row>
        <row r="10">
          <cell r="CJ10" t="str">
            <v xml:space="preserve">NFT-420401043GN00198XXXXXXX </v>
          </cell>
          <cell r="CK10" t="str">
            <v>2024-07-22</v>
          </cell>
          <cell r="CL10">
            <v>1122.5440000000001</v>
          </cell>
          <cell r="CM10" t="str">
            <v xml:space="preserve">NFT-420400930GN00254XXXXXXX </v>
          </cell>
          <cell r="CN10" t="str">
            <v>2024-07-22</v>
          </cell>
          <cell r="CO10">
            <v>10002.56</v>
          </cell>
        </row>
        <row r="11">
          <cell r="CJ11" t="str">
            <v xml:space="preserve">NFT-420400930GN00254XXXXXXX </v>
          </cell>
          <cell r="CK11" t="str">
            <v>2024-07-22</v>
          </cell>
          <cell r="CL11">
            <v>10081.736999999999</v>
          </cell>
          <cell r="CM11" t="str">
            <v xml:space="preserve">NFT-420401043GN00198XXXXXXX </v>
          </cell>
          <cell r="CN11" t="str">
            <v>2024-07-22</v>
          </cell>
          <cell r="CO11">
            <v>1129.2380000000001</v>
          </cell>
        </row>
        <row r="12">
          <cell r="CJ12" t="str">
            <v xml:space="preserve">NFT-420600920GN00283XXXXXXX </v>
          </cell>
          <cell r="CK12" t="str">
            <v>2024-07-24</v>
          </cell>
          <cell r="CL12">
            <v>5890.4059999999999</v>
          </cell>
        </row>
        <row r="13">
          <cell r="CJ13" t="str">
            <v xml:space="preserve">NFT-421100549GN00244XXXXXXX </v>
          </cell>
          <cell r="CK13" t="str">
            <v>2024-07-29</v>
          </cell>
          <cell r="CL13">
            <v>5689.6019999999999</v>
          </cell>
          <cell r="CM13" t="str">
            <v xml:space="preserve">NFT-421100802GN00015XXXXXXX </v>
          </cell>
          <cell r="CN13" t="str">
            <v>2024-07-29</v>
          </cell>
          <cell r="CO13">
            <v>288.55099999999999</v>
          </cell>
        </row>
        <row r="14">
          <cell r="CJ14" t="str">
            <v xml:space="preserve">NFT-421100549GN00244XXXXXXX </v>
          </cell>
          <cell r="CK14" t="str">
            <v>2024-07-29</v>
          </cell>
          <cell r="CL14">
            <v>5978.152</v>
          </cell>
        </row>
        <row r="15">
          <cell r="CJ15" t="str">
            <v xml:space="preserve">NFT-421100549GN00244XXXXXXX </v>
          </cell>
          <cell r="CK15" t="str">
            <v>2024-07-29</v>
          </cell>
          <cell r="CL15">
            <v>5978.1530000000002</v>
          </cell>
        </row>
        <row r="16">
          <cell r="CJ16" t="str">
            <v xml:space="preserve">NFT-421100549GN00244XXXXXXX </v>
          </cell>
          <cell r="CK16" t="str">
            <v>2024-07-29</v>
          </cell>
          <cell r="CL16">
            <v>5978.1530000000002</v>
          </cell>
        </row>
        <row r="17">
          <cell r="CJ17" t="str">
            <v xml:space="preserve">NFT-421500920GN00052XXXXXXX </v>
          </cell>
          <cell r="CK17" t="str">
            <v>2024-08-02</v>
          </cell>
          <cell r="CL17">
            <v>39103.82</v>
          </cell>
          <cell r="CM17" t="str">
            <v xml:space="preserve">NFT-421500970GN00126XXXXXXX </v>
          </cell>
          <cell r="CN17" t="str">
            <v>2024-08-02</v>
          </cell>
          <cell r="CO17">
            <v>961.83699999999999</v>
          </cell>
        </row>
        <row r="18">
          <cell r="CJ18" t="str">
            <v xml:space="preserve">NFT-421500920GN00052XXXXXXX </v>
          </cell>
          <cell r="CK18" t="str">
            <v>2024-08-02</v>
          </cell>
          <cell r="CL18">
            <v>80088.043999999994</v>
          </cell>
        </row>
        <row r="19">
          <cell r="CJ19" t="str">
            <v xml:space="preserve">NFT-421500920GN00052XXXXXXX </v>
          </cell>
          <cell r="CK19" t="str">
            <v>2024-08-02</v>
          </cell>
          <cell r="CL19">
            <v>80088.043999999994</v>
          </cell>
        </row>
        <row r="20">
          <cell r="CJ20" t="str">
            <v xml:space="preserve">NFT-421500920GN00052XXXXXXX </v>
          </cell>
          <cell r="CK20" t="str">
            <v>2024-08-02</v>
          </cell>
          <cell r="CL20">
            <v>15721.916999999999</v>
          </cell>
        </row>
        <row r="21">
          <cell r="CJ21" t="str">
            <v xml:space="preserve">NFT-421500920GN00052XXXXXXX </v>
          </cell>
          <cell r="CK21" t="str">
            <v>2024-08-02</v>
          </cell>
          <cell r="CL21">
            <v>80088.043999999994</v>
          </cell>
        </row>
        <row r="22">
          <cell r="CJ22" t="str">
            <v xml:space="preserve">NFT-421800798GN00063XXXXXXX </v>
          </cell>
          <cell r="CK22" t="str">
            <v>2024-08-05</v>
          </cell>
          <cell r="CL22">
            <v>1448.2529999999999</v>
          </cell>
        </row>
        <row r="23">
          <cell r="CJ23" t="str">
            <v xml:space="preserve">NFT-421800798GN00063XXXXXXX </v>
          </cell>
          <cell r="CK23" t="str">
            <v>2024-08-05</v>
          </cell>
          <cell r="CL23">
            <v>15572.834000000001</v>
          </cell>
          <cell r="CM23" t="str">
            <v xml:space="preserve">NFT-421801019GN00042XXXXXXX </v>
          </cell>
          <cell r="CN23" t="str">
            <v>2024-08-05</v>
          </cell>
          <cell r="CO23">
            <v>274.12</v>
          </cell>
        </row>
        <row r="24">
          <cell r="CJ24" t="str">
            <v xml:space="preserve">NFT-421800798GN00063XXXXXXX </v>
          </cell>
          <cell r="CK24" t="str">
            <v>2024-08-05</v>
          </cell>
          <cell r="CL24">
            <v>161445.356</v>
          </cell>
        </row>
        <row r="25">
          <cell r="CJ25" t="str">
            <v xml:space="preserve">NFT-421800798GN00063XXXXXXX </v>
          </cell>
          <cell r="CK25" t="str">
            <v>2024-08-05</v>
          </cell>
          <cell r="CL25">
            <v>80713.237999999998</v>
          </cell>
        </row>
        <row r="26">
          <cell r="CJ26" t="str">
            <v xml:space="preserve">NFT-421800798GN00063XXXXXXX </v>
          </cell>
          <cell r="CK26" t="str">
            <v>2024-08-05</v>
          </cell>
          <cell r="CL26">
            <v>15558.403</v>
          </cell>
          <cell r="CM26" t="str">
            <v xml:space="preserve">NFT-421801019GN00042XXXXXXX </v>
          </cell>
          <cell r="CN26" t="str">
            <v>2024-08-05</v>
          </cell>
          <cell r="CO26">
            <v>288.55099999999999</v>
          </cell>
        </row>
        <row r="27">
          <cell r="CJ27" t="str">
            <v xml:space="preserve">NFT-421800798GN00063XXXXXXX </v>
          </cell>
          <cell r="CK27" t="str">
            <v>2024-08-05</v>
          </cell>
          <cell r="CL27">
            <v>161445.356</v>
          </cell>
        </row>
        <row r="28">
          <cell r="CJ28" t="str">
            <v xml:space="preserve">NFT-421800798GN00063XXXXXXX </v>
          </cell>
          <cell r="CK28" t="str">
            <v>2024-08-05</v>
          </cell>
          <cell r="CL28">
            <v>80713.237999999998</v>
          </cell>
        </row>
        <row r="29">
          <cell r="CJ29" t="str">
            <v xml:space="preserve">NFT-421800798GN00063XXXXXXX </v>
          </cell>
          <cell r="CK29" t="str">
            <v>2024-08-05</v>
          </cell>
          <cell r="CL29">
            <v>15846.954</v>
          </cell>
        </row>
        <row r="30">
          <cell r="CJ30" t="str">
            <v xml:space="preserve">NFT-421800798GN00063XXXXXXX </v>
          </cell>
          <cell r="CK30" t="str">
            <v>2024-08-05</v>
          </cell>
          <cell r="CL30">
            <v>41037.107000000004</v>
          </cell>
        </row>
        <row r="31">
          <cell r="CJ31" t="str">
            <v xml:space="preserve">NFT-421800798GN00063XXXXXXX </v>
          </cell>
          <cell r="CK31" t="str">
            <v>2024-08-05</v>
          </cell>
          <cell r="CL31">
            <v>54800.701000000001</v>
          </cell>
        </row>
        <row r="32">
          <cell r="CJ32" t="str">
            <v xml:space="preserve">NFT-421800798GN00063XXXXXXX </v>
          </cell>
          <cell r="CK32" t="str">
            <v>2024-08-05</v>
          </cell>
          <cell r="CL32">
            <v>15757.508</v>
          </cell>
          <cell r="CM32" t="str">
            <v xml:space="preserve">NFT-421801019GN00042XXXXXXX </v>
          </cell>
          <cell r="CN32" t="str">
            <v>2024-08-05</v>
          </cell>
          <cell r="CO32">
            <v>339.529</v>
          </cell>
        </row>
        <row r="35">
          <cell r="CJ35" t="str">
            <v xml:space="preserve">NFT-421800798GN00063XXXXXXX </v>
          </cell>
          <cell r="CK35" t="str">
            <v>2024-08-05</v>
          </cell>
          <cell r="CL35">
            <v>6065.07</v>
          </cell>
        </row>
        <row r="37">
          <cell r="CJ37" t="str">
            <v xml:space="preserve">NFT-421800798GN00063XXXXXXX </v>
          </cell>
          <cell r="CK37" t="str">
            <v>2024-08-05</v>
          </cell>
          <cell r="CL37">
            <v>80011.099000000002</v>
          </cell>
        </row>
        <row r="38">
          <cell r="CJ38" t="str">
            <v xml:space="preserve">NFT-421800798GN00063XXXXXXX </v>
          </cell>
          <cell r="CK38" t="str">
            <v>2024-08-05</v>
          </cell>
          <cell r="CL38">
            <v>16087.413</v>
          </cell>
          <cell r="CM38" t="str">
            <v>NFT-422200952GN00050XXXXXXX</v>
          </cell>
          <cell r="CN38" t="str">
            <v>2024-08-09</v>
          </cell>
          <cell r="CO38">
            <v>-16087.413</v>
          </cell>
        </row>
        <row r="39">
          <cell r="CJ39" t="str">
            <v xml:space="preserve">NFT-421800798GN00063XXXXXXX </v>
          </cell>
          <cell r="CK39" t="str">
            <v>2024-08-05</v>
          </cell>
          <cell r="CL39">
            <v>14885.117</v>
          </cell>
          <cell r="CM39" t="str">
            <v xml:space="preserve">NFT-421801019GN00042XXXXXXX </v>
          </cell>
          <cell r="CN39" t="str">
            <v>2024-08-05</v>
          </cell>
          <cell r="CO39">
            <v>1202.296</v>
          </cell>
          <cell r="CP39" t="str">
            <v>NFT-422200952GN00050XXXXXXX</v>
          </cell>
          <cell r="CQ39" t="str">
            <v>2024-08-09</v>
          </cell>
          <cell r="CR39">
            <v>-14885.117</v>
          </cell>
          <cell r="CS39" t="str">
            <v>NFT-422200987GN00281XXXXXXX</v>
          </cell>
          <cell r="CT39" t="str">
            <v>2024-08-09</v>
          </cell>
          <cell r="CU39">
            <v>-1202.296</v>
          </cell>
        </row>
        <row r="40">
          <cell r="CJ40" t="str">
            <v>NFT-422000501GN00231XXXXXXX</v>
          </cell>
          <cell r="CK40" t="str">
            <v>2024-08-07</v>
          </cell>
          <cell r="CL40">
            <v>14682.776</v>
          </cell>
          <cell r="CM40" t="str">
            <v>NFT-422000517GN00058XXXXXXX</v>
          </cell>
          <cell r="CN40" t="str">
            <v>2024-08-07</v>
          </cell>
          <cell r="CO40">
            <v>1202.296</v>
          </cell>
        </row>
        <row r="41">
          <cell r="CJ41" t="str">
            <v>NFT-422000501GN00231XXXXXXX</v>
          </cell>
          <cell r="CK41" t="str">
            <v>2024-08-07</v>
          </cell>
          <cell r="CL41">
            <v>13884.453</v>
          </cell>
          <cell r="CM41" t="str">
            <v>NFT-422000517GN00058XXXXXXX</v>
          </cell>
          <cell r="CN41" t="str">
            <v>2024-08-07</v>
          </cell>
          <cell r="CO41">
            <v>2000.6179999999999</v>
          </cell>
        </row>
        <row r="42">
          <cell r="CJ42" t="str">
            <v>NFT-422000501GN00231XXXXXXX</v>
          </cell>
          <cell r="CK42" t="str">
            <v>2024-08-07</v>
          </cell>
          <cell r="CL42">
            <v>13865.574000000001</v>
          </cell>
          <cell r="CM42" t="str">
            <v>NFT-422000517GN00058XXXXXXX</v>
          </cell>
          <cell r="CN42" t="str">
            <v>2024-08-07</v>
          </cell>
          <cell r="CO42">
            <v>2000.6189999999999</v>
          </cell>
        </row>
        <row r="43">
          <cell r="CJ43" t="str">
            <v>NFT-422000501GN00231XXXXXXX</v>
          </cell>
          <cell r="CK43" t="str">
            <v>2024-08-07</v>
          </cell>
          <cell r="CL43">
            <v>76019.475000000006</v>
          </cell>
          <cell r="CM43" t="str">
            <v>NFT-422000517GN00058XXXXXXX</v>
          </cell>
          <cell r="CN43" t="str">
            <v>2024-08-07</v>
          </cell>
          <cell r="CO43">
            <v>2885.511</v>
          </cell>
        </row>
        <row r="44">
          <cell r="CJ44" t="str">
            <v>NFT-422000501GN00231XXXXXXX</v>
          </cell>
          <cell r="CK44" t="str">
            <v>2024-08-07</v>
          </cell>
          <cell r="CL44">
            <v>13865.574000000001</v>
          </cell>
          <cell r="CM44" t="str">
            <v>NFT-422000517GN00058XXXXXXX</v>
          </cell>
          <cell r="CN44" t="str">
            <v>2024-08-07</v>
          </cell>
          <cell r="CO44">
            <v>2000.6189999999999</v>
          </cell>
        </row>
        <row r="46">
          <cell r="CJ46" t="str">
            <v>NFT-422000501GN00231XXXXXXX</v>
          </cell>
          <cell r="CK46" t="str">
            <v>2024-08-07</v>
          </cell>
          <cell r="CL46">
            <v>13865.574000000001</v>
          </cell>
          <cell r="CM46" t="str">
            <v>NFT-422000517GN00058XXXXXXX</v>
          </cell>
          <cell r="CN46" t="str">
            <v>2024-08-07</v>
          </cell>
          <cell r="CO46">
            <v>2000.6189999999999</v>
          </cell>
        </row>
        <row r="47">
          <cell r="CJ47" t="str">
            <v>NFT-422000501GN00231XXXXXXX</v>
          </cell>
          <cell r="CK47" t="str">
            <v>2024-08-07</v>
          </cell>
          <cell r="CL47">
            <v>6957.3069999999998</v>
          </cell>
          <cell r="CM47" t="str">
            <v>NFT-422000517GN00058XXXXXXX</v>
          </cell>
          <cell r="CN47" t="str">
            <v>2024-08-07</v>
          </cell>
          <cell r="CO47">
            <v>1242.6949999999999</v>
          </cell>
          <cell r="CP47" t="str">
            <v xml:space="preserve">NFT-422900441GN00081XXXXXXX </v>
          </cell>
          <cell r="CQ47" t="str">
            <v>2024-08-16</v>
          </cell>
          <cell r="CR47">
            <v>-6957.3069999999998</v>
          </cell>
          <cell r="CS47" t="str">
            <v xml:space="preserve">NFT-422900461GN00273XXXXXXX </v>
          </cell>
          <cell r="CT47" t="str">
            <v>2024-08-16</v>
          </cell>
          <cell r="CU47">
            <v>-1242.6949999999999</v>
          </cell>
        </row>
        <row r="48">
          <cell r="CJ48" t="str">
            <v>NFT-422000501GN00231XXXXXXX</v>
          </cell>
          <cell r="CK48" t="str">
            <v>2024-08-07</v>
          </cell>
          <cell r="CL48">
            <v>74836.058999999994</v>
          </cell>
          <cell r="CM48" t="str">
            <v>NFT-422000517GN00058XXXXXXX</v>
          </cell>
          <cell r="CN48" t="str">
            <v>2024-08-07</v>
          </cell>
          <cell r="CO48">
            <v>4087.8069999999998</v>
          </cell>
          <cell r="CP48" t="str">
            <v>NFT-422200952GN00050XXXXXXX</v>
          </cell>
          <cell r="CQ48" t="str">
            <v>2024-08-09</v>
          </cell>
          <cell r="CR48">
            <v>-74836.058999999994</v>
          </cell>
          <cell r="CS48" t="str">
            <v>NFT-422200987GN00281XXXXXXX</v>
          </cell>
          <cell r="CT48" t="str">
            <v>2024-08-09</v>
          </cell>
          <cell r="CU48">
            <v>-4087.8069999999998</v>
          </cell>
        </row>
        <row r="49">
          <cell r="CJ49" t="str">
            <v>NFT-422000501GN00231XXXXXXX</v>
          </cell>
          <cell r="CK49" t="str">
            <v>2024-08-07</v>
          </cell>
          <cell r="CL49">
            <v>9484.0509999999995</v>
          </cell>
          <cell r="CM49" t="str">
            <v>NFT-422000517GN00058XXXXXXX</v>
          </cell>
          <cell r="CN49" t="str">
            <v>2024-08-07</v>
          </cell>
          <cell r="CO49">
            <v>1688.021</v>
          </cell>
        </row>
        <row r="50">
          <cell r="CJ50" t="str">
            <v>NFT-422000501GN00231XXXXXXX</v>
          </cell>
          <cell r="CK50" t="str">
            <v>2024-08-07</v>
          </cell>
          <cell r="CL50">
            <v>78904.986000000004</v>
          </cell>
          <cell r="CM50" t="str">
            <v>NFT-422200952GN00050XXXXXXX</v>
          </cell>
          <cell r="CN50" t="str">
            <v>2024-08-09</v>
          </cell>
          <cell r="CO50">
            <v>-78904.986000000004</v>
          </cell>
        </row>
        <row r="51">
          <cell r="CJ51" t="str">
            <v>NFT-422000501GN00231XXXXXXX</v>
          </cell>
          <cell r="CK51" t="str">
            <v>2024-08-07</v>
          </cell>
          <cell r="CL51">
            <v>6957.3069999999998</v>
          </cell>
          <cell r="CM51" t="str">
            <v>NFT-422000517GN00058XXXXXXX</v>
          </cell>
          <cell r="CN51" t="str">
            <v>2024-08-07</v>
          </cell>
          <cell r="CO51">
            <v>1242.6949999999999</v>
          </cell>
        </row>
        <row r="52">
          <cell r="CJ52" t="str">
            <v>NFT-422000501GN00231XXXXXXX</v>
          </cell>
          <cell r="CK52" t="str">
            <v>2024-08-07</v>
          </cell>
          <cell r="CL52">
            <v>7045.1909999999998</v>
          </cell>
          <cell r="CM52" t="str">
            <v>NFT-422000517GN00058XXXXXXX</v>
          </cell>
          <cell r="CN52" t="str">
            <v>2024-08-07</v>
          </cell>
          <cell r="CO52">
            <v>1135.931</v>
          </cell>
        </row>
        <row r="53">
          <cell r="CJ53" t="str">
            <v>NFT-422000501GN00231XXXXXXX</v>
          </cell>
          <cell r="CK53" t="str">
            <v>2024-08-07</v>
          </cell>
          <cell r="CL53">
            <v>9484.0509999999995</v>
          </cell>
          <cell r="CM53" t="str">
            <v>NFT-422000517GN00058XXXXXXX</v>
          </cell>
          <cell r="CN53" t="str">
            <v>2024-08-07</v>
          </cell>
          <cell r="CO53">
            <v>1688.021</v>
          </cell>
        </row>
        <row r="54">
          <cell r="CJ54" t="str">
            <v>NFT-422000501GN00231XXXXXXX</v>
          </cell>
          <cell r="CK54" t="str">
            <v>2024-08-07</v>
          </cell>
          <cell r="CL54">
            <v>76019.475000000006</v>
          </cell>
          <cell r="CM54" t="str">
            <v>NFT-422000517GN00058XXXXXXX</v>
          </cell>
          <cell r="CN54" t="str">
            <v>2024-08-07</v>
          </cell>
          <cell r="CO54">
            <v>2885.511</v>
          </cell>
        </row>
        <row r="55">
          <cell r="CJ55" t="str">
            <v>NFT-422000501GN00231XXXXXXX</v>
          </cell>
          <cell r="CK55" t="str">
            <v>2024-08-07</v>
          </cell>
          <cell r="CL55">
            <v>13865.574000000001</v>
          </cell>
          <cell r="CM55" t="str">
            <v>NFT-422000517GN00058XXXXXXX</v>
          </cell>
          <cell r="CN55" t="str">
            <v>2024-08-07</v>
          </cell>
          <cell r="CO55">
            <v>2000.6189999999999</v>
          </cell>
        </row>
        <row r="56">
          <cell r="CJ56" t="str">
            <v>NFT-422000501GN00231XXXXXXX</v>
          </cell>
          <cell r="CK56" t="str">
            <v>2024-08-07</v>
          </cell>
          <cell r="CL56">
            <v>13884.453</v>
          </cell>
          <cell r="CM56" t="str">
            <v>NFT-422000517GN00058XXXXXXX</v>
          </cell>
          <cell r="CN56" t="str">
            <v>2024-08-07</v>
          </cell>
          <cell r="CO56">
            <v>2000.6179999999999</v>
          </cell>
        </row>
        <row r="57">
          <cell r="CJ57" t="str">
            <v>NFT-422000501GN00231XXXXXXX</v>
          </cell>
          <cell r="CK57" t="str">
            <v>2024-08-07</v>
          </cell>
          <cell r="CL57">
            <v>13884.454</v>
          </cell>
          <cell r="CM57" t="str">
            <v>NFT-422000517GN00058XXXXXXX</v>
          </cell>
          <cell r="CN57" t="str">
            <v>2024-08-07</v>
          </cell>
          <cell r="CO57">
            <v>2000.6189999999999</v>
          </cell>
        </row>
        <row r="58">
          <cell r="CJ58" t="str">
            <v xml:space="preserve">NFT-421800798GN00063XXXXXXX </v>
          </cell>
          <cell r="CK58" t="str">
            <v>2024-08-05</v>
          </cell>
          <cell r="CL58">
            <v>14885.117</v>
          </cell>
          <cell r="CM58" t="str">
            <v xml:space="preserve">NFT-421801019GN00042XXXXXXX </v>
          </cell>
          <cell r="CN58" t="str">
            <v>2024-08-05</v>
          </cell>
          <cell r="CO58">
            <v>1202.296</v>
          </cell>
        </row>
        <row r="59">
          <cell r="CJ59" t="str">
            <v>NFT-422000501GN00231XXXXXXX</v>
          </cell>
          <cell r="CK59" t="str">
            <v>2024-08-07</v>
          </cell>
          <cell r="CL59">
            <v>6938.4269999999997</v>
          </cell>
          <cell r="CM59" t="str">
            <v>NFT-422000517GN00058XXXXXXX</v>
          </cell>
          <cell r="CN59" t="str">
            <v>2024-08-07</v>
          </cell>
          <cell r="CO59">
            <v>1242.6949999999999</v>
          </cell>
        </row>
        <row r="60">
          <cell r="CJ60" t="str">
            <v>NFT-422000501GN00231XXXXXXX</v>
          </cell>
          <cell r="CK60" t="str">
            <v>2024-08-07</v>
          </cell>
          <cell r="CL60">
            <v>13884.453</v>
          </cell>
          <cell r="CM60" t="str">
            <v>NFT-422000517GN00058XXXXXXX</v>
          </cell>
          <cell r="CN60" t="str">
            <v>2024-08-07</v>
          </cell>
          <cell r="CO60">
            <v>2000.6179999999999</v>
          </cell>
        </row>
        <row r="61">
          <cell r="CJ61" t="str">
            <v>NFT-422000501GN00231XXXXXXX</v>
          </cell>
          <cell r="CK61" t="str">
            <v>2024-08-07</v>
          </cell>
          <cell r="CL61">
            <v>16491.026999999998</v>
          </cell>
        </row>
        <row r="63">
          <cell r="CJ63" t="str">
            <v>NFT-422000501GN00231XXXXXXX</v>
          </cell>
          <cell r="CK63" t="str">
            <v>2024-08-07</v>
          </cell>
          <cell r="CL63">
            <v>13884.454</v>
          </cell>
          <cell r="CM63" t="str">
            <v>NFT-422000517GN00058XXXXXXX</v>
          </cell>
          <cell r="CN63" t="str">
            <v>2024-08-07</v>
          </cell>
          <cell r="CO63">
            <v>2000.6189999999999</v>
          </cell>
        </row>
        <row r="64">
          <cell r="CJ64" t="str">
            <v>NFT-422000501GN00231XXXXXXX</v>
          </cell>
          <cell r="CK64" t="str">
            <v>2024-08-07</v>
          </cell>
          <cell r="CL64">
            <v>13361.825000000001</v>
          </cell>
          <cell r="CM64" t="str">
            <v>NFT-422000517GN00058XXXXXXX</v>
          </cell>
          <cell r="CN64" t="str">
            <v>2024-08-07</v>
          </cell>
          <cell r="CO64">
            <v>1895.9580000000001</v>
          </cell>
        </row>
        <row r="65">
          <cell r="CJ65" t="str">
            <v>NFT-422000501GN00231XXXXXXX</v>
          </cell>
          <cell r="CK65" t="str">
            <v>2024-08-07</v>
          </cell>
          <cell r="CL65">
            <v>74836.058999999994</v>
          </cell>
          <cell r="CM65" t="str">
            <v>NFT-422000517GN00058XXXXXXX</v>
          </cell>
          <cell r="CN65" t="str">
            <v>2024-08-07</v>
          </cell>
          <cell r="CO65">
            <v>4087.8069999999998</v>
          </cell>
          <cell r="CP65" t="str">
            <v>NFT-422200952GN00050XXXXXXX</v>
          </cell>
          <cell r="CQ65" t="str">
            <v>2024-08-09</v>
          </cell>
          <cell r="CR65">
            <v>-74836.058999999994</v>
          </cell>
          <cell r="CS65" t="str">
            <v>NFT-422200987GN00281XXXXXXX</v>
          </cell>
          <cell r="CT65" t="str">
            <v>2024-08-09</v>
          </cell>
          <cell r="CU65">
            <v>-4087.8069999999998</v>
          </cell>
        </row>
        <row r="66">
          <cell r="CJ66" t="str">
            <v>NFT-422000501GN00231XXXXXXX</v>
          </cell>
          <cell r="CK66" t="str">
            <v>2024-08-07</v>
          </cell>
          <cell r="CL66">
            <v>13865.574000000001</v>
          </cell>
          <cell r="CM66" t="str">
            <v>NFT-422000517GN00058XXXXXXX</v>
          </cell>
          <cell r="CN66" t="str">
            <v>2024-08-07</v>
          </cell>
          <cell r="CO66">
            <v>2000.6189999999999</v>
          </cell>
        </row>
        <row r="69">
          <cell r="CJ69" t="str">
            <v>NFT-422000501GN00231XXXXXXX</v>
          </cell>
          <cell r="CK69" t="str">
            <v>2024-08-07</v>
          </cell>
          <cell r="CL69">
            <v>13865.574000000001</v>
          </cell>
          <cell r="CM69" t="str">
            <v>NFT-422000517GN00058XXXXXXX</v>
          </cell>
          <cell r="CN69" t="str">
            <v>2024-08-07</v>
          </cell>
          <cell r="CO69">
            <v>2000.6189999999999</v>
          </cell>
          <cell r="CP69" t="str">
            <v xml:space="preserve">NFT-423200864GN00138XXXXXXX </v>
          </cell>
          <cell r="CQ69" t="str">
            <v>2024-08-19</v>
          </cell>
          <cell r="CR69">
            <v>-13865.574000000001</v>
          </cell>
          <cell r="CS69" t="str">
            <v xml:space="preserve">NFT-423201020GN00282XXXXXXX </v>
          </cell>
          <cell r="CT69" t="str">
            <v>2024-08-19</v>
          </cell>
          <cell r="CU69">
            <v>-2000.6189999999999</v>
          </cell>
        </row>
        <row r="70">
          <cell r="CJ70" t="str">
            <v>NFT-422000501GN00231XXXXXXX</v>
          </cell>
          <cell r="CK70" t="str">
            <v>2024-08-07</v>
          </cell>
          <cell r="CL70">
            <v>9484.0509999999995</v>
          </cell>
          <cell r="CM70" t="str">
            <v>NFT-422000517GN00058XXXXXXX</v>
          </cell>
          <cell r="CN70" t="str">
            <v>2024-08-07</v>
          </cell>
          <cell r="CO70">
            <v>1688.021</v>
          </cell>
        </row>
        <row r="71">
          <cell r="CJ71" t="str">
            <v>NFT-422000501GN00231XXXXXXX</v>
          </cell>
          <cell r="CK71" t="str">
            <v>2024-08-07</v>
          </cell>
          <cell r="CL71">
            <v>13709.394</v>
          </cell>
          <cell r="CM71" t="str">
            <v>NFT-422000517GN00058XXXXXXX</v>
          </cell>
          <cell r="CN71" t="str">
            <v>2024-08-07</v>
          </cell>
          <cell r="CO71">
            <v>2175.6770000000001</v>
          </cell>
        </row>
        <row r="74">
          <cell r="CJ74" t="str">
            <v xml:space="preserve">NFT-421800798GN00063XXXXXXX </v>
          </cell>
          <cell r="CK74" t="str">
            <v>2024-08-05</v>
          </cell>
          <cell r="CL74">
            <v>8315.4150000000009</v>
          </cell>
        </row>
        <row r="76">
          <cell r="CJ76" t="str">
            <v>NFT-422000501GN00231XXXXXXX</v>
          </cell>
          <cell r="CK76" t="str">
            <v>2024-08-07</v>
          </cell>
          <cell r="CL76">
            <v>13865.574000000001</v>
          </cell>
          <cell r="CM76" t="str">
            <v>NFT-422000517GN00058XXXXXXX</v>
          </cell>
          <cell r="CN76" t="str">
            <v>2024-08-07</v>
          </cell>
          <cell r="CO76">
            <v>2000.6189999999999</v>
          </cell>
        </row>
        <row r="77">
          <cell r="CJ77" t="str">
            <v>NFT-422000501GN00231XXXXXXX</v>
          </cell>
          <cell r="CK77" t="str">
            <v>2024-08-07</v>
          </cell>
          <cell r="CL77">
            <v>37174.732000000004</v>
          </cell>
          <cell r="CM77" t="str">
            <v>NFT-422000517GN00058XXXXXXX</v>
          </cell>
          <cell r="CN77" t="str">
            <v>2024-08-07</v>
          </cell>
          <cell r="CO77">
            <v>3227.9259999999999</v>
          </cell>
          <cell r="CP77" t="str">
            <v xml:space="preserve">NFT-423200864GN00138XXXXXXX </v>
          </cell>
          <cell r="CQ77" t="str">
            <v>2024-08-19</v>
          </cell>
          <cell r="CR77">
            <v>-37174.732000000004</v>
          </cell>
          <cell r="CS77" t="str">
            <v xml:space="preserve">NFT-423201020GN00282XXXXXXX </v>
          </cell>
          <cell r="CT77" t="str">
            <v>2024-08-19</v>
          </cell>
          <cell r="CU77">
            <v>-3227.9259999999999</v>
          </cell>
        </row>
        <row r="78">
          <cell r="CJ78" t="str">
            <v>NFT-422000501GN00231XXXXXXX</v>
          </cell>
          <cell r="CK78" t="str">
            <v>2024-08-07</v>
          </cell>
          <cell r="CL78">
            <v>10826.163</v>
          </cell>
          <cell r="CM78" t="str">
            <v>NFT-422200952GN00050XXXXXXX</v>
          </cell>
          <cell r="CN78" t="str">
            <v>2024-08-09</v>
          </cell>
          <cell r="CO78">
            <v>-10826.163</v>
          </cell>
        </row>
        <row r="79">
          <cell r="CJ79" t="str">
            <v>NFT-422000501GN00231XXXXXXX</v>
          </cell>
          <cell r="CK79" t="str">
            <v>2024-08-07</v>
          </cell>
          <cell r="CL79">
            <v>13865.574000000001</v>
          </cell>
          <cell r="CM79" t="str">
            <v>NFT-422000517GN00058XXXXXXX</v>
          </cell>
          <cell r="CN79" t="str">
            <v>2024-08-07</v>
          </cell>
          <cell r="CO79">
            <v>2000.6189999999999</v>
          </cell>
          <cell r="CP79" t="str">
            <v>NFT-422200952GN00050XXXXXXX</v>
          </cell>
          <cell r="CQ79" t="str">
            <v>2024-08-09</v>
          </cell>
          <cell r="CR79">
            <v>-13865.574000000001</v>
          </cell>
          <cell r="CS79" t="str">
            <v>NFT-422200987GN00281XXXXXXX</v>
          </cell>
          <cell r="CT79" t="str">
            <v>2024-08-09</v>
          </cell>
          <cell r="CU79">
            <v>-2000.6189999999999</v>
          </cell>
        </row>
        <row r="80">
          <cell r="CJ80" t="str">
            <v>NFT-422000501GN00231XXXXXXX</v>
          </cell>
          <cell r="CK80" t="str">
            <v>2024-08-07</v>
          </cell>
          <cell r="CL80">
            <v>74817.179000000004</v>
          </cell>
          <cell r="CM80" t="str">
            <v>NFT-422000517GN00058XXXXXXX</v>
          </cell>
          <cell r="CN80" t="str">
            <v>2024-08-07</v>
          </cell>
          <cell r="CO80">
            <v>4087.8069999999998</v>
          </cell>
        </row>
        <row r="81">
          <cell r="CJ81" t="str">
            <v>NFT-422000501GN00231XXXXXXX</v>
          </cell>
          <cell r="CK81" t="str">
            <v>2024-08-07</v>
          </cell>
          <cell r="CL81">
            <v>14682.776</v>
          </cell>
          <cell r="CM81" t="str">
            <v>NFT-422000517GN00058XXXXXXX</v>
          </cell>
          <cell r="CN81" t="str">
            <v>2024-08-07</v>
          </cell>
          <cell r="CO81">
            <v>1202.296</v>
          </cell>
        </row>
        <row r="82">
          <cell r="CJ82" t="str">
            <v>NFT-422000501GN00231XXXXXXX</v>
          </cell>
          <cell r="CK82" t="str">
            <v>2024-08-07</v>
          </cell>
          <cell r="CL82">
            <v>13865.574000000001</v>
          </cell>
          <cell r="CM82" t="str">
            <v>NFT-422000517GN00058XXXXXXX</v>
          </cell>
          <cell r="CN82" t="str">
            <v>2024-08-07</v>
          </cell>
          <cell r="CO82">
            <v>2000.6189999999999</v>
          </cell>
        </row>
        <row r="83">
          <cell r="CJ83" t="str">
            <v>NFT-422000501GN00231XXXXXXX</v>
          </cell>
          <cell r="CK83" t="str">
            <v>2024-08-07</v>
          </cell>
          <cell r="CL83">
            <v>14221.455</v>
          </cell>
          <cell r="CM83" t="str">
            <v>NFT-422000517GN00058XXXXXXX</v>
          </cell>
          <cell r="CN83" t="str">
            <v>2024-08-07</v>
          </cell>
          <cell r="CO83">
            <v>2019.8579999999999</v>
          </cell>
        </row>
        <row r="84">
          <cell r="CJ84" t="str">
            <v>NFT-422000501GN00231XXXXXXX</v>
          </cell>
          <cell r="CK84" t="str">
            <v>2024-08-07</v>
          </cell>
          <cell r="CL84">
            <v>13865.574000000001</v>
          </cell>
          <cell r="CM84" t="str">
            <v>NFT-422000517GN00058XXXXXXX</v>
          </cell>
          <cell r="CN84" t="str">
            <v>2024-08-07</v>
          </cell>
          <cell r="CO84">
            <v>2000.6189999999999</v>
          </cell>
        </row>
        <row r="85">
          <cell r="CJ85" t="str">
            <v>NFT-422000501GN00231XXXXXXX</v>
          </cell>
          <cell r="CK85" t="str">
            <v>2024-08-07</v>
          </cell>
          <cell r="CL85">
            <v>13125.563</v>
          </cell>
          <cell r="CM85" t="str">
            <v>NFT-422000517GN00058XXXXXXX</v>
          </cell>
          <cell r="CN85" t="str">
            <v>2024-08-07</v>
          </cell>
          <cell r="CO85">
            <v>2759.5079999999998</v>
          </cell>
        </row>
        <row r="86">
          <cell r="CJ86" t="str">
            <v>NFT-422000501GN00231XXXXXXX</v>
          </cell>
          <cell r="CK86" t="str">
            <v>2024-08-07</v>
          </cell>
          <cell r="CL86">
            <v>14365.373</v>
          </cell>
          <cell r="CM86" t="str">
            <v>NFT-422000517GN00058XXXXXXX</v>
          </cell>
          <cell r="CN86" t="str">
            <v>2024-08-07</v>
          </cell>
          <cell r="CO86">
            <v>1519.7</v>
          </cell>
        </row>
        <row r="87">
          <cell r="CJ87" t="str">
            <v>NFT-422000501GN00231XXXXXXX</v>
          </cell>
          <cell r="CK87" t="str">
            <v>2024-08-07</v>
          </cell>
          <cell r="CL87">
            <v>13547.811</v>
          </cell>
          <cell r="CM87" t="str">
            <v>NFT-422000517GN00058XXXXXXX</v>
          </cell>
          <cell r="CN87" t="str">
            <v>2024-08-07</v>
          </cell>
          <cell r="CO87">
            <v>2337.261</v>
          </cell>
        </row>
        <row r="88">
          <cell r="CJ88" t="str">
            <v>NFT-422000501GN00231XXXXXXX</v>
          </cell>
          <cell r="CK88" t="str">
            <v>2024-08-07</v>
          </cell>
          <cell r="CL88">
            <v>15067.87</v>
          </cell>
          <cell r="CM88" t="str">
            <v>NFT-422000517GN00058XXXXXXX</v>
          </cell>
          <cell r="CN88" t="str">
            <v>2024-08-07</v>
          </cell>
          <cell r="CO88">
            <v>798.32299999999998</v>
          </cell>
        </row>
        <row r="89">
          <cell r="CJ89" t="str">
            <v>NFT-422000501GN00231XXXXXXX</v>
          </cell>
          <cell r="CK89" t="str">
            <v>2024-08-07</v>
          </cell>
          <cell r="CL89">
            <v>74836.06</v>
          </cell>
          <cell r="CM89" t="str">
            <v>NFT-422000517GN00058XXXXXXX</v>
          </cell>
          <cell r="CN89" t="str">
            <v>2024-08-07</v>
          </cell>
          <cell r="CO89">
            <v>4087.806</v>
          </cell>
        </row>
        <row r="90">
          <cell r="CJ90" t="str">
            <v>NFT-422000501GN00231XXXXXXX</v>
          </cell>
          <cell r="CK90" t="str">
            <v>2024-08-07</v>
          </cell>
          <cell r="CL90">
            <v>13866.18</v>
          </cell>
          <cell r="CM90" t="str">
            <v>NFT-422000517GN00058XXXXXXX</v>
          </cell>
          <cell r="CN90" t="str">
            <v>2024-08-07</v>
          </cell>
          <cell r="CO90">
            <v>2018.8910000000001</v>
          </cell>
          <cell r="CP90" t="str">
            <v xml:space="preserve">NFT-422502003GN00079XXXXXXX </v>
          </cell>
          <cell r="CQ90" t="str">
            <v>2024-08-12</v>
          </cell>
          <cell r="CR90">
            <v>-13866.18</v>
          </cell>
          <cell r="CS90" t="str">
            <v xml:space="preserve">NFT-422502084GN00064XXXXXXX </v>
          </cell>
          <cell r="CT90" t="str">
            <v>2024-08-12</v>
          </cell>
          <cell r="CU90">
            <v>-2018.8910000000001</v>
          </cell>
        </row>
        <row r="91">
          <cell r="CJ91" t="str">
            <v>NFT-422000501GN00231XXXXXXX</v>
          </cell>
          <cell r="CK91" t="str">
            <v>2024-08-07</v>
          </cell>
          <cell r="CL91">
            <v>13865.574000000001</v>
          </cell>
          <cell r="CM91" t="str">
            <v>NFT-422000517GN00058XXXXXXX</v>
          </cell>
          <cell r="CN91" t="str">
            <v>2024-08-07</v>
          </cell>
          <cell r="CO91">
            <v>2000.6189999999999</v>
          </cell>
        </row>
        <row r="92">
          <cell r="CJ92" t="str">
            <v>NFT-422000501GN00231XXXXXXX</v>
          </cell>
          <cell r="CK92" t="str">
            <v>2024-08-07</v>
          </cell>
          <cell r="CL92">
            <v>13865.574000000001</v>
          </cell>
          <cell r="CM92" t="str">
            <v>NFT-422000517GN00058XXXXXXX</v>
          </cell>
          <cell r="CN92" t="str">
            <v>2024-08-07</v>
          </cell>
          <cell r="CO92">
            <v>2000.6189999999999</v>
          </cell>
        </row>
        <row r="93">
          <cell r="CJ93" t="str">
            <v>NFT-422000501GN00231XXXXXXX</v>
          </cell>
          <cell r="CK93" t="str">
            <v>2024-08-07</v>
          </cell>
          <cell r="CL93">
            <v>13884.453</v>
          </cell>
          <cell r="CM93" t="str">
            <v>NFT-422000517GN00058XXXXXXX</v>
          </cell>
          <cell r="CN93" t="str">
            <v>2024-08-07</v>
          </cell>
          <cell r="CO93">
            <v>2000.6179999999999</v>
          </cell>
        </row>
        <row r="94">
          <cell r="CJ94" t="str">
            <v>NFT-422000501GN00231XXXXXXX</v>
          </cell>
          <cell r="CK94" t="str">
            <v>2024-08-07</v>
          </cell>
          <cell r="CL94">
            <v>13884.453</v>
          </cell>
          <cell r="CM94" t="str">
            <v>NFT-422000517GN00058XXXXXXX</v>
          </cell>
          <cell r="CN94" t="str">
            <v>2024-08-07</v>
          </cell>
          <cell r="CO94">
            <v>2000.6179999999999</v>
          </cell>
        </row>
        <row r="95">
          <cell r="CJ95" t="str">
            <v>NFT-422000501GN00231XXXXXXX</v>
          </cell>
          <cell r="CK95" t="str">
            <v>2024-08-07</v>
          </cell>
          <cell r="CL95">
            <v>76038.354999999996</v>
          </cell>
          <cell r="CM95" t="str">
            <v>NFT-422000517GN00058XXXXXXX</v>
          </cell>
          <cell r="CN95" t="str">
            <v>2024-08-07</v>
          </cell>
          <cell r="CO95">
            <v>2885.511</v>
          </cell>
          <cell r="CP95" t="str">
            <v>NFT-422200952GN00050XXXXXXX</v>
          </cell>
          <cell r="CQ95" t="str">
            <v>2024-08-09</v>
          </cell>
          <cell r="CR95">
            <v>-76038.354999999996</v>
          </cell>
          <cell r="CS95" t="str">
            <v>NFT-422200987GN00281XXXXXXX</v>
          </cell>
          <cell r="CT95" t="str">
            <v>2024-08-09</v>
          </cell>
          <cell r="CU95">
            <v>-2885.511</v>
          </cell>
        </row>
        <row r="96">
          <cell r="CJ96" t="str">
            <v>NFT-422000501GN00231XXXXXXX</v>
          </cell>
          <cell r="CK96" t="str">
            <v>2024-08-07</v>
          </cell>
          <cell r="CL96">
            <v>14132</v>
          </cell>
          <cell r="CM96" t="str">
            <v>NFT-422000517GN00058XXXXXXX</v>
          </cell>
          <cell r="CN96" t="str">
            <v>2024-08-07</v>
          </cell>
          <cell r="CO96">
            <v>1734.193</v>
          </cell>
        </row>
        <row r="97">
          <cell r="CJ97" t="str">
            <v>NFT-422000501GN00231XXXXXXX</v>
          </cell>
          <cell r="CK97" t="str">
            <v>2024-08-07</v>
          </cell>
          <cell r="CL97">
            <v>13865.574000000001</v>
          </cell>
          <cell r="CM97" t="str">
            <v>NFT-422000517GN00058XXXXXXX</v>
          </cell>
          <cell r="CN97" t="str">
            <v>2024-08-07</v>
          </cell>
          <cell r="CO97">
            <v>2000.6189999999999</v>
          </cell>
          <cell r="CP97" t="str">
            <v xml:space="preserve">NFT-422900441GN00081XXXXXXX </v>
          </cell>
          <cell r="CQ97" t="str">
            <v>2024-08-16</v>
          </cell>
          <cell r="CR97">
            <v>-13865.574000000001</v>
          </cell>
          <cell r="CS97" t="str">
            <v xml:space="preserve">NFT-422900461GN00273XXXXXXX </v>
          </cell>
          <cell r="CT97" t="str">
            <v>2024-08-16</v>
          </cell>
          <cell r="CU97">
            <v>-2000.6189999999999</v>
          </cell>
        </row>
        <row r="99">
          <cell r="CJ99" t="str">
            <v>NFT-422000501GN00231XXXXXXX</v>
          </cell>
          <cell r="CK99" t="str">
            <v>2024-08-07</v>
          </cell>
          <cell r="CL99">
            <v>76019.475000000006</v>
          </cell>
          <cell r="CM99" t="str">
            <v>NFT-422000517GN00058XXXXXXX</v>
          </cell>
          <cell r="CN99" t="str">
            <v>2024-08-07</v>
          </cell>
          <cell r="CO99">
            <v>2885.511</v>
          </cell>
        </row>
        <row r="100">
          <cell r="CJ100" t="str">
            <v>NFT-422000501GN00231XXXXXXX</v>
          </cell>
          <cell r="CK100" t="str">
            <v>2024-08-07</v>
          </cell>
          <cell r="CL100">
            <v>76019.475000000006</v>
          </cell>
          <cell r="CM100" t="str">
            <v>NFT-422000517GN00058XXXXXXX</v>
          </cell>
          <cell r="CN100" t="str">
            <v>2024-08-07</v>
          </cell>
          <cell r="CO100">
            <v>2885.511</v>
          </cell>
        </row>
        <row r="103">
          <cell r="CJ103" t="str">
            <v>NFT-422000501GN00231XXXXXXX</v>
          </cell>
          <cell r="CK103" t="str">
            <v>2024-08-07</v>
          </cell>
          <cell r="CL103">
            <v>14611.953</v>
          </cell>
          <cell r="CM103" t="str">
            <v>NFT-422000517GN00058XXXXXXX</v>
          </cell>
          <cell r="CN103" t="str">
            <v>2024-08-07</v>
          </cell>
          <cell r="CO103">
            <v>1254.24</v>
          </cell>
        </row>
        <row r="106">
          <cell r="CJ106" t="str">
            <v>NFT-422000501GN00231XXXXXXX</v>
          </cell>
          <cell r="CK106" t="str">
            <v>2024-08-07</v>
          </cell>
          <cell r="CL106">
            <v>13885.409</v>
          </cell>
          <cell r="CM106" t="str">
            <v>NFT-422000517GN00058XXXXXXX</v>
          </cell>
          <cell r="CN106" t="str">
            <v>2024-08-07</v>
          </cell>
          <cell r="CO106">
            <v>1999.662</v>
          </cell>
        </row>
        <row r="107">
          <cell r="CJ107" t="str">
            <v>NFT-422000501GN00231XXXXXXX</v>
          </cell>
          <cell r="CK107" t="str">
            <v>2024-08-07</v>
          </cell>
          <cell r="CL107">
            <v>43453.245000000003</v>
          </cell>
          <cell r="CM107" t="str">
            <v>NFT-422000517GN00058XXXXXXX</v>
          </cell>
          <cell r="CN107" t="str">
            <v>2024-08-07</v>
          </cell>
          <cell r="CO107">
            <v>3556.8760000000002</v>
          </cell>
        </row>
        <row r="108">
          <cell r="CJ108" t="str">
            <v>NFT-422000501GN00231XXXXXXX</v>
          </cell>
          <cell r="CK108" t="str">
            <v>2024-08-07</v>
          </cell>
          <cell r="CL108">
            <v>14585.03</v>
          </cell>
          <cell r="CM108" t="str">
            <v>NFT-422000517GN00058XXXXXXX</v>
          </cell>
          <cell r="CN108" t="str">
            <v>2024-08-07</v>
          </cell>
          <cell r="CO108">
            <v>1281.162</v>
          </cell>
        </row>
        <row r="109">
          <cell r="CJ109" t="str">
            <v>NFT-422000501GN00231XXXXXXX</v>
          </cell>
          <cell r="CK109" t="str">
            <v>2024-08-07</v>
          </cell>
          <cell r="CL109">
            <v>13342.945</v>
          </cell>
          <cell r="CM109" t="str">
            <v>NFT-422000517GN00058XXXXXXX</v>
          </cell>
          <cell r="CN109" t="str">
            <v>2024-08-07</v>
          </cell>
          <cell r="CO109">
            <v>1895.9580000000001</v>
          </cell>
          <cell r="CP109" t="str">
            <v xml:space="preserve">NFT-422502003GN00079XXXXXXX </v>
          </cell>
          <cell r="CQ109" t="str">
            <v>2024-08-12</v>
          </cell>
          <cell r="CR109">
            <v>-13342.945</v>
          </cell>
          <cell r="CS109" t="str">
            <v xml:space="preserve">NFT-422502084GN00064XXXXXXX </v>
          </cell>
          <cell r="CT109" t="str">
            <v>2024-08-12</v>
          </cell>
          <cell r="CU109">
            <v>-1895.9580000000001</v>
          </cell>
        </row>
        <row r="110">
          <cell r="CJ110" t="str">
            <v>NFT-422200987GN00281XXXXXXX</v>
          </cell>
          <cell r="CK110" t="str">
            <v>2024-08-09</v>
          </cell>
          <cell r="CL110">
            <v>2885.51</v>
          </cell>
          <cell r="CM110" t="str">
            <v>NFT-422200952GN00050XXXXXXX</v>
          </cell>
          <cell r="CN110" t="str">
            <v>2024-08-09</v>
          </cell>
          <cell r="CO110">
            <v>75432.391000000003</v>
          </cell>
        </row>
        <row r="111">
          <cell r="CJ111" t="str">
            <v>NFT-422200987GN00281XXXXXXX</v>
          </cell>
          <cell r="CK111" t="str">
            <v>2024-08-09</v>
          </cell>
          <cell r="CL111">
            <v>1232.114</v>
          </cell>
          <cell r="CM111" t="str">
            <v>NFT-422200952GN00050XXXXXXX</v>
          </cell>
          <cell r="CN111" t="str">
            <v>2024-08-09</v>
          </cell>
          <cell r="CO111">
            <v>6881.6760000000004</v>
          </cell>
          <cell r="CP111" t="str">
            <v xml:space="preserve">NFT-422900441GN00081XXXXXXX </v>
          </cell>
          <cell r="CQ111" t="str">
            <v>2024-08-16</v>
          </cell>
          <cell r="CR111">
            <v>-6881.6760000000004</v>
          </cell>
          <cell r="CS111" t="str">
            <v xml:space="preserve">NFT-422900461GN00273XXXXXXX </v>
          </cell>
          <cell r="CT111" t="str">
            <v>2024-08-16</v>
          </cell>
          <cell r="CU111">
            <v>-1232.114</v>
          </cell>
        </row>
        <row r="113">
          <cell r="CJ113" t="str">
            <v>NFT-422200987GN00281XXXXXXX</v>
          </cell>
          <cell r="CK113" t="str">
            <v>2024-08-09</v>
          </cell>
          <cell r="CL113">
            <v>1232.114</v>
          </cell>
          <cell r="CM113" t="str">
            <v>NFT-422200952GN00050XXXXXXX</v>
          </cell>
          <cell r="CN113" t="str">
            <v>2024-08-09</v>
          </cell>
          <cell r="CO113">
            <v>6900.5559999999996</v>
          </cell>
        </row>
        <row r="114">
          <cell r="CJ114" t="str">
            <v>NFT-422200987GN00281XXXXXXX</v>
          </cell>
          <cell r="CK114" t="str">
            <v>2024-08-09</v>
          </cell>
          <cell r="CL114">
            <v>2000.6189999999999</v>
          </cell>
          <cell r="CM114" t="str">
            <v>NFT-422200952GN00050XXXXXXX</v>
          </cell>
          <cell r="CN114" t="str">
            <v>2024-08-09</v>
          </cell>
          <cell r="CO114">
            <v>13865.574000000001</v>
          </cell>
        </row>
        <row r="115">
          <cell r="CJ115" t="str">
            <v>NFT-422200987GN00281XXXXXXX</v>
          </cell>
          <cell r="CK115" t="str">
            <v>2024-08-09</v>
          </cell>
          <cell r="CL115">
            <v>2013.12</v>
          </cell>
          <cell r="CM115" t="str">
            <v>NFT-422200952GN00050XXXXXXX</v>
          </cell>
          <cell r="CN115" t="str">
            <v>2024-08-09</v>
          </cell>
          <cell r="CO115">
            <v>14122.027</v>
          </cell>
        </row>
        <row r="116">
          <cell r="CJ116" t="str">
            <v>NFT-422200987GN00281XXXXXXX</v>
          </cell>
          <cell r="CK116" t="str">
            <v>2024-08-09</v>
          </cell>
          <cell r="CL116">
            <v>4664.9089999999997</v>
          </cell>
          <cell r="CM116" t="str">
            <v>NFT-422200952GN00050XXXXXXX</v>
          </cell>
          <cell r="CN116" t="str">
            <v>2024-08-09</v>
          </cell>
          <cell r="CO116">
            <v>73652.991999999998</v>
          </cell>
        </row>
        <row r="117">
          <cell r="CJ117" t="str">
            <v>NFT-422200987GN00281XXXXXXX</v>
          </cell>
          <cell r="CK117" t="str">
            <v>2024-08-09</v>
          </cell>
          <cell r="CL117">
            <v>1132.078</v>
          </cell>
          <cell r="CM117" t="str">
            <v>NFT-422200952GN00050XXXXXXX</v>
          </cell>
          <cell r="CN117" t="str">
            <v>2024-08-09</v>
          </cell>
          <cell r="CO117">
            <v>6981.7020000000002</v>
          </cell>
        </row>
        <row r="118">
          <cell r="CJ118" t="str">
            <v>NFT-422200987GN00281XXXXXXX</v>
          </cell>
          <cell r="CK118" t="str">
            <v>2024-08-09</v>
          </cell>
          <cell r="CL118">
            <v>1889.64</v>
          </cell>
          <cell r="CM118" t="str">
            <v>NFT-422200952GN00050XXXXXXX</v>
          </cell>
          <cell r="CN118" t="str">
            <v>2024-08-09</v>
          </cell>
          <cell r="CO118">
            <v>13231.897000000001</v>
          </cell>
        </row>
        <row r="119">
          <cell r="CJ119" t="str">
            <v>NFT-422200987GN00281XXXXXXX</v>
          </cell>
          <cell r="CK119" t="str">
            <v>2024-08-09</v>
          </cell>
          <cell r="CL119">
            <v>2759.509</v>
          </cell>
          <cell r="CM119" t="str">
            <v>NFT-422200952GN00050XXXXXXX</v>
          </cell>
          <cell r="CN119" t="str">
            <v>2024-08-09</v>
          </cell>
          <cell r="CO119">
            <v>13106.683999999999</v>
          </cell>
        </row>
        <row r="120">
          <cell r="CJ120" t="str">
            <v>NFT-422200987GN00281XXXXXXX</v>
          </cell>
          <cell r="CK120" t="str">
            <v>2024-08-09</v>
          </cell>
          <cell r="CL120">
            <v>1889.64</v>
          </cell>
          <cell r="CM120" t="str">
            <v>NFT-422200952GN00050XXXXXXX</v>
          </cell>
          <cell r="CN120" t="str">
            <v>2024-08-09</v>
          </cell>
          <cell r="CO120">
            <v>13231.897000000001</v>
          </cell>
        </row>
        <row r="121">
          <cell r="CJ121" t="str">
            <v>NFT-422200987GN00281XXXXXXX</v>
          </cell>
          <cell r="CK121" t="str">
            <v>2024-08-09</v>
          </cell>
          <cell r="CL121">
            <v>1889.64</v>
          </cell>
          <cell r="CM121" t="str">
            <v>NFT-422200952GN00050XXXXXXX</v>
          </cell>
          <cell r="CN121" t="str">
            <v>2024-08-09</v>
          </cell>
          <cell r="CO121">
            <v>13231.897000000001</v>
          </cell>
        </row>
        <row r="122">
          <cell r="CJ122" t="str">
            <v>NFT-422200987GN00281XXXXXXX</v>
          </cell>
          <cell r="CK122" t="str">
            <v>2024-08-09</v>
          </cell>
          <cell r="CL122">
            <v>2013.12</v>
          </cell>
          <cell r="CM122" t="str">
            <v>NFT-422200952GN00050XXXXXXX</v>
          </cell>
          <cell r="CN122" t="str">
            <v>2024-08-09</v>
          </cell>
          <cell r="CO122">
            <v>14122.027</v>
          </cell>
        </row>
        <row r="123">
          <cell r="CM123" t="str">
            <v xml:space="preserve">NFT-/XUTR/DEUTH02429026181X </v>
          </cell>
          <cell r="CN123" t="str">
            <v>2024-10-16</v>
          </cell>
          <cell r="CO123">
            <v>13963.03</v>
          </cell>
        </row>
        <row r="124">
          <cell r="CJ124" t="str">
            <v>NFT-422200987GN00281XXXXXXX</v>
          </cell>
          <cell r="CK124" t="str">
            <v>2024-08-09</v>
          </cell>
          <cell r="CL124">
            <v>2013.12</v>
          </cell>
          <cell r="CM124" t="str">
            <v>NFT-422200952GN00050XXXXXXX</v>
          </cell>
          <cell r="CN124" t="str">
            <v>2024-08-09</v>
          </cell>
          <cell r="CO124">
            <v>14122.027</v>
          </cell>
        </row>
        <row r="125">
          <cell r="CJ125" t="str">
            <v>NFT-422200987GN00281XXXXXXX</v>
          </cell>
          <cell r="CK125" t="str">
            <v>2024-08-09</v>
          </cell>
          <cell r="CL125">
            <v>1889.64</v>
          </cell>
          <cell r="CM125" t="str">
            <v>NFT-422200952GN00050XXXXXXX</v>
          </cell>
          <cell r="CN125" t="str">
            <v>2024-08-09</v>
          </cell>
          <cell r="CO125">
            <v>13250.777</v>
          </cell>
        </row>
        <row r="127">
          <cell r="CJ127" t="str">
            <v>NFT-422200987GN00281XXXXXXX</v>
          </cell>
          <cell r="CK127" t="str">
            <v>2024-08-09</v>
          </cell>
          <cell r="CL127">
            <v>1994.846</v>
          </cell>
          <cell r="CM127" t="str">
            <v>NFT-422200952GN00050XXXXXXX</v>
          </cell>
          <cell r="CN127" t="str">
            <v>2024-08-09</v>
          </cell>
          <cell r="CO127">
            <v>13746.3</v>
          </cell>
        </row>
        <row r="128">
          <cell r="CJ128" t="str">
            <v>NFT-422200987GN00281XXXXXXX</v>
          </cell>
          <cell r="CK128" t="str">
            <v>2024-08-09</v>
          </cell>
          <cell r="CL128">
            <v>1994.846</v>
          </cell>
          <cell r="CM128" t="str">
            <v>NFT-422200952GN00050XXXXXXX</v>
          </cell>
          <cell r="CN128" t="str">
            <v>2024-08-09</v>
          </cell>
          <cell r="CO128">
            <v>13746.3</v>
          </cell>
        </row>
        <row r="129">
          <cell r="CJ129" t="str">
            <v>NFT-422200987GN00281XXXXXXX</v>
          </cell>
          <cell r="CK129" t="str">
            <v>2024-08-09</v>
          </cell>
          <cell r="CL129">
            <v>2013.12</v>
          </cell>
          <cell r="CM129" t="str">
            <v>NFT-422200952GN00050XXXXXXX</v>
          </cell>
          <cell r="CN129" t="str">
            <v>2024-08-09</v>
          </cell>
          <cell r="CO129">
            <v>14103.147000000001</v>
          </cell>
        </row>
        <row r="130">
          <cell r="CJ130" t="str">
            <v>NFT-422200987GN00281XXXXXXX</v>
          </cell>
          <cell r="CK130" t="str">
            <v>2024-08-09</v>
          </cell>
          <cell r="CL130">
            <v>1202.296</v>
          </cell>
          <cell r="CM130" t="str">
            <v>NFT-422200952GN00050XXXXXXX</v>
          </cell>
          <cell r="CN130" t="str">
            <v>2024-08-09</v>
          </cell>
          <cell r="CO130">
            <v>14682.776</v>
          </cell>
        </row>
        <row r="132">
          <cell r="CJ132" t="str">
            <v>NFT-422200987GN00281XXXXXXX</v>
          </cell>
          <cell r="CK132" t="str">
            <v>2024-08-09</v>
          </cell>
          <cell r="CL132">
            <v>1994.846</v>
          </cell>
          <cell r="CM132" t="str">
            <v>NFT-422200952GN00050XXXXXXX</v>
          </cell>
          <cell r="CN132" t="str">
            <v>2024-08-09</v>
          </cell>
          <cell r="CO132">
            <v>13746.3</v>
          </cell>
        </row>
        <row r="133">
          <cell r="CJ133" t="str">
            <v>NFT-422200987GN00281XXXXXXX</v>
          </cell>
          <cell r="CK133" t="str">
            <v>2024-08-09</v>
          </cell>
          <cell r="CL133">
            <v>2010.2429999999999</v>
          </cell>
          <cell r="CM133" t="str">
            <v>NFT-422200952GN00050XXXXXXX</v>
          </cell>
          <cell r="CN133" t="str">
            <v>2024-08-09</v>
          </cell>
          <cell r="CO133">
            <v>38103.504999999997</v>
          </cell>
        </row>
        <row r="134">
          <cell r="CJ134" t="str">
            <v>NFT-422200987GN00281XXXXXXX</v>
          </cell>
          <cell r="CK134" t="str">
            <v>2024-08-09</v>
          </cell>
          <cell r="CL134">
            <v>1472.5730000000001</v>
          </cell>
          <cell r="CM134" t="str">
            <v>NFT-422200952GN00050XXXXXXX</v>
          </cell>
          <cell r="CN134" t="str">
            <v>2024-08-09</v>
          </cell>
          <cell r="CO134">
            <v>6641.2169999999996</v>
          </cell>
        </row>
        <row r="135">
          <cell r="CJ135" t="str">
            <v>NFT-422200987GN00281XXXXXXX</v>
          </cell>
          <cell r="CK135" t="str">
            <v>2024-08-09</v>
          </cell>
          <cell r="CL135">
            <v>2783.5549999999998</v>
          </cell>
          <cell r="CM135" t="str">
            <v>NFT-422200952GN00050XXXXXXX</v>
          </cell>
          <cell r="CN135" t="str">
            <v>2024-08-09</v>
          </cell>
          <cell r="CO135">
            <v>13351.592000000001</v>
          </cell>
        </row>
        <row r="136">
          <cell r="CJ136" t="str">
            <v>NFT-422200987GN00281XXXXXXX</v>
          </cell>
          <cell r="CK136" t="str">
            <v>2024-08-09</v>
          </cell>
          <cell r="CL136">
            <v>1202.296</v>
          </cell>
          <cell r="CM136" t="str">
            <v>NFT-422200952GN00050XXXXXXX</v>
          </cell>
          <cell r="CN136" t="str">
            <v>2024-08-09</v>
          </cell>
          <cell r="CO136">
            <v>14663.896000000001</v>
          </cell>
          <cell r="CP136" t="str">
            <v xml:space="preserve">NFT-422502003GN00079XXXXXXX </v>
          </cell>
          <cell r="CQ136" t="str">
            <v>2024-08-12</v>
          </cell>
          <cell r="CR136">
            <v>-14663.896000000001</v>
          </cell>
          <cell r="CS136" t="str">
            <v xml:space="preserve">NFT-422502084GN00064XXXXXXX </v>
          </cell>
          <cell r="CT136" t="str">
            <v>2024-08-12</v>
          </cell>
          <cell r="CU136">
            <v>-1202.296</v>
          </cell>
        </row>
        <row r="137">
          <cell r="CJ137" t="str">
            <v>NFT-422200987GN00281XXXXXXX</v>
          </cell>
          <cell r="CK137" t="str">
            <v>2024-08-09</v>
          </cell>
          <cell r="CL137">
            <v>1889.64</v>
          </cell>
          <cell r="CM137" t="str">
            <v>NFT-422200952GN00050XXXXXXX</v>
          </cell>
          <cell r="CN137" t="str">
            <v>2024-08-09</v>
          </cell>
          <cell r="CO137">
            <v>13231.897000000001</v>
          </cell>
        </row>
        <row r="139">
          <cell r="CJ139" t="str">
            <v>NFT-422200987GN00281XXXXXXX</v>
          </cell>
          <cell r="CK139" t="str">
            <v>2024-08-09</v>
          </cell>
          <cell r="CL139">
            <v>1994.846</v>
          </cell>
          <cell r="CM139" t="str">
            <v>NFT-422200952GN00050XXXXXXX</v>
          </cell>
          <cell r="CN139" t="str">
            <v>2024-08-09</v>
          </cell>
          <cell r="CO139">
            <v>13765.18</v>
          </cell>
        </row>
        <row r="141">
          <cell r="CJ141" t="str">
            <v>NFT-422200987GN00281XXXXXXX</v>
          </cell>
          <cell r="CK141" t="str">
            <v>2024-08-09</v>
          </cell>
          <cell r="CL141">
            <v>4087.806</v>
          </cell>
          <cell r="CM141" t="str">
            <v>NFT-422200952GN00050XXXXXXX</v>
          </cell>
          <cell r="CN141" t="str">
            <v>2024-08-09</v>
          </cell>
          <cell r="CO141">
            <v>74278.184999999998</v>
          </cell>
        </row>
        <row r="142">
          <cell r="CJ142" t="str">
            <v>NFT-422200987GN00281XXXXXXX</v>
          </cell>
          <cell r="CK142" t="str">
            <v>2024-08-09</v>
          </cell>
          <cell r="CL142">
            <v>2013.12</v>
          </cell>
          <cell r="CM142" t="str">
            <v>NFT-422200952GN00050XXXXXXX</v>
          </cell>
          <cell r="CN142" t="str">
            <v>2024-08-09</v>
          </cell>
          <cell r="CO142">
            <v>14103.147000000001</v>
          </cell>
        </row>
        <row r="143">
          <cell r="CJ143" t="str">
            <v>NFT-422200987GN00281XXXXXXX</v>
          </cell>
          <cell r="CK143" t="str">
            <v>2024-08-09</v>
          </cell>
          <cell r="CL143">
            <v>3057.683</v>
          </cell>
          <cell r="CM143" t="str">
            <v>NFT-422200952GN00050XXXXXXX</v>
          </cell>
          <cell r="CN143" t="str">
            <v>2024-08-09</v>
          </cell>
          <cell r="CO143">
            <v>43568.061000000002</v>
          </cell>
        </row>
        <row r="144">
          <cell r="CJ144" t="str">
            <v>NFT-422200987GN00281XXXXXXX</v>
          </cell>
          <cell r="CK144" t="str">
            <v>2024-08-09</v>
          </cell>
          <cell r="CL144">
            <v>1132.078</v>
          </cell>
          <cell r="CM144" t="str">
            <v>NFT-422200952GN00050XXXXXXX</v>
          </cell>
          <cell r="CN144" t="str">
            <v>2024-08-09</v>
          </cell>
          <cell r="CO144">
            <v>6981.7020000000002</v>
          </cell>
        </row>
        <row r="145">
          <cell r="CJ145" t="str">
            <v>NFT-422200987GN00281XXXXXXX</v>
          </cell>
          <cell r="CK145" t="str">
            <v>2024-08-09</v>
          </cell>
          <cell r="CL145">
            <v>1232.114</v>
          </cell>
          <cell r="CM145" t="str">
            <v>NFT-422200952GN00050XXXXXXX</v>
          </cell>
          <cell r="CN145" t="str">
            <v>2024-08-09</v>
          </cell>
          <cell r="CO145">
            <v>6881.6760000000004</v>
          </cell>
          <cell r="CP145" t="str">
            <v xml:space="preserve">NFT-422900441GN00081XXXXXXX </v>
          </cell>
          <cell r="CQ145" t="str">
            <v>2024-08-16</v>
          </cell>
          <cell r="CR145">
            <v>-6881.6760000000004</v>
          </cell>
          <cell r="CS145" t="str">
            <v xml:space="preserve">NFT-422900461GN00273XXXXXXX </v>
          </cell>
          <cell r="CT145" t="str">
            <v>2024-08-16</v>
          </cell>
          <cell r="CU145">
            <v>-1232.114</v>
          </cell>
        </row>
        <row r="146">
          <cell r="CJ146" t="str">
            <v>NFT-422200987GN00281XXXXXXX</v>
          </cell>
          <cell r="CK146" t="str">
            <v>2024-08-09</v>
          </cell>
          <cell r="CL146">
            <v>1148.432</v>
          </cell>
          <cell r="CM146" t="str">
            <v>NFT-422200952GN00050XXXXXXX</v>
          </cell>
          <cell r="CN146" t="str">
            <v>2024-08-09</v>
          </cell>
          <cell r="CO146">
            <v>14611.602999999999</v>
          </cell>
        </row>
        <row r="148">
          <cell r="CJ148" t="str">
            <v>NFT-422200987GN00281XXXXXXX</v>
          </cell>
          <cell r="CK148" t="str">
            <v>2024-08-09</v>
          </cell>
          <cell r="CL148">
            <v>2013.12</v>
          </cell>
          <cell r="CM148" t="str">
            <v>NFT-422200952GN00050XXXXXXX</v>
          </cell>
          <cell r="CN148" t="str">
            <v>2024-08-09</v>
          </cell>
          <cell r="CO148">
            <v>14122.027</v>
          </cell>
        </row>
        <row r="149">
          <cell r="CJ149" t="str">
            <v>NFT-422200987GN00281XXXXXXX</v>
          </cell>
          <cell r="CK149" t="str">
            <v>2024-08-09</v>
          </cell>
          <cell r="CL149">
            <v>1889.64</v>
          </cell>
          <cell r="CM149" t="str">
            <v>NFT-422200952GN00050XXXXXXX</v>
          </cell>
          <cell r="CN149" t="str">
            <v>2024-08-09</v>
          </cell>
          <cell r="CO149">
            <v>13231.897000000001</v>
          </cell>
        </row>
        <row r="150">
          <cell r="CJ150" t="str">
            <v>NFT-422200987GN00281XXXXXXX</v>
          </cell>
          <cell r="CK150" t="str">
            <v>2024-08-09</v>
          </cell>
          <cell r="CL150">
            <v>2013.12</v>
          </cell>
          <cell r="CM150" t="str">
            <v>NFT-422200952GN00050XXXXXXX</v>
          </cell>
          <cell r="CN150" t="str">
            <v>2024-08-09</v>
          </cell>
          <cell r="CO150">
            <v>14122.027</v>
          </cell>
        </row>
        <row r="151">
          <cell r="CJ151" t="str">
            <v>NFT-422200987GN00281XXXXXXX</v>
          </cell>
          <cell r="CK151" t="str">
            <v>2024-08-09</v>
          </cell>
          <cell r="CL151">
            <v>2336.306</v>
          </cell>
          <cell r="CM151" t="str">
            <v>NFT-422200952GN00050XXXXXXX</v>
          </cell>
          <cell r="CN151" t="str">
            <v>2024-08-09</v>
          </cell>
          <cell r="CO151">
            <v>44289.438000000002</v>
          </cell>
        </row>
        <row r="152">
          <cell r="CJ152" t="str">
            <v>NFT-422200987GN00281XXXXXXX</v>
          </cell>
          <cell r="CK152" t="str">
            <v>2024-08-09</v>
          </cell>
          <cell r="CL152">
            <v>1232.114</v>
          </cell>
          <cell r="CM152" t="str">
            <v>NFT-422200952GN00050XXXXXXX</v>
          </cell>
          <cell r="CN152" t="str">
            <v>2024-08-09</v>
          </cell>
          <cell r="CO152">
            <v>6881.6760000000004</v>
          </cell>
        </row>
        <row r="153">
          <cell r="CJ153" t="str">
            <v>NFT-422200987GN00281XXXXXXX</v>
          </cell>
          <cell r="CK153" t="str">
            <v>2024-08-09</v>
          </cell>
          <cell r="CL153">
            <v>3462.6129999999998</v>
          </cell>
          <cell r="CM153" t="str">
            <v>NFT-422200952GN00050XXXXXXX</v>
          </cell>
          <cell r="CN153" t="str">
            <v>2024-08-09</v>
          </cell>
          <cell r="CO153">
            <v>74855.288</v>
          </cell>
          <cell r="CP153" t="str">
            <v xml:space="preserve">NFT-422502003GN00079XXXXXXX </v>
          </cell>
          <cell r="CQ153" t="str">
            <v>2024-08-12</v>
          </cell>
          <cell r="CR153">
            <v>-74855.288</v>
          </cell>
          <cell r="CS153" t="str">
            <v xml:space="preserve">NFT-422502084GN00064XXXXXXX </v>
          </cell>
          <cell r="CT153" t="str">
            <v>2024-08-12</v>
          </cell>
          <cell r="CU153">
            <v>-3462.6129999999998</v>
          </cell>
        </row>
        <row r="154">
          <cell r="CJ154" t="str">
            <v>NFT-422200987GN00281XXXXXXX</v>
          </cell>
          <cell r="CK154" t="str">
            <v>2024-08-09</v>
          </cell>
          <cell r="CL154">
            <v>2013.12</v>
          </cell>
          <cell r="CM154" t="str">
            <v>NFT-422200952GN00050XXXXXXX</v>
          </cell>
          <cell r="CN154" t="str">
            <v>2024-08-09</v>
          </cell>
          <cell r="CO154">
            <v>14103.147000000001</v>
          </cell>
        </row>
        <row r="155">
          <cell r="CJ155" t="str">
            <v>NFT-422200987GN00281XXXXXXX</v>
          </cell>
          <cell r="CK155" t="str">
            <v>2024-08-09</v>
          </cell>
          <cell r="CL155">
            <v>2013.12</v>
          </cell>
          <cell r="CM155" t="str">
            <v>NFT-422200952GN00050XXXXXXX</v>
          </cell>
          <cell r="CN155" t="str">
            <v>2024-08-09</v>
          </cell>
          <cell r="CO155">
            <v>14122.027</v>
          </cell>
        </row>
        <row r="156">
          <cell r="CM156" t="str">
            <v>NFT-422200952GN00050XXXXXXX</v>
          </cell>
          <cell r="CN156" t="str">
            <v>2024-08-09</v>
          </cell>
          <cell r="CO156">
            <v>8181.1120000000001</v>
          </cell>
        </row>
        <row r="157">
          <cell r="CJ157" t="str">
            <v>NFT-422200987GN00281XXXXXXX</v>
          </cell>
          <cell r="CK157" t="str">
            <v>2024-08-09</v>
          </cell>
          <cell r="CL157">
            <v>2885.51</v>
          </cell>
          <cell r="CM157" t="str">
            <v>NFT-422200952GN00050XXXXXXX</v>
          </cell>
          <cell r="CN157" t="str">
            <v>2024-08-09</v>
          </cell>
          <cell r="CO157">
            <v>75432.391000000003</v>
          </cell>
        </row>
        <row r="158">
          <cell r="CJ158" t="str">
            <v>NFT-422200987GN00281XXXXXXX</v>
          </cell>
          <cell r="CK158" t="str">
            <v>2024-08-09</v>
          </cell>
          <cell r="CL158">
            <v>1889.64</v>
          </cell>
          <cell r="CM158" t="str">
            <v>NFT-422200952GN00050XXXXXXX</v>
          </cell>
          <cell r="CN158" t="str">
            <v>2024-08-09</v>
          </cell>
          <cell r="CO158">
            <v>13231.897000000001</v>
          </cell>
        </row>
        <row r="159">
          <cell r="CJ159" t="str">
            <v>NFT-422200987GN00281XXXXXXX</v>
          </cell>
          <cell r="CK159" t="str">
            <v>2024-08-09</v>
          </cell>
          <cell r="CL159">
            <v>2013.12</v>
          </cell>
          <cell r="CM159" t="str">
            <v>NFT-422200952GN00050XXXXXXX</v>
          </cell>
          <cell r="CN159" t="str">
            <v>2024-08-09</v>
          </cell>
          <cell r="CO159">
            <v>14122.027</v>
          </cell>
        </row>
        <row r="160">
          <cell r="CJ160" t="str">
            <v>NFT-422200987GN00281XXXXXXX</v>
          </cell>
          <cell r="CK160" t="str">
            <v>2024-08-09</v>
          </cell>
          <cell r="CL160">
            <v>1889.64</v>
          </cell>
          <cell r="CM160" t="str">
            <v>NFT-422200952GN00050XXXXXXX</v>
          </cell>
          <cell r="CN160" t="str">
            <v>2024-08-09</v>
          </cell>
          <cell r="CO160">
            <v>13231.897000000001</v>
          </cell>
        </row>
        <row r="161">
          <cell r="CJ161" t="str">
            <v>NFT-422200987GN00281XXXXXXX</v>
          </cell>
          <cell r="CK161" t="str">
            <v>2024-08-09</v>
          </cell>
          <cell r="CL161">
            <v>1202.296</v>
          </cell>
          <cell r="CM161" t="str">
            <v>NFT-422200952GN00050XXXXXXX</v>
          </cell>
          <cell r="CN161" t="str">
            <v>2024-08-09</v>
          </cell>
          <cell r="CO161">
            <v>14682.776</v>
          </cell>
        </row>
        <row r="162">
          <cell r="CJ162" t="str">
            <v>NFT-422200987GN00281XXXXXXX</v>
          </cell>
          <cell r="CK162" t="str">
            <v>2024-08-09</v>
          </cell>
          <cell r="CL162">
            <v>1232.114</v>
          </cell>
          <cell r="CM162" t="str">
            <v>NFT-422200952GN00050XXXXXXX</v>
          </cell>
          <cell r="CN162" t="str">
            <v>2024-08-09</v>
          </cell>
          <cell r="CO162">
            <v>6900.5559999999996</v>
          </cell>
        </row>
        <row r="166">
          <cell r="CJ166" t="str">
            <v>NFT-422200987GN00281XXXXXXX</v>
          </cell>
          <cell r="CK166" t="str">
            <v>2024-08-09</v>
          </cell>
          <cell r="CL166">
            <v>2885.511</v>
          </cell>
          <cell r="CM166" t="str">
            <v>NFT-422200952GN00050XXXXXXX</v>
          </cell>
          <cell r="CN166" t="str">
            <v>2024-08-09</v>
          </cell>
          <cell r="CO166">
            <v>75432.39</v>
          </cell>
        </row>
        <row r="167">
          <cell r="CJ167" t="str">
            <v>NFT-422200987GN00281XXXXXXX</v>
          </cell>
          <cell r="CK167" t="str">
            <v>2024-08-09</v>
          </cell>
          <cell r="CL167">
            <v>2000.6179999999999</v>
          </cell>
          <cell r="CM167" t="str">
            <v>NFT-422200952GN00050XXXXXXX</v>
          </cell>
          <cell r="CN167" t="str">
            <v>2024-08-09</v>
          </cell>
          <cell r="CO167">
            <v>13884.453</v>
          </cell>
        </row>
        <row r="168">
          <cell r="CJ168" t="str">
            <v>NFT-422200987GN00281XXXXXXX</v>
          </cell>
          <cell r="CK168" t="str">
            <v>2024-08-09</v>
          </cell>
          <cell r="CL168">
            <v>2444.9899999999998</v>
          </cell>
          <cell r="CM168" t="str">
            <v>NFT-422200952GN00050XXXXXXX</v>
          </cell>
          <cell r="CN168" t="str">
            <v>2024-08-09</v>
          </cell>
          <cell r="CO168">
            <v>44180.743999999999</v>
          </cell>
        </row>
        <row r="169">
          <cell r="CM169" t="str">
            <v>NFT-422200952GN00050XXXXXXX</v>
          </cell>
          <cell r="CN169" t="str">
            <v>2024-08-09</v>
          </cell>
          <cell r="CO169">
            <v>8113.7910000000002</v>
          </cell>
        </row>
        <row r="170">
          <cell r="CJ170" t="str">
            <v>NFT-422200987GN00281XXXXXXX</v>
          </cell>
          <cell r="CK170" t="str">
            <v>2024-08-09</v>
          </cell>
          <cell r="CL170">
            <v>1965.029</v>
          </cell>
          <cell r="CM170" t="str">
            <v>NFT-422200952GN00050XXXXXXX</v>
          </cell>
          <cell r="CN170" t="str">
            <v>2024-08-09</v>
          </cell>
          <cell r="CO170">
            <v>14151.239</v>
          </cell>
        </row>
        <row r="172">
          <cell r="CJ172" t="str">
            <v>NFT-422200987GN00281XXXXXXX</v>
          </cell>
          <cell r="CK172" t="str">
            <v>2024-08-09</v>
          </cell>
          <cell r="CL172">
            <v>1621.6569999999999</v>
          </cell>
          <cell r="CM172" t="str">
            <v>NFT-422200952GN00050XXXXXXX</v>
          </cell>
          <cell r="CN172" t="str">
            <v>2024-08-09</v>
          </cell>
          <cell r="CO172">
            <v>9089.0939999999991</v>
          </cell>
        </row>
        <row r="173">
          <cell r="CJ173" t="str">
            <v>NFT-422200987GN00281XXXXXXX</v>
          </cell>
          <cell r="CK173" t="str">
            <v>2024-08-09</v>
          </cell>
          <cell r="CL173">
            <v>2463.2629999999999</v>
          </cell>
          <cell r="CM173" t="str">
            <v>NFT-422200952GN00050XXXXXXX</v>
          </cell>
          <cell r="CN173" t="str">
            <v>2024-08-09</v>
          </cell>
          <cell r="CO173">
            <v>13277.892</v>
          </cell>
        </row>
        <row r="175">
          <cell r="CJ175" t="str">
            <v>NFT-422200987GN00281XXXXXXX</v>
          </cell>
          <cell r="CK175" t="str">
            <v>2024-08-09</v>
          </cell>
          <cell r="CL175">
            <v>1994.846</v>
          </cell>
          <cell r="CM175" t="str">
            <v>NFT-422200952GN00050XXXXXXX</v>
          </cell>
          <cell r="CN175" t="str">
            <v>2024-08-09</v>
          </cell>
          <cell r="CO175">
            <v>13765.179</v>
          </cell>
        </row>
        <row r="176">
          <cell r="CJ176" t="str">
            <v>NFT-422200987GN00281XXXXXXX</v>
          </cell>
          <cell r="CK176" t="str">
            <v>2024-08-09</v>
          </cell>
          <cell r="CL176">
            <v>1132.078</v>
          </cell>
          <cell r="CM176" t="str">
            <v>NFT-422200952GN00050XXXXXXX</v>
          </cell>
          <cell r="CN176" t="str">
            <v>2024-08-09</v>
          </cell>
          <cell r="CO176">
            <v>6981.7020000000002</v>
          </cell>
        </row>
        <row r="177">
          <cell r="CJ177" t="str">
            <v>NFT-422200987GN00281XXXXXXX</v>
          </cell>
          <cell r="CK177" t="str">
            <v>2024-08-09</v>
          </cell>
          <cell r="CL177">
            <v>2010.2429999999999</v>
          </cell>
          <cell r="CM177" t="str">
            <v>NFT-422200952GN00050XXXXXXX</v>
          </cell>
          <cell r="CN177" t="str">
            <v>2024-08-09</v>
          </cell>
          <cell r="CO177">
            <v>38084.625</v>
          </cell>
        </row>
        <row r="178">
          <cell r="CJ178" t="str">
            <v>NFT-422200987GN00281XXXXXXX</v>
          </cell>
          <cell r="CK178" t="str">
            <v>2024-08-09</v>
          </cell>
          <cell r="CL178">
            <v>1975.405</v>
          </cell>
          <cell r="CM178" t="str">
            <v>NFT-422200952GN00050XXXXXXX</v>
          </cell>
          <cell r="CN178" t="str">
            <v>2024-08-09</v>
          </cell>
          <cell r="CO178">
            <v>13146.12</v>
          </cell>
        </row>
        <row r="179">
          <cell r="CJ179" t="str">
            <v>NFT-422200987GN00281XXXXXXX</v>
          </cell>
          <cell r="CK179" t="str">
            <v>2024-08-09</v>
          </cell>
          <cell r="CL179">
            <v>2013.12</v>
          </cell>
          <cell r="CM179" t="str">
            <v>NFT-422200952GN00050XXXXXXX</v>
          </cell>
          <cell r="CN179" t="str">
            <v>2024-08-09</v>
          </cell>
          <cell r="CO179">
            <v>14103.147000000001</v>
          </cell>
        </row>
        <row r="180">
          <cell r="CJ180" t="str">
            <v>NFT-422200987GN00281XXXXXXX</v>
          </cell>
          <cell r="CK180" t="str">
            <v>2024-08-09</v>
          </cell>
          <cell r="CL180">
            <v>1232.114</v>
          </cell>
          <cell r="CM180" t="str">
            <v>NFT-422200952GN00050XXXXXXX</v>
          </cell>
          <cell r="CN180" t="str">
            <v>2024-08-09</v>
          </cell>
          <cell r="CO180">
            <v>6881.6760000000004</v>
          </cell>
        </row>
        <row r="181">
          <cell r="CJ181" t="str">
            <v>NFT-422200987GN00281XXXXXXX</v>
          </cell>
          <cell r="CK181" t="str">
            <v>2024-08-09</v>
          </cell>
          <cell r="CL181">
            <v>2702.76</v>
          </cell>
          <cell r="CM181" t="str">
            <v>NFT-422200952GN00050XXXXXXX</v>
          </cell>
          <cell r="CN181" t="str">
            <v>2024-08-09</v>
          </cell>
          <cell r="CO181">
            <v>50926.495000000003</v>
          </cell>
        </row>
        <row r="182">
          <cell r="CJ182" t="str">
            <v>NFT-422200987GN00281XXXXXXX</v>
          </cell>
          <cell r="CK182" t="str">
            <v>2024-08-09</v>
          </cell>
          <cell r="CL182">
            <v>4087.806</v>
          </cell>
          <cell r="CM182" t="str">
            <v>NFT-422200952GN00050XXXXXXX</v>
          </cell>
          <cell r="CN182" t="str">
            <v>2024-08-09</v>
          </cell>
          <cell r="CO182">
            <v>74230.095000000001</v>
          </cell>
        </row>
        <row r="183">
          <cell r="CJ183" t="str">
            <v>NFT-422200987GN00281XXXXXXX</v>
          </cell>
          <cell r="CK183" t="str">
            <v>2024-08-09</v>
          </cell>
          <cell r="CL183">
            <v>2013.12</v>
          </cell>
          <cell r="CM183" t="str">
            <v>NFT-422200952GN00050XXXXXXX</v>
          </cell>
          <cell r="CN183" t="str">
            <v>2024-08-09</v>
          </cell>
          <cell r="CO183">
            <v>14122.027</v>
          </cell>
        </row>
        <row r="184">
          <cell r="CJ184" t="str">
            <v>NFT-422200987GN00281XXXXXXX</v>
          </cell>
          <cell r="CK184" t="str">
            <v>2024-08-09</v>
          </cell>
          <cell r="CL184">
            <v>792.55</v>
          </cell>
          <cell r="CM184" t="str">
            <v>NFT-422200952GN00050XXXXXXX</v>
          </cell>
          <cell r="CN184" t="str">
            <v>2024-08-09</v>
          </cell>
          <cell r="CO184">
            <v>14948.596</v>
          </cell>
        </row>
        <row r="185">
          <cell r="CJ185" t="str">
            <v>NFT-422200987GN00281XXXXXXX</v>
          </cell>
          <cell r="CK185" t="str">
            <v>2024-08-09</v>
          </cell>
          <cell r="CL185">
            <v>2885.51</v>
          </cell>
          <cell r="CM185" t="str">
            <v>NFT-422200952GN00050XXXXXXX</v>
          </cell>
          <cell r="CN185" t="str">
            <v>2024-08-09</v>
          </cell>
          <cell r="CO185">
            <v>77317.596000000005</v>
          </cell>
        </row>
        <row r="186">
          <cell r="CJ186" t="str">
            <v>NFT-422200987GN00281XXXXXXX</v>
          </cell>
          <cell r="CK186" t="str">
            <v>2024-08-09</v>
          </cell>
          <cell r="CL186">
            <v>2885.511</v>
          </cell>
          <cell r="CM186" t="str">
            <v>NFT-422200952GN00050XXXXXXX</v>
          </cell>
          <cell r="CN186" t="str">
            <v>2024-08-09</v>
          </cell>
          <cell r="CO186">
            <v>75432.39</v>
          </cell>
        </row>
        <row r="188">
          <cell r="CJ188" t="str">
            <v>NFT-422200987GN00281XXXXXXX</v>
          </cell>
          <cell r="CK188" t="str">
            <v>2024-08-09</v>
          </cell>
          <cell r="CL188">
            <v>2885.511</v>
          </cell>
          <cell r="CM188" t="str">
            <v>NFT-422200952GN00050XXXXXXX</v>
          </cell>
          <cell r="CN188" t="str">
            <v>2024-08-09</v>
          </cell>
          <cell r="CO188">
            <v>75413.509999999995</v>
          </cell>
          <cell r="CP188" t="str">
            <v xml:space="preserve">NFT-422502003GN00079XXXXXXX </v>
          </cell>
          <cell r="CQ188" t="str">
            <v>2024-08-12</v>
          </cell>
          <cell r="CR188">
            <v>-75413.509999999995</v>
          </cell>
          <cell r="CS188" t="str">
            <v xml:space="preserve">NFT-422502084GN00064XXXXXXX </v>
          </cell>
          <cell r="CT188" t="str">
            <v>2024-08-12</v>
          </cell>
          <cell r="CU188">
            <v>-2885.511</v>
          </cell>
        </row>
        <row r="189">
          <cell r="CJ189" t="str">
            <v>NFT-422200987GN00281XXXXXXX</v>
          </cell>
          <cell r="CK189" t="str">
            <v>2024-08-09</v>
          </cell>
          <cell r="CL189">
            <v>792.55</v>
          </cell>
          <cell r="CM189" t="str">
            <v>NFT-422200952GN00050XXXXXXX</v>
          </cell>
          <cell r="CN189" t="str">
            <v>2024-08-09</v>
          </cell>
          <cell r="CO189">
            <v>14948.596</v>
          </cell>
        </row>
        <row r="190">
          <cell r="CJ190" t="str">
            <v>NFT-422200987GN00281XXXXXXX</v>
          </cell>
          <cell r="CK190" t="str">
            <v>2024-08-09</v>
          </cell>
          <cell r="CL190">
            <v>791.59400000000005</v>
          </cell>
          <cell r="CM190" t="str">
            <v>NFT-422200952GN00050XXXXXXX</v>
          </cell>
          <cell r="CN190" t="str">
            <v>2024-08-09</v>
          </cell>
          <cell r="CO190">
            <v>14968.441000000001</v>
          </cell>
        </row>
        <row r="191">
          <cell r="CJ191" t="str">
            <v>NFT-422200987GN00281XXXXXXX</v>
          </cell>
          <cell r="CK191" t="str">
            <v>2024-08-09</v>
          </cell>
          <cell r="CL191">
            <v>1994.846</v>
          </cell>
          <cell r="CM191" t="str">
            <v>NFT-422200952GN00050XXXXXXX</v>
          </cell>
          <cell r="CN191" t="str">
            <v>2024-08-09</v>
          </cell>
          <cell r="CO191">
            <v>13746.3</v>
          </cell>
        </row>
        <row r="193">
          <cell r="CJ193" t="str">
            <v>NFT-422200987GN00281XXXXXXX</v>
          </cell>
          <cell r="CK193" t="str">
            <v>2024-08-09</v>
          </cell>
          <cell r="CL193">
            <v>1994.846</v>
          </cell>
          <cell r="CM193" t="str">
            <v>NFT-422200952GN00050XXXXXXX</v>
          </cell>
          <cell r="CN193" t="str">
            <v>2024-08-09</v>
          </cell>
          <cell r="CO193">
            <v>13765.18</v>
          </cell>
        </row>
        <row r="195">
          <cell r="CJ195" t="str">
            <v>NFT-422200987GN00281XXXXXXX</v>
          </cell>
          <cell r="CK195" t="str">
            <v>2024-08-09</v>
          </cell>
          <cell r="CL195">
            <v>1994.846</v>
          </cell>
          <cell r="CM195" t="str">
            <v>NFT-422200952GN00050XXXXXXX</v>
          </cell>
          <cell r="CN195" t="str">
            <v>2024-08-09</v>
          </cell>
          <cell r="CO195">
            <v>13746.3</v>
          </cell>
        </row>
        <row r="196">
          <cell r="CJ196" t="str">
            <v>NFT-422200987GN00281XXXXXXX</v>
          </cell>
          <cell r="CK196" t="str">
            <v>2024-08-09</v>
          </cell>
          <cell r="CL196">
            <v>1889.64</v>
          </cell>
          <cell r="CM196" t="str">
            <v>NFT-422200952GN00050XXXXXXX</v>
          </cell>
          <cell r="CN196" t="str">
            <v>2024-08-09</v>
          </cell>
          <cell r="CO196">
            <v>13250.777</v>
          </cell>
        </row>
        <row r="197">
          <cell r="CJ197" t="str">
            <v>NFT-422200987GN00281XXXXXXX</v>
          </cell>
          <cell r="CK197" t="str">
            <v>2024-08-09</v>
          </cell>
          <cell r="CL197">
            <v>791.59400000000005</v>
          </cell>
          <cell r="CM197" t="str">
            <v>NFT-422200952GN00050XXXXXXX</v>
          </cell>
          <cell r="CN197" t="str">
            <v>2024-08-09</v>
          </cell>
          <cell r="CO197">
            <v>14968.441000000001</v>
          </cell>
        </row>
        <row r="198">
          <cell r="CJ198" t="str">
            <v>NFT-422200987GN00281XXXXXXX</v>
          </cell>
          <cell r="CK198" t="str">
            <v>2024-08-09</v>
          </cell>
          <cell r="CL198">
            <v>1994.846</v>
          </cell>
          <cell r="CM198" t="str">
            <v>NFT-422200952GN00050XXXXXXX</v>
          </cell>
          <cell r="CN198" t="str">
            <v>2024-08-09</v>
          </cell>
          <cell r="CO198">
            <v>13765.179</v>
          </cell>
        </row>
        <row r="200">
          <cell r="CJ200" t="str">
            <v>NFT-422200987GN00281XXXXXXX</v>
          </cell>
          <cell r="CK200" t="str">
            <v>2024-08-09</v>
          </cell>
          <cell r="CL200">
            <v>1994.846</v>
          </cell>
          <cell r="CM200" t="str">
            <v>NFT-422200952GN00050XXXXXXX</v>
          </cell>
          <cell r="CN200" t="str">
            <v>2024-08-09</v>
          </cell>
          <cell r="CO200">
            <v>13746.3</v>
          </cell>
        </row>
        <row r="201">
          <cell r="CJ201" t="str">
            <v>NFT-422200987GN00281XXXXXXX</v>
          </cell>
          <cell r="CK201" t="str">
            <v>2024-08-09</v>
          </cell>
          <cell r="CL201">
            <v>1994.846</v>
          </cell>
          <cell r="CM201" t="str">
            <v>NFT-422200952GN00050XXXXXXX</v>
          </cell>
          <cell r="CN201" t="str">
            <v>2024-08-09</v>
          </cell>
          <cell r="CO201">
            <v>13746.3</v>
          </cell>
        </row>
        <row r="202">
          <cell r="CJ202" t="str">
            <v>NFT-422200987GN00281XXXXXXX</v>
          </cell>
          <cell r="CK202" t="str">
            <v>2024-08-09</v>
          </cell>
          <cell r="CL202">
            <v>1297.5139999999999</v>
          </cell>
          <cell r="CM202" t="str">
            <v>NFT-422200952GN00050XXXXXXX</v>
          </cell>
          <cell r="CN202" t="str">
            <v>2024-08-09</v>
          </cell>
          <cell r="CO202">
            <v>6835.1459999999997</v>
          </cell>
        </row>
        <row r="203">
          <cell r="CJ203" t="str">
            <v>NFT-422200987GN00281XXXXXXX</v>
          </cell>
          <cell r="CK203" t="str">
            <v>2024-08-09</v>
          </cell>
          <cell r="CL203">
            <v>1994.846</v>
          </cell>
          <cell r="CM203" t="str">
            <v>NFT-422200952GN00050XXXXXXX</v>
          </cell>
          <cell r="CN203" t="str">
            <v>2024-08-09</v>
          </cell>
          <cell r="CO203">
            <v>13746.3</v>
          </cell>
        </row>
        <row r="204">
          <cell r="CJ204" t="str">
            <v>NFT-422200987GN00281XXXXXXX</v>
          </cell>
          <cell r="CK204" t="str">
            <v>2024-08-09</v>
          </cell>
          <cell r="CL204">
            <v>1994.846</v>
          </cell>
          <cell r="CM204" t="str">
            <v>NFT-422200952GN00050XXXXXXX</v>
          </cell>
          <cell r="CN204" t="str">
            <v>2024-08-09</v>
          </cell>
          <cell r="CO204">
            <v>13765.18</v>
          </cell>
        </row>
        <row r="205">
          <cell r="CJ205" t="str">
            <v>NFT-422200987GN00281XXXXXXX</v>
          </cell>
          <cell r="CK205" t="str">
            <v>2024-08-09</v>
          </cell>
          <cell r="CL205">
            <v>1621.6569999999999</v>
          </cell>
          <cell r="CM205" t="str">
            <v>NFT-422200952GN00050XXXXXXX</v>
          </cell>
          <cell r="CN205" t="str">
            <v>2024-08-09</v>
          </cell>
          <cell r="CO205">
            <v>9089.0939999999991</v>
          </cell>
        </row>
        <row r="208">
          <cell r="CJ208" t="str">
            <v>NFT-422200987GN00281XXXXXXX</v>
          </cell>
          <cell r="CK208" t="str">
            <v>2024-08-09</v>
          </cell>
          <cell r="CL208">
            <v>1963.106</v>
          </cell>
          <cell r="CM208" t="str">
            <v>NFT-422200952GN00050XXXXXXX</v>
          </cell>
          <cell r="CN208" t="str">
            <v>2024-08-09</v>
          </cell>
          <cell r="CO208">
            <v>37208.031999999999</v>
          </cell>
          <cell r="CP208" t="str">
            <v xml:space="preserve">NFT-422502003GN00079XXXXXXX </v>
          </cell>
          <cell r="CQ208" t="str">
            <v>2024-08-12</v>
          </cell>
          <cell r="CR208">
            <v>-37208.031999999999</v>
          </cell>
          <cell r="CS208" t="str">
            <v xml:space="preserve">NFT-422502084GN00064XXXXXXX </v>
          </cell>
          <cell r="CT208" t="str">
            <v>2024-08-12</v>
          </cell>
          <cell r="CU208">
            <v>-1963.106</v>
          </cell>
        </row>
        <row r="209">
          <cell r="CJ209" t="str">
            <v>NFT-422200987GN00281XXXXXXX</v>
          </cell>
          <cell r="CK209" t="str">
            <v>2024-08-09</v>
          </cell>
          <cell r="CL209">
            <v>2885.511</v>
          </cell>
          <cell r="CM209" t="str">
            <v>NFT-422200952GN00050XXXXXXX</v>
          </cell>
          <cell r="CN209" t="str">
            <v>2024-08-09</v>
          </cell>
          <cell r="CO209">
            <v>75432.39</v>
          </cell>
        </row>
        <row r="210">
          <cell r="CJ210" t="str">
            <v>NFT-422200987GN00281XXXXXXX</v>
          </cell>
          <cell r="CK210" t="str">
            <v>2024-08-09</v>
          </cell>
          <cell r="CL210">
            <v>2885.511</v>
          </cell>
          <cell r="CM210" t="str">
            <v>NFT-422200952GN00050XXXXXXX</v>
          </cell>
          <cell r="CN210" t="str">
            <v>2024-08-09</v>
          </cell>
          <cell r="CO210">
            <v>75432.39</v>
          </cell>
        </row>
        <row r="211">
          <cell r="CJ211" t="str">
            <v>NFT-422200987GN00281XXXXXXX</v>
          </cell>
          <cell r="CK211" t="str">
            <v>2024-08-09</v>
          </cell>
          <cell r="CL211">
            <v>1232.114</v>
          </cell>
          <cell r="CM211" t="str">
            <v>NFT-422200952GN00050XXXXXXX</v>
          </cell>
          <cell r="CN211" t="str">
            <v>2024-08-09</v>
          </cell>
          <cell r="CO211">
            <v>6881.6760000000004</v>
          </cell>
        </row>
        <row r="212">
          <cell r="CJ212" t="str">
            <v>NFT-422200987GN00281XXXXXXX</v>
          </cell>
          <cell r="CK212" t="str">
            <v>2024-08-09</v>
          </cell>
          <cell r="CL212">
            <v>1994.846</v>
          </cell>
          <cell r="CM212" t="str">
            <v>NFT-422200952GN00050XXXXXXX</v>
          </cell>
          <cell r="CN212" t="str">
            <v>2024-08-09</v>
          </cell>
          <cell r="CO212">
            <v>13765.179</v>
          </cell>
        </row>
        <row r="213">
          <cell r="CJ213" t="str">
            <v>NFT-422200987GN00281XXXXXXX</v>
          </cell>
          <cell r="CK213" t="str">
            <v>2024-08-09</v>
          </cell>
          <cell r="CL213">
            <v>1994.846</v>
          </cell>
          <cell r="CM213" t="str">
            <v>NFT-422200952GN00050XXXXXXX</v>
          </cell>
          <cell r="CN213" t="str">
            <v>2024-08-09</v>
          </cell>
          <cell r="CO213">
            <v>13765.18</v>
          </cell>
        </row>
        <row r="214">
          <cell r="CJ214" t="str">
            <v>NFT-422200987GN00281XXXXXXX</v>
          </cell>
          <cell r="CK214" t="str">
            <v>2024-08-09</v>
          </cell>
          <cell r="CL214">
            <v>1889.64</v>
          </cell>
          <cell r="CM214" t="str">
            <v>NFT-422200952GN00050XXXXXXX</v>
          </cell>
          <cell r="CN214" t="str">
            <v>2024-08-09</v>
          </cell>
          <cell r="CO214">
            <v>13231.897000000001</v>
          </cell>
        </row>
        <row r="215">
          <cell r="CJ215" t="str">
            <v>NFT-422200987GN00281XXXXXXX</v>
          </cell>
          <cell r="CK215" t="str">
            <v>2024-08-09</v>
          </cell>
          <cell r="CL215">
            <v>1994.846</v>
          </cell>
          <cell r="CM215" t="str">
            <v>NFT-422200952GN00050XXXXXXX</v>
          </cell>
          <cell r="CN215" t="str">
            <v>2024-08-09</v>
          </cell>
          <cell r="CO215">
            <v>13765.179</v>
          </cell>
        </row>
        <row r="216">
          <cell r="CJ216" t="str">
            <v>NFT-422200987GN00281XXXXXXX</v>
          </cell>
          <cell r="CK216" t="str">
            <v>2024-08-09</v>
          </cell>
          <cell r="CL216">
            <v>1994.846</v>
          </cell>
          <cell r="CM216" t="str">
            <v>NFT-422200952GN00050XXXXXXX</v>
          </cell>
          <cell r="CN216" t="str">
            <v>2024-08-09</v>
          </cell>
          <cell r="CO216">
            <v>13746.3</v>
          </cell>
          <cell r="CP216" t="str">
            <v xml:space="preserve">NFT-422502003GN00079XXXXXXX </v>
          </cell>
          <cell r="CQ216" t="str">
            <v>2024-08-12</v>
          </cell>
          <cell r="CR216">
            <v>-13746.3</v>
          </cell>
          <cell r="CS216" t="str">
            <v xml:space="preserve">NFT-422502084GN00064XXXXXXX </v>
          </cell>
          <cell r="CT216" t="str">
            <v>2024-08-12</v>
          </cell>
          <cell r="CU216">
            <v>-1994.846</v>
          </cell>
        </row>
        <row r="217">
          <cell r="CJ217" t="str">
            <v>NFT-422200987GN00281XXXXXXX</v>
          </cell>
          <cell r="CK217" t="str">
            <v>2024-08-09</v>
          </cell>
          <cell r="CL217">
            <v>791.59400000000005</v>
          </cell>
          <cell r="CM217" t="str">
            <v>NFT-422200952GN00050XXXXXXX</v>
          </cell>
          <cell r="CN217" t="str">
            <v>2024-08-09</v>
          </cell>
          <cell r="CO217">
            <v>14968.441000000001</v>
          </cell>
        </row>
        <row r="218">
          <cell r="CJ218" t="str">
            <v>NFT-422200987GN00281XXXXXXX</v>
          </cell>
          <cell r="CK218" t="str">
            <v>2024-08-09</v>
          </cell>
          <cell r="CL218">
            <v>2747.973</v>
          </cell>
          <cell r="CM218" t="str">
            <v>NFT-422200952GN00050XXXXXXX</v>
          </cell>
          <cell r="CN218" t="str">
            <v>2024-08-09</v>
          </cell>
          <cell r="CO218">
            <v>12993.182000000001</v>
          </cell>
          <cell r="CP218" t="str">
            <v xml:space="preserve">NFT-424300580GN00067XXXXXXX </v>
          </cell>
          <cell r="CQ218" t="str">
            <v>2024-08-30</v>
          </cell>
          <cell r="CR218">
            <v>-12993.182000000001</v>
          </cell>
          <cell r="CS218" t="str">
            <v xml:space="preserve">NFT-424300980GN00254XXXXXXX </v>
          </cell>
          <cell r="CT218" t="str">
            <v>2024-08-30</v>
          </cell>
          <cell r="CU218">
            <v>-2747.973</v>
          </cell>
        </row>
        <row r="219">
          <cell r="CJ219" t="str">
            <v>NFT-422200987GN00281XXXXXXX</v>
          </cell>
          <cell r="CK219" t="str">
            <v>2024-08-09</v>
          </cell>
          <cell r="CL219">
            <v>1963.106</v>
          </cell>
          <cell r="CM219" t="str">
            <v>NFT-422200952GN00050XXXXXXX</v>
          </cell>
          <cell r="CN219" t="str">
            <v>2024-08-09</v>
          </cell>
          <cell r="CO219">
            <v>37208.031999999999</v>
          </cell>
          <cell r="CP219" t="str">
            <v xml:space="preserve">NFT-422502003GN00079XXXXXXX </v>
          </cell>
          <cell r="CQ219" t="str">
            <v>2024-08-12</v>
          </cell>
          <cell r="CR219">
            <v>-37208.031999999999</v>
          </cell>
          <cell r="CS219" t="str">
            <v xml:space="preserve">NFT-422502084GN00064XXXXXXX </v>
          </cell>
          <cell r="CT219" t="str">
            <v>2024-08-12</v>
          </cell>
          <cell r="CU219">
            <v>-1963.106</v>
          </cell>
        </row>
        <row r="220">
          <cell r="CJ220" t="str">
            <v>NFT-422200987GN00281XXXXXXX</v>
          </cell>
          <cell r="CK220" t="str">
            <v>2024-08-09</v>
          </cell>
          <cell r="CL220">
            <v>2013.12</v>
          </cell>
          <cell r="CM220" t="str">
            <v>NFT-422200952GN00050XXXXXXX</v>
          </cell>
          <cell r="CN220" t="str">
            <v>2024-08-09</v>
          </cell>
          <cell r="CO220">
            <v>14103.147000000001</v>
          </cell>
        </row>
        <row r="221">
          <cell r="CJ221" t="str">
            <v>NFT-422200987GN00281XXXXXXX</v>
          </cell>
          <cell r="CK221" t="str">
            <v>2024-08-09</v>
          </cell>
          <cell r="CL221">
            <v>2915.3290000000002</v>
          </cell>
          <cell r="CM221" t="str">
            <v>NFT-422200952GN00050XXXXXXX</v>
          </cell>
          <cell r="CN221" t="str">
            <v>2024-08-09</v>
          </cell>
          <cell r="CO221">
            <v>37179.538999999997</v>
          </cell>
        </row>
        <row r="222">
          <cell r="CJ222" t="str">
            <v>NFT-422200987GN00281XXXXXXX</v>
          </cell>
          <cell r="CK222" t="str">
            <v>2024-08-09</v>
          </cell>
          <cell r="CL222">
            <v>1621.6569999999999</v>
          </cell>
          <cell r="CM222" t="str">
            <v>NFT-422200952GN00050XXXXXXX</v>
          </cell>
          <cell r="CN222" t="str">
            <v>2024-08-09</v>
          </cell>
          <cell r="CO222">
            <v>9089.0939999999991</v>
          </cell>
        </row>
        <row r="223">
          <cell r="CJ223" t="str">
            <v>NFT-422200987GN00281XXXXXXX</v>
          </cell>
          <cell r="CK223" t="str">
            <v>2024-08-09</v>
          </cell>
          <cell r="CL223">
            <v>4087.806</v>
          </cell>
          <cell r="CM223" t="str">
            <v>NFT-422200952GN00050XXXXXXX</v>
          </cell>
          <cell r="CN223" t="str">
            <v>2024-08-09</v>
          </cell>
          <cell r="CO223">
            <v>74230.095000000001</v>
          </cell>
        </row>
        <row r="224">
          <cell r="CJ224" t="str">
            <v>NFT-422200987GN00281XXXXXXX</v>
          </cell>
          <cell r="CK224" t="str">
            <v>2024-08-09</v>
          </cell>
          <cell r="CL224">
            <v>1994.846</v>
          </cell>
          <cell r="CM224" t="str">
            <v>NFT-422200952GN00050XXXXXXX</v>
          </cell>
          <cell r="CN224" t="str">
            <v>2024-08-09</v>
          </cell>
          <cell r="CO224">
            <v>13765.179</v>
          </cell>
          <cell r="CP224" t="str">
            <v xml:space="preserve">NFT-422700624GN00029XXXXXXX </v>
          </cell>
          <cell r="CQ224" t="str">
            <v>2024-08-14</v>
          </cell>
          <cell r="CR224">
            <v>-13765.179</v>
          </cell>
          <cell r="CS224" t="str">
            <v xml:space="preserve">NFT-422700693GN00202XXXXXXX </v>
          </cell>
          <cell r="CT224" t="str">
            <v>2024-08-14</v>
          </cell>
          <cell r="CU224">
            <v>-1994.846</v>
          </cell>
        </row>
        <row r="226">
          <cell r="CJ226" t="str">
            <v>NFT-422200987GN00281XXXXXXX</v>
          </cell>
          <cell r="CK226" t="str">
            <v>2024-08-09</v>
          </cell>
          <cell r="CL226">
            <v>1963.106</v>
          </cell>
          <cell r="CM226" t="str">
            <v>NFT-422200952GN00050XXXXXXX</v>
          </cell>
          <cell r="CN226" t="str">
            <v>2024-08-09</v>
          </cell>
          <cell r="CO226">
            <v>37208.033000000003</v>
          </cell>
        </row>
        <row r="227">
          <cell r="CJ227" t="str">
            <v>NFT-422200987GN00281XXXXXXX</v>
          </cell>
          <cell r="CK227" t="str">
            <v>2024-08-09</v>
          </cell>
          <cell r="CL227">
            <v>395.315</v>
          </cell>
          <cell r="CM227" t="str">
            <v>NFT-422200952GN00050XXXXXXX</v>
          </cell>
          <cell r="CN227" t="str">
            <v>2024-08-09</v>
          </cell>
          <cell r="CO227">
            <v>10315.436</v>
          </cell>
        </row>
        <row r="228">
          <cell r="CJ228" t="str">
            <v>NFT-422200987GN00281XXXXXXX</v>
          </cell>
          <cell r="CK228" t="str">
            <v>2024-08-09</v>
          </cell>
          <cell r="CL228">
            <v>1889.64</v>
          </cell>
          <cell r="CM228" t="str">
            <v>NFT-422200952GN00050XXXXXXX</v>
          </cell>
          <cell r="CN228" t="str">
            <v>2024-08-09</v>
          </cell>
          <cell r="CO228">
            <v>13250.777</v>
          </cell>
        </row>
        <row r="229">
          <cell r="CJ229" t="str">
            <v>NFT-422200987GN00281XXXXXXX</v>
          </cell>
          <cell r="CK229" t="str">
            <v>2024-08-09</v>
          </cell>
          <cell r="CL229">
            <v>2013.12</v>
          </cell>
          <cell r="CM229" t="str">
            <v>NFT-422200952GN00050XXXXXXX</v>
          </cell>
          <cell r="CN229" t="str">
            <v>2024-08-09</v>
          </cell>
          <cell r="CO229">
            <v>14122.027</v>
          </cell>
        </row>
        <row r="230">
          <cell r="CJ230" t="str">
            <v>NFT-422200987GN00281XXXXXXX</v>
          </cell>
          <cell r="CK230" t="str">
            <v>2024-08-09</v>
          </cell>
          <cell r="CL230">
            <v>1202.296</v>
          </cell>
          <cell r="CM230" t="str">
            <v>NFT-422200952GN00050XXXXXXX</v>
          </cell>
          <cell r="CN230" t="str">
            <v>2024-08-09</v>
          </cell>
          <cell r="CO230">
            <v>14557.739</v>
          </cell>
        </row>
        <row r="231">
          <cell r="CJ231" t="str">
            <v>NFT-422200987GN00281XXXXXXX</v>
          </cell>
          <cell r="CK231" t="str">
            <v>2024-08-09</v>
          </cell>
          <cell r="CL231">
            <v>1994.846</v>
          </cell>
          <cell r="CM231" t="str">
            <v>NFT-422200952GN00050XXXXXXX</v>
          </cell>
          <cell r="CN231" t="str">
            <v>2024-08-09</v>
          </cell>
          <cell r="CO231">
            <v>13746.3</v>
          </cell>
        </row>
        <row r="232">
          <cell r="CJ232" t="str">
            <v>NFT-422200987GN00281XXXXXXX</v>
          </cell>
          <cell r="CK232" t="str">
            <v>2024-08-09</v>
          </cell>
          <cell r="CL232">
            <v>1994.846</v>
          </cell>
          <cell r="CM232" t="str">
            <v>NFT-422200952GN00050XXXXXXX</v>
          </cell>
          <cell r="CN232" t="str">
            <v>2024-08-09</v>
          </cell>
          <cell r="CO232">
            <v>13746.3</v>
          </cell>
        </row>
        <row r="235">
          <cell r="CJ235" t="str">
            <v>NFT-422200987GN00281XXXXXXX</v>
          </cell>
          <cell r="CK235" t="str">
            <v>2024-08-09</v>
          </cell>
          <cell r="CL235">
            <v>1994.846</v>
          </cell>
          <cell r="CM235" t="str">
            <v>NFT-422200952GN00050XXXXXXX</v>
          </cell>
          <cell r="CN235" t="str">
            <v>2024-08-09</v>
          </cell>
          <cell r="CO235">
            <v>13746.3</v>
          </cell>
        </row>
        <row r="236">
          <cell r="CJ236" t="str">
            <v>NFT-422200987GN00281XXXXXXX</v>
          </cell>
          <cell r="CK236" t="str">
            <v>2024-08-09</v>
          </cell>
          <cell r="CL236">
            <v>2377.66</v>
          </cell>
          <cell r="CM236" t="str">
            <v>NFT-422200952GN00050XXXXXXX</v>
          </cell>
          <cell r="CN236" t="str">
            <v>2024-08-09</v>
          </cell>
          <cell r="CO236">
            <v>44903.402999999998</v>
          </cell>
        </row>
        <row r="237">
          <cell r="CJ237" t="str">
            <v>NFT-422200987GN00281XXXXXXX</v>
          </cell>
          <cell r="CK237" t="str">
            <v>2024-08-09</v>
          </cell>
          <cell r="CL237">
            <v>1513.9280000000001</v>
          </cell>
          <cell r="CM237" t="str">
            <v>NFT-422200952GN00050XXXXXXX</v>
          </cell>
          <cell r="CN237" t="str">
            <v>2024-08-09</v>
          </cell>
          <cell r="CO237">
            <v>14246.099</v>
          </cell>
        </row>
        <row r="238">
          <cell r="CJ238" t="str">
            <v>NFT-422200987GN00281XXXXXXX</v>
          </cell>
          <cell r="CK238" t="str">
            <v>2024-08-09</v>
          </cell>
          <cell r="CL238">
            <v>1994.846</v>
          </cell>
          <cell r="CM238" t="str">
            <v>NFT-422200952GN00050XXXXXXX</v>
          </cell>
          <cell r="CN238" t="str">
            <v>2024-08-09</v>
          </cell>
          <cell r="CO238">
            <v>13746.3</v>
          </cell>
        </row>
        <row r="239">
          <cell r="CJ239" t="str">
            <v>NFT-422200987GN00281XXXXXXX</v>
          </cell>
          <cell r="CK239" t="str">
            <v>2024-08-09</v>
          </cell>
          <cell r="CL239">
            <v>1225.377</v>
          </cell>
          <cell r="CM239" t="str">
            <v>NFT-422200952GN00050XXXXXXX</v>
          </cell>
          <cell r="CN239" t="str">
            <v>2024-08-09</v>
          </cell>
          <cell r="CO239">
            <v>6888.4040000000005</v>
          </cell>
        </row>
        <row r="240">
          <cell r="CJ240" t="str">
            <v>NFT-422200987GN00281XXXXXXX</v>
          </cell>
          <cell r="CK240" t="str">
            <v>2024-08-09</v>
          </cell>
          <cell r="CL240">
            <v>1994.846</v>
          </cell>
          <cell r="CM240" t="str">
            <v>NFT-422200952GN00050XXXXXXX</v>
          </cell>
          <cell r="CN240" t="str">
            <v>2024-08-09</v>
          </cell>
          <cell r="CO240">
            <v>13746.3</v>
          </cell>
        </row>
        <row r="242">
          <cell r="CJ242" t="str">
            <v>NFT-422200987GN00281XXXXXXX</v>
          </cell>
          <cell r="CK242" t="str">
            <v>2024-08-09</v>
          </cell>
          <cell r="CL242">
            <v>1621.6569999999999</v>
          </cell>
          <cell r="CM242" t="str">
            <v>NFT-422200952GN00050XXXXXXX</v>
          </cell>
          <cell r="CN242" t="str">
            <v>2024-08-09</v>
          </cell>
          <cell r="CO242">
            <v>9089.0939999999991</v>
          </cell>
        </row>
        <row r="243">
          <cell r="CJ243" t="str">
            <v>NFT-422200987GN00281XXXXXXX</v>
          </cell>
          <cell r="CK243" t="str">
            <v>2024-08-09</v>
          </cell>
          <cell r="CL243">
            <v>4087.8069999999998</v>
          </cell>
          <cell r="CM243" t="str">
            <v>NFT-422200952GN00050XXXXXXX</v>
          </cell>
          <cell r="CN243" t="str">
            <v>2024-08-09</v>
          </cell>
          <cell r="CO243">
            <v>74211.214000000007</v>
          </cell>
        </row>
        <row r="244">
          <cell r="CM244" t="str">
            <v>NFT-422200952GN00050XXXXXXX</v>
          </cell>
          <cell r="CN244" t="str">
            <v>2024-08-09</v>
          </cell>
          <cell r="CO244">
            <v>39171.14</v>
          </cell>
          <cell r="CP244" t="str">
            <v xml:space="preserve">NFT-422502003GN00079XXXXXXX </v>
          </cell>
          <cell r="CQ244" t="str">
            <v>2024-08-12</v>
          </cell>
          <cell r="CR244">
            <v>-39171.14</v>
          </cell>
        </row>
        <row r="245">
          <cell r="CJ245" t="str">
            <v>NFT-422200987GN00281XXXXXXX</v>
          </cell>
          <cell r="CK245" t="str">
            <v>2024-08-09</v>
          </cell>
          <cell r="CL245">
            <v>2013.12</v>
          </cell>
          <cell r="CM245" t="str">
            <v>NFT-422200952GN00050XXXXXXX</v>
          </cell>
          <cell r="CN245" t="str">
            <v>2024-08-09</v>
          </cell>
          <cell r="CO245">
            <v>14122.027</v>
          </cell>
        </row>
        <row r="250">
          <cell r="CM250" t="str">
            <v>NFT-422200952GN00050XXXXXXX</v>
          </cell>
          <cell r="CN250" t="str">
            <v>2024-08-09</v>
          </cell>
          <cell r="CO250">
            <v>40094.868000000002</v>
          </cell>
        </row>
        <row r="251">
          <cell r="CJ251" t="str">
            <v>NFT-422200987GN00281XXXXXXX</v>
          </cell>
          <cell r="CK251" t="str">
            <v>2024-08-09</v>
          </cell>
          <cell r="CL251">
            <v>450.13400000000001</v>
          </cell>
          <cell r="CM251" t="str">
            <v>NFT-422200952GN00050XXXXXXX</v>
          </cell>
          <cell r="CN251" t="str">
            <v>2024-08-09</v>
          </cell>
          <cell r="CO251">
            <v>2369.0680000000002</v>
          </cell>
        </row>
        <row r="252">
          <cell r="CJ252" t="str">
            <v>NFT-422200987GN00281XXXXXXX</v>
          </cell>
          <cell r="CK252" t="str">
            <v>2024-08-09</v>
          </cell>
          <cell r="CL252">
            <v>761.09400000000005</v>
          </cell>
          <cell r="CM252" t="str">
            <v>NFT-422200952GN00050XXXXXXX</v>
          </cell>
          <cell r="CN252" t="str">
            <v>2024-08-09</v>
          </cell>
          <cell r="CO252">
            <v>14360.442999999999</v>
          </cell>
        </row>
        <row r="253">
          <cell r="CJ253" t="str">
            <v>NFT-422200987GN00281XXXXXXX</v>
          </cell>
          <cell r="CK253" t="str">
            <v>2024-08-09</v>
          </cell>
          <cell r="CL253">
            <v>2013.12</v>
          </cell>
          <cell r="CM253" t="str">
            <v>NFT-422200952GN00050XXXXXXX</v>
          </cell>
          <cell r="CN253" t="str">
            <v>2024-08-09</v>
          </cell>
          <cell r="CO253">
            <v>14103.147000000001</v>
          </cell>
        </row>
        <row r="255">
          <cell r="CM255" t="str">
            <v>NFT-422200952GN00050XXXXXXX</v>
          </cell>
          <cell r="CN255" t="str">
            <v>2024-08-09</v>
          </cell>
          <cell r="CO255">
            <v>78317.900999999998</v>
          </cell>
        </row>
        <row r="256">
          <cell r="CJ256" t="str">
            <v>NFT-422200987GN00281XXXXXXX</v>
          </cell>
          <cell r="CK256" t="str">
            <v>2024-08-09</v>
          </cell>
          <cell r="CL256">
            <v>1994.846</v>
          </cell>
          <cell r="CM256" t="str">
            <v>NFT-422200952GN00050XXXXXXX</v>
          </cell>
          <cell r="CN256" t="str">
            <v>2024-08-09</v>
          </cell>
          <cell r="CO256">
            <v>13765.179</v>
          </cell>
        </row>
        <row r="257">
          <cell r="CJ257" t="str">
            <v>NFT-422200987GN00281XXXXXXX</v>
          </cell>
          <cell r="CK257" t="str">
            <v>2024-08-09</v>
          </cell>
          <cell r="CL257">
            <v>1994.846</v>
          </cell>
          <cell r="CM257" t="str">
            <v>NFT-422200952GN00050XXXXXXX</v>
          </cell>
          <cell r="CN257" t="str">
            <v>2024-08-09</v>
          </cell>
          <cell r="CO257">
            <v>13765.179</v>
          </cell>
        </row>
        <row r="258">
          <cell r="CJ258" t="str">
            <v>NFT-422200987GN00281XXXXXXX</v>
          </cell>
          <cell r="CK258" t="str">
            <v>2024-08-09</v>
          </cell>
          <cell r="CL258">
            <v>1994.846</v>
          </cell>
          <cell r="CM258" t="str">
            <v>NFT-422200952GN00050XXXXXXX</v>
          </cell>
          <cell r="CN258" t="str">
            <v>2024-08-09</v>
          </cell>
          <cell r="CO258">
            <v>13746.3</v>
          </cell>
        </row>
        <row r="259">
          <cell r="CJ259" t="str">
            <v>NFT-422200987GN00281XXXXXXX</v>
          </cell>
          <cell r="CK259" t="str">
            <v>2024-08-09</v>
          </cell>
          <cell r="CL259">
            <v>1994.846</v>
          </cell>
          <cell r="CM259" t="str">
            <v>NFT-422200952GN00050XXXXXXX</v>
          </cell>
          <cell r="CN259" t="str">
            <v>2024-08-09</v>
          </cell>
          <cell r="CO259">
            <v>13746.3</v>
          </cell>
        </row>
        <row r="260">
          <cell r="CJ260" t="str">
            <v>NFT-422200987GN00281XXXXXXX</v>
          </cell>
          <cell r="CK260" t="str">
            <v>2024-08-09</v>
          </cell>
          <cell r="CL260">
            <v>2013.12</v>
          </cell>
          <cell r="CM260" t="str">
            <v>NFT-422200952GN00050XXXXXXX</v>
          </cell>
          <cell r="CN260" t="str">
            <v>2024-08-09</v>
          </cell>
          <cell r="CO260">
            <v>14122.027</v>
          </cell>
        </row>
        <row r="261">
          <cell r="CJ261" t="str">
            <v>NFT-422200987GN00281XXXXXXX</v>
          </cell>
          <cell r="CK261" t="str">
            <v>2024-08-09</v>
          </cell>
          <cell r="CL261">
            <v>1994.846</v>
          </cell>
          <cell r="CM261" t="str">
            <v>NFT-422200952GN00050XXXXXXX</v>
          </cell>
          <cell r="CN261" t="str">
            <v>2024-08-09</v>
          </cell>
          <cell r="CO261">
            <v>13746.3</v>
          </cell>
        </row>
        <row r="262">
          <cell r="CJ262" t="str">
            <v>NFT-422200987GN00281XXXXXXX</v>
          </cell>
          <cell r="CK262" t="str">
            <v>2024-08-09</v>
          </cell>
          <cell r="CL262">
            <v>1994.846</v>
          </cell>
          <cell r="CM262" t="str">
            <v>NFT-422200952GN00050XXXXXXX</v>
          </cell>
          <cell r="CN262" t="str">
            <v>2024-08-09</v>
          </cell>
          <cell r="CO262">
            <v>13746.3</v>
          </cell>
        </row>
        <row r="263">
          <cell r="CJ263" t="str">
            <v>NFT-422200987GN00281XXXXXXX</v>
          </cell>
          <cell r="CK263" t="str">
            <v>2024-08-09</v>
          </cell>
          <cell r="CL263">
            <v>1991.9590000000001</v>
          </cell>
          <cell r="CM263" t="str">
            <v>NFT-422200952GN00050XXXXXXX</v>
          </cell>
          <cell r="CN263" t="str">
            <v>2024-08-09</v>
          </cell>
          <cell r="CO263">
            <v>13768.066000000001</v>
          </cell>
        </row>
        <row r="264">
          <cell r="CJ264" t="str">
            <v>NFT-422200987GN00281XXXXXXX</v>
          </cell>
          <cell r="CK264" t="str">
            <v>2024-08-09</v>
          </cell>
          <cell r="CL264">
            <v>2624.8560000000002</v>
          </cell>
          <cell r="CM264" t="str">
            <v>NFT-422200952GN00050XXXXXXX</v>
          </cell>
          <cell r="CN264" t="str">
            <v>2024-08-09</v>
          </cell>
          <cell r="CO264">
            <v>36546.292999999998</v>
          </cell>
        </row>
        <row r="265">
          <cell r="CJ265" t="str">
            <v>NFT-422200987GN00281XXXXXXX</v>
          </cell>
          <cell r="CK265" t="str">
            <v>2024-08-09</v>
          </cell>
          <cell r="CL265">
            <v>763.69600000000003</v>
          </cell>
          <cell r="CM265" t="str">
            <v>NFT-422200952GN00050XXXXXXX</v>
          </cell>
          <cell r="CN265" t="str">
            <v>2024-08-09</v>
          </cell>
          <cell r="CO265">
            <v>4151.3540000000003</v>
          </cell>
        </row>
        <row r="266">
          <cell r="CJ266" t="str">
            <v>NFT-422200987GN00281XXXXXXX</v>
          </cell>
          <cell r="CK266" t="str">
            <v>2024-08-09</v>
          </cell>
          <cell r="CL266">
            <v>1621.6569999999999</v>
          </cell>
          <cell r="CM266" t="str">
            <v>NFT-422200952GN00050XXXXXXX</v>
          </cell>
          <cell r="CN266" t="str">
            <v>2024-08-09</v>
          </cell>
          <cell r="CO266">
            <v>9089.0939999999991</v>
          </cell>
        </row>
        <row r="267">
          <cell r="CJ267" t="str">
            <v>NFT-422200987GN00281XXXXXXX</v>
          </cell>
          <cell r="CK267" t="str">
            <v>2024-08-09</v>
          </cell>
          <cell r="CL267">
            <v>1728.421</v>
          </cell>
          <cell r="CM267" t="str">
            <v>NFT-422200952GN00050XXXXXXX</v>
          </cell>
          <cell r="CN267" t="str">
            <v>2024-08-09</v>
          </cell>
          <cell r="CO267">
            <v>8982.32</v>
          </cell>
        </row>
        <row r="269">
          <cell r="CJ269" t="str">
            <v>NFT-422200987GN00281XXXXXXX</v>
          </cell>
          <cell r="CK269" t="str">
            <v>2024-08-09</v>
          </cell>
          <cell r="CL269">
            <v>792.55</v>
          </cell>
          <cell r="CM269" t="str">
            <v>NFT-422200952GN00050XXXXXXX</v>
          </cell>
          <cell r="CN269" t="str">
            <v>2024-08-09</v>
          </cell>
          <cell r="CO269">
            <v>14967.476000000001</v>
          </cell>
        </row>
        <row r="271">
          <cell r="CJ271" t="str">
            <v>NFT-422200987GN00281XXXXXXX</v>
          </cell>
          <cell r="CK271" t="str">
            <v>2024-08-09</v>
          </cell>
          <cell r="CL271">
            <v>1623.578</v>
          </cell>
          <cell r="CM271" t="str">
            <v>NFT-422200952GN00050XXXXXXX</v>
          </cell>
          <cell r="CN271" t="str">
            <v>2024-08-09</v>
          </cell>
          <cell r="CO271">
            <v>9106.0429999999997</v>
          </cell>
        </row>
        <row r="273">
          <cell r="CJ273" t="str">
            <v>NFT-422200987GN00281XXXXXXX</v>
          </cell>
          <cell r="CK273" t="str">
            <v>2024-08-09</v>
          </cell>
          <cell r="CL273">
            <v>1994.846</v>
          </cell>
          <cell r="CM273" t="str">
            <v>NFT-422200952GN00050XXXXXXX</v>
          </cell>
          <cell r="CN273" t="str">
            <v>2024-08-09</v>
          </cell>
          <cell r="CO273">
            <v>13746.3</v>
          </cell>
        </row>
        <row r="274">
          <cell r="CJ274" t="str">
            <v>NFT-422200987GN00281XXXXXXX</v>
          </cell>
          <cell r="CK274" t="str">
            <v>2024-08-09</v>
          </cell>
          <cell r="CL274">
            <v>1232.114</v>
          </cell>
          <cell r="CM274" t="str">
            <v>NFT-422200952GN00050XXXXXXX</v>
          </cell>
          <cell r="CN274" t="str">
            <v>2024-08-09</v>
          </cell>
          <cell r="CO274">
            <v>6900.5559999999996</v>
          </cell>
        </row>
        <row r="275">
          <cell r="CJ275" t="str">
            <v>NFT-422200987GN00281XXXXXXX</v>
          </cell>
          <cell r="CK275" t="str">
            <v>2024-08-09</v>
          </cell>
          <cell r="CL275">
            <v>1522.588</v>
          </cell>
          <cell r="CM275" t="str">
            <v>NFT-422200952GN00050XXXXXXX</v>
          </cell>
          <cell r="CN275" t="str">
            <v>2024-08-09</v>
          </cell>
          <cell r="CO275">
            <v>6610.0839999999998</v>
          </cell>
        </row>
        <row r="276">
          <cell r="CJ276" t="str">
            <v>NFT-422200987GN00281XXXXXXX</v>
          </cell>
          <cell r="CK276" t="str">
            <v>2024-08-09</v>
          </cell>
          <cell r="CL276">
            <v>2013.12</v>
          </cell>
          <cell r="CM276" t="str">
            <v>NFT-422200952GN00050XXXXXXX</v>
          </cell>
          <cell r="CN276" t="str">
            <v>2024-08-09</v>
          </cell>
          <cell r="CO276">
            <v>14103.147000000001</v>
          </cell>
        </row>
        <row r="277">
          <cell r="CM277" t="str">
            <v>NFT-422200952GN00050XXXXXXX</v>
          </cell>
          <cell r="CN277" t="str">
            <v>2024-08-09</v>
          </cell>
          <cell r="CO277">
            <v>15741.156000000001</v>
          </cell>
        </row>
        <row r="278">
          <cell r="CJ278" t="str">
            <v>NFT-422200987GN00281XXXXXXX</v>
          </cell>
          <cell r="CK278" t="str">
            <v>2024-08-09</v>
          </cell>
          <cell r="CL278">
            <v>1994.846</v>
          </cell>
          <cell r="CM278" t="str">
            <v>NFT-422200952GN00050XXXXXXX</v>
          </cell>
          <cell r="CN278" t="str">
            <v>2024-08-09</v>
          </cell>
          <cell r="CO278">
            <v>13765.179</v>
          </cell>
        </row>
        <row r="279">
          <cell r="CJ279" t="str">
            <v>NFT-422200987GN00281XXXXXXX</v>
          </cell>
          <cell r="CK279" t="str">
            <v>2024-08-09</v>
          </cell>
          <cell r="CL279">
            <v>2885.511</v>
          </cell>
          <cell r="CM279" t="str">
            <v>NFT-422200952GN00050XXXXXXX</v>
          </cell>
          <cell r="CN279" t="str">
            <v>2024-08-09</v>
          </cell>
          <cell r="CO279">
            <v>75413.509999999995</v>
          </cell>
        </row>
        <row r="280">
          <cell r="CJ280" t="str">
            <v>NFT-422200987GN00281XXXXXXX</v>
          </cell>
          <cell r="CK280" t="str">
            <v>2024-08-09</v>
          </cell>
          <cell r="CL280">
            <v>3165.402</v>
          </cell>
          <cell r="CM280" t="str">
            <v>NFT-422200952GN00050XXXXXXX</v>
          </cell>
          <cell r="CN280" t="str">
            <v>2024-08-09</v>
          </cell>
          <cell r="CO280">
            <v>35986.857000000004</v>
          </cell>
        </row>
        <row r="282">
          <cell r="CJ282" t="str">
            <v>NFT-422200987GN00281XXXXXXX</v>
          </cell>
          <cell r="CK282" t="str">
            <v>2024-08-09</v>
          </cell>
          <cell r="CL282">
            <v>1621.6569999999999</v>
          </cell>
          <cell r="CM282" t="str">
            <v>NFT-422200952GN00050XXXXXXX</v>
          </cell>
          <cell r="CN282" t="str">
            <v>2024-08-09</v>
          </cell>
          <cell r="CO282">
            <v>9089.0939999999991</v>
          </cell>
        </row>
        <row r="283">
          <cell r="CJ283" t="str">
            <v>NFT-422200987GN00281XXXXXXX</v>
          </cell>
          <cell r="CK283" t="str">
            <v>2024-08-09</v>
          </cell>
          <cell r="CL283">
            <v>1994.846</v>
          </cell>
          <cell r="CM283" t="str">
            <v>NFT-422200952GN00050XXXXXXX</v>
          </cell>
          <cell r="CN283" t="str">
            <v>2024-08-09</v>
          </cell>
          <cell r="CO283">
            <v>13765.18</v>
          </cell>
        </row>
        <row r="284">
          <cell r="CJ284" t="str">
            <v>NFT-422200987GN00281XXXXXXX</v>
          </cell>
          <cell r="CK284" t="str">
            <v>2024-08-09</v>
          </cell>
          <cell r="CL284">
            <v>2350.7280000000001</v>
          </cell>
          <cell r="CM284" t="str">
            <v>NFT-422200952GN00050XXXXXXX</v>
          </cell>
          <cell r="CN284" t="str">
            <v>2024-08-09</v>
          </cell>
          <cell r="CO284">
            <v>13390.428</v>
          </cell>
        </row>
        <row r="285">
          <cell r="CJ285" t="str">
            <v>NFT-422200987GN00281XXXXXXX</v>
          </cell>
          <cell r="CK285" t="str">
            <v>2024-08-09</v>
          </cell>
          <cell r="CL285">
            <v>3165.402</v>
          </cell>
          <cell r="CM285" t="str">
            <v>NFT-422200952GN00050XXXXXXX</v>
          </cell>
          <cell r="CN285" t="str">
            <v>2024-08-09</v>
          </cell>
          <cell r="CO285">
            <v>35986.857000000004</v>
          </cell>
        </row>
        <row r="286">
          <cell r="CJ286" t="str">
            <v>NFT-422200987GN00281XXXXXXX</v>
          </cell>
          <cell r="CK286" t="str">
            <v>2024-08-09</v>
          </cell>
          <cell r="CL286">
            <v>1994.846</v>
          </cell>
          <cell r="CM286" t="str">
            <v>NFT-422200952GN00050XXXXXXX</v>
          </cell>
          <cell r="CN286" t="str">
            <v>2024-08-09</v>
          </cell>
          <cell r="CO286">
            <v>13765.18</v>
          </cell>
        </row>
        <row r="287">
          <cell r="CJ287" t="str">
            <v>NFT-422200987GN00281XXXXXXX</v>
          </cell>
          <cell r="CK287" t="str">
            <v>2024-08-09</v>
          </cell>
          <cell r="CL287">
            <v>3165.402</v>
          </cell>
          <cell r="CM287" t="str">
            <v>NFT-422200952GN00050XXXXXXX</v>
          </cell>
          <cell r="CN287" t="str">
            <v>2024-08-09</v>
          </cell>
          <cell r="CO287">
            <v>36005.735999999997</v>
          </cell>
        </row>
        <row r="288">
          <cell r="CJ288" t="str">
            <v>NFT-422200987GN00281XXXXXXX</v>
          </cell>
          <cell r="CK288" t="str">
            <v>2024-08-09</v>
          </cell>
          <cell r="CL288">
            <v>1994.846</v>
          </cell>
          <cell r="CM288" t="str">
            <v>NFT-422200952GN00050XXXXXXX</v>
          </cell>
          <cell r="CN288" t="str">
            <v>2024-08-09</v>
          </cell>
          <cell r="CO288">
            <v>13746.3</v>
          </cell>
        </row>
        <row r="289">
          <cell r="CJ289" t="str">
            <v>NFT-422200987GN00281XXXXXXX</v>
          </cell>
          <cell r="CK289" t="str">
            <v>2024-08-09</v>
          </cell>
          <cell r="CL289">
            <v>1994.846</v>
          </cell>
          <cell r="CM289" t="str">
            <v>NFT-422200952GN00050XXXXXXX</v>
          </cell>
          <cell r="CN289" t="str">
            <v>2024-08-09</v>
          </cell>
          <cell r="CO289">
            <v>13746.3</v>
          </cell>
        </row>
        <row r="290">
          <cell r="CJ290" t="str">
            <v>NFT-422200987GN00281XXXXXXX</v>
          </cell>
          <cell r="CK290" t="str">
            <v>2024-08-09</v>
          </cell>
          <cell r="CL290">
            <v>1218.6500000000001</v>
          </cell>
          <cell r="CM290" t="str">
            <v>NFT-422200952GN00050XXXXXXX</v>
          </cell>
          <cell r="CN290" t="str">
            <v>2024-08-09</v>
          </cell>
          <cell r="CO290">
            <v>14916.508</v>
          </cell>
        </row>
        <row r="291">
          <cell r="CJ291" t="str">
            <v>NFT-422200987GN00281XXXXXXX</v>
          </cell>
          <cell r="CK291" t="str">
            <v>2024-08-09</v>
          </cell>
          <cell r="CL291">
            <v>1216.7280000000001</v>
          </cell>
          <cell r="CM291" t="str">
            <v>NFT-422200952GN00050XXXXXXX</v>
          </cell>
          <cell r="CN291" t="str">
            <v>2024-08-09</v>
          </cell>
          <cell r="CO291">
            <v>6897.0630000000001</v>
          </cell>
        </row>
        <row r="292">
          <cell r="CJ292" t="str">
            <v>NFT-422200987GN00281XXXXXXX</v>
          </cell>
          <cell r="CK292" t="str">
            <v>2024-08-09</v>
          </cell>
          <cell r="CL292">
            <v>2023.7080000000001</v>
          </cell>
          <cell r="CM292" t="str">
            <v>NFT-422200952GN00050XXXXXXX</v>
          </cell>
          <cell r="CN292" t="str">
            <v>2024-08-09</v>
          </cell>
          <cell r="CO292">
            <v>14222.752</v>
          </cell>
        </row>
        <row r="293">
          <cell r="CJ293" t="str">
            <v>NFT-422200987GN00281XXXXXXX</v>
          </cell>
          <cell r="CK293" t="str">
            <v>2024-08-09</v>
          </cell>
          <cell r="CL293">
            <v>2010.2429999999999</v>
          </cell>
          <cell r="CM293" t="str">
            <v>NFT-422200952GN00050XXXXXXX</v>
          </cell>
          <cell r="CN293" t="str">
            <v>2024-08-09</v>
          </cell>
          <cell r="CO293">
            <v>38103.504999999997</v>
          </cell>
        </row>
        <row r="294">
          <cell r="CJ294" t="str">
            <v>NFT-422200987GN00281XXXXXXX</v>
          </cell>
          <cell r="CK294" t="str">
            <v>2024-08-09</v>
          </cell>
          <cell r="CL294">
            <v>1889.64</v>
          </cell>
          <cell r="CM294" t="str">
            <v>NFT-422200952GN00050XXXXXXX</v>
          </cell>
          <cell r="CN294" t="str">
            <v>2024-08-09</v>
          </cell>
          <cell r="CO294">
            <v>13231.897000000001</v>
          </cell>
        </row>
        <row r="296">
          <cell r="CJ296" t="str">
            <v>NFT-422200987GN00281XXXXXXX</v>
          </cell>
          <cell r="CK296" t="str">
            <v>2024-08-09</v>
          </cell>
          <cell r="CL296">
            <v>2010.2429999999999</v>
          </cell>
          <cell r="CM296" t="str">
            <v>NFT-422200952GN00050XXXXXXX</v>
          </cell>
          <cell r="CN296" t="str">
            <v>2024-08-09</v>
          </cell>
          <cell r="CO296">
            <v>38103.504999999997</v>
          </cell>
          <cell r="CP296" t="str">
            <v xml:space="preserve">NFT-422502003GN00079XXXXXXX </v>
          </cell>
          <cell r="CQ296" t="str">
            <v>2024-08-12</v>
          </cell>
          <cell r="CR296">
            <v>-38103.504999999997</v>
          </cell>
          <cell r="CS296" t="str">
            <v xml:space="preserve">NFT-422502084GN00064XXXXXXX </v>
          </cell>
          <cell r="CT296" t="str">
            <v>2024-08-12</v>
          </cell>
          <cell r="CU296">
            <v>-2010.2429999999999</v>
          </cell>
        </row>
        <row r="297">
          <cell r="CJ297" t="str">
            <v>NFT-422200987GN00281XXXXXXX</v>
          </cell>
          <cell r="CK297" t="str">
            <v>2024-08-09</v>
          </cell>
          <cell r="CL297">
            <v>2885.511</v>
          </cell>
          <cell r="CM297" t="str">
            <v>NFT-422200952GN00050XXXXXXX</v>
          </cell>
          <cell r="CN297" t="str">
            <v>2024-08-09</v>
          </cell>
          <cell r="CO297">
            <v>75413.509999999995</v>
          </cell>
          <cell r="CP297" t="str">
            <v xml:space="preserve">NFT-423200864GN00138XXXXXXX </v>
          </cell>
          <cell r="CQ297" t="str">
            <v>2024-08-19</v>
          </cell>
          <cell r="CR297">
            <v>-75413.509999999995</v>
          </cell>
          <cell r="CS297" t="str">
            <v xml:space="preserve">NFT-423201020GN00282XXXXXXX </v>
          </cell>
          <cell r="CT297" t="str">
            <v>2024-08-19</v>
          </cell>
          <cell r="CU297">
            <v>-2885.511</v>
          </cell>
        </row>
        <row r="298">
          <cell r="CJ298" t="str">
            <v>NFT-422200987GN00281XXXXXXX</v>
          </cell>
          <cell r="CK298" t="str">
            <v>2024-08-09</v>
          </cell>
          <cell r="CL298">
            <v>1889.64</v>
          </cell>
          <cell r="CM298" t="str">
            <v>NFT-422200952GN00050XXXXXXX</v>
          </cell>
          <cell r="CN298" t="str">
            <v>2024-08-09</v>
          </cell>
          <cell r="CO298">
            <v>13231.897000000001</v>
          </cell>
        </row>
        <row r="299">
          <cell r="CJ299" t="str">
            <v>NFT-422200987GN00281XXXXXXX</v>
          </cell>
          <cell r="CK299" t="str">
            <v>2024-08-09</v>
          </cell>
          <cell r="CL299">
            <v>1529.325</v>
          </cell>
          <cell r="CM299" t="str">
            <v>NFT-422200952GN00050XXXXXXX</v>
          </cell>
          <cell r="CN299" t="str">
            <v>2024-08-09</v>
          </cell>
          <cell r="CO299">
            <v>14211.831</v>
          </cell>
        </row>
        <row r="300">
          <cell r="CM300" t="str">
            <v>NFT-422200952GN00050XXXXXXX</v>
          </cell>
          <cell r="CN300" t="str">
            <v>2024-08-09</v>
          </cell>
          <cell r="CO300">
            <v>1390.547</v>
          </cell>
        </row>
        <row r="301">
          <cell r="CM301" t="str">
            <v>NFT-422200952GN00050XXXXXXX</v>
          </cell>
          <cell r="CN301" t="str">
            <v>2024-08-09</v>
          </cell>
          <cell r="CO301">
            <v>8123.4049999999997</v>
          </cell>
        </row>
        <row r="302">
          <cell r="CJ302" t="str">
            <v>NFT-422200987GN00281XXXXXXX</v>
          </cell>
          <cell r="CK302" t="str">
            <v>2024-08-09</v>
          </cell>
          <cell r="CL302">
            <v>1890.5450000000001</v>
          </cell>
          <cell r="CM302" t="str">
            <v>NFT-422200952GN00050XXXXXXX</v>
          </cell>
          <cell r="CN302" t="str">
            <v>2024-08-09</v>
          </cell>
          <cell r="CO302">
            <v>13258.896000000001</v>
          </cell>
        </row>
        <row r="303">
          <cell r="CJ303" t="str">
            <v>NFT-422200987GN00281XXXXXXX</v>
          </cell>
          <cell r="CK303" t="str">
            <v>2024-08-09</v>
          </cell>
          <cell r="CL303">
            <v>2885.51</v>
          </cell>
          <cell r="CM303" t="str">
            <v>NFT-422200952GN00050XXXXXXX</v>
          </cell>
          <cell r="CN303" t="str">
            <v>2024-08-09</v>
          </cell>
          <cell r="CO303">
            <v>75451.629000000001</v>
          </cell>
        </row>
        <row r="305">
          <cell r="CJ305" t="str">
            <v>NFT-422200987GN00281XXXXXXX</v>
          </cell>
          <cell r="CK305" t="str">
            <v>2024-08-09</v>
          </cell>
          <cell r="CL305">
            <v>1202.296</v>
          </cell>
          <cell r="CM305" t="str">
            <v>NFT-422200952GN00050XXXXXXX</v>
          </cell>
          <cell r="CN305" t="str">
            <v>2024-08-09</v>
          </cell>
          <cell r="CO305">
            <v>14557.739</v>
          </cell>
          <cell r="CP305" t="str">
            <v xml:space="preserve">NFT-422502003GN00079XXXXXXX </v>
          </cell>
          <cell r="CQ305" t="str">
            <v>2024-08-12</v>
          </cell>
          <cell r="CR305">
            <v>-14557.739</v>
          </cell>
          <cell r="CS305" t="str">
            <v xml:space="preserve">NFT-422502084GN00064XXXXXXX </v>
          </cell>
          <cell r="CT305" t="str">
            <v>2024-08-12</v>
          </cell>
          <cell r="CU305">
            <v>-1202.296</v>
          </cell>
        </row>
        <row r="306">
          <cell r="CM306" t="str">
            <v>NFT-422200952GN00050XXXXXXX</v>
          </cell>
          <cell r="CN306" t="str">
            <v>2024-08-09</v>
          </cell>
          <cell r="CO306">
            <v>5786.1440000000002</v>
          </cell>
        </row>
        <row r="307">
          <cell r="CJ307" t="str">
            <v>NFT-422200987GN00281XXXXXXX</v>
          </cell>
          <cell r="CK307" t="str">
            <v>2024-08-09</v>
          </cell>
          <cell r="CL307">
            <v>1202.296</v>
          </cell>
          <cell r="CM307" t="str">
            <v>NFT-422200952GN00050XXXXXXX</v>
          </cell>
          <cell r="CN307" t="str">
            <v>2024-08-09</v>
          </cell>
          <cell r="CO307">
            <v>14557.739</v>
          </cell>
        </row>
        <row r="308">
          <cell r="CM308" t="str">
            <v>NFT-422200952GN00050XXXXXXX</v>
          </cell>
          <cell r="CN308" t="str">
            <v>2024-08-09</v>
          </cell>
          <cell r="CO308">
            <v>16125.891</v>
          </cell>
          <cell r="CP308" t="str">
            <v xml:space="preserve">NFT-422700624GN00029XXXXXXX </v>
          </cell>
          <cell r="CQ308" t="str">
            <v>2024-08-14</v>
          </cell>
          <cell r="CR308">
            <v>-16125.891</v>
          </cell>
        </row>
        <row r="309">
          <cell r="CM309" t="str">
            <v>NFT-422200952GN00050XXXXXXX</v>
          </cell>
          <cell r="CN309" t="str">
            <v>2024-08-09</v>
          </cell>
          <cell r="CO309">
            <v>78337.14</v>
          </cell>
        </row>
        <row r="311">
          <cell r="CJ311" t="str">
            <v>NFT-422200987GN00281XXXXXXX</v>
          </cell>
          <cell r="CK311" t="str">
            <v>2024-08-09</v>
          </cell>
          <cell r="CL311">
            <v>2023.7080000000001</v>
          </cell>
          <cell r="CM311" t="str">
            <v>NFT-422200952GN00050XXXXXXX</v>
          </cell>
          <cell r="CN311" t="str">
            <v>2024-08-09</v>
          </cell>
          <cell r="CO311">
            <v>14222.752</v>
          </cell>
        </row>
        <row r="312">
          <cell r="CJ312" t="str">
            <v>NFT-422200987GN00281XXXXXXX</v>
          </cell>
          <cell r="CK312" t="str">
            <v>2024-08-09</v>
          </cell>
          <cell r="CL312">
            <v>2013.12</v>
          </cell>
          <cell r="CM312" t="str">
            <v>NFT-422200952GN00050XXXXXXX</v>
          </cell>
          <cell r="CN312" t="str">
            <v>2024-08-09</v>
          </cell>
          <cell r="CO312">
            <v>14122.027</v>
          </cell>
        </row>
        <row r="313">
          <cell r="CJ313" t="str">
            <v>NFT-422200987GN00281XXXXXXX</v>
          </cell>
          <cell r="CK313" t="str">
            <v>2024-08-09</v>
          </cell>
          <cell r="CL313">
            <v>810.82399999999996</v>
          </cell>
          <cell r="CM313" t="str">
            <v>NFT-422200952GN00050XXXXXXX</v>
          </cell>
          <cell r="CN313" t="str">
            <v>2024-08-09</v>
          </cell>
          <cell r="CO313">
            <v>15324.323</v>
          </cell>
        </row>
        <row r="314">
          <cell r="CJ314" t="str">
            <v>NFT-422200987GN00281XXXXXXX</v>
          </cell>
          <cell r="CK314" t="str">
            <v>2024-08-09</v>
          </cell>
          <cell r="CL314">
            <v>2013.12</v>
          </cell>
          <cell r="CM314" t="str">
            <v>NFT-422200952GN00050XXXXXXX</v>
          </cell>
          <cell r="CN314" t="str">
            <v>2024-08-09</v>
          </cell>
          <cell r="CO314">
            <v>14122.027</v>
          </cell>
        </row>
        <row r="315">
          <cell r="CJ315" t="str">
            <v>NFT-422200987GN00281XXXXXXX</v>
          </cell>
          <cell r="CK315" t="str">
            <v>2024-08-09</v>
          </cell>
          <cell r="CL315">
            <v>1232.114</v>
          </cell>
          <cell r="CM315" t="str">
            <v>NFT-422200952GN00050XXXXXXX</v>
          </cell>
          <cell r="CN315" t="str">
            <v>2024-08-09</v>
          </cell>
          <cell r="CO315">
            <v>6900.5559999999996</v>
          </cell>
          <cell r="CP315" t="str">
            <v xml:space="preserve">NFT-422700624GN00029XXXXXXX </v>
          </cell>
          <cell r="CQ315" t="str">
            <v>2024-08-14</v>
          </cell>
          <cell r="CR315">
            <v>-6900.5559999999996</v>
          </cell>
          <cell r="CS315" t="str">
            <v xml:space="preserve">NFT-422700693GN00202XXXXXXX </v>
          </cell>
          <cell r="CT315" t="str">
            <v>2024-08-14</v>
          </cell>
          <cell r="CU315">
            <v>-1232.114</v>
          </cell>
        </row>
        <row r="316">
          <cell r="CJ316" t="str">
            <v>NFT-422200987GN00281XXXXXXX</v>
          </cell>
          <cell r="CK316" t="str">
            <v>2024-08-09</v>
          </cell>
          <cell r="CL316">
            <v>1202.296</v>
          </cell>
          <cell r="CM316" t="str">
            <v>NFT-422200952GN00050XXXXXXX</v>
          </cell>
          <cell r="CN316" t="str">
            <v>2024-08-09</v>
          </cell>
          <cell r="CO316">
            <v>14500.382</v>
          </cell>
        </row>
        <row r="317">
          <cell r="CJ317" t="str">
            <v xml:space="preserve">NFT-422502003GN00079XXXXXXX </v>
          </cell>
          <cell r="CK317" t="str">
            <v>2024-08-12</v>
          </cell>
          <cell r="CL317">
            <v>13519.306</v>
          </cell>
          <cell r="CM317" t="str">
            <v xml:space="preserve">NFT-422700624GN00029XXXXXXX </v>
          </cell>
          <cell r="CN317" t="str">
            <v>2024-08-14</v>
          </cell>
          <cell r="CO317">
            <v>-13519.306</v>
          </cell>
          <cell r="CP317" t="str">
            <v xml:space="preserve">NFT-422700693GN00202XXXXXXX </v>
          </cell>
          <cell r="CQ317" t="str">
            <v>2024-08-14</v>
          </cell>
          <cell r="CR317">
            <v>-1202.296</v>
          </cell>
          <cell r="CS317" t="str">
            <v xml:space="preserve">NFT-422502084GN00064XXXXXXX </v>
          </cell>
          <cell r="CT317" t="str">
            <v>2024-08-12</v>
          </cell>
          <cell r="CU317">
            <v>1202.296</v>
          </cell>
        </row>
        <row r="318">
          <cell r="CJ318" t="str">
            <v xml:space="preserve">NFT-422502003GN00079XXXXXXX </v>
          </cell>
          <cell r="CK318" t="str">
            <v>2024-08-12</v>
          </cell>
          <cell r="CL318">
            <v>13894.067999999999</v>
          </cell>
          <cell r="CS318" t="str">
            <v xml:space="preserve">NFT-422502084GN00064XXXXXXX </v>
          </cell>
          <cell r="CT318" t="str">
            <v>2024-08-12</v>
          </cell>
          <cell r="CU318">
            <v>1202.296</v>
          </cell>
        </row>
        <row r="319">
          <cell r="CJ319" t="str">
            <v xml:space="preserve">NFT-422502003GN00079XXXXXXX </v>
          </cell>
          <cell r="CK319" t="str">
            <v>2024-08-12</v>
          </cell>
          <cell r="CL319">
            <v>13519.306</v>
          </cell>
          <cell r="CS319" t="str">
            <v xml:space="preserve">NFT-422502084GN00064XXXXXXX </v>
          </cell>
          <cell r="CT319" t="str">
            <v>2024-08-12</v>
          </cell>
          <cell r="CU319">
            <v>1202.296</v>
          </cell>
        </row>
        <row r="320">
          <cell r="CJ320" t="str">
            <v xml:space="preserve">NFT-422502003GN00079XXXXXXX </v>
          </cell>
          <cell r="CK320" t="str">
            <v>2024-08-12</v>
          </cell>
          <cell r="CL320">
            <v>14721.602000000001</v>
          </cell>
        </row>
        <row r="321">
          <cell r="CJ321" t="str">
            <v xml:space="preserve">NFT-422502003GN00079XXXXXXX </v>
          </cell>
          <cell r="CK321" t="str">
            <v>2024-08-12</v>
          </cell>
          <cell r="CL321">
            <v>13538.186</v>
          </cell>
          <cell r="CS321" t="str">
            <v xml:space="preserve">NFT-422502084GN00064XXXXXXX </v>
          </cell>
          <cell r="CT321" t="str">
            <v>2024-08-12</v>
          </cell>
          <cell r="CU321">
            <v>1202.296</v>
          </cell>
        </row>
        <row r="323">
          <cell r="CJ323" t="str">
            <v xml:space="preserve">NFT-422502003GN00079XXXXXXX </v>
          </cell>
          <cell r="CK323" t="str">
            <v>2024-08-12</v>
          </cell>
          <cell r="CL323">
            <v>14000.225</v>
          </cell>
          <cell r="CS323" t="str">
            <v xml:space="preserve">NFT-422502084GN00064XXXXXXX </v>
          </cell>
          <cell r="CT323" t="str">
            <v>2024-08-12</v>
          </cell>
          <cell r="CU323">
            <v>721.37699999999995</v>
          </cell>
        </row>
        <row r="324">
          <cell r="CJ324" t="str">
            <v xml:space="preserve">NFT-422502003GN00079XXXXXXX </v>
          </cell>
          <cell r="CK324" t="str">
            <v>2024-08-12</v>
          </cell>
          <cell r="CL324">
            <v>14318.593999999999</v>
          </cell>
          <cell r="CS324" t="str">
            <v xml:space="preserve">NFT-422502084GN00064XXXXXXX </v>
          </cell>
          <cell r="CT324" t="str">
            <v>2024-08-12</v>
          </cell>
          <cell r="CU324">
            <v>758.89</v>
          </cell>
        </row>
        <row r="325">
          <cell r="CJ325" t="str">
            <v xml:space="preserve">NFT-422502003GN00079XXXXXXX </v>
          </cell>
          <cell r="CK325" t="str">
            <v>2024-08-12</v>
          </cell>
          <cell r="CL325">
            <v>9120.4740000000002</v>
          </cell>
          <cell r="CS325" t="str">
            <v xml:space="preserve">NFT-422502084GN00064XXXXXXX </v>
          </cell>
          <cell r="CT325" t="str">
            <v>2024-08-12</v>
          </cell>
          <cell r="CU325">
            <v>1022.43</v>
          </cell>
        </row>
        <row r="326">
          <cell r="CJ326" t="str">
            <v xml:space="preserve">NFT-422502003GN00079XXXXXXX </v>
          </cell>
          <cell r="CK326" t="str">
            <v>2024-08-12</v>
          </cell>
          <cell r="CL326">
            <v>13017.918</v>
          </cell>
          <cell r="CM326" t="str">
            <v xml:space="preserve">NFT-422700624GN00029XXXXXXX </v>
          </cell>
          <cell r="CN326" t="str">
            <v>2024-08-14</v>
          </cell>
          <cell r="CO326">
            <v>-13017.918</v>
          </cell>
          <cell r="CP326" t="str">
            <v xml:space="preserve">NFT-422700693GN00202XXXXXXX </v>
          </cell>
          <cell r="CQ326" t="str">
            <v>2024-08-14</v>
          </cell>
          <cell r="CR326">
            <v>-1128.546</v>
          </cell>
          <cell r="CS326" t="str">
            <v xml:space="preserve">NFT-422502084GN00064XXXXXXX </v>
          </cell>
          <cell r="CT326" t="str">
            <v>2024-08-12</v>
          </cell>
          <cell r="CU326">
            <v>1128.546</v>
          </cell>
        </row>
        <row r="327">
          <cell r="CJ327" t="str">
            <v xml:space="preserve">NFT-422502003GN00079XXXXXXX </v>
          </cell>
          <cell r="CK327" t="str">
            <v>2024-08-12</v>
          </cell>
          <cell r="CL327">
            <v>13519.306</v>
          </cell>
          <cell r="CS327" t="str">
            <v xml:space="preserve">NFT-422502084GN00064XXXXXXX </v>
          </cell>
          <cell r="CT327" t="str">
            <v>2024-08-12</v>
          </cell>
          <cell r="CU327">
            <v>1202.296</v>
          </cell>
        </row>
        <row r="328">
          <cell r="CJ328" t="str">
            <v xml:space="preserve">NFT-422502003GN00079XXXXXXX </v>
          </cell>
          <cell r="CK328" t="str">
            <v>2024-08-12</v>
          </cell>
          <cell r="CL328">
            <v>12777.735000000001</v>
          </cell>
          <cell r="CS328" t="str">
            <v xml:space="preserve">NFT-422502084GN00064XXXXXXX </v>
          </cell>
          <cell r="CT328" t="str">
            <v>2024-08-12</v>
          </cell>
          <cell r="CU328">
            <v>1943.8679999999999</v>
          </cell>
        </row>
        <row r="329">
          <cell r="CJ329" t="str">
            <v xml:space="preserve">NFT-422502003GN00079XXXXXXX </v>
          </cell>
          <cell r="CK329" t="str">
            <v>2024-08-12</v>
          </cell>
          <cell r="CL329">
            <v>6824.9260000000004</v>
          </cell>
          <cell r="CS329" t="str">
            <v xml:space="preserve">NFT-422502084GN00064XXXXXXX </v>
          </cell>
          <cell r="CT329" t="str">
            <v>2024-08-12</v>
          </cell>
          <cell r="CU329">
            <v>769.47</v>
          </cell>
        </row>
        <row r="330">
          <cell r="CJ330" t="str">
            <v xml:space="preserve">NFT-422502003GN00079XXXXXXX </v>
          </cell>
          <cell r="CK330" t="str">
            <v>2024-08-12</v>
          </cell>
          <cell r="CL330">
            <v>7151.5959999999995</v>
          </cell>
          <cell r="CS330" t="str">
            <v xml:space="preserve">NFT-422502084GN00064XXXXXXX </v>
          </cell>
          <cell r="CT330" t="str">
            <v>2024-08-12</v>
          </cell>
          <cell r="CU330">
            <v>461.68</v>
          </cell>
        </row>
        <row r="331">
          <cell r="CJ331" t="str">
            <v xml:space="preserve">NFT-422502003GN00079XXXXXXX </v>
          </cell>
          <cell r="CK331" t="str">
            <v>2024-08-12</v>
          </cell>
          <cell r="CL331">
            <v>13894.067999999999</v>
          </cell>
          <cell r="CS331" t="str">
            <v xml:space="preserve">NFT-422502084GN00064XXXXXXX </v>
          </cell>
          <cell r="CT331" t="str">
            <v>2024-08-12</v>
          </cell>
          <cell r="CU331">
            <v>1202.296</v>
          </cell>
        </row>
        <row r="333">
          <cell r="CJ333" t="str">
            <v xml:space="preserve">NFT-422502003GN00079XXXXXXX </v>
          </cell>
          <cell r="CK333" t="str">
            <v>2024-08-12</v>
          </cell>
          <cell r="CL333">
            <v>6824.9260000000004</v>
          </cell>
          <cell r="CS333" t="str">
            <v xml:space="preserve">NFT-422502084GN00064XXXXXXX </v>
          </cell>
          <cell r="CT333" t="str">
            <v>2024-08-12</v>
          </cell>
          <cell r="CU333">
            <v>769.47</v>
          </cell>
        </row>
        <row r="334">
          <cell r="CJ334" t="str">
            <v xml:space="preserve">NFT-422502003GN00079XXXXXXX </v>
          </cell>
          <cell r="CK334" t="str">
            <v>2024-08-12</v>
          </cell>
          <cell r="CL334">
            <v>37497.908000000003</v>
          </cell>
        </row>
        <row r="335">
          <cell r="CJ335" t="str">
            <v xml:space="preserve">NFT-422502003GN00079XXXXXXX </v>
          </cell>
          <cell r="CK335" t="str">
            <v>2024-08-12</v>
          </cell>
          <cell r="CL335">
            <v>13538.186</v>
          </cell>
          <cell r="CS335" t="str">
            <v xml:space="preserve">NFT-422502084GN00064XXXXXXX </v>
          </cell>
          <cell r="CT335" t="str">
            <v>2024-08-12</v>
          </cell>
          <cell r="CU335">
            <v>1202.296</v>
          </cell>
        </row>
        <row r="336">
          <cell r="CJ336" t="str">
            <v xml:space="preserve">NFT-422502003GN00079XXXXXXX </v>
          </cell>
          <cell r="CK336" t="str">
            <v>2024-08-12</v>
          </cell>
          <cell r="CL336">
            <v>13519.306</v>
          </cell>
          <cell r="CS336" t="str">
            <v xml:space="preserve">NFT-422502084GN00064XXXXXXX </v>
          </cell>
          <cell r="CT336" t="str">
            <v>2024-08-12</v>
          </cell>
          <cell r="CU336">
            <v>1202.296</v>
          </cell>
        </row>
        <row r="337">
          <cell r="CJ337" t="str">
            <v xml:space="preserve">NFT-422502003GN00079XXXXXXX </v>
          </cell>
          <cell r="CK337" t="str">
            <v>2024-08-12</v>
          </cell>
          <cell r="CL337">
            <v>13519.306</v>
          </cell>
          <cell r="CS337" t="str">
            <v xml:space="preserve">NFT-422502084GN00064XXXXXXX </v>
          </cell>
          <cell r="CT337" t="str">
            <v>2024-08-12</v>
          </cell>
          <cell r="CU337">
            <v>1202.296</v>
          </cell>
        </row>
        <row r="338">
          <cell r="CJ338" t="str">
            <v xml:space="preserve">NFT-422502003GN00079XXXXXXX </v>
          </cell>
          <cell r="CK338" t="str">
            <v>2024-08-12</v>
          </cell>
          <cell r="CL338">
            <v>74614.828999999998</v>
          </cell>
          <cell r="CS338" t="str">
            <v xml:space="preserve">NFT-422502084GN00064XXXXXXX </v>
          </cell>
          <cell r="CT338" t="str">
            <v>2024-08-12</v>
          </cell>
          <cell r="CU338">
            <v>384.73399999999998</v>
          </cell>
        </row>
        <row r="339">
          <cell r="CJ339" t="str">
            <v xml:space="preserve">NFT-422502003GN00079XXXXXXX </v>
          </cell>
          <cell r="CK339" t="str">
            <v>2024-08-12</v>
          </cell>
          <cell r="CL339">
            <v>13538.186</v>
          </cell>
          <cell r="CS339" t="str">
            <v xml:space="preserve">NFT-422502084GN00064XXXXXXX </v>
          </cell>
          <cell r="CT339" t="str">
            <v>2024-08-12</v>
          </cell>
          <cell r="CU339">
            <v>1202.296</v>
          </cell>
        </row>
        <row r="340">
          <cell r="CJ340" t="str">
            <v xml:space="preserve">NFT-422502003GN00079XXXXXXX </v>
          </cell>
          <cell r="CK340" t="str">
            <v>2024-08-12</v>
          </cell>
          <cell r="CL340">
            <v>13520.272000000001</v>
          </cell>
          <cell r="CS340" t="str">
            <v xml:space="preserve">NFT-422502084GN00064XXXXXXX </v>
          </cell>
          <cell r="CT340" t="str">
            <v>2024-08-12</v>
          </cell>
          <cell r="CU340">
            <v>1557.212</v>
          </cell>
        </row>
        <row r="341">
          <cell r="CJ341" t="str">
            <v xml:space="preserve">NFT-422502003GN00079XXXXXXX </v>
          </cell>
          <cell r="CK341" t="str">
            <v>2024-08-12</v>
          </cell>
          <cell r="CL341">
            <v>6824.9260000000004</v>
          </cell>
          <cell r="CS341" t="str">
            <v xml:space="preserve">NFT-422502084GN00064XXXXXXX </v>
          </cell>
          <cell r="CT341" t="str">
            <v>2024-08-12</v>
          </cell>
          <cell r="CU341">
            <v>769.47</v>
          </cell>
        </row>
        <row r="342">
          <cell r="CJ342" t="str">
            <v xml:space="preserve">NFT-422502003GN00079XXXXXXX </v>
          </cell>
          <cell r="CK342" t="str">
            <v>2024-08-12</v>
          </cell>
          <cell r="CL342">
            <v>13519.306</v>
          </cell>
          <cell r="CS342" t="str">
            <v xml:space="preserve">NFT-422502084GN00064XXXXXXX </v>
          </cell>
          <cell r="CT342" t="str">
            <v>2024-08-12</v>
          </cell>
          <cell r="CU342">
            <v>1202.296</v>
          </cell>
        </row>
        <row r="344">
          <cell r="CJ344" t="str">
            <v xml:space="preserve">NFT-422502003GN00079XXXXXXX </v>
          </cell>
          <cell r="CK344" t="str">
            <v>2024-08-12</v>
          </cell>
          <cell r="CL344">
            <v>13538.186</v>
          </cell>
          <cell r="CS344" t="str">
            <v xml:space="preserve">NFT-422502084GN00064XXXXXXX </v>
          </cell>
          <cell r="CT344" t="str">
            <v>2024-08-12</v>
          </cell>
          <cell r="CU344">
            <v>1202.296</v>
          </cell>
        </row>
        <row r="345">
          <cell r="CJ345" t="str">
            <v xml:space="preserve">NFT-422502003GN00079XXXXXXX </v>
          </cell>
          <cell r="CK345" t="str">
            <v>2024-08-12</v>
          </cell>
          <cell r="CL345">
            <v>6843.8059999999996</v>
          </cell>
          <cell r="CS345" t="str">
            <v xml:space="preserve">NFT-422502084GN00064XXXXXXX </v>
          </cell>
          <cell r="CT345" t="str">
            <v>2024-08-12</v>
          </cell>
          <cell r="CU345">
            <v>769.47</v>
          </cell>
        </row>
        <row r="346">
          <cell r="CJ346" t="str">
            <v xml:space="preserve">NFT-422502003GN00079XXXXXXX </v>
          </cell>
          <cell r="CK346" t="str">
            <v>2024-08-12</v>
          </cell>
          <cell r="CL346">
            <v>6843.8059999999996</v>
          </cell>
          <cell r="CS346" t="str">
            <v xml:space="preserve">NFT-422502084GN00064XXXXXXX </v>
          </cell>
          <cell r="CT346" t="str">
            <v>2024-08-12</v>
          </cell>
          <cell r="CU346">
            <v>769.47</v>
          </cell>
        </row>
        <row r="347">
          <cell r="CJ347" t="str">
            <v xml:space="preserve">NFT-422502003GN00079XXXXXXX </v>
          </cell>
          <cell r="CK347" t="str">
            <v>2024-08-12</v>
          </cell>
          <cell r="CL347">
            <v>13856.557000000001</v>
          </cell>
          <cell r="CS347" t="str">
            <v xml:space="preserve">NFT-422502084GN00064XXXXXXX </v>
          </cell>
          <cell r="CT347" t="str">
            <v>2024-08-12</v>
          </cell>
          <cell r="CU347">
            <v>1239.807</v>
          </cell>
        </row>
        <row r="348">
          <cell r="CJ348" t="str">
            <v xml:space="preserve">NFT-422502003GN00079XXXXXXX </v>
          </cell>
          <cell r="CK348" t="str">
            <v>2024-08-12</v>
          </cell>
          <cell r="CL348">
            <v>13519.306</v>
          </cell>
          <cell r="CS348" t="str">
            <v xml:space="preserve">NFT-422502084GN00064XXXXXXX </v>
          </cell>
          <cell r="CT348" t="str">
            <v>2024-08-12</v>
          </cell>
          <cell r="CU348">
            <v>1202.296</v>
          </cell>
        </row>
        <row r="349">
          <cell r="CJ349" t="str">
            <v xml:space="preserve">NFT-422502003GN00079XXXXXXX </v>
          </cell>
          <cell r="CK349" t="str">
            <v>2024-08-12</v>
          </cell>
          <cell r="CL349">
            <v>12777.735000000001</v>
          </cell>
          <cell r="CS349" t="str">
            <v xml:space="preserve">NFT-422502084GN00064XXXXXXX </v>
          </cell>
          <cell r="CT349" t="str">
            <v>2024-08-12</v>
          </cell>
          <cell r="CU349">
            <v>1943.8679999999999</v>
          </cell>
        </row>
        <row r="350">
          <cell r="CJ350" t="str">
            <v xml:space="preserve">NFT-422502003GN00079XXXXXXX </v>
          </cell>
          <cell r="CK350" t="str">
            <v>2024-08-12</v>
          </cell>
          <cell r="CL350">
            <v>13998.911</v>
          </cell>
          <cell r="CM350" t="str">
            <v xml:space="preserve">NFT-423200864GN00138XXXXXXX </v>
          </cell>
          <cell r="CN350" t="str">
            <v>2024-08-19</v>
          </cell>
          <cell r="CO350">
            <v>-13998.911</v>
          </cell>
          <cell r="CP350" t="str">
            <v xml:space="preserve">NFT-423201020GN00282XXXXXXX </v>
          </cell>
          <cell r="CQ350" t="str">
            <v>2024-08-19</v>
          </cell>
          <cell r="CR350">
            <v>-741.572</v>
          </cell>
          <cell r="CS350" t="str">
            <v xml:space="preserve">NFT-422502084GN00064XXXXXXX </v>
          </cell>
          <cell r="CT350" t="str">
            <v>2024-08-12</v>
          </cell>
          <cell r="CU350">
            <v>741.572</v>
          </cell>
        </row>
        <row r="351">
          <cell r="CJ351" t="str">
            <v xml:space="preserve">NFT-422502003GN00079XXXXXXX </v>
          </cell>
          <cell r="CK351" t="str">
            <v>2024-08-12</v>
          </cell>
          <cell r="CL351">
            <v>13519.306</v>
          </cell>
          <cell r="CS351" t="str">
            <v xml:space="preserve">NFT-422502084GN00064XXXXXXX </v>
          </cell>
          <cell r="CT351" t="str">
            <v>2024-08-12</v>
          </cell>
          <cell r="CU351">
            <v>1202.296</v>
          </cell>
        </row>
        <row r="352">
          <cell r="CJ352" t="str">
            <v xml:space="preserve">NFT-422502003GN00079XXXXXXX </v>
          </cell>
          <cell r="CK352" t="str">
            <v>2024-08-12</v>
          </cell>
          <cell r="CL352">
            <v>13519.306</v>
          </cell>
          <cell r="CM352" t="str">
            <v xml:space="preserve">NFT-422700624GN00029XXXXXXX </v>
          </cell>
          <cell r="CN352" t="str">
            <v>2024-08-14</v>
          </cell>
          <cell r="CO352">
            <v>-13519.306</v>
          </cell>
          <cell r="CP352" t="str">
            <v xml:space="preserve">NFT-422700693GN00202XXXXXXX </v>
          </cell>
          <cell r="CQ352" t="str">
            <v>2024-08-14</v>
          </cell>
          <cell r="CR352">
            <v>-1202.296</v>
          </cell>
          <cell r="CS352" t="str">
            <v xml:space="preserve">NFT-422502084GN00064XXXXXXX </v>
          </cell>
          <cell r="CT352" t="str">
            <v>2024-08-12</v>
          </cell>
          <cell r="CU352">
            <v>1202.296</v>
          </cell>
        </row>
        <row r="353">
          <cell r="CJ353" t="str">
            <v xml:space="preserve">NFT-422502003GN00079XXXXXXX </v>
          </cell>
          <cell r="CK353" t="str">
            <v>2024-08-12</v>
          </cell>
          <cell r="CL353">
            <v>73210.91</v>
          </cell>
        </row>
        <row r="355">
          <cell r="CJ355" t="str">
            <v xml:space="preserve">NFT-422502003GN00079XXXXXXX </v>
          </cell>
          <cell r="CK355" t="str">
            <v>2024-08-12</v>
          </cell>
          <cell r="CL355">
            <v>13894.067999999999</v>
          </cell>
          <cell r="CS355" t="str">
            <v xml:space="preserve">NFT-422502084GN00064XXXXXXX </v>
          </cell>
          <cell r="CT355" t="str">
            <v>2024-08-12</v>
          </cell>
          <cell r="CU355">
            <v>1202.296</v>
          </cell>
        </row>
        <row r="356">
          <cell r="CJ356" t="str">
            <v xml:space="preserve">NFT-422502003GN00079XXXXXXX </v>
          </cell>
          <cell r="CK356" t="str">
            <v>2024-08-12</v>
          </cell>
          <cell r="CL356">
            <v>14000.225</v>
          </cell>
          <cell r="CS356" t="str">
            <v xml:space="preserve">NFT-422502084GN00064XXXXXXX </v>
          </cell>
          <cell r="CT356" t="str">
            <v>2024-08-12</v>
          </cell>
          <cell r="CU356">
            <v>721.37699999999995</v>
          </cell>
        </row>
        <row r="357">
          <cell r="CJ357" t="str">
            <v xml:space="preserve">NFT-422502003GN00079XXXXXXX </v>
          </cell>
          <cell r="CK357" t="str">
            <v>2024-08-12</v>
          </cell>
          <cell r="CL357">
            <v>36293.680999999997</v>
          </cell>
          <cell r="CS357" t="str">
            <v xml:space="preserve">NFT-422502084GN00064XXXXXXX </v>
          </cell>
          <cell r="CT357" t="str">
            <v>2024-08-12</v>
          </cell>
          <cell r="CU357">
            <v>1204.2170000000001</v>
          </cell>
        </row>
        <row r="358">
          <cell r="CJ358" t="str">
            <v xml:space="preserve">NFT-422502003GN00079XXXXXXX </v>
          </cell>
          <cell r="CK358" t="str">
            <v>2024-08-12</v>
          </cell>
          <cell r="CL358">
            <v>20266.928</v>
          </cell>
        </row>
        <row r="359">
          <cell r="CJ359" t="str">
            <v xml:space="preserve">NFT-422502003GN00079XXXXXXX </v>
          </cell>
          <cell r="CK359" t="str">
            <v>2024-08-12</v>
          </cell>
          <cell r="CL359">
            <v>13538.186</v>
          </cell>
          <cell r="CS359" t="str">
            <v xml:space="preserve">NFT-422502084GN00064XXXXXXX </v>
          </cell>
          <cell r="CT359" t="str">
            <v>2024-08-12</v>
          </cell>
          <cell r="CU359">
            <v>1202.296</v>
          </cell>
        </row>
        <row r="360">
          <cell r="CJ360" t="str">
            <v xml:space="preserve">NFT-422502003GN00079XXXXXXX </v>
          </cell>
          <cell r="CK360" t="str">
            <v>2024-08-12</v>
          </cell>
          <cell r="CL360">
            <v>13519.306</v>
          </cell>
          <cell r="CM360" t="str">
            <v xml:space="preserve">NFT-423200864GN00138XXXXXXX </v>
          </cell>
          <cell r="CN360" t="str">
            <v>2024-08-19</v>
          </cell>
          <cell r="CO360">
            <v>-13519.306</v>
          </cell>
          <cell r="CP360" t="str">
            <v xml:space="preserve">NFT-423201020GN00282XXXXXXX </v>
          </cell>
          <cell r="CQ360" t="str">
            <v>2024-08-19</v>
          </cell>
          <cell r="CR360">
            <v>-1202.296</v>
          </cell>
          <cell r="CS360" t="str">
            <v xml:space="preserve">NFT-422502084GN00064XXXXXXX </v>
          </cell>
          <cell r="CT360" t="str">
            <v>2024-08-12</v>
          </cell>
          <cell r="CU360">
            <v>1202.296</v>
          </cell>
        </row>
        <row r="361">
          <cell r="CJ361" t="str">
            <v xml:space="preserve">NFT-422502003GN00079XXXXXXX </v>
          </cell>
          <cell r="CK361" t="str">
            <v>2024-08-12</v>
          </cell>
          <cell r="CL361">
            <v>13875.188</v>
          </cell>
          <cell r="CS361" t="str">
            <v xml:space="preserve">NFT-422502084GN00064XXXXXXX </v>
          </cell>
          <cell r="CT361" t="str">
            <v>2024-08-12</v>
          </cell>
          <cell r="CU361">
            <v>1202.296</v>
          </cell>
        </row>
        <row r="362">
          <cell r="CJ362" t="str">
            <v xml:space="preserve">NFT-422502003GN00079XXXXXXX </v>
          </cell>
          <cell r="CK362" t="str">
            <v>2024-08-12</v>
          </cell>
          <cell r="CL362">
            <v>13586.278</v>
          </cell>
          <cell r="CS362" t="str">
            <v xml:space="preserve">NFT-422502084GN00064XXXXXXX </v>
          </cell>
          <cell r="CT362" t="str">
            <v>2024-08-12</v>
          </cell>
          <cell r="CU362">
            <v>1154.2049999999999</v>
          </cell>
        </row>
        <row r="363">
          <cell r="CJ363" t="str">
            <v xml:space="preserve">NFT-422502003GN00079XXXXXXX </v>
          </cell>
          <cell r="CK363" t="str">
            <v>2024-08-12</v>
          </cell>
          <cell r="CL363">
            <v>13894.067999999999</v>
          </cell>
          <cell r="CS363" t="str">
            <v xml:space="preserve">NFT-422502084GN00064XXXXXXX </v>
          </cell>
          <cell r="CT363" t="str">
            <v>2024-08-12</v>
          </cell>
          <cell r="CU363">
            <v>1202.296</v>
          </cell>
        </row>
        <row r="364">
          <cell r="CJ364" t="str">
            <v xml:space="preserve">NFT-422502003GN00079XXXXXXX </v>
          </cell>
          <cell r="CK364" t="str">
            <v>2024-08-12</v>
          </cell>
          <cell r="CL364">
            <v>13538.186</v>
          </cell>
          <cell r="CS364" t="str">
            <v xml:space="preserve">NFT-422502084GN00064XXXXXXX </v>
          </cell>
          <cell r="CT364" t="str">
            <v>2024-08-12</v>
          </cell>
          <cell r="CU364">
            <v>1202.296</v>
          </cell>
        </row>
        <row r="365">
          <cell r="CJ365" t="str">
            <v xml:space="preserve">NFT-422502003GN00079XXXXXXX </v>
          </cell>
          <cell r="CK365" t="str">
            <v>2024-08-12</v>
          </cell>
          <cell r="CL365">
            <v>15077.484</v>
          </cell>
        </row>
        <row r="366">
          <cell r="CJ366" t="str">
            <v xml:space="preserve">NFT-422502003GN00079XXXXXXX </v>
          </cell>
          <cell r="CK366" t="str">
            <v>2024-08-12</v>
          </cell>
          <cell r="CL366">
            <v>13418.922</v>
          </cell>
          <cell r="CS366" t="str">
            <v xml:space="preserve">NFT-422502084GN00064XXXXXXX </v>
          </cell>
          <cell r="CT366" t="str">
            <v>2024-08-12</v>
          </cell>
          <cell r="CU366">
            <v>1321.56</v>
          </cell>
        </row>
        <row r="367">
          <cell r="CJ367" t="str">
            <v xml:space="preserve">NFT-422502003GN00079XXXXXXX </v>
          </cell>
          <cell r="CK367" t="str">
            <v>2024-08-12</v>
          </cell>
          <cell r="CL367">
            <v>13538.186</v>
          </cell>
          <cell r="CS367" t="str">
            <v xml:space="preserve">NFT-422502084GN00064XXXXXXX </v>
          </cell>
          <cell r="CT367" t="str">
            <v>2024-08-12</v>
          </cell>
          <cell r="CU367">
            <v>1202.296</v>
          </cell>
        </row>
        <row r="368">
          <cell r="CJ368" t="str">
            <v xml:space="preserve">NFT-422502003GN00079XXXXXXX </v>
          </cell>
          <cell r="CK368" t="str">
            <v>2024-08-12</v>
          </cell>
          <cell r="CL368">
            <v>9120.4740000000002</v>
          </cell>
          <cell r="CS368" t="str">
            <v xml:space="preserve">NFT-422502084GN00064XXXXXXX </v>
          </cell>
          <cell r="CT368" t="str">
            <v>2024-08-12</v>
          </cell>
          <cell r="CU368">
            <v>1022.43</v>
          </cell>
        </row>
        <row r="369">
          <cell r="CJ369" t="str">
            <v xml:space="preserve">NFT-422502003GN00079XXXXXXX </v>
          </cell>
          <cell r="CK369" t="str">
            <v>2024-08-12</v>
          </cell>
          <cell r="CL369">
            <v>13519.306</v>
          </cell>
          <cell r="CS369" t="str">
            <v xml:space="preserve">NFT-422502084GN00064XXXXXXX </v>
          </cell>
          <cell r="CT369" t="str">
            <v>2024-08-12</v>
          </cell>
          <cell r="CU369">
            <v>1202.296</v>
          </cell>
        </row>
        <row r="370">
          <cell r="CJ370" t="str">
            <v xml:space="preserve">NFT-422502003GN00079XXXXXXX </v>
          </cell>
          <cell r="CK370" t="str">
            <v>2024-08-12</v>
          </cell>
          <cell r="CL370">
            <v>14674.117</v>
          </cell>
          <cell r="CS370" t="str">
            <v xml:space="preserve">NFT-422502084GN00064XXXXXXX </v>
          </cell>
          <cell r="CT370" t="str">
            <v>2024-08-12</v>
          </cell>
          <cell r="CU370">
            <v>66.364999999999995</v>
          </cell>
        </row>
        <row r="371">
          <cell r="CJ371" t="str">
            <v xml:space="preserve">NFT-422502003GN00079XXXXXXX </v>
          </cell>
          <cell r="CK371" t="str">
            <v>2024-08-12</v>
          </cell>
          <cell r="CL371">
            <v>13519.306</v>
          </cell>
          <cell r="CS371" t="str">
            <v xml:space="preserve">NFT-422502084GN00064XXXXXXX </v>
          </cell>
          <cell r="CT371" t="str">
            <v>2024-08-12</v>
          </cell>
          <cell r="CU371">
            <v>1202.296</v>
          </cell>
        </row>
        <row r="372">
          <cell r="CJ372" t="str">
            <v xml:space="preserve">NFT-422502003GN00079XXXXXXX </v>
          </cell>
          <cell r="CK372" t="str">
            <v>2024-08-12</v>
          </cell>
          <cell r="CL372">
            <v>30173.848000000002</v>
          </cell>
        </row>
        <row r="373">
          <cell r="CJ373" t="str">
            <v xml:space="preserve">NFT-422502003GN00079XXXXXXX </v>
          </cell>
          <cell r="CK373" t="str">
            <v>2024-08-12</v>
          </cell>
          <cell r="CL373">
            <v>13086.48</v>
          </cell>
          <cell r="CS373" t="str">
            <v xml:space="preserve">NFT-422502084GN00064XXXXXXX </v>
          </cell>
          <cell r="CT373" t="str">
            <v>2024-08-12</v>
          </cell>
          <cell r="CU373">
            <v>1635.123</v>
          </cell>
        </row>
        <row r="374">
          <cell r="CJ374" t="str">
            <v xml:space="preserve">NFT-422502003GN00079XXXXXXX </v>
          </cell>
          <cell r="CK374" t="str">
            <v>2024-08-12</v>
          </cell>
          <cell r="CL374">
            <v>10124.023999999999</v>
          </cell>
        </row>
        <row r="376">
          <cell r="CJ376" t="str">
            <v xml:space="preserve">NFT-422502003GN00079XXXXXXX </v>
          </cell>
          <cell r="CK376" t="str">
            <v>2024-08-12</v>
          </cell>
          <cell r="CL376">
            <v>14721.602000000001</v>
          </cell>
        </row>
        <row r="377">
          <cell r="CJ377" t="str">
            <v xml:space="preserve">NFT-422502003GN00079XXXXXXX </v>
          </cell>
          <cell r="CK377" t="str">
            <v>2024-08-12</v>
          </cell>
          <cell r="CL377">
            <v>6873.018</v>
          </cell>
          <cell r="CS377" t="str">
            <v xml:space="preserve">NFT-422502084GN00064XXXXXXX </v>
          </cell>
          <cell r="CT377" t="str">
            <v>2024-08-12</v>
          </cell>
          <cell r="CU377">
            <v>721.37699999999995</v>
          </cell>
        </row>
        <row r="378">
          <cell r="CJ378" t="str">
            <v xml:space="preserve">NFT-422502003GN00079XXXXXXX </v>
          </cell>
          <cell r="CK378" t="str">
            <v>2024-08-12</v>
          </cell>
          <cell r="CL378">
            <v>5487.9679999999998</v>
          </cell>
        </row>
        <row r="380">
          <cell r="CJ380" t="str">
            <v xml:space="preserve">NFT-422502003GN00079XXXXXXX </v>
          </cell>
          <cell r="CK380" t="str">
            <v>2024-08-12</v>
          </cell>
          <cell r="CL380">
            <v>72008.614000000001</v>
          </cell>
          <cell r="CS380" t="str">
            <v xml:space="preserve">NFT-422502084GN00064XXXXXXX </v>
          </cell>
          <cell r="CT380" t="str">
            <v>2024-08-12</v>
          </cell>
          <cell r="CU380">
            <v>1202.296</v>
          </cell>
        </row>
        <row r="381">
          <cell r="CJ381" t="str">
            <v xml:space="preserve">NFT-422502003GN00079XXXXXXX </v>
          </cell>
          <cell r="CK381" t="str">
            <v>2024-08-12</v>
          </cell>
          <cell r="CL381">
            <v>6873.018</v>
          </cell>
          <cell r="CM381" t="str">
            <v xml:space="preserve">NFT-422700624GN00029XXXXXXX </v>
          </cell>
          <cell r="CN381" t="str">
            <v>2024-08-14</v>
          </cell>
          <cell r="CO381">
            <v>-6873.018</v>
          </cell>
          <cell r="CP381" t="str">
            <v xml:space="preserve">NFT-422700693GN00202XXXXXXX </v>
          </cell>
          <cell r="CQ381" t="str">
            <v>2024-08-14</v>
          </cell>
          <cell r="CR381">
            <v>-721.37699999999995</v>
          </cell>
          <cell r="CS381" t="str">
            <v xml:space="preserve">NFT-422502084GN00064XXXXXXX </v>
          </cell>
          <cell r="CT381" t="str">
            <v>2024-08-12</v>
          </cell>
          <cell r="CU381">
            <v>721.37699999999995</v>
          </cell>
        </row>
        <row r="382">
          <cell r="CJ382" t="str">
            <v xml:space="preserve">NFT-422502003GN00079XXXXXXX </v>
          </cell>
          <cell r="CK382" t="str">
            <v>2024-08-12</v>
          </cell>
          <cell r="CL382">
            <v>72027.494000000006</v>
          </cell>
          <cell r="CM382" t="str">
            <v xml:space="preserve">NFT-423600944GN00087XXXXXXX </v>
          </cell>
          <cell r="CN382" t="str">
            <v>2024-08-23</v>
          </cell>
          <cell r="CO382">
            <v>-72027.494000000006</v>
          </cell>
          <cell r="CP382" t="str">
            <v xml:space="preserve">NFT-423601027GN00067XXXXXXX </v>
          </cell>
          <cell r="CQ382" t="str">
            <v>2024-08-23</v>
          </cell>
          <cell r="CR382">
            <v>-1202.296</v>
          </cell>
          <cell r="CS382" t="str">
            <v xml:space="preserve">NFT-422502084GN00064XXXXXXX </v>
          </cell>
          <cell r="CT382" t="str">
            <v>2024-08-12</v>
          </cell>
          <cell r="CU382">
            <v>1202.296</v>
          </cell>
        </row>
        <row r="383">
          <cell r="CJ383" t="str">
            <v xml:space="preserve">NFT-422502003GN00079XXXXXXX </v>
          </cell>
          <cell r="CK383" t="str">
            <v>2024-08-12</v>
          </cell>
          <cell r="CL383">
            <v>7613.2749999999996</v>
          </cell>
          <cell r="CM383" t="str">
            <v xml:space="preserve">NFT-422700624GN00029XXXXXXX </v>
          </cell>
          <cell r="CN383" t="str">
            <v>2024-08-14</v>
          </cell>
          <cell r="CO383">
            <v>-7613.2749999999996</v>
          </cell>
        </row>
        <row r="384">
          <cell r="CJ384" t="str">
            <v xml:space="preserve">NFT-422502003GN00079XXXXXXX </v>
          </cell>
          <cell r="CK384" t="str">
            <v>2024-08-12</v>
          </cell>
          <cell r="CL384">
            <v>6843.8050000000003</v>
          </cell>
          <cell r="CS384" t="str">
            <v xml:space="preserve">NFT-422502084GN00064XXXXXXX </v>
          </cell>
          <cell r="CT384" t="str">
            <v>2024-08-12</v>
          </cell>
          <cell r="CU384">
            <v>769.46900000000005</v>
          </cell>
        </row>
        <row r="385">
          <cell r="CJ385" t="str">
            <v xml:space="preserve">NFT-422502003GN00079XXXXXXX </v>
          </cell>
          <cell r="CK385" t="str">
            <v>2024-08-12</v>
          </cell>
          <cell r="CL385">
            <v>13116.298000000001</v>
          </cell>
          <cell r="CS385" t="str">
            <v xml:space="preserve">NFT-422502084GN00064XXXXXXX </v>
          </cell>
          <cell r="CT385" t="str">
            <v>2024-08-12</v>
          </cell>
          <cell r="CU385">
            <v>1961.1859999999999</v>
          </cell>
        </row>
        <row r="386">
          <cell r="CJ386" t="str">
            <v xml:space="preserve">NFT-422502003GN00079XXXXXXX </v>
          </cell>
          <cell r="CK386" t="str">
            <v>2024-08-12</v>
          </cell>
          <cell r="CL386">
            <v>6824.9260000000004</v>
          </cell>
          <cell r="CS386" t="str">
            <v xml:space="preserve">NFT-422502084GN00064XXXXXXX </v>
          </cell>
          <cell r="CT386" t="str">
            <v>2024-08-12</v>
          </cell>
          <cell r="CU386">
            <v>769.47</v>
          </cell>
        </row>
        <row r="387">
          <cell r="CJ387" t="str">
            <v xml:space="preserve">NFT-422502003GN00079XXXXXXX </v>
          </cell>
          <cell r="CK387" t="str">
            <v>2024-08-12</v>
          </cell>
          <cell r="CL387">
            <v>36613.016000000003</v>
          </cell>
        </row>
        <row r="388">
          <cell r="CJ388" t="str">
            <v xml:space="preserve">NFT-422502003GN00079XXXXXXX </v>
          </cell>
          <cell r="CK388" t="str">
            <v>2024-08-12</v>
          </cell>
          <cell r="CL388">
            <v>72008.614000000001</v>
          </cell>
          <cell r="CS388" t="str">
            <v xml:space="preserve">NFT-422502084GN00064XXXXXXX </v>
          </cell>
          <cell r="CT388" t="str">
            <v>2024-08-12</v>
          </cell>
          <cell r="CU388">
            <v>1202.296</v>
          </cell>
        </row>
        <row r="390">
          <cell r="CJ390" t="str">
            <v xml:space="preserve">NFT-422502003GN00079XXXXXXX </v>
          </cell>
          <cell r="CK390" t="str">
            <v>2024-08-12</v>
          </cell>
          <cell r="CL390">
            <v>72027.494000000006</v>
          </cell>
          <cell r="CS390" t="str">
            <v xml:space="preserve">NFT-422502084GN00064XXXXXXX </v>
          </cell>
          <cell r="CT390" t="str">
            <v>2024-08-12</v>
          </cell>
          <cell r="CU390">
            <v>1202.296</v>
          </cell>
        </row>
        <row r="391">
          <cell r="CJ391" t="str">
            <v xml:space="preserve">NFT-422502003GN00079XXXXXXX </v>
          </cell>
          <cell r="CK391" t="str">
            <v>2024-08-12</v>
          </cell>
          <cell r="CL391">
            <v>12524.97</v>
          </cell>
          <cell r="CS391" t="str">
            <v xml:space="preserve">NFT-422502084GN00064XXXXXXX </v>
          </cell>
          <cell r="CT391" t="str">
            <v>2024-08-12</v>
          </cell>
          <cell r="CU391">
            <v>1377.7260000000001</v>
          </cell>
        </row>
        <row r="392">
          <cell r="CJ392" t="str">
            <v xml:space="preserve">NFT-422502003GN00079XXXXXXX </v>
          </cell>
          <cell r="CK392" t="str">
            <v>2024-08-12</v>
          </cell>
          <cell r="CL392">
            <v>6766.8609999999999</v>
          </cell>
          <cell r="CS392" t="str">
            <v xml:space="preserve">NFT-422502084GN00064XXXXXXX </v>
          </cell>
          <cell r="CT392" t="str">
            <v>2024-08-12</v>
          </cell>
          <cell r="CU392">
            <v>721.37699999999995</v>
          </cell>
        </row>
        <row r="393">
          <cell r="CJ393" t="str">
            <v xml:space="preserve">NFT-422502003GN00079XXXXXXX </v>
          </cell>
          <cell r="CK393" t="str">
            <v>2024-08-12</v>
          </cell>
          <cell r="CL393">
            <v>69050</v>
          </cell>
          <cell r="CS393" t="str">
            <v xml:space="preserve">NFT-422502084GN00064XXXXXXX </v>
          </cell>
          <cell r="CT393" t="str">
            <v>2024-08-12</v>
          </cell>
          <cell r="CU393">
            <v>2939.375</v>
          </cell>
        </row>
        <row r="394">
          <cell r="CJ394" t="str">
            <v xml:space="preserve">NFT-422502003GN00079XXXXXXX </v>
          </cell>
          <cell r="CK394" t="str">
            <v>2024-08-12</v>
          </cell>
          <cell r="CL394">
            <v>32989.775000000001</v>
          </cell>
          <cell r="CS394" t="str">
            <v xml:space="preserve">NFT-422502084GN00064XXXXXXX </v>
          </cell>
          <cell r="CT394" t="str">
            <v>2024-08-12</v>
          </cell>
          <cell r="CU394">
            <v>3007.6610000000001</v>
          </cell>
        </row>
        <row r="395">
          <cell r="CJ395" t="str">
            <v xml:space="preserve">NFT-422502003GN00079XXXXXXX </v>
          </cell>
          <cell r="CK395" t="str">
            <v>2024-08-12</v>
          </cell>
          <cell r="CL395">
            <v>69122.744000000006</v>
          </cell>
          <cell r="CS395" t="str">
            <v xml:space="preserve">NFT-422502084GN00064XXXXXXX </v>
          </cell>
          <cell r="CT395" t="str">
            <v>2024-08-12</v>
          </cell>
          <cell r="CU395">
            <v>2885.511</v>
          </cell>
        </row>
        <row r="396">
          <cell r="CJ396" t="str">
            <v xml:space="preserve">NFT-422502003GN00079XXXXXXX </v>
          </cell>
          <cell r="CK396" t="str">
            <v>2024-08-12</v>
          </cell>
          <cell r="CL396">
            <v>69103.864000000001</v>
          </cell>
          <cell r="CS396" t="str">
            <v xml:space="preserve">NFT-422502084GN00064XXXXXXX </v>
          </cell>
          <cell r="CT396" t="str">
            <v>2024-08-12</v>
          </cell>
          <cell r="CU396">
            <v>2885.511</v>
          </cell>
        </row>
        <row r="397">
          <cell r="CJ397" t="str">
            <v xml:space="preserve">NFT-422502003GN00079XXXXXXX </v>
          </cell>
          <cell r="CK397" t="str">
            <v>2024-08-12</v>
          </cell>
          <cell r="CL397">
            <v>12092.431</v>
          </cell>
          <cell r="CS397" t="str">
            <v xml:space="preserve">NFT-422502084GN00064XXXXXXX </v>
          </cell>
          <cell r="CT397" t="str">
            <v>2024-08-12</v>
          </cell>
          <cell r="CU397">
            <v>1829.146</v>
          </cell>
        </row>
        <row r="398">
          <cell r="CJ398" t="str">
            <v xml:space="preserve">NFT-422502003GN00079XXXXXXX </v>
          </cell>
          <cell r="CK398" t="str">
            <v>2024-08-12</v>
          </cell>
          <cell r="CL398">
            <v>6712.39</v>
          </cell>
          <cell r="CS398" t="str">
            <v xml:space="preserve">NFT-422502084GN00064XXXXXXX </v>
          </cell>
          <cell r="CT398" t="str">
            <v>2024-08-12</v>
          </cell>
          <cell r="CU398">
            <v>756.96900000000005</v>
          </cell>
        </row>
        <row r="399">
          <cell r="CJ399" t="str">
            <v xml:space="preserve">NFT-422502003GN00079XXXXXXX </v>
          </cell>
          <cell r="CK399" t="str">
            <v>2024-08-12</v>
          </cell>
          <cell r="CL399">
            <v>6731.27</v>
          </cell>
          <cell r="CS399" t="str">
            <v xml:space="preserve">NFT-422502084GN00064XXXXXXX </v>
          </cell>
          <cell r="CT399" t="str">
            <v>2024-08-12</v>
          </cell>
          <cell r="CU399">
            <v>756.96900000000005</v>
          </cell>
        </row>
        <row r="400">
          <cell r="CJ400" t="str">
            <v xml:space="preserve">NFT-422502003GN00079XXXXXXX </v>
          </cell>
          <cell r="CK400" t="str">
            <v>2024-08-12</v>
          </cell>
          <cell r="CL400">
            <v>12984.174000000001</v>
          </cell>
          <cell r="CS400" t="str">
            <v xml:space="preserve">NFT-422502084GN00064XXXXXXX </v>
          </cell>
          <cell r="CT400" t="str">
            <v>2024-08-12</v>
          </cell>
          <cell r="CU400">
            <v>1852.501</v>
          </cell>
        </row>
        <row r="401">
          <cell r="CJ401" t="str">
            <v xml:space="preserve">NFT-422502003GN00079XXXXXXX </v>
          </cell>
          <cell r="CK401" t="str">
            <v>2024-08-12</v>
          </cell>
          <cell r="CL401">
            <v>13202.097</v>
          </cell>
          <cell r="CS401" t="str">
            <v xml:space="preserve">NFT-422502084GN00064XXXXXXX </v>
          </cell>
          <cell r="CT401" t="str">
            <v>2024-08-12</v>
          </cell>
          <cell r="CU401">
            <v>700.59900000000005</v>
          </cell>
        </row>
        <row r="402">
          <cell r="CJ402" t="str">
            <v xml:space="preserve">NFT-422502003GN00079XXXXXXX </v>
          </cell>
          <cell r="CK402" t="str">
            <v>2024-08-12</v>
          </cell>
          <cell r="CL402">
            <v>69122.744000000006</v>
          </cell>
          <cell r="CS402" t="str">
            <v xml:space="preserve">NFT-422502084GN00064XXXXXXX </v>
          </cell>
          <cell r="CT402" t="str">
            <v>2024-08-12</v>
          </cell>
          <cell r="CU402">
            <v>2885.51</v>
          </cell>
        </row>
        <row r="403">
          <cell r="CJ403" t="str">
            <v xml:space="preserve">NFT-422502003GN00079XXXXXXX </v>
          </cell>
          <cell r="CK403" t="str">
            <v>2024-08-12</v>
          </cell>
          <cell r="CL403">
            <v>69122.744000000006</v>
          </cell>
          <cell r="CS403" t="str">
            <v xml:space="preserve">NFT-422502084GN00064XXXXXXX </v>
          </cell>
          <cell r="CT403" t="str">
            <v>2024-08-12</v>
          </cell>
          <cell r="CU403">
            <v>2885.51</v>
          </cell>
        </row>
        <row r="404">
          <cell r="CJ404" t="str">
            <v xml:space="preserve">NFT-422502003GN00079XXXXXXX </v>
          </cell>
          <cell r="CK404" t="str">
            <v>2024-08-12</v>
          </cell>
          <cell r="CL404">
            <v>69103.864000000001</v>
          </cell>
          <cell r="CS404" t="str">
            <v xml:space="preserve">NFT-422502084GN00064XXXXXXX </v>
          </cell>
          <cell r="CT404" t="str">
            <v>2024-08-12</v>
          </cell>
          <cell r="CU404">
            <v>2885.511</v>
          </cell>
        </row>
        <row r="405">
          <cell r="CJ405" t="str">
            <v xml:space="preserve">NFT-422502003GN00079XXXXXXX </v>
          </cell>
          <cell r="CK405" t="str">
            <v>2024-08-12</v>
          </cell>
          <cell r="CL405">
            <v>69170.835999999996</v>
          </cell>
          <cell r="CS405" t="str">
            <v xml:space="preserve">NFT-422502084GN00064XXXXXXX </v>
          </cell>
          <cell r="CT405" t="str">
            <v>2024-08-12</v>
          </cell>
          <cell r="CU405">
            <v>2885.511</v>
          </cell>
        </row>
        <row r="406">
          <cell r="CJ406" t="str">
            <v xml:space="preserve">NFT-422502003GN00079XXXXXXX </v>
          </cell>
          <cell r="CK406" t="str">
            <v>2024-08-12</v>
          </cell>
          <cell r="CL406">
            <v>68401.365999999995</v>
          </cell>
          <cell r="CS406" t="str">
            <v xml:space="preserve">NFT-422502084GN00064XXXXXXX </v>
          </cell>
          <cell r="CT406" t="str">
            <v>2024-08-12</v>
          </cell>
          <cell r="CU406">
            <v>3606.8879999999999</v>
          </cell>
        </row>
        <row r="407">
          <cell r="CJ407" t="str">
            <v xml:space="preserve">NFT-422502003GN00079XXXXXXX </v>
          </cell>
          <cell r="CK407" t="str">
            <v>2024-08-12</v>
          </cell>
          <cell r="CL407">
            <v>69122.744000000006</v>
          </cell>
          <cell r="CS407" t="str">
            <v xml:space="preserve">NFT-422502084GN00064XXXXXXX </v>
          </cell>
          <cell r="CT407" t="str">
            <v>2024-08-12</v>
          </cell>
          <cell r="CU407">
            <v>2885.511</v>
          </cell>
        </row>
        <row r="408">
          <cell r="CJ408" t="str">
            <v xml:space="preserve">NFT-422502003GN00079XXXXXXX </v>
          </cell>
          <cell r="CK408" t="str">
            <v>2024-08-12</v>
          </cell>
          <cell r="CL408">
            <v>12073.550999999999</v>
          </cell>
          <cell r="CS408" t="str">
            <v xml:space="preserve">NFT-422502084GN00064XXXXXXX </v>
          </cell>
          <cell r="CT408" t="str">
            <v>2024-08-12</v>
          </cell>
          <cell r="CU408">
            <v>1829.145</v>
          </cell>
        </row>
        <row r="409">
          <cell r="CJ409" t="str">
            <v xml:space="preserve">NFT-422502003GN00079XXXXXXX </v>
          </cell>
          <cell r="CK409" t="str">
            <v>2024-08-12</v>
          </cell>
          <cell r="CL409">
            <v>12869.111000000001</v>
          </cell>
          <cell r="CS409" t="str">
            <v xml:space="preserve">NFT-422502084GN00064XXXXXXX </v>
          </cell>
          <cell r="CT409" t="str">
            <v>2024-08-12</v>
          </cell>
          <cell r="CU409">
            <v>1948.6849999999999</v>
          </cell>
        </row>
        <row r="410">
          <cell r="CJ410" t="str">
            <v xml:space="preserve">NFT-422502003GN00079XXXXXXX </v>
          </cell>
          <cell r="CK410" t="str">
            <v>2024-08-12</v>
          </cell>
          <cell r="CL410">
            <v>12092.431</v>
          </cell>
          <cell r="CS410" t="str">
            <v xml:space="preserve">NFT-422502084GN00064XXXXXXX </v>
          </cell>
          <cell r="CT410" t="str">
            <v>2024-08-12</v>
          </cell>
          <cell r="CU410">
            <v>1829.145</v>
          </cell>
        </row>
        <row r="411">
          <cell r="CJ411" t="str">
            <v xml:space="preserve">NFT-422502003GN00079XXXXXXX </v>
          </cell>
          <cell r="CK411" t="str">
            <v>2024-08-12</v>
          </cell>
          <cell r="CL411">
            <v>70835.171000000002</v>
          </cell>
          <cell r="CS411" t="str">
            <v xml:space="preserve">NFT-422502084GN00064XXXXXXX </v>
          </cell>
          <cell r="CT411" t="str">
            <v>2024-08-12</v>
          </cell>
          <cell r="CU411">
            <v>2885.511</v>
          </cell>
        </row>
        <row r="412">
          <cell r="CJ412" t="str">
            <v xml:space="preserve">NFT-422502003GN00079XXXXXXX </v>
          </cell>
          <cell r="CK412" t="str">
            <v>2024-08-12</v>
          </cell>
          <cell r="CL412">
            <v>12869.111000000001</v>
          </cell>
          <cell r="CS412" t="str">
            <v xml:space="preserve">NFT-422502084GN00064XXXXXXX </v>
          </cell>
          <cell r="CT412" t="str">
            <v>2024-08-12</v>
          </cell>
          <cell r="CU412">
            <v>1948.6849999999999</v>
          </cell>
        </row>
        <row r="413">
          <cell r="CJ413" t="str">
            <v xml:space="preserve">NFT-422502003GN00079XXXXXXX </v>
          </cell>
          <cell r="CK413" t="str">
            <v>2024-08-12</v>
          </cell>
          <cell r="CL413">
            <v>69103.864000000001</v>
          </cell>
          <cell r="CS413" t="str">
            <v xml:space="preserve">NFT-422502084GN00064XXXXXXX </v>
          </cell>
          <cell r="CT413" t="str">
            <v>2024-08-12</v>
          </cell>
          <cell r="CU413">
            <v>2885.511</v>
          </cell>
        </row>
        <row r="414">
          <cell r="CJ414" t="str">
            <v xml:space="preserve">NFT-422502003GN00079XXXXXXX </v>
          </cell>
          <cell r="CK414" t="str">
            <v>2024-08-12</v>
          </cell>
          <cell r="CL414">
            <v>70854.051000000007</v>
          </cell>
          <cell r="CS414" t="str">
            <v xml:space="preserve">NFT-422502084GN00064XXXXXXX </v>
          </cell>
          <cell r="CT414" t="str">
            <v>2024-08-12</v>
          </cell>
          <cell r="CU414">
            <v>2885.511</v>
          </cell>
        </row>
        <row r="415">
          <cell r="CJ415" t="str">
            <v xml:space="preserve">NFT-422502003GN00079XXXXXXX </v>
          </cell>
          <cell r="CK415" t="str">
            <v>2024-08-12</v>
          </cell>
          <cell r="CL415">
            <v>12887.991</v>
          </cell>
          <cell r="CS415" t="str">
            <v xml:space="preserve">NFT-422502084GN00064XXXXXXX </v>
          </cell>
          <cell r="CT415" t="str">
            <v>2024-08-12</v>
          </cell>
          <cell r="CU415">
            <v>1948.6849999999999</v>
          </cell>
        </row>
        <row r="416">
          <cell r="CJ416" t="str">
            <v xml:space="preserve">NFT-422700624GN00029XXXXXXX </v>
          </cell>
          <cell r="CK416" t="str">
            <v>2024-08-14</v>
          </cell>
          <cell r="CL416">
            <v>69103.864000000001</v>
          </cell>
          <cell r="CM416" t="str">
            <v xml:space="preserve">NFT-422700693GN00202XXXXXXX </v>
          </cell>
          <cell r="CN416" t="str">
            <v>2024-08-14</v>
          </cell>
          <cell r="CO416">
            <v>2885.511</v>
          </cell>
        </row>
        <row r="417">
          <cell r="CJ417" t="str">
            <v xml:space="preserve">NFT-422700624GN00029XXXXXXX </v>
          </cell>
          <cell r="CK417" t="str">
            <v>2024-08-14</v>
          </cell>
          <cell r="CL417">
            <v>8519.3259999999991</v>
          </cell>
          <cell r="CM417" t="str">
            <v xml:space="preserve">NFT-422700693GN00202XXXXXXX </v>
          </cell>
          <cell r="CN417" t="str">
            <v>2024-08-14</v>
          </cell>
          <cell r="CO417">
            <v>1517.779</v>
          </cell>
        </row>
        <row r="418">
          <cell r="CJ418" t="str">
            <v xml:space="preserve">NFT-422700624GN00029XXXXXXX </v>
          </cell>
          <cell r="CK418" t="str">
            <v>2024-08-14</v>
          </cell>
          <cell r="CL418">
            <v>12540.162</v>
          </cell>
          <cell r="CM418" t="str">
            <v xml:space="preserve">NFT-422700693GN00202XXXXXXX </v>
          </cell>
          <cell r="CN418" t="str">
            <v>2024-08-14</v>
          </cell>
          <cell r="CO418">
            <v>1931.367</v>
          </cell>
        </row>
        <row r="419">
          <cell r="CJ419" t="str">
            <v xml:space="preserve">NFT-422700624GN00029XXXXXXX </v>
          </cell>
          <cell r="CK419" t="str">
            <v>2024-08-14</v>
          </cell>
          <cell r="CL419">
            <v>12421.852999999999</v>
          </cell>
          <cell r="CM419" t="str">
            <v xml:space="preserve">NFT-422700693GN00202XXXXXXX </v>
          </cell>
          <cell r="CN419" t="str">
            <v>2024-08-14</v>
          </cell>
          <cell r="CO419">
            <v>2049.6759999999999</v>
          </cell>
        </row>
        <row r="420">
          <cell r="CJ420" t="str">
            <v xml:space="preserve">NFT-422700624GN00029XXXXXXX </v>
          </cell>
          <cell r="CK420" t="str">
            <v>2024-08-14</v>
          </cell>
          <cell r="CL420">
            <v>6333.4269999999997</v>
          </cell>
          <cell r="CM420" t="str">
            <v xml:space="preserve">NFT-422700693GN00202XXXXXXX </v>
          </cell>
          <cell r="CN420" t="str">
            <v>2024-08-14</v>
          </cell>
          <cell r="CO420">
            <v>1135.931</v>
          </cell>
        </row>
        <row r="421">
          <cell r="CJ421" t="str">
            <v xml:space="preserve">NFT-422700624GN00029XXXXXXX </v>
          </cell>
          <cell r="CK421" t="str">
            <v>2024-08-14</v>
          </cell>
          <cell r="CL421">
            <v>6352.3069999999998</v>
          </cell>
          <cell r="CM421" t="str">
            <v xml:space="preserve">NFT-422700693GN00202XXXXXXX </v>
          </cell>
          <cell r="CN421" t="str">
            <v>2024-08-14</v>
          </cell>
          <cell r="CO421">
            <v>1135.931</v>
          </cell>
        </row>
        <row r="422">
          <cell r="CJ422" t="str">
            <v xml:space="preserve">NFT-422700624GN00029XXXXXXX </v>
          </cell>
          <cell r="CK422" t="str">
            <v>2024-08-14</v>
          </cell>
          <cell r="CL422">
            <v>12540.162</v>
          </cell>
          <cell r="CM422" t="str">
            <v xml:space="preserve">NFT-422700693GN00202XXXXXXX </v>
          </cell>
          <cell r="CN422" t="str">
            <v>2024-08-14</v>
          </cell>
          <cell r="CO422">
            <v>1931.367</v>
          </cell>
        </row>
        <row r="423">
          <cell r="CJ423" t="str">
            <v xml:space="preserve">NFT-422700624GN00029XXXXXXX </v>
          </cell>
          <cell r="CK423" t="str">
            <v>2024-08-14</v>
          </cell>
          <cell r="CL423">
            <v>33008.656000000003</v>
          </cell>
          <cell r="CM423" t="str">
            <v xml:space="preserve">NFT-422700693GN00202XXXXXXX </v>
          </cell>
          <cell r="CN423" t="str">
            <v>2024-08-14</v>
          </cell>
          <cell r="CO423">
            <v>3007.6610000000001</v>
          </cell>
        </row>
        <row r="424">
          <cell r="CJ424" t="str">
            <v xml:space="preserve">NFT-422700624GN00029XXXXXXX </v>
          </cell>
          <cell r="CK424" t="str">
            <v>2024-08-14</v>
          </cell>
          <cell r="CL424">
            <v>12540.162</v>
          </cell>
          <cell r="CM424" t="str">
            <v xml:space="preserve">NFT-422700693GN00202XXXXXXX </v>
          </cell>
          <cell r="CN424" t="str">
            <v>2024-08-14</v>
          </cell>
          <cell r="CO424">
            <v>1931.367</v>
          </cell>
        </row>
        <row r="425">
          <cell r="CJ425" t="str">
            <v xml:space="preserve">NFT-422502003GN00079XXXXXXX </v>
          </cell>
          <cell r="CK425" t="str">
            <v>2024-08-12</v>
          </cell>
          <cell r="CL425">
            <v>69103.864000000001</v>
          </cell>
          <cell r="CS425" t="str">
            <v xml:space="preserve">NFT-422502084GN00064XXXXXXX </v>
          </cell>
          <cell r="CT425" t="str">
            <v>2024-08-12</v>
          </cell>
          <cell r="CU425">
            <v>2885.511</v>
          </cell>
        </row>
        <row r="426">
          <cell r="CJ426" t="str">
            <v xml:space="preserve">NFT-422502003GN00079XXXXXXX </v>
          </cell>
          <cell r="CK426" t="str">
            <v>2024-08-12</v>
          </cell>
          <cell r="CL426">
            <v>69103.864000000001</v>
          </cell>
          <cell r="CS426" t="str">
            <v xml:space="preserve">NFT-422502084GN00064XXXXXXX </v>
          </cell>
          <cell r="CT426" t="str">
            <v>2024-08-12</v>
          </cell>
          <cell r="CU426">
            <v>2885.511</v>
          </cell>
        </row>
        <row r="427">
          <cell r="CJ427" t="str">
            <v xml:space="preserve">NFT-422502003GN00079XXXXXXX </v>
          </cell>
          <cell r="CK427" t="str">
            <v>2024-08-12</v>
          </cell>
          <cell r="CL427">
            <v>12073.550999999999</v>
          </cell>
          <cell r="CS427" t="str">
            <v xml:space="preserve">NFT-422502084GN00064XXXXXXX </v>
          </cell>
          <cell r="CT427" t="str">
            <v>2024-08-12</v>
          </cell>
          <cell r="CU427">
            <v>1829.145</v>
          </cell>
        </row>
        <row r="428">
          <cell r="CJ428" t="str">
            <v xml:space="preserve">NFT-422502003GN00079XXXXXXX </v>
          </cell>
          <cell r="CK428" t="str">
            <v>2024-08-12</v>
          </cell>
          <cell r="CL428">
            <v>8241.3549999999996</v>
          </cell>
          <cell r="CS428" t="str">
            <v xml:space="preserve">NFT-422502084GN00064XXXXXXX </v>
          </cell>
          <cell r="CT428" t="str">
            <v>2024-08-12</v>
          </cell>
          <cell r="CU428">
            <v>1468.721</v>
          </cell>
        </row>
        <row r="429">
          <cell r="CJ429" t="str">
            <v xml:space="preserve">NFT-422502003GN00079XXXXXXX </v>
          </cell>
          <cell r="CK429" t="str">
            <v>2024-08-12</v>
          </cell>
          <cell r="CL429">
            <v>69122.744000000006</v>
          </cell>
          <cell r="CS429" t="str">
            <v xml:space="preserve">NFT-422502084GN00064XXXXXXX </v>
          </cell>
          <cell r="CT429" t="str">
            <v>2024-08-12</v>
          </cell>
          <cell r="CU429">
            <v>2885.511</v>
          </cell>
        </row>
        <row r="430">
          <cell r="CJ430" t="str">
            <v xml:space="preserve">NFT-422502003GN00079XXXXXXX </v>
          </cell>
          <cell r="CK430" t="str">
            <v>2024-08-12</v>
          </cell>
          <cell r="CL430">
            <v>67968.540999999997</v>
          </cell>
          <cell r="CS430" t="str">
            <v xml:space="preserve">NFT-422502084GN00064XXXXXXX </v>
          </cell>
          <cell r="CT430" t="str">
            <v>2024-08-12</v>
          </cell>
          <cell r="CU430">
            <v>4087.806</v>
          </cell>
        </row>
        <row r="431">
          <cell r="CJ431" t="str">
            <v xml:space="preserve">NFT-422502003GN00079XXXXXXX </v>
          </cell>
          <cell r="CK431" t="str">
            <v>2024-08-12</v>
          </cell>
          <cell r="CL431">
            <v>12073.550999999999</v>
          </cell>
          <cell r="CS431" t="str">
            <v xml:space="preserve">NFT-422502084GN00064XXXXXXX </v>
          </cell>
          <cell r="CT431" t="str">
            <v>2024-08-12</v>
          </cell>
          <cell r="CU431">
            <v>1829.145</v>
          </cell>
        </row>
        <row r="432">
          <cell r="CJ432" t="str">
            <v xml:space="preserve">NFT-422502003GN00079XXXXXXX </v>
          </cell>
          <cell r="CK432" t="str">
            <v>2024-08-12</v>
          </cell>
          <cell r="CL432">
            <v>70835.171000000002</v>
          </cell>
          <cell r="CS432" t="str">
            <v xml:space="preserve">NFT-422502084GN00064XXXXXXX </v>
          </cell>
          <cell r="CT432" t="str">
            <v>2024-08-12</v>
          </cell>
          <cell r="CU432">
            <v>2885.511</v>
          </cell>
        </row>
        <row r="433">
          <cell r="CJ433" t="str">
            <v xml:space="preserve">NFT-422502003GN00079XXXXXXX </v>
          </cell>
          <cell r="CK433" t="str">
            <v>2024-08-12</v>
          </cell>
          <cell r="CL433">
            <v>67901.567999999999</v>
          </cell>
          <cell r="CS433" t="str">
            <v xml:space="preserve">NFT-422502084GN00064XXXXXXX </v>
          </cell>
          <cell r="CT433" t="str">
            <v>2024-08-12</v>
          </cell>
          <cell r="CU433">
            <v>4087.8069999999998</v>
          </cell>
        </row>
        <row r="434">
          <cell r="CJ434" t="str">
            <v xml:space="preserve">NFT-422502003GN00079XXXXXXX </v>
          </cell>
          <cell r="CK434" t="str">
            <v>2024-08-12</v>
          </cell>
          <cell r="CL434">
            <v>12092.431</v>
          </cell>
          <cell r="CS434" t="str">
            <v xml:space="preserve">NFT-422502084GN00064XXXXXXX </v>
          </cell>
          <cell r="CT434" t="str">
            <v>2024-08-12</v>
          </cell>
          <cell r="CU434">
            <v>1829.146</v>
          </cell>
        </row>
        <row r="435">
          <cell r="CJ435" t="str">
            <v xml:space="preserve">NFT-422502003GN00079XXXXXXX </v>
          </cell>
          <cell r="CK435" t="str">
            <v>2024-08-12</v>
          </cell>
          <cell r="CL435">
            <v>6333.4269999999997</v>
          </cell>
          <cell r="CS435" t="str">
            <v xml:space="preserve">NFT-422502084GN00064XXXXXXX </v>
          </cell>
          <cell r="CT435" t="str">
            <v>2024-08-12</v>
          </cell>
          <cell r="CU435">
            <v>1135.931</v>
          </cell>
        </row>
        <row r="436">
          <cell r="CJ436" t="str">
            <v xml:space="preserve">NFT-422502003GN00079XXXXXXX </v>
          </cell>
          <cell r="CK436" t="str">
            <v>2024-08-12</v>
          </cell>
          <cell r="CL436">
            <v>12073.550999999999</v>
          </cell>
          <cell r="CS436" t="str">
            <v xml:space="preserve">NFT-422502084GN00064XXXXXXX </v>
          </cell>
          <cell r="CT436" t="str">
            <v>2024-08-12</v>
          </cell>
          <cell r="CU436">
            <v>1829.145</v>
          </cell>
        </row>
        <row r="437">
          <cell r="CJ437" t="str">
            <v xml:space="preserve">NFT-422502003GN00079XXXXXXX </v>
          </cell>
          <cell r="CK437" t="str">
            <v>2024-08-12</v>
          </cell>
          <cell r="CL437">
            <v>6332.4620000000004</v>
          </cell>
          <cell r="CS437" t="str">
            <v xml:space="preserve">NFT-422502084GN00064XXXXXXX </v>
          </cell>
          <cell r="CT437" t="str">
            <v>2024-08-12</v>
          </cell>
          <cell r="CU437">
            <v>1136.8869999999999</v>
          </cell>
        </row>
        <row r="438">
          <cell r="CJ438" t="str">
            <v xml:space="preserve">NFT-422502003GN00079XXXXXXX </v>
          </cell>
          <cell r="CK438" t="str">
            <v>2024-08-12</v>
          </cell>
          <cell r="CL438">
            <v>11925.406000000001</v>
          </cell>
          <cell r="CS438" t="str">
            <v xml:space="preserve">NFT-422502084GN00064XXXXXXX </v>
          </cell>
          <cell r="CT438" t="str">
            <v>2024-08-12</v>
          </cell>
          <cell r="CU438">
            <v>1996.172</v>
          </cell>
        </row>
        <row r="439">
          <cell r="CJ439" t="str">
            <v xml:space="preserve">NFT-422502003GN00079XXXXXXX </v>
          </cell>
          <cell r="CK439" t="str">
            <v>2024-08-12</v>
          </cell>
          <cell r="CL439">
            <v>12073.550999999999</v>
          </cell>
          <cell r="CM439" t="str">
            <v xml:space="preserve">NFT-422900441GN00081XXXXXXX </v>
          </cell>
          <cell r="CN439" t="str">
            <v>2024-08-16</v>
          </cell>
          <cell r="CO439">
            <v>-13287.630999999999</v>
          </cell>
          <cell r="CP439" t="str">
            <v xml:space="preserve">NFT-422900461GN00273XXXXXXX </v>
          </cell>
          <cell r="CQ439" t="str">
            <v>2024-08-16</v>
          </cell>
          <cell r="CR439">
            <v>-1996.4949999999999</v>
          </cell>
          <cell r="CS439" t="str">
            <v xml:space="preserve">NFT-422502084GN00064XXXXXXX </v>
          </cell>
          <cell r="CT439" t="str">
            <v>2024-08-12</v>
          </cell>
          <cell r="CU439">
            <v>1829.145</v>
          </cell>
          <cell r="CV439" t="str">
            <v xml:space="preserve">NFT-423200864GN00138XXXXXXX </v>
          </cell>
          <cell r="CW439" t="str">
            <v>2024-08-19</v>
          </cell>
          <cell r="CX439">
            <v>1214.08</v>
          </cell>
          <cell r="CY439" t="str">
            <v xml:space="preserve">NFT-423201020GN00282XXXXXXX </v>
          </cell>
          <cell r="CZ439" t="str">
            <v>2024-08-19</v>
          </cell>
          <cell r="DA439">
            <v>167.35</v>
          </cell>
        </row>
        <row r="440">
          <cell r="CJ440" t="str">
            <v xml:space="preserve">NFT-422502003GN00079XXXXXXX </v>
          </cell>
          <cell r="CK440" t="str">
            <v>2024-08-12</v>
          </cell>
          <cell r="CL440">
            <v>12838.172</v>
          </cell>
          <cell r="CS440" t="str">
            <v xml:space="preserve">NFT-422502084GN00064XXXXXXX </v>
          </cell>
          <cell r="CT440" t="str">
            <v>2024-08-12</v>
          </cell>
          <cell r="CU440">
            <v>1083.405</v>
          </cell>
        </row>
        <row r="441">
          <cell r="CJ441" t="str">
            <v xml:space="preserve">NFT-422502003GN00079XXXXXXX </v>
          </cell>
          <cell r="CK441" t="str">
            <v>2024-08-12</v>
          </cell>
          <cell r="CL441">
            <v>11781.934999999999</v>
          </cell>
          <cell r="CS441" t="str">
            <v xml:space="preserve">NFT-422502084GN00064XXXXXXX </v>
          </cell>
          <cell r="CT441" t="str">
            <v>2024-08-12</v>
          </cell>
          <cell r="CU441">
            <v>2120.7620000000002</v>
          </cell>
        </row>
        <row r="442">
          <cell r="CJ442" t="str">
            <v xml:space="preserve">NFT-422502003GN00079XXXXXXX </v>
          </cell>
          <cell r="CK442" t="str">
            <v>2024-08-12</v>
          </cell>
          <cell r="CL442">
            <v>12073.550999999999</v>
          </cell>
          <cell r="CS442" t="str">
            <v xml:space="preserve">NFT-422502084GN00064XXXXXXX </v>
          </cell>
          <cell r="CT442" t="str">
            <v>2024-08-12</v>
          </cell>
          <cell r="CU442">
            <v>1829.145</v>
          </cell>
        </row>
        <row r="443">
          <cell r="CJ443" t="str">
            <v xml:space="preserve">NFT-422502003GN00079XXXXXXX </v>
          </cell>
          <cell r="CK443" t="str">
            <v>2024-08-12</v>
          </cell>
          <cell r="CL443">
            <v>33812.144</v>
          </cell>
          <cell r="CS443" t="str">
            <v xml:space="preserve">NFT-422502084GN00064XXXXXXX </v>
          </cell>
          <cell r="CT443" t="str">
            <v>2024-08-12</v>
          </cell>
          <cell r="CU443">
            <v>3050.9459999999999</v>
          </cell>
        </row>
        <row r="444">
          <cell r="CJ444" t="str">
            <v xml:space="preserve">NFT-422502003GN00079XXXXXXX </v>
          </cell>
          <cell r="CK444" t="str">
            <v>2024-08-12</v>
          </cell>
          <cell r="CL444">
            <v>67901.567999999999</v>
          </cell>
          <cell r="CS444" t="str">
            <v xml:space="preserve">NFT-422502084GN00064XXXXXXX </v>
          </cell>
          <cell r="CT444" t="str">
            <v>2024-08-12</v>
          </cell>
          <cell r="CU444">
            <v>4087.8069999999998</v>
          </cell>
        </row>
        <row r="445">
          <cell r="CJ445" t="str">
            <v xml:space="preserve">NFT-422502003GN00079XXXXXXX </v>
          </cell>
          <cell r="CK445" t="str">
            <v>2024-08-12</v>
          </cell>
          <cell r="CL445">
            <v>72008.255000000005</v>
          </cell>
          <cell r="CM445" t="str">
            <v xml:space="preserve">NFT-423200864GN00138XXXXXXX </v>
          </cell>
          <cell r="CN445" t="str">
            <v>2024-08-19</v>
          </cell>
          <cell r="CO445">
            <v>-72008.255000000005</v>
          </cell>
        </row>
        <row r="446">
          <cell r="CJ446" t="str">
            <v xml:space="preserve">NFT-422502003GN00079XXXXXXX </v>
          </cell>
          <cell r="CK446" t="str">
            <v>2024-08-12</v>
          </cell>
          <cell r="CL446">
            <v>6352.308</v>
          </cell>
          <cell r="CS446" t="str">
            <v xml:space="preserve">NFT-422502084GN00064XXXXXXX </v>
          </cell>
          <cell r="CT446" t="str">
            <v>2024-08-12</v>
          </cell>
          <cell r="CU446">
            <v>1135.932</v>
          </cell>
        </row>
        <row r="447">
          <cell r="CJ447" t="str">
            <v xml:space="preserve">NFT-422502003GN00079XXXXXXX </v>
          </cell>
          <cell r="CK447" t="str">
            <v>2024-08-12</v>
          </cell>
          <cell r="CL447">
            <v>69103.864000000001</v>
          </cell>
          <cell r="CS447" t="str">
            <v xml:space="preserve">NFT-422502084GN00064XXXXXXX </v>
          </cell>
          <cell r="CT447" t="str">
            <v>2024-08-12</v>
          </cell>
          <cell r="CU447">
            <v>2885.511</v>
          </cell>
        </row>
        <row r="448">
          <cell r="CJ448" t="str">
            <v xml:space="preserve">NFT-422502003GN00079XXXXXXX </v>
          </cell>
          <cell r="CK448" t="str">
            <v>2024-08-12</v>
          </cell>
          <cell r="CL448">
            <v>70854.051000000007</v>
          </cell>
          <cell r="CS448" t="str">
            <v xml:space="preserve">NFT-422502084GN00064XXXXXXX </v>
          </cell>
          <cell r="CT448" t="str">
            <v>2024-08-12</v>
          </cell>
          <cell r="CU448">
            <v>2885.51</v>
          </cell>
        </row>
        <row r="449">
          <cell r="CJ449" t="str">
            <v xml:space="preserve">NFT-422502003GN00079XXXXXXX </v>
          </cell>
          <cell r="CK449" t="str">
            <v>2024-08-12</v>
          </cell>
          <cell r="CL449">
            <v>12476.683000000001</v>
          </cell>
          <cell r="CS449" t="str">
            <v xml:space="preserve">NFT-422502084GN00064XXXXXXX </v>
          </cell>
          <cell r="CT449" t="str">
            <v>2024-08-12</v>
          </cell>
          <cell r="CU449">
            <v>2341.1129999999998</v>
          </cell>
        </row>
        <row r="450">
          <cell r="CJ450" t="str">
            <v xml:space="preserve">NFT-422700624GN00029XXXXXXX </v>
          </cell>
          <cell r="CK450" t="str">
            <v>2024-08-14</v>
          </cell>
          <cell r="CL450">
            <v>6369.0190000000002</v>
          </cell>
          <cell r="CM450" t="str">
            <v xml:space="preserve">NFT-422700693GN00202XXXXXXX </v>
          </cell>
          <cell r="CN450" t="str">
            <v>2024-08-14</v>
          </cell>
          <cell r="CO450">
            <v>1100.3389999999999</v>
          </cell>
        </row>
        <row r="451">
          <cell r="CJ451" t="str">
            <v xml:space="preserve">NFT-422700624GN00029XXXXXXX </v>
          </cell>
          <cell r="CK451" t="str">
            <v>2024-08-14</v>
          </cell>
          <cell r="CL451">
            <v>12736.977999999999</v>
          </cell>
          <cell r="CM451" t="str">
            <v xml:space="preserve">NFT-422700693GN00202XXXXXXX </v>
          </cell>
          <cell r="CN451" t="str">
            <v>2024-08-14</v>
          </cell>
          <cell r="CO451">
            <v>1753.432</v>
          </cell>
        </row>
        <row r="452">
          <cell r="CJ452" t="str">
            <v xml:space="preserve">NFT-422700624GN00029XXXXXXX </v>
          </cell>
          <cell r="CK452" t="str">
            <v>2024-08-14</v>
          </cell>
          <cell r="CL452">
            <v>69122.744000000006</v>
          </cell>
          <cell r="CM452" t="str">
            <v xml:space="preserve">NFT-422700693GN00202XXXXXXX </v>
          </cell>
          <cell r="CN452" t="str">
            <v>2024-08-14</v>
          </cell>
          <cell r="CO452">
            <v>2885.51</v>
          </cell>
        </row>
        <row r="453">
          <cell r="CJ453" t="str">
            <v xml:space="preserve">NFT-422700624GN00029XXXXXXX </v>
          </cell>
          <cell r="CK453" t="str">
            <v>2024-08-14</v>
          </cell>
          <cell r="CL453">
            <v>69122.744000000006</v>
          </cell>
          <cell r="CM453" t="str">
            <v xml:space="preserve">NFT-422700693GN00202XXXXXXX </v>
          </cell>
          <cell r="CN453" t="str">
            <v>2024-08-14</v>
          </cell>
          <cell r="CO453">
            <v>2885.51</v>
          </cell>
        </row>
        <row r="454">
          <cell r="CJ454" t="str">
            <v xml:space="preserve">NFT-422700624GN00029XXXXXXX </v>
          </cell>
          <cell r="CK454" t="str">
            <v>2024-08-14</v>
          </cell>
          <cell r="CL454">
            <v>12540.162</v>
          </cell>
          <cell r="CM454" t="str">
            <v xml:space="preserve">NFT-422700693GN00202XXXXXXX </v>
          </cell>
          <cell r="CN454" t="str">
            <v>2024-08-14</v>
          </cell>
          <cell r="CO454">
            <v>1931.367</v>
          </cell>
        </row>
        <row r="455">
          <cell r="CJ455" t="str">
            <v xml:space="preserve">NFT-422700624GN00029XXXXXXX </v>
          </cell>
          <cell r="CK455" t="str">
            <v>2024-08-14</v>
          </cell>
          <cell r="CL455">
            <v>12559.041999999999</v>
          </cell>
          <cell r="CM455" t="str">
            <v xml:space="preserve">NFT-422700693GN00202XXXXXXX </v>
          </cell>
          <cell r="CN455" t="str">
            <v>2024-08-14</v>
          </cell>
          <cell r="CO455">
            <v>1931.367</v>
          </cell>
        </row>
        <row r="456">
          <cell r="CJ456" t="str">
            <v xml:space="preserve">NFT-422700624GN00029XXXXXXX </v>
          </cell>
          <cell r="CK456" t="str">
            <v>2024-08-14</v>
          </cell>
          <cell r="CL456">
            <v>6057.9830000000002</v>
          </cell>
          <cell r="CM456" t="str">
            <v xml:space="preserve">NFT-422700693GN00202XXXXXXX </v>
          </cell>
          <cell r="CN456" t="str">
            <v>2024-08-14</v>
          </cell>
          <cell r="CO456">
            <v>1430.2539999999999</v>
          </cell>
        </row>
        <row r="457">
          <cell r="CJ457" t="str">
            <v xml:space="preserve">NFT-422700624GN00029XXXXXXX </v>
          </cell>
          <cell r="CK457" t="str">
            <v>2024-08-14</v>
          </cell>
          <cell r="CL457">
            <v>12998.332</v>
          </cell>
          <cell r="CM457" t="str">
            <v xml:space="preserve">NFT-422700693GN00202XXXXXXX </v>
          </cell>
          <cell r="CN457" t="str">
            <v>2024-08-14</v>
          </cell>
          <cell r="CO457">
            <v>1958.298</v>
          </cell>
        </row>
        <row r="458">
          <cell r="CJ458" t="str">
            <v xml:space="preserve">NFT-422502003GN00079XXXXXXX </v>
          </cell>
          <cell r="CK458" t="str">
            <v>2024-08-12</v>
          </cell>
          <cell r="CL458">
            <v>69103.864000000001</v>
          </cell>
          <cell r="CS458" t="str">
            <v xml:space="preserve">NFT-422502084GN00064XXXXXXX </v>
          </cell>
          <cell r="CT458" t="str">
            <v>2024-08-12</v>
          </cell>
          <cell r="CU458">
            <v>2885.511</v>
          </cell>
        </row>
        <row r="459">
          <cell r="CJ459" t="str">
            <v xml:space="preserve">NFT-422502003GN00079XXXXXXX </v>
          </cell>
          <cell r="CK459" t="str">
            <v>2024-08-12</v>
          </cell>
          <cell r="CL459">
            <v>69103.864000000001</v>
          </cell>
          <cell r="CS459" t="str">
            <v xml:space="preserve">NFT-422502084GN00064XXXXXXX </v>
          </cell>
          <cell r="CT459" t="str">
            <v>2024-08-12</v>
          </cell>
          <cell r="CU459">
            <v>2885.511</v>
          </cell>
        </row>
        <row r="460">
          <cell r="CJ460" t="str">
            <v xml:space="preserve">NFT-422502003GN00079XXXXXXX </v>
          </cell>
          <cell r="CK460" t="str">
            <v>2024-08-12</v>
          </cell>
          <cell r="CL460">
            <v>71989.375</v>
          </cell>
        </row>
        <row r="461">
          <cell r="CJ461" t="str">
            <v xml:space="preserve">NFT-422502003GN00079XXXXXXX </v>
          </cell>
          <cell r="CK461" t="str">
            <v>2024-08-12</v>
          </cell>
          <cell r="CL461">
            <v>67949.66</v>
          </cell>
          <cell r="CS461" t="str">
            <v xml:space="preserve">NFT-422502084GN00064XXXXXXX </v>
          </cell>
          <cell r="CT461" t="str">
            <v>2024-08-12</v>
          </cell>
          <cell r="CU461">
            <v>4087.8069999999998</v>
          </cell>
        </row>
        <row r="462">
          <cell r="CJ462" t="str">
            <v xml:space="preserve">NFT-422502003GN00079XXXXXXX </v>
          </cell>
          <cell r="CK462" t="str">
            <v>2024-08-12</v>
          </cell>
          <cell r="CL462">
            <v>69122.744000000006</v>
          </cell>
          <cell r="CS462" t="str">
            <v xml:space="preserve">NFT-422502084GN00064XXXXXXX </v>
          </cell>
          <cell r="CT462" t="str">
            <v>2024-08-12</v>
          </cell>
          <cell r="CU462">
            <v>2885.511</v>
          </cell>
        </row>
        <row r="463">
          <cell r="CJ463" t="str">
            <v xml:space="preserve">NFT-422502003GN00079XXXXXXX </v>
          </cell>
          <cell r="CK463" t="str">
            <v>2024-08-12</v>
          </cell>
          <cell r="CL463">
            <v>69122.744000000006</v>
          </cell>
          <cell r="CS463" t="str">
            <v xml:space="preserve">NFT-422502084GN00064XXXXXXX </v>
          </cell>
          <cell r="CT463" t="str">
            <v>2024-08-12</v>
          </cell>
          <cell r="CU463">
            <v>2885.511</v>
          </cell>
        </row>
        <row r="464">
          <cell r="CJ464" t="str">
            <v xml:space="preserve">NFT-422502003GN00079XXXXXXX </v>
          </cell>
          <cell r="CK464" t="str">
            <v>2024-08-12</v>
          </cell>
          <cell r="CL464">
            <v>69873.334000000003</v>
          </cell>
          <cell r="CS464" t="str">
            <v xml:space="preserve">NFT-422502084GN00064XXXXXXX </v>
          </cell>
          <cell r="CT464" t="str">
            <v>2024-08-12</v>
          </cell>
          <cell r="CU464">
            <v>3847.348</v>
          </cell>
        </row>
        <row r="465">
          <cell r="CJ465" t="str">
            <v xml:space="preserve">NFT-422502003GN00079XXXXXXX </v>
          </cell>
          <cell r="CK465" t="str">
            <v>2024-08-12</v>
          </cell>
          <cell r="CL465">
            <v>12073.550999999999</v>
          </cell>
          <cell r="CS465" t="str">
            <v xml:space="preserve">NFT-422502084GN00064XXXXXXX </v>
          </cell>
          <cell r="CT465" t="str">
            <v>2024-08-12</v>
          </cell>
          <cell r="CU465">
            <v>1829.145</v>
          </cell>
        </row>
        <row r="466">
          <cell r="CJ466" t="str">
            <v xml:space="preserve">NFT-422502003GN00079XXXXXXX </v>
          </cell>
          <cell r="CK466" t="str">
            <v>2024-08-12</v>
          </cell>
          <cell r="CL466">
            <v>67901.567999999999</v>
          </cell>
          <cell r="CS466" t="str">
            <v xml:space="preserve">NFT-422502084GN00064XXXXXXX </v>
          </cell>
          <cell r="CT466" t="str">
            <v>2024-08-12</v>
          </cell>
          <cell r="CU466">
            <v>4087.8069999999998</v>
          </cell>
        </row>
        <row r="467">
          <cell r="CJ467" t="str">
            <v xml:space="preserve">NFT-422502003GN00079XXXXXXX </v>
          </cell>
          <cell r="CK467" t="str">
            <v>2024-08-12</v>
          </cell>
          <cell r="CL467">
            <v>69103.864000000001</v>
          </cell>
          <cell r="CS467" t="str">
            <v xml:space="preserve">NFT-422502084GN00064XXXXXXX </v>
          </cell>
          <cell r="CT467" t="str">
            <v>2024-08-12</v>
          </cell>
          <cell r="CU467">
            <v>2885.511</v>
          </cell>
        </row>
        <row r="468">
          <cell r="CJ468" t="str">
            <v xml:space="preserve">NFT-422502003GN00079XXXXXXX </v>
          </cell>
          <cell r="CK468" t="str">
            <v>2024-08-12</v>
          </cell>
          <cell r="CL468">
            <v>32989.775000000001</v>
          </cell>
          <cell r="CS468" t="str">
            <v xml:space="preserve">NFT-422502084GN00064XXXXXXX </v>
          </cell>
          <cell r="CT468" t="str">
            <v>2024-08-12</v>
          </cell>
          <cell r="CU468">
            <v>3007.6610000000001</v>
          </cell>
        </row>
        <row r="469">
          <cell r="CJ469" t="str">
            <v xml:space="preserve">NFT-422502003GN00079XXXXXXX </v>
          </cell>
          <cell r="CK469" t="str">
            <v>2024-08-12</v>
          </cell>
          <cell r="CL469">
            <v>69103.864000000001</v>
          </cell>
          <cell r="CS469" t="str">
            <v xml:space="preserve">NFT-422502084GN00064XXXXXXX </v>
          </cell>
          <cell r="CT469" t="str">
            <v>2024-08-12</v>
          </cell>
          <cell r="CU469">
            <v>2885.511</v>
          </cell>
        </row>
        <row r="470">
          <cell r="CJ470" t="str">
            <v xml:space="preserve">NFT-422502003GN00079XXXXXXX </v>
          </cell>
          <cell r="CK470" t="str">
            <v>2024-08-12</v>
          </cell>
          <cell r="CL470">
            <v>35014.44</v>
          </cell>
          <cell r="CS470" t="str">
            <v xml:space="preserve">NFT-422502084GN00064XXXXXXX </v>
          </cell>
          <cell r="CT470" t="str">
            <v>2024-08-12</v>
          </cell>
          <cell r="CU470">
            <v>1848.65</v>
          </cell>
        </row>
        <row r="471">
          <cell r="CJ471" t="str">
            <v xml:space="preserve">NFT-422502003GN00079XXXXXXX </v>
          </cell>
          <cell r="CK471" t="str">
            <v>2024-08-12</v>
          </cell>
          <cell r="CL471">
            <v>12805.621999999999</v>
          </cell>
          <cell r="CS471" t="str">
            <v xml:space="preserve">NFT-422502084GN00064XXXXXXX </v>
          </cell>
          <cell r="CT471" t="str">
            <v>2024-08-12</v>
          </cell>
          <cell r="CU471">
            <v>2012.163</v>
          </cell>
        </row>
        <row r="472">
          <cell r="CJ472" t="str">
            <v xml:space="preserve">NFT-422502003GN00079XXXXXXX </v>
          </cell>
          <cell r="CK472" t="str">
            <v>2024-08-12</v>
          </cell>
          <cell r="CL472">
            <v>67901.567999999999</v>
          </cell>
          <cell r="CS472" t="str">
            <v xml:space="preserve">NFT-422502084GN00064XXXXXXX </v>
          </cell>
          <cell r="CT472" t="str">
            <v>2024-08-12</v>
          </cell>
          <cell r="CU472">
            <v>4087.8069999999998</v>
          </cell>
        </row>
        <row r="473">
          <cell r="CJ473" t="str">
            <v xml:space="preserve">NFT-422502003GN00079XXXXXXX </v>
          </cell>
          <cell r="CK473" t="str">
            <v>2024-08-12</v>
          </cell>
          <cell r="CL473">
            <v>12656.709000000001</v>
          </cell>
          <cell r="CS473" t="str">
            <v xml:space="preserve">NFT-422502084GN00064XXXXXXX </v>
          </cell>
          <cell r="CT473" t="str">
            <v>2024-08-12</v>
          </cell>
          <cell r="CU473">
            <v>1264.8779999999999</v>
          </cell>
        </row>
        <row r="474">
          <cell r="CJ474" t="str">
            <v xml:space="preserve">NFT-422502003GN00079XXXXXXX </v>
          </cell>
          <cell r="CK474" t="str">
            <v>2024-08-12</v>
          </cell>
          <cell r="CL474">
            <v>69151.956000000006</v>
          </cell>
          <cell r="CS474" t="str">
            <v xml:space="preserve">NFT-422502084GN00064XXXXXXX </v>
          </cell>
          <cell r="CT474" t="str">
            <v>2024-08-12</v>
          </cell>
          <cell r="CU474">
            <v>2885.511</v>
          </cell>
        </row>
        <row r="475">
          <cell r="CJ475" t="str">
            <v xml:space="preserve">NFT-422502003GN00079XXXXXXX </v>
          </cell>
          <cell r="CK475" t="str">
            <v>2024-08-12</v>
          </cell>
          <cell r="CL475">
            <v>69122.744000000006</v>
          </cell>
          <cell r="CS475" t="str">
            <v xml:space="preserve">NFT-422502084GN00064XXXXXXX </v>
          </cell>
          <cell r="CT475" t="str">
            <v>2024-08-12</v>
          </cell>
          <cell r="CU475">
            <v>2885.51</v>
          </cell>
        </row>
        <row r="476">
          <cell r="CJ476" t="str">
            <v xml:space="preserve">NFT-422502003GN00079XXXXXXX </v>
          </cell>
          <cell r="CK476" t="str">
            <v>2024-08-12</v>
          </cell>
          <cell r="CL476">
            <v>69040.027000000002</v>
          </cell>
          <cell r="CS476" t="str">
            <v xml:space="preserve">NFT-422502084GN00064XXXXXXX </v>
          </cell>
          <cell r="CT476" t="str">
            <v>2024-08-12</v>
          </cell>
          <cell r="CU476">
            <v>2968.2269999999999</v>
          </cell>
        </row>
        <row r="477">
          <cell r="CJ477" t="str">
            <v xml:space="preserve">NFT-422502003GN00079XXXXXXX </v>
          </cell>
          <cell r="CK477" t="str">
            <v>2024-08-12</v>
          </cell>
          <cell r="CL477">
            <v>12073.550999999999</v>
          </cell>
          <cell r="CS477" t="str">
            <v xml:space="preserve">NFT-422502084GN00064XXXXXXX </v>
          </cell>
          <cell r="CT477" t="str">
            <v>2024-08-12</v>
          </cell>
          <cell r="CU477">
            <v>1829.145</v>
          </cell>
        </row>
        <row r="478">
          <cell r="CJ478" t="str">
            <v xml:space="preserve">NFT-422502003GN00079XXXXXXX </v>
          </cell>
          <cell r="CK478" t="str">
            <v>2024-08-12</v>
          </cell>
          <cell r="CL478">
            <v>12073.550999999999</v>
          </cell>
          <cell r="CS478" t="str">
            <v xml:space="preserve">NFT-422502084GN00064XXXXXXX </v>
          </cell>
          <cell r="CT478" t="str">
            <v>2024-08-12</v>
          </cell>
          <cell r="CU478">
            <v>1829.145</v>
          </cell>
        </row>
        <row r="479">
          <cell r="CJ479" t="str">
            <v xml:space="preserve">NFT-422502003GN00079XXXXXXX </v>
          </cell>
          <cell r="CK479" t="str">
            <v>2024-08-12</v>
          </cell>
          <cell r="CL479">
            <v>12073.550999999999</v>
          </cell>
          <cell r="CS479" t="str">
            <v xml:space="preserve">NFT-422502084GN00064XXXXXXX </v>
          </cell>
          <cell r="CT479" t="str">
            <v>2024-08-12</v>
          </cell>
          <cell r="CU479">
            <v>1829.145</v>
          </cell>
        </row>
        <row r="480">
          <cell r="CJ480" t="str">
            <v xml:space="preserve">NFT-422502003GN00079XXXXXXX </v>
          </cell>
          <cell r="CK480" t="str">
            <v>2024-08-12</v>
          </cell>
          <cell r="CL480">
            <v>69103.864000000001</v>
          </cell>
          <cell r="CS480" t="str">
            <v xml:space="preserve">NFT-422502084GN00064XXXXXXX </v>
          </cell>
          <cell r="CT480" t="str">
            <v>2024-08-12</v>
          </cell>
          <cell r="CU480">
            <v>2885.511</v>
          </cell>
        </row>
        <row r="481">
          <cell r="CJ481" t="str">
            <v xml:space="preserve">NFT-422502003GN00079XXXXXXX </v>
          </cell>
          <cell r="CK481" t="str">
            <v>2024-08-12</v>
          </cell>
          <cell r="CL481">
            <v>70835.171000000002</v>
          </cell>
          <cell r="CS481" t="str">
            <v xml:space="preserve">NFT-422502084GN00064XXXXXXX </v>
          </cell>
          <cell r="CT481" t="str">
            <v>2024-08-12</v>
          </cell>
          <cell r="CU481">
            <v>2885.511</v>
          </cell>
        </row>
        <row r="482">
          <cell r="CJ482" t="str">
            <v xml:space="preserve">NFT-422502003GN00079XXXXXXX </v>
          </cell>
          <cell r="CK482" t="str">
            <v>2024-08-12</v>
          </cell>
          <cell r="CL482">
            <v>69651.754000000001</v>
          </cell>
          <cell r="CS482" t="str">
            <v xml:space="preserve">NFT-422502084GN00064XXXXXXX </v>
          </cell>
          <cell r="CT482" t="str">
            <v>2024-08-12</v>
          </cell>
          <cell r="CU482">
            <v>4087.8069999999998</v>
          </cell>
        </row>
        <row r="483">
          <cell r="CJ483" t="str">
            <v xml:space="preserve">NFT-422700624GN00029XXXXXXX </v>
          </cell>
          <cell r="CK483" t="str">
            <v>2024-08-14</v>
          </cell>
          <cell r="CL483">
            <v>6333.4269999999997</v>
          </cell>
          <cell r="CM483" t="str">
            <v xml:space="preserve">NFT-422700693GN00202XXXXXXX </v>
          </cell>
          <cell r="CN483" t="str">
            <v>2024-08-14</v>
          </cell>
          <cell r="CO483">
            <v>1135.931</v>
          </cell>
        </row>
        <row r="484">
          <cell r="CJ484" t="str">
            <v xml:space="preserve">NFT-422700624GN00029XXXXXXX </v>
          </cell>
          <cell r="CK484" t="str">
            <v>2024-08-14</v>
          </cell>
          <cell r="CL484">
            <v>69122.744000000006</v>
          </cell>
          <cell r="CM484" t="str">
            <v xml:space="preserve">NFT-422700693GN00202XXXXXXX </v>
          </cell>
          <cell r="CN484" t="str">
            <v>2024-08-14</v>
          </cell>
          <cell r="CO484">
            <v>2885.51</v>
          </cell>
        </row>
        <row r="485">
          <cell r="CJ485" t="str">
            <v xml:space="preserve">NFT-422700624GN00029XXXXXXX </v>
          </cell>
          <cell r="CK485" t="str">
            <v>2024-08-14</v>
          </cell>
          <cell r="CL485">
            <v>6333.4269999999997</v>
          </cell>
          <cell r="CM485" t="str">
            <v xml:space="preserve">NFT-422700693GN00202XXXXXXX </v>
          </cell>
          <cell r="CN485" t="str">
            <v>2024-08-14</v>
          </cell>
          <cell r="CO485">
            <v>1135.931</v>
          </cell>
        </row>
        <row r="486">
          <cell r="CJ486" t="str">
            <v xml:space="preserve">NFT-422700624GN00029XXXXXXX </v>
          </cell>
          <cell r="CK486" t="str">
            <v>2024-08-14</v>
          </cell>
          <cell r="CL486">
            <v>12540.162</v>
          </cell>
          <cell r="CM486" t="str">
            <v xml:space="preserve">NFT-422700693GN00202XXXXXXX </v>
          </cell>
          <cell r="CN486" t="str">
            <v>2024-08-14</v>
          </cell>
          <cell r="CO486">
            <v>1931.367</v>
          </cell>
        </row>
        <row r="487">
          <cell r="CJ487" t="str">
            <v xml:space="preserve">NFT-422700624GN00029XXXXXXX </v>
          </cell>
          <cell r="CK487" t="str">
            <v>2024-08-14</v>
          </cell>
          <cell r="CL487">
            <v>12540.162</v>
          </cell>
          <cell r="CM487" t="str">
            <v xml:space="preserve">NFT-422700693GN00202XXXXXXX </v>
          </cell>
          <cell r="CN487" t="str">
            <v>2024-08-14</v>
          </cell>
          <cell r="CO487">
            <v>1931.367</v>
          </cell>
        </row>
        <row r="488">
          <cell r="CJ488" t="str">
            <v xml:space="preserve">NFT-422700624GN00029XXXXXXX </v>
          </cell>
          <cell r="CK488" t="str">
            <v>2024-08-14</v>
          </cell>
          <cell r="CL488">
            <v>13334.642</v>
          </cell>
          <cell r="CM488" t="str">
            <v xml:space="preserve">NFT-422700693GN00202XXXXXXX </v>
          </cell>
          <cell r="CN488" t="str">
            <v>2024-08-14</v>
          </cell>
          <cell r="CO488">
            <v>1136.8869999999999</v>
          </cell>
        </row>
        <row r="489">
          <cell r="CJ489" t="str">
            <v xml:space="preserve">NFT-422700624GN00029XXXXXXX </v>
          </cell>
          <cell r="CK489" t="str">
            <v>2024-08-14</v>
          </cell>
          <cell r="CL489">
            <v>34192.071000000004</v>
          </cell>
          <cell r="CM489" t="str">
            <v xml:space="preserve">NFT-422700693GN00202XXXXXXX </v>
          </cell>
          <cell r="CN489" t="str">
            <v>2024-08-14</v>
          </cell>
          <cell r="CO489">
            <v>1805.365</v>
          </cell>
        </row>
        <row r="490">
          <cell r="CJ490" t="str">
            <v xml:space="preserve">NFT-422700624GN00029XXXXXXX </v>
          </cell>
          <cell r="CK490" t="str">
            <v>2024-08-14</v>
          </cell>
          <cell r="CL490">
            <v>69103.864000000001</v>
          </cell>
          <cell r="CM490" t="str">
            <v xml:space="preserve">NFT-422700693GN00202XXXXXXX </v>
          </cell>
          <cell r="CN490" t="str">
            <v>2024-08-14</v>
          </cell>
          <cell r="CO490">
            <v>2885.511</v>
          </cell>
        </row>
        <row r="491">
          <cell r="CJ491" t="str">
            <v xml:space="preserve">NFT-422700624GN00029XXXXXXX </v>
          </cell>
          <cell r="CK491" t="str">
            <v>2024-08-14</v>
          </cell>
          <cell r="CL491">
            <v>68942.877999999997</v>
          </cell>
          <cell r="CM491" t="str">
            <v xml:space="preserve">NFT-422700693GN00202XXXXXXX </v>
          </cell>
          <cell r="CN491" t="str">
            <v>2024-08-14</v>
          </cell>
          <cell r="CO491">
            <v>3065.377</v>
          </cell>
        </row>
        <row r="492">
          <cell r="CJ492" t="str">
            <v xml:space="preserve">NFT-422700624GN00029XXXXXXX </v>
          </cell>
          <cell r="CK492" t="str">
            <v>2024-08-14</v>
          </cell>
          <cell r="CL492">
            <v>12540.162</v>
          </cell>
          <cell r="CM492" t="str">
            <v xml:space="preserve">NFT-422700693GN00202XXXXXXX </v>
          </cell>
          <cell r="CN492" t="str">
            <v>2024-08-14</v>
          </cell>
          <cell r="CO492">
            <v>1931.367</v>
          </cell>
        </row>
        <row r="493">
          <cell r="CJ493" t="str">
            <v xml:space="preserve">NFT-422502003GN00079XXXXXXX </v>
          </cell>
          <cell r="CK493" t="str">
            <v>2024-08-12</v>
          </cell>
          <cell r="CL493">
            <v>67901.567999999999</v>
          </cell>
          <cell r="CS493" t="str">
            <v xml:space="preserve">NFT-422502084GN00064XXXXXXX </v>
          </cell>
          <cell r="CT493" t="str">
            <v>2024-08-12</v>
          </cell>
          <cell r="CU493">
            <v>4087.8069999999998</v>
          </cell>
        </row>
        <row r="494">
          <cell r="CJ494" t="str">
            <v xml:space="preserve">NFT-422502003GN00079XXXXXXX </v>
          </cell>
          <cell r="CK494" t="str">
            <v>2024-08-12</v>
          </cell>
          <cell r="CL494">
            <v>67901.567999999999</v>
          </cell>
          <cell r="CS494" t="str">
            <v xml:space="preserve">NFT-422502084GN00064XXXXXXX </v>
          </cell>
          <cell r="CT494" t="str">
            <v>2024-08-12</v>
          </cell>
          <cell r="CU494">
            <v>4087.8069999999998</v>
          </cell>
        </row>
        <row r="495">
          <cell r="CJ495" t="str">
            <v xml:space="preserve">NFT-422502003GN00079XXXXXXX </v>
          </cell>
          <cell r="CK495" t="str">
            <v>2024-08-12</v>
          </cell>
          <cell r="CL495">
            <v>67968.539999999994</v>
          </cell>
          <cell r="CS495" t="str">
            <v xml:space="preserve">NFT-422502084GN00064XXXXXXX </v>
          </cell>
          <cell r="CT495" t="str">
            <v>2024-08-12</v>
          </cell>
          <cell r="CU495">
            <v>4087.8069999999998</v>
          </cell>
        </row>
        <row r="496">
          <cell r="CJ496" t="str">
            <v xml:space="preserve">NFT-422502003GN00079XXXXXXX </v>
          </cell>
          <cell r="CK496" t="str">
            <v>2024-08-12</v>
          </cell>
          <cell r="CL496">
            <v>68401.365999999995</v>
          </cell>
          <cell r="CS496" t="str">
            <v xml:space="preserve">NFT-422502084GN00064XXXXXXX </v>
          </cell>
          <cell r="CT496" t="str">
            <v>2024-08-12</v>
          </cell>
          <cell r="CU496">
            <v>3606.8879999999999</v>
          </cell>
        </row>
        <row r="497">
          <cell r="CJ497" t="str">
            <v xml:space="preserve">NFT-422502003GN00079XXXXXXX </v>
          </cell>
          <cell r="CK497" t="str">
            <v>2024-08-12</v>
          </cell>
          <cell r="CL497">
            <v>70854.051000000007</v>
          </cell>
          <cell r="CS497" t="str">
            <v xml:space="preserve">NFT-422502084GN00064XXXXXXX </v>
          </cell>
          <cell r="CT497" t="str">
            <v>2024-08-12</v>
          </cell>
          <cell r="CU497">
            <v>2885.51</v>
          </cell>
        </row>
        <row r="498">
          <cell r="CJ498" t="str">
            <v xml:space="preserve">NFT-422502003GN00079XXXXXXX </v>
          </cell>
          <cell r="CK498" t="str">
            <v>2024-08-12</v>
          </cell>
          <cell r="CL498">
            <v>12073.550999999999</v>
          </cell>
          <cell r="CS498" t="str">
            <v xml:space="preserve">NFT-422502084GN00064XXXXXXX </v>
          </cell>
          <cell r="CT498" t="str">
            <v>2024-08-12</v>
          </cell>
          <cell r="CU498">
            <v>1829.145</v>
          </cell>
        </row>
        <row r="499">
          <cell r="CJ499" t="str">
            <v xml:space="preserve">NFT-422502003GN00079XXXXXXX </v>
          </cell>
          <cell r="CK499" t="str">
            <v>2024-08-12</v>
          </cell>
          <cell r="CL499">
            <v>12073.550999999999</v>
          </cell>
          <cell r="CS499" t="str">
            <v xml:space="preserve">NFT-422502084GN00064XXXXXXX </v>
          </cell>
          <cell r="CT499" t="str">
            <v>2024-08-12</v>
          </cell>
          <cell r="CU499">
            <v>1829.145</v>
          </cell>
        </row>
        <row r="500">
          <cell r="CJ500" t="str">
            <v xml:space="preserve">NFT-422502003GN00079XXXXXXX </v>
          </cell>
          <cell r="CK500" t="str">
            <v>2024-08-12</v>
          </cell>
          <cell r="CL500">
            <v>67901.567999999999</v>
          </cell>
          <cell r="CS500" t="str">
            <v xml:space="preserve">NFT-422502084GN00064XXXXXXX </v>
          </cell>
          <cell r="CT500" t="str">
            <v>2024-08-12</v>
          </cell>
          <cell r="CU500">
            <v>4087.8069999999998</v>
          </cell>
        </row>
        <row r="501">
          <cell r="CJ501" t="str">
            <v xml:space="preserve">NFT-422502003GN00079XXXXXXX </v>
          </cell>
          <cell r="CK501" t="str">
            <v>2024-08-12</v>
          </cell>
          <cell r="CL501">
            <v>71778.733999999997</v>
          </cell>
          <cell r="CM501" t="str">
            <v xml:space="preserve">NFT-423400974GN00225XXXXXXX </v>
          </cell>
          <cell r="CN501" t="str">
            <v>2024-08-21</v>
          </cell>
          <cell r="CO501">
            <v>-73642.683999999994</v>
          </cell>
          <cell r="CP501" t="str">
            <v xml:space="preserve">NFT-423401022GN00277XXXXXXX </v>
          </cell>
          <cell r="CQ501" t="str">
            <v>2024-08-21</v>
          </cell>
          <cell r="CR501">
            <v>-215.81100000000001</v>
          </cell>
          <cell r="CS501" t="str">
            <v xml:space="preserve">NFT-422502084GN00064XXXXXXX </v>
          </cell>
          <cell r="CT501" t="str">
            <v>2024-08-12</v>
          </cell>
          <cell r="CU501">
            <v>210.64099999999999</v>
          </cell>
          <cell r="CV501" t="str">
            <v xml:space="preserve">NFT-423600944GN00087XXXXXXX </v>
          </cell>
          <cell r="CW501" t="str">
            <v>2024-08-23</v>
          </cell>
          <cell r="CX501">
            <v>1863.95</v>
          </cell>
          <cell r="CY501" t="str">
            <v xml:space="preserve">NFT-423601027GN00067XXXXXXX </v>
          </cell>
          <cell r="CZ501" t="str">
            <v>2024-08-23</v>
          </cell>
          <cell r="DA501">
            <v>5.17</v>
          </cell>
        </row>
        <row r="502">
          <cell r="CJ502" t="str">
            <v xml:space="preserve">NFT-422502003GN00079XXXXXXX </v>
          </cell>
          <cell r="CK502" t="str">
            <v>2024-08-12</v>
          </cell>
          <cell r="CL502">
            <v>67968.539999999994</v>
          </cell>
          <cell r="CS502" t="str">
            <v xml:space="preserve">NFT-422502084GN00064XXXXXXX </v>
          </cell>
          <cell r="CT502" t="str">
            <v>2024-08-12</v>
          </cell>
          <cell r="CU502">
            <v>4039.7159999999999</v>
          </cell>
        </row>
        <row r="503">
          <cell r="CJ503" t="str">
            <v xml:space="preserve">NFT-422502003GN00079XXXXXXX </v>
          </cell>
          <cell r="CK503" t="str">
            <v>2024-08-12</v>
          </cell>
          <cell r="CL503">
            <v>32989.775000000001</v>
          </cell>
          <cell r="CS503" t="str">
            <v xml:space="preserve">NFT-422502084GN00064XXXXXXX </v>
          </cell>
          <cell r="CT503" t="str">
            <v>2024-08-12</v>
          </cell>
          <cell r="CU503">
            <v>3007.6610000000001</v>
          </cell>
        </row>
        <row r="504">
          <cell r="CJ504" t="str">
            <v xml:space="preserve">NFT-422502003GN00079XXXXXXX </v>
          </cell>
          <cell r="CK504" t="str">
            <v>2024-08-12</v>
          </cell>
          <cell r="CL504">
            <v>67920.448000000004</v>
          </cell>
          <cell r="CS504" t="str">
            <v xml:space="preserve">NFT-422502084GN00064XXXXXXX </v>
          </cell>
          <cell r="CT504" t="str">
            <v>2024-08-12</v>
          </cell>
          <cell r="CU504">
            <v>4087.8069999999998</v>
          </cell>
        </row>
        <row r="505">
          <cell r="CJ505" t="str">
            <v xml:space="preserve">NFT-422502003GN00079XXXXXXX </v>
          </cell>
          <cell r="CK505" t="str">
            <v>2024-08-12</v>
          </cell>
          <cell r="CL505">
            <v>69122.744000000006</v>
          </cell>
          <cell r="CS505" t="str">
            <v xml:space="preserve">NFT-422502084GN00064XXXXXXX </v>
          </cell>
          <cell r="CT505" t="str">
            <v>2024-08-12</v>
          </cell>
          <cell r="CU505">
            <v>2885.51</v>
          </cell>
        </row>
        <row r="506">
          <cell r="CJ506" t="str">
            <v xml:space="preserve">NFT-422502003GN00079XXXXXXX </v>
          </cell>
          <cell r="CK506" t="str">
            <v>2024-08-12</v>
          </cell>
          <cell r="CL506">
            <v>12073.550999999999</v>
          </cell>
          <cell r="CS506" t="str">
            <v xml:space="preserve">NFT-422502084GN00064XXXXXXX </v>
          </cell>
          <cell r="CT506" t="str">
            <v>2024-08-12</v>
          </cell>
          <cell r="CU506">
            <v>1829.145</v>
          </cell>
        </row>
        <row r="507">
          <cell r="CJ507" t="str">
            <v xml:space="preserve">NFT-422502003GN00079XXXXXXX </v>
          </cell>
          <cell r="CK507" t="str">
            <v>2024-08-12</v>
          </cell>
          <cell r="CL507">
            <v>8222.4750000000004</v>
          </cell>
          <cell r="CS507" t="str">
            <v xml:space="preserve">NFT-422502084GN00064XXXXXXX </v>
          </cell>
          <cell r="CT507" t="str">
            <v>2024-08-12</v>
          </cell>
          <cell r="CU507">
            <v>1468.721</v>
          </cell>
        </row>
        <row r="508">
          <cell r="CJ508" t="str">
            <v xml:space="preserve">NFT-422502003GN00079XXXXXXX </v>
          </cell>
          <cell r="CK508" t="str">
            <v>2024-08-12</v>
          </cell>
          <cell r="CL508">
            <v>12657.603999999999</v>
          </cell>
          <cell r="CS508" t="str">
            <v xml:space="preserve">NFT-422502084GN00064XXXXXXX </v>
          </cell>
          <cell r="CT508" t="str">
            <v>2024-08-12</v>
          </cell>
          <cell r="CU508">
            <v>1263.972</v>
          </cell>
        </row>
        <row r="509">
          <cell r="CJ509" t="str">
            <v xml:space="preserve">NFT-422502003GN00079XXXXXXX </v>
          </cell>
          <cell r="CK509" t="str">
            <v>2024-08-12</v>
          </cell>
          <cell r="CL509">
            <v>69103.864000000001</v>
          </cell>
          <cell r="CS509" t="str">
            <v xml:space="preserve">NFT-422502084GN00064XXXXXXX </v>
          </cell>
          <cell r="CT509" t="str">
            <v>2024-08-12</v>
          </cell>
          <cell r="CU509">
            <v>2885.511</v>
          </cell>
        </row>
        <row r="510">
          <cell r="CJ510" t="str">
            <v xml:space="preserve">NFT-422502003GN00079XXXXXXX </v>
          </cell>
          <cell r="CK510" t="str">
            <v>2024-08-12</v>
          </cell>
          <cell r="CL510">
            <v>12067.233</v>
          </cell>
          <cell r="CS510" t="str">
            <v xml:space="preserve">NFT-422502084GN00064XXXXXXX </v>
          </cell>
          <cell r="CT510" t="str">
            <v>2024-08-12</v>
          </cell>
          <cell r="CU510">
            <v>1835.463</v>
          </cell>
        </row>
        <row r="511">
          <cell r="CJ511" t="str">
            <v xml:space="preserve">NFT-422502003GN00079XXXXXXX </v>
          </cell>
          <cell r="CK511" t="str">
            <v>2024-08-12</v>
          </cell>
          <cell r="CL511">
            <v>71989.375</v>
          </cell>
        </row>
        <row r="512">
          <cell r="CJ512" t="str">
            <v xml:space="preserve">NFT-422502003GN00079XXXXXXX </v>
          </cell>
          <cell r="CK512" t="str">
            <v>2024-08-12</v>
          </cell>
          <cell r="CL512">
            <v>12073.550999999999</v>
          </cell>
          <cell r="CS512" t="str">
            <v xml:space="preserve">NFT-422502084GN00064XXXXXXX </v>
          </cell>
          <cell r="CT512" t="str">
            <v>2024-08-12</v>
          </cell>
          <cell r="CU512">
            <v>1829.145</v>
          </cell>
        </row>
        <row r="513">
          <cell r="CJ513" t="str">
            <v xml:space="preserve">NFT-422502003GN00079XXXXXXX </v>
          </cell>
          <cell r="CK513" t="str">
            <v>2024-08-12</v>
          </cell>
          <cell r="CL513">
            <v>9201.6200000000008</v>
          </cell>
          <cell r="CS513" t="str">
            <v xml:space="preserve">NFT-422502084GN00064XXXXXXX </v>
          </cell>
          <cell r="CT513" t="str">
            <v>2024-08-12</v>
          </cell>
          <cell r="CU513">
            <v>489.577</v>
          </cell>
        </row>
        <row r="514">
          <cell r="CJ514" t="str">
            <v xml:space="preserve">NFT-422502003GN00079XXXXXXX </v>
          </cell>
          <cell r="CK514" t="str">
            <v>2024-08-12</v>
          </cell>
          <cell r="CL514">
            <v>8730.9330000000009</v>
          </cell>
          <cell r="CS514" t="str">
            <v xml:space="preserve">NFT-422502084GN00064XXXXXXX </v>
          </cell>
          <cell r="CT514" t="str">
            <v>2024-08-12</v>
          </cell>
          <cell r="CU514">
            <v>979.154</v>
          </cell>
        </row>
        <row r="515">
          <cell r="CJ515" t="str">
            <v xml:space="preserve">NFT-422502003GN00079XXXXXXX </v>
          </cell>
          <cell r="CK515" t="str">
            <v>2024-08-12</v>
          </cell>
          <cell r="CL515">
            <v>69103.864000000001</v>
          </cell>
          <cell r="CS515" t="str">
            <v xml:space="preserve">NFT-422502084GN00064XXXXXXX </v>
          </cell>
          <cell r="CT515" t="str">
            <v>2024-08-12</v>
          </cell>
          <cell r="CU515">
            <v>2885.511</v>
          </cell>
        </row>
        <row r="516">
          <cell r="CJ516" t="str">
            <v xml:space="preserve">NFT-422502003GN00079XXXXXXX </v>
          </cell>
          <cell r="CK516" t="str">
            <v>2024-08-12</v>
          </cell>
          <cell r="CL516">
            <v>8736.0990000000002</v>
          </cell>
          <cell r="CS516" t="str">
            <v xml:space="preserve">NFT-422502084GN00064XXXXXXX </v>
          </cell>
          <cell r="CT516" t="str">
            <v>2024-08-12</v>
          </cell>
          <cell r="CU516">
            <v>955.10799999999995</v>
          </cell>
        </row>
        <row r="517">
          <cell r="CJ517" t="str">
            <v xml:space="preserve">NFT-422502003GN00079XXXXXXX </v>
          </cell>
          <cell r="CK517" t="str">
            <v>2024-08-12</v>
          </cell>
          <cell r="CL517">
            <v>12760.069</v>
          </cell>
          <cell r="CS517" t="str">
            <v xml:space="preserve">NFT-422502084GN00064XXXXXXX </v>
          </cell>
          <cell r="CT517" t="str">
            <v>2024-08-12</v>
          </cell>
          <cell r="CU517">
            <v>2076.607</v>
          </cell>
        </row>
        <row r="518">
          <cell r="CJ518" t="str">
            <v xml:space="preserve">NFT-422502003GN00079XXXXXXX </v>
          </cell>
          <cell r="CK518" t="str">
            <v>2024-08-12</v>
          </cell>
          <cell r="CL518">
            <v>12073.550999999999</v>
          </cell>
          <cell r="CS518" t="str">
            <v xml:space="preserve">NFT-422502084GN00064XXXXXXX </v>
          </cell>
          <cell r="CT518" t="str">
            <v>2024-08-12</v>
          </cell>
          <cell r="CU518">
            <v>1829.145</v>
          </cell>
        </row>
        <row r="519">
          <cell r="CJ519" t="str">
            <v xml:space="preserve">NFT-422700624GN00029XXXXXXX </v>
          </cell>
          <cell r="CK519" t="str">
            <v>2024-08-14</v>
          </cell>
          <cell r="CL519">
            <v>12540.162</v>
          </cell>
          <cell r="CM519" t="str">
            <v xml:space="preserve">NFT-422700693GN00202XXXXXXX </v>
          </cell>
          <cell r="CN519" t="str">
            <v>2024-08-14</v>
          </cell>
          <cell r="CO519">
            <v>1931.367</v>
          </cell>
        </row>
        <row r="520">
          <cell r="CJ520" t="str">
            <v xml:space="preserve">NFT-422700624GN00029XXXXXXX </v>
          </cell>
          <cell r="CK520" t="str">
            <v>2024-08-14</v>
          </cell>
          <cell r="CL520">
            <v>12540.162</v>
          </cell>
          <cell r="CM520" t="str">
            <v xml:space="preserve">NFT-422700693GN00202XXXXXXX </v>
          </cell>
          <cell r="CN520" t="str">
            <v>2024-08-14</v>
          </cell>
          <cell r="CO520">
            <v>1931.367</v>
          </cell>
        </row>
        <row r="521">
          <cell r="CJ521" t="str">
            <v xml:space="preserve">NFT-422700624GN00029XXXXXXX </v>
          </cell>
          <cell r="CK521" t="str">
            <v>2024-08-14</v>
          </cell>
          <cell r="CL521">
            <v>12540.162</v>
          </cell>
          <cell r="CM521" t="str">
            <v xml:space="preserve">NFT-422700693GN00202XXXXXXX </v>
          </cell>
          <cell r="CN521" t="str">
            <v>2024-08-14</v>
          </cell>
          <cell r="CO521">
            <v>1931.367</v>
          </cell>
        </row>
        <row r="522">
          <cell r="CJ522" t="str">
            <v xml:space="preserve">NFT-422700624GN00029XXXXXXX </v>
          </cell>
          <cell r="CK522" t="str">
            <v>2024-08-14</v>
          </cell>
          <cell r="CL522">
            <v>6333.4269999999997</v>
          </cell>
          <cell r="CM522" t="str">
            <v xml:space="preserve">NFT-422700693GN00202XXXXXXX </v>
          </cell>
          <cell r="CN522" t="str">
            <v>2024-08-14</v>
          </cell>
          <cell r="CO522">
            <v>1135.931</v>
          </cell>
        </row>
        <row r="523">
          <cell r="CJ523" t="str">
            <v xml:space="preserve">NFT-422700624GN00029XXXXXXX </v>
          </cell>
          <cell r="CK523" t="str">
            <v>2024-08-14</v>
          </cell>
          <cell r="CL523">
            <v>32997.468999999997</v>
          </cell>
          <cell r="CM523" t="str">
            <v xml:space="preserve">NFT-422700693GN00202XXXXXXX </v>
          </cell>
          <cell r="CN523" t="str">
            <v>2024-08-14</v>
          </cell>
          <cell r="CO523">
            <v>2999.9679999999998</v>
          </cell>
        </row>
        <row r="524">
          <cell r="CJ524" t="str">
            <v xml:space="preserve">NFT-422700624GN00029XXXXXXX </v>
          </cell>
          <cell r="CK524" t="str">
            <v>2024-08-14</v>
          </cell>
          <cell r="CL524">
            <v>6369.0190000000002</v>
          </cell>
          <cell r="CM524" t="str">
            <v xml:space="preserve">NFT-422700693GN00202XXXXXXX </v>
          </cell>
          <cell r="CN524" t="str">
            <v>2024-08-14</v>
          </cell>
          <cell r="CO524">
            <v>1100.3389999999999</v>
          </cell>
        </row>
        <row r="525">
          <cell r="CJ525" t="str">
            <v xml:space="preserve">NFT-422700624GN00029XXXXXXX </v>
          </cell>
          <cell r="CK525" t="str">
            <v>2024-08-14</v>
          </cell>
          <cell r="CL525">
            <v>32989.775000000001</v>
          </cell>
          <cell r="CM525" t="str">
            <v xml:space="preserve">NFT-422700693GN00202XXXXXXX </v>
          </cell>
          <cell r="CN525" t="str">
            <v>2024-08-14</v>
          </cell>
          <cell r="CO525">
            <v>3007.6610000000001</v>
          </cell>
        </row>
        <row r="526">
          <cell r="CJ526" t="str">
            <v xml:space="preserve">NFT-422700624GN00029XXXXXXX </v>
          </cell>
          <cell r="CK526" t="str">
            <v>2024-08-14</v>
          </cell>
          <cell r="CL526">
            <v>33931.06</v>
          </cell>
          <cell r="CM526" t="str">
            <v xml:space="preserve">NFT-422700693GN00202XXXXXXX </v>
          </cell>
          <cell r="CN526" t="str">
            <v>2024-08-14</v>
          </cell>
          <cell r="CO526">
            <v>2085.2570000000001</v>
          </cell>
        </row>
        <row r="527">
          <cell r="CJ527" t="str">
            <v xml:space="preserve">NFT-422700624GN00029XXXXXXX </v>
          </cell>
          <cell r="CK527" t="str">
            <v>2024-08-14</v>
          </cell>
          <cell r="CL527">
            <v>6387.8990000000003</v>
          </cell>
          <cell r="CM527" t="str">
            <v xml:space="preserve">NFT-422700693GN00202XXXXXXX </v>
          </cell>
          <cell r="CN527" t="str">
            <v>2024-08-14</v>
          </cell>
          <cell r="CO527">
            <v>1100.3389999999999</v>
          </cell>
        </row>
        <row r="528">
          <cell r="CJ528" t="str">
            <v xml:space="preserve">NFT-422700624GN00029XXXXXXX </v>
          </cell>
          <cell r="CK528" t="str">
            <v>2024-08-14</v>
          </cell>
          <cell r="CL528">
            <v>12559.041999999999</v>
          </cell>
          <cell r="CM528" t="str">
            <v xml:space="preserve">NFT-422700693GN00202XXXXXXX </v>
          </cell>
          <cell r="CN528" t="str">
            <v>2024-08-14</v>
          </cell>
          <cell r="CO528">
            <v>1931.367</v>
          </cell>
        </row>
        <row r="529">
          <cell r="CJ529" t="str">
            <v xml:space="preserve">NFT-422700624GN00029XXXXXXX </v>
          </cell>
          <cell r="CK529" t="str">
            <v>2024-08-14</v>
          </cell>
          <cell r="CL529">
            <v>12073.550999999999</v>
          </cell>
          <cell r="CM529" t="str">
            <v xml:space="preserve">NFT-422700693GN00202XXXXXXX </v>
          </cell>
          <cell r="CN529" t="str">
            <v>2024-08-14</v>
          </cell>
          <cell r="CO529">
            <v>1829.145</v>
          </cell>
        </row>
        <row r="530">
          <cell r="CJ530" t="str">
            <v xml:space="preserve">NFT-422700624GN00029XXXXXXX </v>
          </cell>
          <cell r="CK530" t="str">
            <v>2024-08-14</v>
          </cell>
          <cell r="CL530">
            <v>34055.49</v>
          </cell>
          <cell r="CM530" t="str">
            <v xml:space="preserve">NFT-422700693GN00202XXXXXXX </v>
          </cell>
          <cell r="CN530" t="str">
            <v>2024-08-14</v>
          </cell>
          <cell r="CO530">
            <v>1941.9469999999999</v>
          </cell>
        </row>
        <row r="531">
          <cell r="CJ531" t="str">
            <v xml:space="preserve">NFT-422502003GN00079XXXXXXX </v>
          </cell>
          <cell r="CK531" t="str">
            <v>2024-08-12</v>
          </cell>
          <cell r="CL531">
            <v>67920.448000000004</v>
          </cell>
          <cell r="CS531" t="str">
            <v xml:space="preserve">NFT-422502084GN00064XXXXXXX </v>
          </cell>
          <cell r="CT531" t="str">
            <v>2024-08-12</v>
          </cell>
          <cell r="CU531">
            <v>4087.806</v>
          </cell>
        </row>
        <row r="532">
          <cell r="CJ532" t="str">
            <v xml:space="preserve">NFT-422502003GN00079XXXXXXX </v>
          </cell>
          <cell r="CK532" t="str">
            <v>2024-08-12</v>
          </cell>
          <cell r="CL532">
            <v>69122.744000000006</v>
          </cell>
          <cell r="CS532" t="str">
            <v xml:space="preserve">NFT-422502084GN00064XXXXXXX </v>
          </cell>
          <cell r="CT532" t="str">
            <v>2024-08-12</v>
          </cell>
          <cell r="CU532">
            <v>2885.51</v>
          </cell>
        </row>
        <row r="533">
          <cell r="CJ533" t="str">
            <v xml:space="preserve">NFT-422502003GN00079XXXXXXX </v>
          </cell>
          <cell r="CK533" t="str">
            <v>2024-08-12</v>
          </cell>
          <cell r="CL533">
            <v>12869.111000000001</v>
          </cell>
          <cell r="CS533" t="str">
            <v xml:space="preserve">NFT-422502084GN00064XXXXXXX </v>
          </cell>
          <cell r="CT533" t="str">
            <v>2024-08-12</v>
          </cell>
          <cell r="CU533">
            <v>1948.6849999999999</v>
          </cell>
        </row>
        <row r="534">
          <cell r="CJ534" t="str">
            <v xml:space="preserve">NFT-422502003GN00079XXXXXXX </v>
          </cell>
          <cell r="CK534" t="str">
            <v>2024-08-12</v>
          </cell>
          <cell r="CL534">
            <v>34192.071000000004</v>
          </cell>
          <cell r="CS534" t="str">
            <v xml:space="preserve">NFT-422502084GN00064XXXXXXX </v>
          </cell>
          <cell r="CT534" t="str">
            <v>2024-08-12</v>
          </cell>
          <cell r="CU534">
            <v>1805.365</v>
          </cell>
        </row>
        <row r="535">
          <cell r="CJ535" t="str">
            <v xml:space="preserve">NFT-422502003GN00079XXXXXXX </v>
          </cell>
          <cell r="CK535" t="str">
            <v>2024-08-12</v>
          </cell>
          <cell r="CL535">
            <v>71989.375</v>
          </cell>
        </row>
        <row r="536">
          <cell r="CJ536" t="str">
            <v xml:space="preserve">NFT-422502003GN00079XXXXXXX </v>
          </cell>
          <cell r="CK536" t="str">
            <v>2024-08-12</v>
          </cell>
          <cell r="CL536">
            <v>6712.39</v>
          </cell>
          <cell r="CS536" t="str">
            <v xml:space="preserve">NFT-422502084GN00064XXXXXXX </v>
          </cell>
          <cell r="CT536" t="str">
            <v>2024-08-12</v>
          </cell>
          <cell r="CU536">
            <v>756.96900000000005</v>
          </cell>
        </row>
        <row r="537">
          <cell r="CJ537" t="str">
            <v xml:space="preserve">NFT-422502003GN00079XXXXXXX </v>
          </cell>
          <cell r="CK537" t="str">
            <v>2024-08-12</v>
          </cell>
          <cell r="CL537">
            <v>69151.956000000006</v>
          </cell>
          <cell r="CS537" t="str">
            <v xml:space="preserve">NFT-422502084GN00064XXXXXXX </v>
          </cell>
          <cell r="CT537" t="str">
            <v>2024-08-12</v>
          </cell>
          <cell r="CU537">
            <v>2885.511</v>
          </cell>
        </row>
        <row r="538">
          <cell r="CJ538" t="str">
            <v xml:space="preserve">NFT-422502003GN00079XXXXXXX </v>
          </cell>
          <cell r="CK538" t="str">
            <v>2024-08-12</v>
          </cell>
          <cell r="CL538">
            <v>67901.567999999999</v>
          </cell>
          <cell r="CS538" t="str">
            <v xml:space="preserve">NFT-422502084GN00064XXXXXXX </v>
          </cell>
          <cell r="CT538" t="str">
            <v>2024-08-12</v>
          </cell>
          <cell r="CU538">
            <v>4087.8069999999998</v>
          </cell>
        </row>
        <row r="539">
          <cell r="CJ539" t="str">
            <v xml:space="preserve">NFT-422502003GN00079XXXXXXX </v>
          </cell>
          <cell r="CK539" t="str">
            <v>2024-08-12</v>
          </cell>
          <cell r="CL539">
            <v>12073.550999999999</v>
          </cell>
          <cell r="CS539" t="str">
            <v xml:space="preserve">NFT-422502084GN00064XXXXXXX </v>
          </cell>
          <cell r="CT539" t="str">
            <v>2024-08-12</v>
          </cell>
          <cell r="CU539">
            <v>1829.145</v>
          </cell>
        </row>
        <row r="541">
          <cell r="CJ541" t="str">
            <v xml:space="preserve">NFT-422502003GN00079XXXXXXX </v>
          </cell>
          <cell r="CK541" t="str">
            <v>2024-08-12</v>
          </cell>
          <cell r="CL541">
            <v>32989.775000000001</v>
          </cell>
          <cell r="CS541" t="str">
            <v xml:space="preserve">NFT-422502084GN00064XXXXXXX </v>
          </cell>
          <cell r="CT541" t="str">
            <v>2024-08-12</v>
          </cell>
          <cell r="CU541">
            <v>3007.6610000000001</v>
          </cell>
        </row>
        <row r="542">
          <cell r="CJ542" t="str">
            <v xml:space="preserve">NFT-422502003GN00079XXXXXXX </v>
          </cell>
          <cell r="CK542" t="str">
            <v>2024-08-12</v>
          </cell>
          <cell r="CL542">
            <v>34192.071000000004</v>
          </cell>
          <cell r="CS542" t="str">
            <v xml:space="preserve">NFT-422502084GN00064XXXXXXX </v>
          </cell>
          <cell r="CT542" t="str">
            <v>2024-08-12</v>
          </cell>
          <cell r="CU542">
            <v>1805.365</v>
          </cell>
        </row>
        <row r="543">
          <cell r="CJ543" t="str">
            <v xml:space="preserve">NFT-422502003GN00079XXXXXXX </v>
          </cell>
          <cell r="CK543" t="str">
            <v>2024-08-12</v>
          </cell>
          <cell r="CL543">
            <v>6387.8990000000003</v>
          </cell>
          <cell r="CS543" t="str">
            <v xml:space="preserve">NFT-422502084GN00064XXXXXXX </v>
          </cell>
          <cell r="CT543" t="str">
            <v>2024-08-12</v>
          </cell>
          <cell r="CU543">
            <v>1100.3389999999999</v>
          </cell>
        </row>
        <row r="544">
          <cell r="CJ544" t="str">
            <v xml:space="preserve">NFT-422502003GN00079XXXXXXX </v>
          </cell>
          <cell r="CK544" t="str">
            <v>2024-08-12</v>
          </cell>
          <cell r="CL544">
            <v>67487.620999999999</v>
          </cell>
          <cell r="CS544" t="str">
            <v xml:space="preserve">NFT-422502084GN00064XXXXXXX </v>
          </cell>
          <cell r="CT544" t="str">
            <v>2024-08-12</v>
          </cell>
          <cell r="CU544">
            <v>4520.6329999999998</v>
          </cell>
        </row>
        <row r="545">
          <cell r="CJ545" t="str">
            <v xml:space="preserve">NFT-422502003GN00079XXXXXXX </v>
          </cell>
          <cell r="CK545" t="str">
            <v>2024-08-12</v>
          </cell>
          <cell r="CL545">
            <v>67901.567999999999</v>
          </cell>
          <cell r="CS545" t="str">
            <v xml:space="preserve">NFT-422502084GN00064XXXXXXX </v>
          </cell>
          <cell r="CT545" t="str">
            <v>2024-08-12</v>
          </cell>
          <cell r="CU545">
            <v>4087.8069999999998</v>
          </cell>
        </row>
        <row r="546">
          <cell r="CJ546" t="str">
            <v xml:space="preserve">NFT-422502003GN00079XXXXXXX </v>
          </cell>
          <cell r="CK546" t="str">
            <v>2024-08-12</v>
          </cell>
          <cell r="CL546">
            <v>67901.567999999999</v>
          </cell>
          <cell r="CS546" t="str">
            <v xml:space="preserve">NFT-422502084GN00064XXXXXXX </v>
          </cell>
          <cell r="CT546" t="str">
            <v>2024-08-12</v>
          </cell>
          <cell r="CU546">
            <v>4087.8069999999998</v>
          </cell>
        </row>
        <row r="547">
          <cell r="CJ547" t="str">
            <v xml:space="preserve">NFT-422502003GN00079XXXXXXX </v>
          </cell>
          <cell r="CK547" t="str">
            <v>2024-08-12</v>
          </cell>
          <cell r="CL547">
            <v>68285.337</v>
          </cell>
          <cell r="CS547" t="str">
            <v xml:space="preserve">NFT-422502084GN00064XXXXXXX </v>
          </cell>
          <cell r="CT547" t="str">
            <v>2024-08-12</v>
          </cell>
          <cell r="CU547">
            <v>3704.038</v>
          </cell>
        </row>
        <row r="548">
          <cell r="CJ548" t="str">
            <v xml:space="preserve">NFT-422502003GN00079XXXXXXX </v>
          </cell>
          <cell r="CK548" t="str">
            <v>2024-08-12</v>
          </cell>
          <cell r="CL548">
            <v>12887.991</v>
          </cell>
          <cell r="CS548" t="str">
            <v xml:space="preserve">NFT-422502084GN00064XXXXXXX </v>
          </cell>
          <cell r="CT548" t="str">
            <v>2024-08-12</v>
          </cell>
          <cell r="CU548">
            <v>1948.6849999999999</v>
          </cell>
        </row>
        <row r="549">
          <cell r="CJ549" t="str">
            <v xml:space="preserve">NFT-422502003GN00079XXXXXXX </v>
          </cell>
          <cell r="CK549" t="str">
            <v>2024-08-12</v>
          </cell>
          <cell r="CL549">
            <v>12092.431</v>
          </cell>
          <cell r="CS549" t="str">
            <v xml:space="preserve">NFT-422502084GN00064XXXXXXX </v>
          </cell>
          <cell r="CT549" t="str">
            <v>2024-08-12</v>
          </cell>
          <cell r="CU549">
            <v>1829.145</v>
          </cell>
        </row>
        <row r="550">
          <cell r="CJ550" t="str">
            <v xml:space="preserve">NFT-422502003GN00079XXXXXXX </v>
          </cell>
          <cell r="CK550" t="str">
            <v>2024-08-12</v>
          </cell>
          <cell r="CL550">
            <v>12869.111000000001</v>
          </cell>
          <cell r="CS550" t="str">
            <v xml:space="preserve">NFT-422502084GN00064XXXXXXX </v>
          </cell>
          <cell r="CT550" t="str">
            <v>2024-08-12</v>
          </cell>
          <cell r="CU550">
            <v>1948.6849999999999</v>
          </cell>
        </row>
        <row r="551">
          <cell r="CJ551" t="str">
            <v xml:space="preserve">NFT-422502003GN00079XXXXXXX </v>
          </cell>
          <cell r="CK551" t="str">
            <v>2024-08-12</v>
          </cell>
          <cell r="CL551">
            <v>69122.744000000006</v>
          </cell>
          <cell r="CS551" t="str">
            <v xml:space="preserve">NFT-422502084GN00064XXXXXXX </v>
          </cell>
          <cell r="CT551" t="str">
            <v>2024-08-12</v>
          </cell>
          <cell r="CU551">
            <v>2885.511</v>
          </cell>
        </row>
        <row r="552">
          <cell r="CJ552" t="str">
            <v xml:space="preserve">NFT-422502003GN00079XXXXXXX </v>
          </cell>
          <cell r="CK552" t="str">
            <v>2024-08-12</v>
          </cell>
          <cell r="CL552">
            <v>12887.991</v>
          </cell>
          <cell r="CS552" t="str">
            <v xml:space="preserve">NFT-422502084GN00064XXXXXXX </v>
          </cell>
          <cell r="CT552" t="str">
            <v>2024-08-12</v>
          </cell>
          <cell r="CU552">
            <v>1948.6859999999999</v>
          </cell>
        </row>
        <row r="553">
          <cell r="CJ553" t="str">
            <v xml:space="preserve">NFT-422502003GN00079XXXXXXX </v>
          </cell>
          <cell r="CK553" t="str">
            <v>2024-08-12</v>
          </cell>
          <cell r="CL553">
            <v>12073.550999999999</v>
          </cell>
          <cell r="CS553" t="str">
            <v xml:space="preserve">NFT-422502084GN00064XXXXXXX </v>
          </cell>
          <cell r="CT553" t="str">
            <v>2024-08-12</v>
          </cell>
          <cell r="CU553">
            <v>1829.145</v>
          </cell>
        </row>
        <row r="554">
          <cell r="CJ554" t="str">
            <v xml:space="preserve">NFT-422502003GN00079XXXXXXX </v>
          </cell>
          <cell r="CK554" t="str">
            <v>2024-08-12</v>
          </cell>
          <cell r="CL554">
            <v>69122.744000000006</v>
          </cell>
          <cell r="CS554" t="str">
            <v xml:space="preserve">NFT-422502084GN00064XXXXXXX </v>
          </cell>
          <cell r="CT554" t="str">
            <v>2024-08-12</v>
          </cell>
          <cell r="CU554">
            <v>2885.511</v>
          </cell>
        </row>
        <row r="555">
          <cell r="CJ555" t="str">
            <v xml:space="preserve">NFT-422502003GN00079XXXXXXX </v>
          </cell>
          <cell r="CK555" t="str">
            <v>2024-08-12</v>
          </cell>
          <cell r="CL555">
            <v>69103.864000000001</v>
          </cell>
          <cell r="CS555" t="str">
            <v xml:space="preserve">NFT-422502084GN00064XXXXXXX </v>
          </cell>
          <cell r="CT555" t="str">
            <v>2024-08-12</v>
          </cell>
          <cell r="CU555">
            <v>2885.511</v>
          </cell>
        </row>
        <row r="556">
          <cell r="CJ556" t="str">
            <v xml:space="preserve">NFT-422502003GN00079XXXXXXX </v>
          </cell>
          <cell r="CK556" t="str">
            <v>2024-08-12</v>
          </cell>
          <cell r="CL556">
            <v>6369.0190000000002</v>
          </cell>
          <cell r="CS556" t="str">
            <v xml:space="preserve">NFT-422502084GN00064XXXXXXX </v>
          </cell>
          <cell r="CT556" t="str">
            <v>2024-08-12</v>
          </cell>
          <cell r="CU556">
            <v>1100.3389999999999</v>
          </cell>
        </row>
        <row r="557">
          <cell r="CJ557" t="str">
            <v xml:space="preserve">NFT-422700624GN00029XXXXXXX </v>
          </cell>
          <cell r="CK557" t="str">
            <v>2024-08-14</v>
          </cell>
          <cell r="CL557">
            <v>12073.550999999999</v>
          </cell>
          <cell r="CM557" t="str">
            <v xml:space="preserve">NFT-422700693GN00202XXXXXXX </v>
          </cell>
          <cell r="CN557" t="str">
            <v>2024-08-14</v>
          </cell>
          <cell r="CO557">
            <v>1829.145</v>
          </cell>
        </row>
        <row r="558">
          <cell r="CJ558" t="str">
            <v xml:space="preserve">NFT-422700624GN00029XXXXXXX </v>
          </cell>
          <cell r="CK558" t="str">
            <v>2024-08-14</v>
          </cell>
          <cell r="CL558">
            <v>12559.041999999999</v>
          </cell>
          <cell r="CM558" t="str">
            <v xml:space="preserve">NFT-422700693GN00202XXXXXXX </v>
          </cell>
          <cell r="CN558" t="str">
            <v>2024-08-14</v>
          </cell>
          <cell r="CO558">
            <v>1931.367</v>
          </cell>
        </row>
        <row r="559">
          <cell r="CJ559" t="str">
            <v xml:space="preserve">NFT-422700624GN00029XXXXXXX </v>
          </cell>
          <cell r="CK559" t="str">
            <v>2024-08-14</v>
          </cell>
          <cell r="CL559">
            <v>67920.448000000004</v>
          </cell>
          <cell r="CM559" t="str">
            <v xml:space="preserve">NFT-422700693GN00202XXXXXXX </v>
          </cell>
          <cell r="CN559" t="str">
            <v>2024-08-14</v>
          </cell>
          <cell r="CO559">
            <v>4087.8069999999998</v>
          </cell>
        </row>
        <row r="560">
          <cell r="CJ560" t="str">
            <v xml:space="preserve">NFT-422700624GN00029XXXXXXX </v>
          </cell>
          <cell r="CK560" t="str">
            <v>2024-08-14</v>
          </cell>
          <cell r="CL560">
            <v>69651.754000000001</v>
          </cell>
          <cell r="CM560" t="str">
            <v xml:space="preserve">NFT-422700693GN00202XXXXXXX </v>
          </cell>
          <cell r="CN560" t="str">
            <v>2024-08-14</v>
          </cell>
          <cell r="CO560">
            <v>4087.8069999999998</v>
          </cell>
        </row>
        <row r="561">
          <cell r="CJ561" t="str">
            <v xml:space="preserve">NFT-422700624GN00029XXXXXXX </v>
          </cell>
          <cell r="CK561" t="str">
            <v>2024-08-14</v>
          </cell>
          <cell r="CL561">
            <v>6333.4269999999997</v>
          </cell>
          <cell r="CM561" t="str">
            <v xml:space="preserve">NFT-422700693GN00202XXXXXXX </v>
          </cell>
          <cell r="CN561" t="str">
            <v>2024-08-14</v>
          </cell>
          <cell r="CO561">
            <v>1135.931</v>
          </cell>
        </row>
        <row r="562">
          <cell r="CJ562" t="str">
            <v xml:space="preserve">NFT-422700624GN00029XXXXXXX </v>
          </cell>
          <cell r="CK562" t="str">
            <v>2024-08-14</v>
          </cell>
          <cell r="CL562">
            <v>12869.111000000001</v>
          </cell>
          <cell r="CM562" t="str">
            <v xml:space="preserve">NFT-422700693GN00202XXXXXXX </v>
          </cell>
          <cell r="CN562" t="str">
            <v>2024-08-14</v>
          </cell>
          <cell r="CO562">
            <v>1948.6849999999999</v>
          </cell>
        </row>
        <row r="563">
          <cell r="CJ563" t="str">
            <v xml:space="preserve">NFT-422700624GN00029XXXXXXX </v>
          </cell>
          <cell r="CK563" t="str">
            <v>2024-08-14</v>
          </cell>
          <cell r="CL563">
            <v>12869.111000000001</v>
          </cell>
          <cell r="CM563" t="str">
            <v xml:space="preserve">NFT-422700693GN00202XXXXXXX </v>
          </cell>
          <cell r="CN563" t="str">
            <v>2024-08-14</v>
          </cell>
          <cell r="CO563">
            <v>1948.6849999999999</v>
          </cell>
        </row>
        <row r="566">
          <cell r="CJ566" t="str">
            <v xml:space="preserve">NFT-422502003GN00079XXXXXXX </v>
          </cell>
          <cell r="CK566" t="str">
            <v>2024-08-12</v>
          </cell>
          <cell r="CL566">
            <v>69122.744000000006</v>
          </cell>
          <cell r="CS566" t="str">
            <v xml:space="preserve">NFT-422502084GN00064XXXXXXX </v>
          </cell>
          <cell r="CT566" t="str">
            <v>2024-08-12</v>
          </cell>
          <cell r="CU566">
            <v>2885.51</v>
          </cell>
        </row>
        <row r="567">
          <cell r="CJ567" t="str">
            <v xml:space="preserve">NFT-422502003GN00079XXXXXXX </v>
          </cell>
          <cell r="CK567" t="str">
            <v>2024-08-12</v>
          </cell>
          <cell r="CL567">
            <v>71989.375</v>
          </cell>
        </row>
        <row r="568">
          <cell r="CJ568" t="str">
            <v xml:space="preserve">NFT-422502003GN00079XXXXXXX </v>
          </cell>
          <cell r="CK568" t="str">
            <v>2024-08-12</v>
          </cell>
          <cell r="CL568">
            <v>69103.864000000001</v>
          </cell>
          <cell r="CS568" t="str">
            <v xml:space="preserve">NFT-422502084GN00064XXXXXXX </v>
          </cell>
          <cell r="CT568" t="str">
            <v>2024-08-12</v>
          </cell>
          <cell r="CU568">
            <v>2885.511</v>
          </cell>
        </row>
        <row r="569">
          <cell r="CJ569" t="str">
            <v xml:space="preserve">NFT-422502003GN00079XXXXXXX </v>
          </cell>
          <cell r="CK569" t="str">
            <v>2024-08-12</v>
          </cell>
          <cell r="CL569">
            <v>69103.864000000001</v>
          </cell>
          <cell r="CS569" t="str">
            <v xml:space="preserve">NFT-422502084GN00064XXXXXXX </v>
          </cell>
          <cell r="CT569" t="str">
            <v>2024-08-12</v>
          </cell>
          <cell r="CU569">
            <v>2885.511</v>
          </cell>
        </row>
        <row r="570">
          <cell r="CJ570" t="str">
            <v xml:space="preserve">NFT-422502003GN00079XXXXXXX </v>
          </cell>
          <cell r="CK570" t="str">
            <v>2024-08-12</v>
          </cell>
          <cell r="CL570">
            <v>69262.570999999996</v>
          </cell>
          <cell r="CS570" t="str">
            <v xml:space="preserve">NFT-422502084GN00064XXXXXXX </v>
          </cell>
          <cell r="CT570" t="str">
            <v>2024-08-12</v>
          </cell>
          <cell r="CU570">
            <v>2774.895</v>
          </cell>
        </row>
        <row r="571">
          <cell r="CJ571" t="str">
            <v xml:space="preserve">NFT-422502003GN00079XXXXXXX </v>
          </cell>
          <cell r="CK571" t="str">
            <v>2024-08-12</v>
          </cell>
          <cell r="CL571">
            <v>12073.550999999999</v>
          </cell>
          <cell r="CS571" t="str">
            <v xml:space="preserve">NFT-422502084GN00064XXXXXXX </v>
          </cell>
          <cell r="CT571" t="str">
            <v>2024-08-12</v>
          </cell>
          <cell r="CU571">
            <v>1829.145</v>
          </cell>
        </row>
        <row r="572">
          <cell r="CJ572" t="str">
            <v xml:space="preserve">NFT-422502003GN00079XXXXXXX </v>
          </cell>
          <cell r="CK572" t="str">
            <v>2024-08-12</v>
          </cell>
          <cell r="CL572">
            <v>69103.864000000001</v>
          </cell>
          <cell r="CS572" t="str">
            <v xml:space="preserve">NFT-422502084GN00064XXXXXXX </v>
          </cell>
          <cell r="CT572" t="str">
            <v>2024-08-12</v>
          </cell>
          <cell r="CU572">
            <v>2885.511</v>
          </cell>
        </row>
        <row r="573">
          <cell r="CJ573" t="str">
            <v xml:space="preserve">NFT-422502003GN00079XXXXXXX </v>
          </cell>
          <cell r="CK573" t="str">
            <v>2024-08-12</v>
          </cell>
          <cell r="CL573">
            <v>32989.775000000001</v>
          </cell>
          <cell r="CS573" t="str">
            <v xml:space="preserve">NFT-422502084GN00064XXXXXXX </v>
          </cell>
          <cell r="CT573" t="str">
            <v>2024-08-12</v>
          </cell>
          <cell r="CU573">
            <v>3007.6610000000001</v>
          </cell>
        </row>
        <row r="574">
          <cell r="CJ574" t="str">
            <v xml:space="preserve">NFT-422502003GN00079XXXXXXX </v>
          </cell>
          <cell r="CK574" t="str">
            <v>2024-08-12</v>
          </cell>
          <cell r="CL574">
            <v>69151.956000000006</v>
          </cell>
          <cell r="CS574" t="str">
            <v xml:space="preserve">NFT-422502084GN00064XXXXXXX </v>
          </cell>
          <cell r="CT574" t="str">
            <v>2024-08-12</v>
          </cell>
          <cell r="CU574">
            <v>2885.511</v>
          </cell>
        </row>
        <row r="575">
          <cell r="CJ575" t="str">
            <v xml:space="preserve">NFT-422502003GN00079XXXXXXX </v>
          </cell>
          <cell r="CK575" t="str">
            <v>2024-08-12</v>
          </cell>
          <cell r="CL575">
            <v>7275.6670000000004</v>
          </cell>
          <cell r="CS575" t="str">
            <v xml:space="preserve">NFT-422502084GN00064XXXXXXX </v>
          </cell>
          <cell r="CT575" t="str">
            <v>2024-08-12</v>
          </cell>
          <cell r="CU575">
            <v>212.56100000000001</v>
          </cell>
        </row>
        <row r="576">
          <cell r="CJ576" t="str">
            <v xml:space="preserve">NFT-422502003GN00079XXXXXXX </v>
          </cell>
          <cell r="CK576" t="str">
            <v>2024-08-12</v>
          </cell>
          <cell r="CL576">
            <v>7917.2129999999997</v>
          </cell>
          <cell r="CS576" t="str">
            <v xml:space="preserve">NFT-422502084GN00064XXXXXXX </v>
          </cell>
          <cell r="CT576" t="str">
            <v>2024-08-12</v>
          </cell>
          <cell r="CU576">
            <v>1792.864</v>
          </cell>
        </row>
        <row r="577">
          <cell r="CJ577" t="str">
            <v xml:space="preserve">NFT-422502003GN00079XXXXXXX </v>
          </cell>
          <cell r="CK577" t="str">
            <v>2024-08-12</v>
          </cell>
          <cell r="CL577">
            <v>69122.744000000006</v>
          </cell>
          <cell r="CS577" t="str">
            <v xml:space="preserve">NFT-422502084GN00064XXXXXXX </v>
          </cell>
          <cell r="CT577" t="str">
            <v>2024-08-12</v>
          </cell>
          <cell r="CU577">
            <v>2885.51</v>
          </cell>
        </row>
        <row r="578">
          <cell r="CJ578" t="str">
            <v xml:space="preserve">NFT-422502003GN00079XXXXXXX </v>
          </cell>
          <cell r="CK578" t="str">
            <v>2024-08-12</v>
          </cell>
          <cell r="CL578">
            <v>9201.6200000000008</v>
          </cell>
          <cell r="CS578" t="str">
            <v xml:space="preserve">NFT-422502084GN00064XXXXXXX </v>
          </cell>
          <cell r="CT578" t="str">
            <v>2024-08-12</v>
          </cell>
          <cell r="CU578">
            <v>489.577</v>
          </cell>
        </row>
        <row r="579">
          <cell r="CJ579" t="str">
            <v xml:space="preserve">NFT-422502003GN00079XXXXXXX </v>
          </cell>
          <cell r="CK579" t="str">
            <v>2024-08-12</v>
          </cell>
          <cell r="CL579">
            <v>12106.951999999999</v>
          </cell>
          <cell r="CS579" t="str">
            <v xml:space="preserve">NFT-422502084GN00064XXXXXXX </v>
          </cell>
          <cell r="CT579" t="str">
            <v>2024-08-12</v>
          </cell>
          <cell r="CU579">
            <v>1795.7439999999999</v>
          </cell>
        </row>
        <row r="580">
          <cell r="CJ580" t="str">
            <v xml:space="preserve">NFT-422502003GN00079XXXXXXX </v>
          </cell>
          <cell r="CK580" t="str">
            <v>2024-08-12</v>
          </cell>
          <cell r="CL580">
            <v>26960.353999999999</v>
          </cell>
          <cell r="CS580" t="str">
            <v xml:space="preserve">NFT-422502084GN00064XXXXXXX </v>
          </cell>
          <cell r="CT580" t="str">
            <v>2024-08-12</v>
          </cell>
          <cell r="CU580">
            <v>2695.0639999999999</v>
          </cell>
        </row>
        <row r="581">
          <cell r="CJ581" t="str">
            <v xml:space="preserve">NFT-422502003GN00079XXXXXXX </v>
          </cell>
          <cell r="CK581" t="str">
            <v>2024-08-12</v>
          </cell>
          <cell r="CL581">
            <v>69122.744000000006</v>
          </cell>
          <cell r="CS581" t="str">
            <v xml:space="preserve">NFT-422502084GN00064XXXXXXX </v>
          </cell>
          <cell r="CT581" t="str">
            <v>2024-08-12</v>
          </cell>
          <cell r="CU581">
            <v>2885.511</v>
          </cell>
        </row>
        <row r="582">
          <cell r="CJ582" t="str">
            <v xml:space="preserve">NFT-422502003GN00079XXXXXXX </v>
          </cell>
          <cell r="CK582" t="str">
            <v>2024-08-12</v>
          </cell>
          <cell r="CL582">
            <v>9203.5509999999995</v>
          </cell>
          <cell r="CS582" t="str">
            <v xml:space="preserve">NFT-422502084GN00064XXXXXXX </v>
          </cell>
          <cell r="CT582" t="str">
            <v>2024-08-12</v>
          </cell>
          <cell r="CU582">
            <v>487.65600000000001</v>
          </cell>
        </row>
        <row r="583">
          <cell r="CJ583" t="str">
            <v xml:space="preserve">NFT-422502003GN00079XXXXXXX </v>
          </cell>
          <cell r="CK583" t="str">
            <v>2024-08-12</v>
          </cell>
          <cell r="CL583">
            <v>68396.56</v>
          </cell>
          <cell r="CS583" t="str">
            <v xml:space="preserve">NFT-422502084GN00064XXXXXXX </v>
          </cell>
          <cell r="CT583" t="str">
            <v>2024-08-12</v>
          </cell>
          <cell r="CU583">
            <v>3611.694</v>
          </cell>
        </row>
        <row r="584">
          <cell r="CJ584" t="str">
            <v xml:space="preserve">NFT-422502003GN00079XXXXXXX </v>
          </cell>
          <cell r="CK584" t="str">
            <v>2024-08-12</v>
          </cell>
          <cell r="CL584">
            <v>69122.744000000006</v>
          </cell>
          <cell r="CS584" t="str">
            <v xml:space="preserve">NFT-422502084GN00064XXXXXXX </v>
          </cell>
          <cell r="CT584" t="str">
            <v>2024-08-12</v>
          </cell>
          <cell r="CU584">
            <v>2885.51</v>
          </cell>
        </row>
        <row r="585">
          <cell r="CJ585" t="str">
            <v xml:space="preserve">NFT-422502003GN00079XXXXXXX </v>
          </cell>
          <cell r="CK585" t="str">
            <v>2024-08-12</v>
          </cell>
          <cell r="CL585">
            <v>69103.864000000001</v>
          </cell>
          <cell r="CS585" t="str">
            <v xml:space="preserve">NFT-422502084GN00064XXXXXXX </v>
          </cell>
          <cell r="CT585" t="str">
            <v>2024-08-12</v>
          </cell>
          <cell r="CU585">
            <v>2885.511</v>
          </cell>
        </row>
        <row r="586">
          <cell r="CJ586" t="str">
            <v xml:space="preserve">NFT-422502003GN00079XXXXXXX </v>
          </cell>
          <cell r="CK586" t="str">
            <v>2024-08-12</v>
          </cell>
          <cell r="CL586">
            <v>6333.4269999999997</v>
          </cell>
          <cell r="CS586" t="str">
            <v xml:space="preserve">NFT-422502084GN00064XXXXXXX </v>
          </cell>
          <cell r="CT586" t="str">
            <v>2024-08-12</v>
          </cell>
          <cell r="CU586">
            <v>1135.931</v>
          </cell>
        </row>
        <row r="587">
          <cell r="CJ587" t="str">
            <v xml:space="preserve">NFT-422502003GN00079XXXXXXX </v>
          </cell>
          <cell r="CK587" t="str">
            <v>2024-08-12</v>
          </cell>
          <cell r="CL587">
            <v>34210.951000000001</v>
          </cell>
          <cell r="CS587" t="str">
            <v xml:space="preserve">NFT-422502084GN00064XXXXXXX </v>
          </cell>
          <cell r="CT587" t="str">
            <v>2024-08-12</v>
          </cell>
          <cell r="CU587">
            <v>1805.365</v>
          </cell>
        </row>
        <row r="588">
          <cell r="CJ588" t="str">
            <v xml:space="preserve">NFT-422502003GN00079XXXXXXX </v>
          </cell>
          <cell r="CK588" t="str">
            <v>2024-08-12</v>
          </cell>
          <cell r="CL588">
            <v>69122.744000000006</v>
          </cell>
          <cell r="CS588" t="str">
            <v xml:space="preserve">NFT-422502084GN00064XXXXXXX </v>
          </cell>
          <cell r="CT588" t="str">
            <v>2024-08-12</v>
          </cell>
          <cell r="CU588">
            <v>2885.51</v>
          </cell>
        </row>
        <row r="589">
          <cell r="CJ589" t="str">
            <v xml:space="preserve">NFT-422502003GN00079XXXXXXX </v>
          </cell>
          <cell r="CK589" t="str">
            <v>2024-08-12</v>
          </cell>
          <cell r="CL589">
            <v>69122.744000000006</v>
          </cell>
          <cell r="CS589" t="str">
            <v xml:space="preserve">NFT-422502084GN00064XXXXXXX </v>
          </cell>
          <cell r="CT589" t="str">
            <v>2024-08-12</v>
          </cell>
          <cell r="CU589">
            <v>2885.511</v>
          </cell>
        </row>
        <row r="590">
          <cell r="CJ590" t="str">
            <v xml:space="preserve">NFT-422502003GN00079XXXXXXX </v>
          </cell>
          <cell r="CK590" t="str">
            <v>2024-08-12</v>
          </cell>
          <cell r="CL590">
            <v>12092.431</v>
          </cell>
          <cell r="CS590" t="str">
            <v xml:space="preserve">NFT-422502084GN00064XXXXXXX </v>
          </cell>
          <cell r="CT590" t="str">
            <v>2024-08-12</v>
          </cell>
          <cell r="CU590">
            <v>1829.146</v>
          </cell>
        </row>
        <row r="591">
          <cell r="CJ591" t="str">
            <v xml:space="preserve">NFT-422502003GN00079XXXXXXX </v>
          </cell>
          <cell r="CK591" t="str">
            <v>2024-08-12</v>
          </cell>
          <cell r="CL591">
            <v>6387.8990000000003</v>
          </cell>
          <cell r="CS591" t="str">
            <v xml:space="preserve">NFT-422502084GN00064XXXXXXX </v>
          </cell>
          <cell r="CT591" t="str">
            <v>2024-08-12</v>
          </cell>
          <cell r="CU591">
            <v>1100.3389999999999</v>
          </cell>
        </row>
        <row r="592">
          <cell r="CJ592" t="str">
            <v xml:space="preserve">NFT-422502003GN00079XXXXXXX </v>
          </cell>
          <cell r="CK592" t="str">
            <v>2024-08-12</v>
          </cell>
          <cell r="CL592">
            <v>12092.431</v>
          </cell>
          <cell r="CS592" t="str">
            <v xml:space="preserve">NFT-422502084GN00064XXXXXXX </v>
          </cell>
          <cell r="CT592" t="str">
            <v>2024-08-12</v>
          </cell>
          <cell r="CU592">
            <v>1829.145</v>
          </cell>
        </row>
        <row r="593">
          <cell r="CJ593" t="str">
            <v xml:space="preserve">NFT-422700624GN00029XXXXXXX </v>
          </cell>
          <cell r="CK593" t="str">
            <v>2024-08-14</v>
          </cell>
          <cell r="CL593">
            <v>33990.080000000002</v>
          </cell>
          <cell r="CM593" t="str">
            <v xml:space="preserve">NFT-422700693GN00202XXXXXXX </v>
          </cell>
          <cell r="CN593" t="str">
            <v>2024-08-14</v>
          </cell>
          <cell r="CO593">
            <v>2007.357</v>
          </cell>
        </row>
        <row r="594">
          <cell r="CJ594" t="str">
            <v xml:space="preserve">NFT-422700624GN00029XXXXXXX </v>
          </cell>
          <cell r="CK594" t="str">
            <v>2024-08-14</v>
          </cell>
          <cell r="CL594">
            <v>12650.767</v>
          </cell>
          <cell r="CM594" t="str">
            <v xml:space="preserve">NFT-422700693GN00202XXXXXXX </v>
          </cell>
          <cell r="CN594" t="str">
            <v>2024-08-14</v>
          </cell>
          <cell r="CO594">
            <v>1820.7619999999999</v>
          </cell>
        </row>
        <row r="595">
          <cell r="CJ595" t="str">
            <v xml:space="preserve">NFT-422700624GN00029XXXXXXX </v>
          </cell>
          <cell r="CK595" t="str">
            <v>2024-08-14</v>
          </cell>
          <cell r="CL595">
            <v>12540.162</v>
          </cell>
          <cell r="CM595" t="str">
            <v xml:space="preserve">NFT-422700693GN00202XXXXXXX </v>
          </cell>
          <cell r="CN595" t="str">
            <v>2024-08-14</v>
          </cell>
          <cell r="CO595">
            <v>1931.367</v>
          </cell>
        </row>
        <row r="596">
          <cell r="CJ596" t="str">
            <v xml:space="preserve">NFT-422700624GN00029XXXXXXX </v>
          </cell>
          <cell r="CK596" t="str">
            <v>2024-08-14</v>
          </cell>
          <cell r="CL596">
            <v>12540.162</v>
          </cell>
          <cell r="CM596" t="str">
            <v xml:space="preserve">NFT-422700693GN00202XXXXXXX </v>
          </cell>
          <cell r="CN596" t="str">
            <v>2024-08-14</v>
          </cell>
          <cell r="CO596">
            <v>1931.367</v>
          </cell>
        </row>
        <row r="597">
          <cell r="CJ597" t="str">
            <v xml:space="preserve">NFT-422700624GN00029XXXXXXX </v>
          </cell>
          <cell r="CK597" t="str">
            <v>2024-08-14</v>
          </cell>
          <cell r="CL597">
            <v>13021.08</v>
          </cell>
          <cell r="CM597" t="str">
            <v xml:space="preserve">NFT-422700693GN00202XXXXXXX </v>
          </cell>
          <cell r="CN597" t="str">
            <v>2024-08-14</v>
          </cell>
          <cell r="CO597">
            <v>1450.4480000000001</v>
          </cell>
        </row>
        <row r="598">
          <cell r="CJ598" t="str">
            <v xml:space="preserve">NFT-422700624GN00029XXXXXXX </v>
          </cell>
          <cell r="CK598" t="str">
            <v>2024-08-14</v>
          </cell>
          <cell r="CL598">
            <v>12540.162</v>
          </cell>
          <cell r="CM598" t="str">
            <v xml:space="preserve">NFT-422700693GN00202XXXXXXX </v>
          </cell>
          <cell r="CN598" t="str">
            <v>2024-08-14</v>
          </cell>
          <cell r="CO598">
            <v>1931.367</v>
          </cell>
        </row>
        <row r="599">
          <cell r="CJ599" t="str">
            <v xml:space="preserve">NFT-422700624GN00029XXXXXXX </v>
          </cell>
          <cell r="CK599" t="str">
            <v>2024-08-14</v>
          </cell>
          <cell r="CL599">
            <v>12540.162</v>
          </cell>
          <cell r="CM599" t="str">
            <v xml:space="preserve">NFT-422700693GN00202XXXXXXX </v>
          </cell>
          <cell r="CN599" t="str">
            <v>2024-08-14</v>
          </cell>
          <cell r="CO599">
            <v>1931.367</v>
          </cell>
        </row>
        <row r="600">
          <cell r="CJ600" t="str">
            <v xml:space="preserve">NFT-422700624GN00029XXXXXXX </v>
          </cell>
          <cell r="CK600" t="str">
            <v>2024-08-14</v>
          </cell>
          <cell r="CL600">
            <v>6369.0190000000002</v>
          </cell>
          <cell r="CM600" t="str">
            <v xml:space="preserve">NFT-422700693GN00202XXXXXXX </v>
          </cell>
          <cell r="CN600" t="str">
            <v>2024-08-14</v>
          </cell>
          <cell r="CO600">
            <v>1100.3389999999999</v>
          </cell>
        </row>
        <row r="601">
          <cell r="CJ601" t="str">
            <v xml:space="preserve">NFT-422700624GN00029XXXXXXX </v>
          </cell>
          <cell r="CK601" t="str">
            <v>2024-08-14</v>
          </cell>
          <cell r="CL601">
            <v>69103.864000000001</v>
          </cell>
          <cell r="CM601" t="str">
            <v xml:space="preserve">NFT-422700693GN00202XXXXXXX </v>
          </cell>
          <cell r="CN601" t="str">
            <v>2024-08-14</v>
          </cell>
          <cell r="CO601">
            <v>2885.511</v>
          </cell>
        </row>
        <row r="602">
          <cell r="CJ602" t="str">
            <v xml:space="preserve">NFT-422700624GN00029XXXXXXX </v>
          </cell>
          <cell r="CK602" t="str">
            <v>2024-08-14</v>
          </cell>
          <cell r="CL602">
            <v>12809.116</v>
          </cell>
          <cell r="CM602" t="str">
            <v xml:space="preserve">NFT-422700693GN00202XXXXXXX </v>
          </cell>
          <cell r="CN602" t="str">
            <v>2024-08-14</v>
          </cell>
          <cell r="CO602">
            <v>1681.2940000000001</v>
          </cell>
        </row>
        <row r="603">
          <cell r="CJ603" t="str">
            <v xml:space="preserve">NFT-422700624GN00029XXXXXXX </v>
          </cell>
          <cell r="CK603" t="str">
            <v>2024-08-14</v>
          </cell>
          <cell r="CL603">
            <v>12073.550999999999</v>
          </cell>
          <cell r="CM603" t="str">
            <v xml:space="preserve">NFT-422700693GN00202XXXXXXX </v>
          </cell>
          <cell r="CN603" t="str">
            <v>2024-08-14</v>
          </cell>
          <cell r="CO603">
            <v>1829.145</v>
          </cell>
        </row>
        <row r="604">
          <cell r="CJ604" t="str">
            <v xml:space="preserve">NFT-422502003GN00079XXXXXXX </v>
          </cell>
          <cell r="CK604" t="str">
            <v>2024-08-12</v>
          </cell>
          <cell r="CL604">
            <v>70854.051000000007</v>
          </cell>
          <cell r="CS604" t="str">
            <v xml:space="preserve">NFT-422502084GN00064XXXXXXX </v>
          </cell>
          <cell r="CT604" t="str">
            <v>2024-08-12</v>
          </cell>
          <cell r="CU604">
            <v>2885.511</v>
          </cell>
        </row>
        <row r="605">
          <cell r="CJ605" t="str">
            <v xml:space="preserve">NFT-422502003GN00079XXXXXXX </v>
          </cell>
          <cell r="CK605" t="str">
            <v>2024-08-12</v>
          </cell>
          <cell r="CL605">
            <v>70835.171000000002</v>
          </cell>
          <cell r="CS605" t="str">
            <v xml:space="preserve">NFT-422502084GN00064XXXXXXX </v>
          </cell>
          <cell r="CT605" t="str">
            <v>2024-08-12</v>
          </cell>
          <cell r="CU605">
            <v>2885.511</v>
          </cell>
        </row>
        <row r="606">
          <cell r="CJ606" t="str">
            <v xml:space="preserve">NFT-422502003GN00079XXXXXXX </v>
          </cell>
          <cell r="CK606" t="str">
            <v>2024-08-12</v>
          </cell>
          <cell r="CL606">
            <v>35997.436999999998</v>
          </cell>
        </row>
        <row r="607">
          <cell r="CJ607" t="str">
            <v xml:space="preserve">NFT-422502003GN00079XXXXXXX </v>
          </cell>
          <cell r="CK607" t="str">
            <v>2024-08-12</v>
          </cell>
          <cell r="CL607">
            <v>34814.019999999997</v>
          </cell>
          <cell r="CS607" t="str">
            <v xml:space="preserve">NFT-422502084GN00064XXXXXXX </v>
          </cell>
          <cell r="CT607" t="str">
            <v>2024-08-12</v>
          </cell>
          <cell r="CU607">
            <v>1202.296</v>
          </cell>
        </row>
        <row r="608">
          <cell r="CJ608" t="str">
            <v xml:space="preserve">NFT-422502003GN00079XXXXXXX </v>
          </cell>
          <cell r="CK608" t="str">
            <v>2024-08-12</v>
          </cell>
          <cell r="CL608">
            <v>69103.864000000001</v>
          </cell>
          <cell r="CS608" t="str">
            <v xml:space="preserve">NFT-422502084GN00064XXXXXXX </v>
          </cell>
          <cell r="CT608" t="str">
            <v>2024-08-12</v>
          </cell>
          <cell r="CU608">
            <v>2885.511</v>
          </cell>
        </row>
        <row r="609">
          <cell r="CJ609" t="str">
            <v xml:space="preserve">NFT-422502003GN00079XXXXXXX </v>
          </cell>
          <cell r="CK609" t="str">
            <v>2024-08-12</v>
          </cell>
          <cell r="CL609">
            <v>32989.775000000001</v>
          </cell>
          <cell r="CS609" t="str">
            <v xml:space="preserve">NFT-422502084GN00064XXXXXXX </v>
          </cell>
          <cell r="CT609" t="str">
            <v>2024-08-12</v>
          </cell>
          <cell r="CU609">
            <v>3007.6610000000001</v>
          </cell>
        </row>
        <row r="610">
          <cell r="CJ610" t="str">
            <v xml:space="preserve">NFT-422502003GN00079XXXXXXX </v>
          </cell>
          <cell r="CK610" t="str">
            <v>2024-08-12</v>
          </cell>
          <cell r="CL610">
            <v>8222.4750000000004</v>
          </cell>
          <cell r="CS610" t="str">
            <v xml:space="preserve">NFT-422502084GN00064XXXXXXX </v>
          </cell>
          <cell r="CT610" t="str">
            <v>2024-08-12</v>
          </cell>
          <cell r="CU610">
            <v>1468.721</v>
          </cell>
        </row>
        <row r="611">
          <cell r="CJ611" t="str">
            <v xml:space="preserve">NFT-422502003GN00079XXXXXXX </v>
          </cell>
          <cell r="CK611" t="str">
            <v>2024-08-12</v>
          </cell>
          <cell r="CL611">
            <v>69151.956000000006</v>
          </cell>
          <cell r="CS611" t="str">
            <v xml:space="preserve">NFT-422502084GN00064XXXXXXX </v>
          </cell>
          <cell r="CT611" t="str">
            <v>2024-08-12</v>
          </cell>
          <cell r="CU611">
            <v>2885.511</v>
          </cell>
        </row>
        <row r="612">
          <cell r="CJ612" t="str">
            <v xml:space="preserve">NFT-422502003GN00079XXXXXXX </v>
          </cell>
          <cell r="CK612" t="str">
            <v>2024-08-12</v>
          </cell>
          <cell r="CL612">
            <v>6712.39</v>
          </cell>
          <cell r="CM612" t="str">
            <v xml:space="preserve">NFT-423400974GN00225XXXXXXX </v>
          </cell>
          <cell r="CN612" t="str">
            <v>2024-08-21</v>
          </cell>
          <cell r="CO612">
            <v>-6712.39</v>
          </cell>
          <cell r="CP612" t="str">
            <v xml:space="preserve">NFT-423401022GN00277XXXXXXX </v>
          </cell>
          <cell r="CQ612" t="str">
            <v>2024-08-21</v>
          </cell>
          <cell r="CR612">
            <v>-756.96900000000005</v>
          </cell>
          <cell r="CS612" t="str">
            <v xml:space="preserve">NFT-422502084GN00064XXXXXXX </v>
          </cell>
          <cell r="CT612" t="str">
            <v>2024-08-12</v>
          </cell>
          <cell r="CU612">
            <v>756.96900000000005</v>
          </cell>
        </row>
        <row r="613">
          <cell r="CJ613" t="str">
            <v xml:space="preserve">NFT-422502003GN00079XXXXXXX </v>
          </cell>
          <cell r="CK613" t="str">
            <v>2024-08-12</v>
          </cell>
          <cell r="CL613">
            <v>34192.071000000004</v>
          </cell>
          <cell r="CS613" t="str">
            <v xml:space="preserve">NFT-422502084GN00064XXXXXXX </v>
          </cell>
          <cell r="CT613" t="str">
            <v>2024-08-12</v>
          </cell>
          <cell r="CU613">
            <v>1805.365</v>
          </cell>
        </row>
        <row r="614">
          <cell r="CJ614" t="str">
            <v xml:space="preserve">NFT-422502003GN00079XXXXXXX </v>
          </cell>
          <cell r="CK614" t="str">
            <v>2024-08-12</v>
          </cell>
          <cell r="CL614">
            <v>6824.9260000000004</v>
          </cell>
          <cell r="CS614" t="str">
            <v xml:space="preserve">NFT-422502084GN00064XXXXXXX </v>
          </cell>
          <cell r="CT614" t="str">
            <v>2024-08-12</v>
          </cell>
          <cell r="CU614">
            <v>769.47</v>
          </cell>
        </row>
        <row r="615">
          <cell r="CJ615" t="str">
            <v xml:space="preserve">NFT-422502003GN00079XXXXXXX </v>
          </cell>
          <cell r="CK615" t="str">
            <v>2024-08-12</v>
          </cell>
          <cell r="CL615">
            <v>6369.0190000000002</v>
          </cell>
          <cell r="CS615" t="str">
            <v xml:space="preserve">NFT-422502084GN00064XXXXXXX </v>
          </cell>
          <cell r="CT615" t="str">
            <v>2024-08-12</v>
          </cell>
          <cell r="CU615">
            <v>1100.3389999999999</v>
          </cell>
        </row>
        <row r="616">
          <cell r="CJ616" t="str">
            <v xml:space="preserve">NFT-422502003GN00079XXXXXXX </v>
          </cell>
          <cell r="CK616" t="str">
            <v>2024-08-12</v>
          </cell>
          <cell r="CL616">
            <v>32989.775000000001</v>
          </cell>
          <cell r="CS616" t="str">
            <v xml:space="preserve">NFT-422502084GN00064XXXXXXX </v>
          </cell>
          <cell r="CT616" t="str">
            <v>2024-08-12</v>
          </cell>
          <cell r="CU616">
            <v>3007.6610000000001</v>
          </cell>
        </row>
        <row r="617">
          <cell r="CJ617" t="str">
            <v xml:space="preserve">NFT-422502003GN00079XXXXXXX </v>
          </cell>
          <cell r="CK617" t="str">
            <v>2024-08-12</v>
          </cell>
          <cell r="CL617">
            <v>13615.49</v>
          </cell>
          <cell r="CS617" t="str">
            <v xml:space="preserve">NFT-422502084GN00064XXXXXXX </v>
          </cell>
          <cell r="CT617" t="str">
            <v>2024-08-12</v>
          </cell>
          <cell r="CU617">
            <v>1202.296</v>
          </cell>
        </row>
        <row r="618">
          <cell r="CJ618" t="str">
            <v xml:space="preserve">NFT-422502003GN00079XXXXXXX </v>
          </cell>
          <cell r="CK618" t="str">
            <v>2024-08-12</v>
          </cell>
          <cell r="CL618">
            <v>7488.2380000000003</v>
          </cell>
        </row>
        <row r="619">
          <cell r="CJ619" t="str">
            <v xml:space="preserve">NFT-422502003GN00079XXXXXXX </v>
          </cell>
          <cell r="CK619" t="str">
            <v>2024-08-12</v>
          </cell>
          <cell r="CL619">
            <v>6369.0190000000002</v>
          </cell>
          <cell r="CS619" t="str">
            <v xml:space="preserve">NFT-422502084GN00064XXXXXXX </v>
          </cell>
          <cell r="CT619" t="str">
            <v>2024-08-12</v>
          </cell>
          <cell r="CU619">
            <v>1100.3389999999999</v>
          </cell>
        </row>
        <row r="620">
          <cell r="CJ620" t="str">
            <v xml:space="preserve">NFT-422502003GN00079XXXXXXX </v>
          </cell>
          <cell r="CK620" t="str">
            <v>2024-08-12</v>
          </cell>
          <cell r="CL620">
            <v>68389.214999999997</v>
          </cell>
          <cell r="CS620" t="str">
            <v xml:space="preserve">NFT-422502084GN00064XXXXXXX </v>
          </cell>
          <cell r="CT620" t="str">
            <v>2024-08-12</v>
          </cell>
          <cell r="CU620">
            <v>3600.1509999999998</v>
          </cell>
        </row>
        <row r="621">
          <cell r="CJ621" t="str">
            <v xml:space="preserve">NFT-422502003GN00079XXXXXXX </v>
          </cell>
          <cell r="CK621" t="str">
            <v>2024-08-12</v>
          </cell>
          <cell r="CL621">
            <v>12092.431</v>
          </cell>
          <cell r="CM621" t="str">
            <v xml:space="preserve">NFT-422900441GN00081XXXXXXX </v>
          </cell>
          <cell r="CN621" t="str">
            <v>2024-08-16</v>
          </cell>
          <cell r="CO621">
            <v>-12092.431</v>
          </cell>
          <cell r="CP621" t="str">
            <v xml:space="preserve">NFT-422900461GN00273XXXXXXX </v>
          </cell>
          <cell r="CQ621" t="str">
            <v>2024-08-16</v>
          </cell>
          <cell r="CR621">
            <v>-1829.146</v>
          </cell>
          <cell r="CS621" t="str">
            <v xml:space="preserve">NFT-422502084GN00064XXXXXXX </v>
          </cell>
          <cell r="CT621" t="str">
            <v>2024-08-12</v>
          </cell>
          <cell r="CU621">
            <v>1829.146</v>
          </cell>
        </row>
        <row r="622">
          <cell r="CJ622" t="str">
            <v xml:space="preserve">NFT-422502003GN00079XXXXXXX </v>
          </cell>
          <cell r="CK622" t="str">
            <v>2024-08-12</v>
          </cell>
          <cell r="CL622">
            <v>6657.5690000000004</v>
          </cell>
          <cell r="CS622" t="str">
            <v xml:space="preserve">NFT-422502084GN00064XXXXXXX </v>
          </cell>
          <cell r="CT622" t="str">
            <v>2024-08-12</v>
          </cell>
          <cell r="CU622">
            <v>811.78899999999999</v>
          </cell>
        </row>
        <row r="623">
          <cell r="CJ623" t="str">
            <v xml:space="preserve">NFT-422502003GN00079XXXXXXX </v>
          </cell>
          <cell r="CK623" t="str">
            <v>2024-08-12</v>
          </cell>
          <cell r="CL623">
            <v>69151.956000000006</v>
          </cell>
          <cell r="CS623" t="str">
            <v xml:space="preserve">NFT-422502084GN00064XXXXXXX </v>
          </cell>
          <cell r="CT623" t="str">
            <v>2024-08-12</v>
          </cell>
          <cell r="CU623">
            <v>2885.511</v>
          </cell>
        </row>
        <row r="625">
          <cell r="CJ625" t="str">
            <v xml:space="preserve">NFT-422502003GN00079XXXXXXX </v>
          </cell>
          <cell r="CK625" t="str">
            <v>2024-08-12</v>
          </cell>
          <cell r="CL625">
            <v>6333.4269999999997</v>
          </cell>
          <cell r="CS625" t="str">
            <v xml:space="preserve">NFT-422502084GN00064XXXXXXX </v>
          </cell>
          <cell r="CT625" t="str">
            <v>2024-08-12</v>
          </cell>
          <cell r="CU625">
            <v>1135.931</v>
          </cell>
        </row>
        <row r="626">
          <cell r="CJ626" t="str">
            <v xml:space="preserve">NFT-422502003GN00079XXXXXXX </v>
          </cell>
          <cell r="CK626" t="str">
            <v>2024-08-12</v>
          </cell>
          <cell r="CL626">
            <v>12092.431</v>
          </cell>
          <cell r="CS626" t="str">
            <v xml:space="preserve">NFT-422502084GN00064XXXXXXX </v>
          </cell>
          <cell r="CT626" t="str">
            <v>2024-08-12</v>
          </cell>
          <cell r="CU626">
            <v>1829.145</v>
          </cell>
        </row>
        <row r="627">
          <cell r="CJ627" t="str">
            <v xml:space="preserve">NFT-422502003GN00079XXXXXXX </v>
          </cell>
          <cell r="CK627" t="str">
            <v>2024-08-12</v>
          </cell>
          <cell r="CL627">
            <v>69103.864000000001</v>
          </cell>
          <cell r="CS627" t="str">
            <v xml:space="preserve">NFT-422502084GN00064XXXXXXX </v>
          </cell>
          <cell r="CT627" t="str">
            <v>2024-08-12</v>
          </cell>
          <cell r="CU627">
            <v>2885.511</v>
          </cell>
        </row>
        <row r="628">
          <cell r="CJ628" t="str">
            <v xml:space="preserve">NFT-422502003GN00079XXXXXXX </v>
          </cell>
          <cell r="CK628" t="str">
            <v>2024-08-12</v>
          </cell>
          <cell r="CL628">
            <v>12073.550999999999</v>
          </cell>
          <cell r="CS628" t="str">
            <v xml:space="preserve">NFT-422502084GN00064XXXXXXX </v>
          </cell>
          <cell r="CT628" t="str">
            <v>2024-08-12</v>
          </cell>
          <cell r="CU628">
            <v>1829.145</v>
          </cell>
        </row>
        <row r="629">
          <cell r="CJ629" t="str">
            <v xml:space="preserve">NFT-422700624GN00029XXXXXXX </v>
          </cell>
          <cell r="CK629" t="str">
            <v>2024-08-14</v>
          </cell>
          <cell r="CL629">
            <v>12969.743</v>
          </cell>
          <cell r="CM629" t="str">
            <v xml:space="preserve">NFT-422700693GN00202XXXXXXX </v>
          </cell>
          <cell r="CN629" t="str">
            <v>2024-08-14</v>
          </cell>
          <cell r="CO629">
            <v>1520.6659999999999</v>
          </cell>
        </row>
        <row r="630">
          <cell r="CJ630" t="str">
            <v xml:space="preserve">NFT-422700624GN00029XXXXXXX </v>
          </cell>
          <cell r="CK630" t="str">
            <v>2024-08-14</v>
          </cell>
          <cell r="CL630">
            <v>12540.162</v>
          </cell>
          <cell r="CM630" t="str">
            <v xml:space="preserve">NFT-422700693GN00202XXXXXXX </v>
          </cell>
          <cell r="CN630" t="str">
            <v>2024-08-14</v>
          </cell>
          <cell r="CO630">
            <v>1931.367</v>
          </cell>
        </row>
        <row r="631">
          <cell r="CJ631" t="str">
            <v xml:space="preserve">NFT-422700624GN00029XXXXXXX </v>
          </cell>
          <cell r="CK631" t="str">
            <v>2024-08-14</v>
          </cell>
          <cell r="CL631">
            <v>6351.3419999999996</v>
          </cell>
          <cell r="CM631" t="str">
            <v xml:space="preserve">NFT-422700693GN00202XXXXXXX </v>
          </cell>
          <cell r="CN631" t="str">
            <v>2024-08-14</v>
          </cell>
          <cell r="CO631">
            <v>1136.8969999999999</v>
          </cell>
        </row>
        <row r="632">
          <cell r="CJ632" t="str">
            <v xml:space="preserve">NFT-422700624GN00029XXXXXXX </v>
          </cell>
          <cell r="CK632" t="str">
            <v>2024-08-14</v>
          </cell>
          <cell r="CL632">
            <v>70132.672999999995</v>
          </cell>
          <cell r="CM632" t="str">
            <v xml:space="preserve">NFT-422700693GN00202XXXXXXX </v>
          </cell>
          <cell r="CN632" t="str">
            <v>2024-08-14</v>
          </cell>
          <cell r="CO632">
            <v>3606.8879999999999</v>
          </cell>
        </row>
        <row r="633">
          <cell r="CJ633" t="str">
            <v xml:space="preserve">NFT-422700624GN00029XXXXXXX </v>
          </cell>
          <cell r="CK633" t="str">
            <v>2024-08-14</v>
          </cell>
          <cell r="CL633">
            <v>12608.447</v>
          </cell>
          <cell r="CM633" t="str">
            <v xml:space="preserve">NFT-422700693GN00202XXXXXXX </v>
          </cell>
          <cell r="CN633" t="str">
            <v>2024-08-14</v>
          </cell>
          <cell r="CO633">
            <v>1863.0809999999999</v>
          </cell>
        </row>
        <row r="634">
          <cell r="CJ634" t="str">
            <v xml:space="preserve">NFT-422700624GN00029XXXXXXX </v>
          </cell>
          <cell r="CK634" t="str">
            <v>2024-08-14</v>
          </cell>
          <cell r="CL634">
            <v>12540.162</v>
          </cell>
          <cell r="CM634" t="str">
            <v xml:space="preserve">NFT-422700693GN00202XXXXXXX </v>
          </cell>
          <cell r="CN634" t="str">
            <v>2024-08-14</v>
          </cell>
          <cell r="CO634">
            <v>1931.367</v>
          </cell>
        </row>
        <row r="635">
          <cell r="CJ635" t="str">
            <v xml:space="preserve">NFT-422700624GN00029XXXXXXX </v>
          </cell>
          <cell r="CK635" t="str">
            <v>2024-08-14</v>
          </cell>
          <cell r="CL635">
            <v>12869.111000000001</v>
          </cell>
          <cell r="CM635" t="str">
            <v xml:space="preserve">NFT-422700693GN00202XXXXXXX </v>
          </cell>
          <cell r="CN635" t="str">
            <v>2024-08-14</v>
          </cell>
          <cell r="CO635">
            <v>1948.6849999999999</v>
          </cell>
        </row>
        <row r="636">
          <cell r="CJ636" t="str">
            <v xml:space="preserve">NFT-422700624GN00029XXXXXXX </v>
          </cell>
          <cell r="CK636" t="str">
            <v>2024-08-14</v>
          </cell>
          <cell r="CL636">
            <v>6333.4269999999997</v>
          </cell>
          <cell r="CM636" t="str">
            <v xml:space="preserve">NFT-422700693GN00202XXXXXXX </v>
          </cell>
          <cell r="CN636" t="str">
            <v>2024-08-14</v>
          </cell>
          <cell r="CO636">
            <v>1135.931</v>
          </cell>
        </row>
        <row r="637">
          <cell r="CJ637" t="str">
            <v xml:space="preserve">NFT-422502003GN00079XXXXXXX </v>
          </cell>
          <cell r="CK637" t="str">
            <v>2024-08-12</v>
          </cell>
          <cell r="CL637">
            <v>68382.486999999994</v>
          </cell>
          <cell r="CS637" t="str">
            <v xml:space="preserve">NFT-422502084GN00064XXXXXXX </v>
          </cell>
          <cell r="CT637" t="str">
            <v>2024-08-12</v>
          </cell>
          <cell r="CU637">
            <v>3606.8879999999999</v>
          </cell>
        </row>
        <row r="638">
          <cell r="CJ638" t="str">
            <v xml:space="preserve">NFT-422502003GN00079XXXXXXX </v>
          </cell>
          <cell r="CK638" t="str">
            <v>2024-08-12</v>
          </cell>
          <cell r="CL638">
            <v>69123.710999999996</v>
          </cell>
          <cell r="CS638" t="str">
            <v xml:space="preserve">NFT-422502084GN00064XXXXXXX </v>
          </cell>
          <cell r="CT638" t="str">
            <v>2024-08-12</v>
          </cell>
          <cell r="CU638">
            <v>2884.5459999999998</v>
          </cell>
        </row>
        <row r="639">
          <cell r="CJ639" t="str">
            <v xml:space="preserve">NFT-422502003GN00079XXXXXXX </v>
          </cell>
          <cell r="CK639" t="str">
            <v>2024-08-12</v>
          </cell>
          <cell r="CL639">
            <v>69122.744000000006</v>
          </cell>
          <cell r="CS639" t="str">
            <v xml:space="preserve">NFT-422502084GN00064XXXXXXX </v>
          </cell>
          <cell r="CT639" t="str">
            <v>2024-08-12</v>
          </cell>
          <cell r="CU639">
            <v>2885.511</v>
          </cell>
        </row>
        <row r="640">
          <cell r="CJ640" t="str">
            <v xml:space="preserve">NFT-422502003GN00079XXXXXXX </v>
          </cell>
          <cell r="CK640" t="str">
            <v>2024-08-12</v>
          </cell>
          <cell r="CL640">
            <v>70835.171000000002</v>
          </cell>
          <cell r="CS640" t="str">
            <v xml:space="preserve">NFT-422502084GN00064XXXXXXX </v>
          </cell>
          <cell r="CT640" t="str">
            <v>2024-08-12</v>
          </cell>
          <cell r="CU640">
            <v>2885.511</v>
          </cell>
        </row>
        <row r="641">
          <cell r="CJ641" t="str">
            <v xml:space="preserve">NFT-422502003GN00079XXXXXXX </v>
          </cell>
          <cell r="CK641" t="str">
            <v>2024-08-12</v>
          </cell>
          <cell r="CL641">
            <v>12073.550999999999</v>
          </cell>
          <cell r="CS641" t="str">
            <v xml:space="preserve">NFT-422502084GN00064XXXXXXX </v>
          </cell>
          <cell r="CT641" t="str">
            <v>2024-08-12</v>
          </cell>
          <cell r="CU641">
            <v>1829.145</v>
          </cell>
        </row>
        <row r="642">
          <cell r="CJ642" t="str">
            <v xml:space="preserve">NFT-422502003GN00079XXXXXXX </v>
          </cell>
          <cell r="CK642" t="str">
            <v>2024-08-12</v>
          </cell>
          <cell r="CL642">
            <v>70735.743000000002</v>
          </cell>
          <cell r="CS642" t="str">
            <v xml:space="preserve">NFT-422502084GN00064XXXXXXX </v>
          </cell>
          <cell r="CT642" t="str">
            <v>2024-08-12</v>
          </cell>
          <cell r="CU642">
            <v>1272.5129999999999</v>
          </cell>
        </row>
        <row r="643">
          <cell r="CJ643" t="str">
            <v xml:space="preserve">NFT-422502003GN00079XXXXXXX </v>
          </cell>
          <cell r="CK643" t="str">
            <v>2024-08-12</v>
          </cell>
          <cell r="CL643">
            <v>12073.550999999999</v>
          </cell>
          <cell r="CS643" t="str">
            <v xml:space="preserve">NFT-422502084GN00064XXXXXXX </v>
          </cell>
          <cell r="CT643" t="str">
            <v>2024-08-12</v>
          </cell>
          <cell r="CU643">
            <v>1829.145</v>
          </cell>
        </row>
        <row r="644">
          <cell r="CJ644" t="str">
            <v xml:space="preserve">NFT-422502003GN00079XXXXXXX </v>
          </cell>
          <cell r="CK644" t="str">
            <v>2024-08-12</v>
          </cell>
          <cell r="CL644">
            <v>12073.550999999999</v>
          </cell>
          <cell r="CS644" t="str">
            <v xml:space="preserve">NFT-422502084GN00064XXXXXXX </v>
          </cell>
          <cell r="CT644" t="str">
            <v>2024-08-12</v>
          </cell>
          <cell r="CU644">
            <v>1829.145</v>
          </cell>
        </row>
        <row r="645">
          <cell r="CJ645" t="str">
            <v xml:space="preserve">NFT-422502003GN00079XXXXXXX </v>
          </cell>
          <cell r="CK645" t="str">
            <v>2024-08-12</v>
          </cell>
          <cell r="CL645">
            <v>12073.550999999999</v>
          </cell>
          <cell r="CS645" t="str">
            <v xml:space="preserve">NFT-422502084GN00064XXXXXXX </v>
          </cell>
          <cell r="CT645" t="str">
            <v>2024-08-12</v>
          </cell>
          <cell r="CU645">
            <v>1829.145</v>
          </cell>
        </row>
        <row r="646">
          <cell r="CJ646" t="str">
            <v xml:space="preserve">NFT-422502003GN00079XXXXXXX </v>
          </cell>
          <cell r="CK646" t="str">
            <v>2024-08-12</v>
          </cell>
          <cell r="CL646">
            <v>12073.550999999999</v>
          </cell>
          <cell r="CS646" t="str">
            <v xml:space="preserve">NFT-422502084GN00064XXXXXXX </v>
          </cell>
          <cell r="CT646" t="str">
            <v>2024-08-12</v>
          </cell>
          <cell r="CU646">
            <v>1829.145</v>
          </cell>
        </row>
        <row r="647">
          <cell r="CJ647" t="str">
            <v xml:space="preserve">NFT-422502003GN00079XXXXXXX </v>
          </cell>
          <cell r="CK647" t="str">
            <v>2024-08-12</v>
          </cell>
          <cell r="CL647">
            <v>6483.4759999999997</v>
          </cell>
          <cell r="CS647" t="str">
            <v xml:space="preserve">NFT-422502084GN00064XXXXXXX </v>
          </cell>
          <cell r="CT647" t="str">
            <v>2024-08-12</v>
          </cell>
          <cell r="CU647">
            <v>985.88300000000004</v>
          </cell>
        </row>
        <row r="648">
          <cell r="CJ648" t="str">
            <v xml:space="preserve">NFT-422502003GN00079XXXXXXX </v>
          </cell>
          <cell r="CK648" t="str">
            <v>2024-08-12</v>
          </cell>
          <cell r="CL648">
            <v>69122.744000000006</v>
          </cell>
          <cell r="CS648" t="str">
            <v xml:space="preserve">NFT-422502084GN00064XXXXXXX </v>
          </cell>
          <cell r="CT648" t="str">
            <v>2024-08-12</v>
          </cell>
          <cell r="CU648">
            <v>2885.51</v>
          </cell>
        </row>
        <row r="649">
          <cell r="CJ649" t="str">
            <v xml:space="preserve">NFT-422502003GN00079XXXXXXX </v>
          </cell>
          <cell r="CK649" t="str">
            <v>2024-08-12</v>
          </cell>
          <cell r="CL649">
            <v>12869.111000000001</v>
          </cell>
          <cell r="CS649" t="str">
            <v xml:space="preserve">NFT-422502084GN00064XXXXXXX </v>
          </cell>
          <cell r="CT649" t="str">
            <v>2024-08-12</v>
          </cell>
          <cell r="CU649">
            <v>1948.6849999999999</v>
          </cell>
        </row>
        <row r="650">
          <cell r="CJ650" t="str">
            <v xml:space="preserve">NFT-422502003GN00079XXXXXXX </v>
          </cell>
          <cell r="CK650" t="str">
            <v>2024-08-12</v>
          </cell>
          <cell r="CL650">
            <v>12869.111000000001</v>
          </cell>
          <cell r="CS650" t="str">
            <v xml:space="preserve">NFT-422502084GN00064XXXXXXX </v>
          </cell>
          <cell r="CT650" t="str">
            <v>2024-08-12</v>
          </cell>
          <cell r="CU650">
            <v>1948.6849999999999</v>
          </cell>
        </row>
        <row r="651">
          <cell r="CJ651" t="str">
            <v xml:space="preserve">NFT-422502003GN00079XXXXXXX </v>
          </cell>
          <cell r="CK651" t="str">
            <v>2024-08-12</v>
          </cell>
          <cell r="CL651">
            <v>6352.3069999999998</v>
          </cell>
          <cell r="CS651" t="str">
            <v xml:space="preserve">NFT-422502084GN00064XXXXXXX </v>
          </cell>
          <cell r="CT651" t="str">
            <v>2024-08-12</v>
          </cell>
          <cell r="CU651">
            <v>1135.931</v>
          </cell>
        </row>
        <row r="652">
          <cell r="CJ652" t="str">
            <v xml:space="preserve">NFT-422502003GN00079XXXXXXX </v>
          </cell>
          <cell r="CK652" t="str">
            <v>2024-08-12</v>
          </cell>
          <cell r="CL652">
            <v>69103.864000000001</v>
          </cell>
          <cell r="CS652" t="str">
            <v xml:space="preserve">NFT-422502084GN00064XXXXXXX </v>
          </cell>
          <cell r="CT652" t="str">
            <v>2024-08-12</v>
          </cell>
          <cell r="CU652">
            <v>2885.511</v>
          </cell>
        </row>
        <row r="653">
          <cell r="CJ653" t="str">
            <v xml:space="preserve">NFT-422502003GN00079XXXXXXX </v>
          </cell>
          <cell r="CK653" t="str">
            <v>2024-08-12</v>
          </cell>
          <cell r="CL653">
            <v>69103.864000000001</v>
          </cell>
          <cell r="CS653" t="str">
            <v xml:space="preserve">NFT-422502084GN00064XXXXXXX </v>
          </cell>
          <cell r="CT653" t="str">
            <v>2024-08-12</v>
          </cell>
          <cell r="CU653">
            <v>2885.511</v>
          </cell>
        </row>
        <row r="654">
          <cell r="CJ654" t="str">
            <v xml:space="preserve">NFT-422502003GN00079XXXXXXX </v>
          </cell>
          <cell r="CK654" t="str">
            <v>2024-08-12</v>
          </cell>
          <cell r="CL654">
            <v>69586.703999999998</v>
          </cell>
          <cell r="CS654" t="str">
            <v xml:space="preserve">NFT-422502084GN00064XXXXXXX </v>
          </cell>
          <cell r="CT654" t="str">
            <v>2024-08-12</v>
          </cell>
          <cell r="CU654">
            <v>2402.672</v>
          </cell>
        </row>
        <row r="655">
          <cell r="CJ655" t="str">
            <v xml:space="preserve">NFT-422502003GN00079XXXXXXX </v>
          </cell>
          <cell r="CK655" t="str">
            <v>2024-08-12</v>
          </cell>
          <cell r="CL655">
            <v>69103.864000000001</v>
          </cell>
          <cell r="CS655" t="str">
            <v xml:space="preserve">NFT-422502084GN00064XXXXXXX </v>
          </cell>
          <cell r="CT655" t="str">
            <v>2024-08-12</v>
          </cell>
          <cell r="CU655">
            <v>2885.511</v>
          </cell>
        </row>
        <row r="656">
          <cell r="CJ656" t="str">
            <v xml:space="preserve">NFT-422502003GN00079XXXXXXX </v>
          </cell>
          <cell r="CK656" t="str">
            <v>2024-08-12</v>
          </cell>
          <cell r="CL656">
            <v>67901.567999999999</v>
          </cell>
          <cell r="CS656" t="str">
            <v xml:space="preserve">NFT-422502084GN00064XXXXXXX </v>
          </cell>
          <cell r="CT656" t="str">
            <v>2024-08-12</v>
          </cell>
          <cell r="CU656">
            <v>4087.8069999999998</v>
          </cell>
        </row>
        <row r="657">
          <cell r="CJ657" t="str">
            <v xml:space="preserve">NFT-422502003GN00079XXXXXXX </v>
          </cell>
          <cell r="CK657" t="str">
            <v>2024-08-12</v>
          </cell>
          <cell r="CL657">
            <v>6333.4269999999997</v>
          </cell>
          <cell r="CS657" t="str">
            <v xml:space="preserve">NFT-422502084GN00064XXXXXXX </v>
          </cell>
          <cell r="CT657" t="str">
            <v>2024-08-12</v>
          </cell>
          <cell r="CU657">
            <v>1135.931</v>
          </cell>
        </row>
        <row r="658">
          <cell r="CJ658" t="str">
            <v xml:space="preserve">NFT-422502003GN00079XXXXXXX </v>
          </cell>
          <cell r="CK658" t="str">
            <v>2024-08-12</v>
          </cell>
          <cell r="CL658">
            <v>6352.3069999999998</v>
          </cell>
          <cell r="CS658" t="str">
            <v xml:space="preserve">NFT-422502084GN00064XXXXXXX </v>
          </cell>
          <cell r="CT658" t="str">
            <v>2024-08-12</v>
          </cell>
          <cell r="CU658">
            <v>1135.931</v>
          </cell>
        </row>
        <row r="659">
          <cell r="CJ659" t="str">
            <v xml:space="preserve">NFT-422502003GN00079XXXXXXX </v>
          </cell>
          <cell r="CK659" t="str">
            <v>2024-08-12</v>
          </cell>
          <cell r="CL659">
            <v>9025.2569999999996</v>
          </cell>
          <cell r="CS659" t="str">
            <v xml:space="preserve">NFT-422502084GN00064XXXXXXX </v>
          </cell>
          <cell r="CT659" t="str">
            <v>2024-08-12</v>
          </cell>
          <cell r="CU659">
            <v>1011.849</v>
          </cell>
        </row>
        <row r="660">
          <cell r="CJ660" t="str">
            <v xml:space="preserve">NFT-422502003GN00079XXXXXXX </v>
          </cell>
          <cell r="CK660" t="str">
            <v>2024-08-12</v>
          </cell>
          <cell r="CL660">
            <v>12073.550999999999</v>
          </cell>
          <cell r="CS660" t="str">
            <v xml:space="preserve">NFT-422502084GN00064XXXXXXX </v>
          </cell>
          <cell r="CT660" t="str">
            <v>2024-08-12</v>
          </cell>
          <cell r="CU660">
            <v>1829.145</v>
          </cell>
        </row>
        <row r="661">
          <cell r="CJ661" t="str">
            <v xml:space="preserve">NFT-422502003GN00079XXXXXXX </v>
          </cell>
          <cell r="CK661" t="str">
            <v>2024-08-12</v>
          </cell>
          <cell r="CL661">
            <v>6352.308</v>
          </cell>
          <cell r="CS661" t="str">
            <v xml:space="preserve">NFT-422502084GN00064XXXXXXX </v>
          </cell>
          <cell r="CT661" t="str">
            <v>2024-08-12</v>
          </cell>
          <cell r="CU661">
            <v>1135.932</v>
          </cell>
        </row>
        <row r="662">
          <cell r="CJ662" t="str">
            <v xml:space="preserve">NFT-422502003GN00079XXXXXXX </v>
          </cell>
          <cell r="CK662" t="str">
            <v>2024-08-12</v>
          </cell>
          <cell r="CL662">
            <v>33831.023999999998</v>
          </cell>
          <cell r="CM662" t="str">
            <v xml:space="preserve">NFT-423600944GN00087XXXXXXX </v>
          </cell>
          <cell r="CN662" t="str">
            <v>2024-08-23</v>
          </cell>
          <cell r="CO662">
            <v>-33831.023999999998</v>
          </cell>
          <cell r="CP662" t="str">
            <v xml:space="preserve">NFT-423601027GN00067XXXXXXX </v>
          </cell>
          <cell r="CQ662" t="str">
            <v>2024-08-23</v>
          </cell>
          <cell r="CR662">
            <v>-3050.9459999999999</v>
          </cell>
          <cell r="CS662" t="str">
            <v xml:space="preserve">NFT-422502084GN00064XXXXXXX </v>
          </cell>
          <cell r="CT662" t="str">
            <v>2024-08-12</v>
          </cell>
          <cell r="CU662">
            <v>3050.9459999999999</v>
          </cell>
        </row>
        <row r="663">
          <cell r="CJ663" t="str">
            <v xml:space="preserve">NFT-422700624GN00029XXXXXXX </v>
          </cell>
          <cell r="CK663" t="str">
            <v>2024-08-14</v>
          </cell>
          <cell r="CL663">
            <v>6699.53</v>
          </cell>
          <cell r="CM663" t="str">
            <v xml:space="preserve">NFT-422700693GN00202XXXXXXX </v>
          </cell>
          <cell r="CN663" t="str">
            <v>2024-08-14</v>
          </cell>
          <cell r="CO663">
            <v>788.70699999999999</v>
          </cell>
        </row>
        <row r="664">
          <cell r="CJ664" t="str">
            <v xml:space="preserve">NFT-422700624GN00029XXXXXXX </v>
          </cell>
          <cell r="CK664" t="str">
            <v>2024-08-14</v>
          </cell>
          <cell r="CL664">
            <v>27523.63</v>
          </cell>
          <cell r="CM664" t="str">
            <v xml:space="preserve">NFT-422700693GN00202XXXXXXX </v>
          </cell>
          <cell r="CN664" t="str">
            <v>2024-08-14</v>
          </cell>
          <cell r="CO664">
            <v>1458.1420000000001</v>
          </cell>
        </row>
        <row r="665">
          <cell r="CJ665" t="str">
            <v xml:space="preserve">NFT-422700624GN00029XXXXXXX </v>
          </cell>
          <cell r="CK665" t="str">
            <v>2024-08-14</v>
          </cell>
          <cell r="CL665">
            <v>12869.111000000001</v>
          </cell>
          <cell r="CM665" t="str">
            <v xml:space="preserve">NFT-422700693GN00202XXXXXXX </v>
          </cell>
          <cell r="CN665" t="str">
            <v>2024-08-14</v>
          </cell>
          <cell r="CO665">
            <v>1948.6849999999999</v>
          </cell>
        </row>
        <row r="666">
          <cell r="CJ666" t="str">
            <v xml:space="preserve">NFT-422700624GN00029XXXXXXX </v>
          </cell>
          <cell r="CK666" t="str">
            <v>2024-08-14</v>
          </cell>
          <cell r="CL666">
            <v>69103.864000000001</v>
          </cell>
          <cell r="CM666" t="str">
            <v xml:space="preserve">NFT-422700693GN00202XXXXXXX </v>
          </cell>
          <cell r="CN666" t="str">
            <v>2024-08-14</v>
          </cell>
          <cell r="CO666">
            <v>2885.511</v>
          </cell>
        </row>
        <row r="667">
          <cell r="CJ667" t="str">
            <v xml:space="preserve">NFT-422700624GN00029XXXXXXX </v>
          </cell>
          <cell r="CK667" t="str">
            <v>2024-08-14</v>
          </cell>
          <cell r="CL667">
            <v>13353.522000000001</v>
          </cell>
          <cell r="CM667" t="str">
            <v xml:space="preserve">NFT-422700693GN00202XXXXXXX </v>
          </cell>
          <cell r="CN667" t="str">
            <v>2024-08-14</v>
          </cell>
          <cell r="CO667">
            <v>1136.8869999999999</v>
          </cell>
        </row>
        <row r="668">
          <cell r="CJ668" t="str">
            <v xml:space="preserve">NFT-422700624GN00029XXXXXXX </v>
          </cell>
          <cell r="CK668" t="str">
            <v>2024-08-14</v>
          </cell>
          <cell r="CL668">
            <v>11482.19</v>
          </cell>
          <cell r="CM668" t="str">
            <v xml:space="preserve">NFT-422700693GN00202XXXXXXX </v>
          </cell>
          <cell r="CN668" t="str">
            <v>2024-08-14</v>
          </cell>
          <cell r="CO668">
            <v>2420.5059999999999</v>
          </cell>
        </row>
        <row r="669">
          <cell r="CJ669" t="str">
            <v xml:space="preserve">NFT-422700624GN00029XXXXXXX </v>
          </cell>
          <cell r="CK669" t="str">
            <v>2024-08-14</v>
          </cell>
          <cell r="CL669">
            <v>12284.923000000001</v>
          </cell>
          <cell r="CM669" t="str">
            <v xml:space="preserve">NFT-422700693GN00202XXXXXXX </v>
          </cell>
          <cell r="CN669" t="str">
            <v>2024-08-14</v>
          </cell>
          <cell r="CO669">
            <v>2205.4969999999998</v>
          </cell>
        </row>
        <row r="670">
          <cell r="CJ670" t="str">
            <v xml:space="preserve">NFT-422700624GN00029XXXXXXX </v>
          </cell>
          <cell r="CK670" t="str">
            <v>2024-08-14</v>
          </cell>
          <cell r="CL670">
            <v>12869.111000000001</v>
          </cell>
          <cell r="CM670" t="str">
            <v xml:space="preserve">NFT-422700693GN00202XXXXXXX </v>
          </cell>
          <cell r="CN670" t="str">
            <v>2024-08-14</v>
          </cell>
          <cell r="CO670">
            <v>1948.6849999999999</v>
          </cell>
        </row>
        <row r="671">
          <cell r="CJ671" t="str">
            <v xml:space="preserve">NFT-422700624GN00029XXXXXXX </v>
          </cell>
          <cell r="CK671" t="str">
            <v>2024-08-14</v>
          </cell>
          <cell r="CL671">
            <v>72008.255000000005</v>
          </cell>
        </row>
        <row r="672">
          <cell r="CJ672" t="str">
            <v xml:space="preserve">NFT-422502003GN00079XXXXXXX </v>
          </cell>
          <cell r="CK672" t="str">
            <v>2024-08-12</v>
          </cell>
          <cell r="CL672">
            <v>36881.97</v>
          </cell>
        </row>
        <row r="673">
          <cell r="CJ673" t="str">
            <v xml:space="preserve">NFT-422700624GN00029XXXXXXX </v>
          </cell>
          <cell r="CK673" t="str">
            <v>2024-08-14</v>
          </cell>
          <cell r="CL673">
            <v>36314.841</v>
          </cell>
        </row>
        <row r="674">
          <cell r="CJ674" t="str">
            <v xml:space="preserve">NFT-422700624GN00029XXXXXXX </v>
          </cell>
          <cell r="CK674" t="str">
            <v>2024-08-14</v>
          </cell>
          <cell r="CL674">
            <v>36881.97</v>
          </cell>
        </row>
        <row r="675">
          <cell r="CJ675" t="str">
            <v xml:space="preserve">NFT-422700624GN00029XXXXXXX </v>
          </cell>
          <cell r="CK675" t="str">
            <v>2024-08-14</v>
          </cell>
          <cell r="CL675">
            <v>71989.375</v>
          </cell>
        </row>
        <row r="676">
          <cell r="CJ676" t="str">
            <v xml:space="preserve">NFT-422502003GN00079XXXXXXX </v>
          </cell>
          <cell r="CK676" t="str">
            <v>2024-08-12</v>
          </cell>
          <cell r="CL676">
            <v>73720.680999999997</v>
          </cell>
        </row>
        <row r="677">
          <cell r="CJ677" t="str">
            <v xml:space="preserve">NFT-422700624GN00029XXXXXXX </v>
          </cell>
          <cell r="CK677" t="str">
            <v>2024-08-14</v>
          </cell>
          <cell r="CL677">
            <v>14836.665999999999</v>
          </cell>
        </row>
        <row r="678">
          <cell r="CJ678" t="str">
            <v xml:space="preserve">NFT-422700624GN00029XXXXXXX </v>
          </cell>
          <cell r="CK678" t="str">
            <v>2024-08-14</v>
          </cell>
          <cell r="CL678">
            <v>73720.680999999997</v>
          </cell>
        </row>
        <row r="679">
          <cell r="CJ679" t="str">
            <v xml:space="preserve">NFT-422700624GN00029XXXXXXX </v>
          </cell>
          <cell r="CK679" t="str">
            <v>2024-08-14</v>
          </cell>
          <cell r="CL679">
            <v>7469.3580000000002</v>
          </cell>
        </row>
        <row r="680">
          <cell r="CJ680" t="str">
            <v xml:space="preserve">NFT-422502003GN00079XXXXXXX </v>
          </cell>
          <cell r="CK680" t="str">
            <v>2024-08-12</v>
          </cell>
          <cell r="CL680">
            <v>7488.2380000000003</v>
          </cell>
          <cell r="CM680" t="str">
            <v xml:space="preserve">NFT-422900441GN00081XXXXXXX </v>
          </cell>
          <cell r="CN680" t="str">
            <v>2024-08-16</v>
          </cell>
          <cell r="CO680">
            <v>-7488.2380000000003</v>
          </cell>
        </row>
        <row r="681">
          <cell r="CJ681" t="str">
            <v xml:space="preserve">NFT-422700624GN00029XXXXXXX </v>
          </cell>
          <cell r="CK681" t="str">
            <v>2024-08-14</v>
          </cell>
          <cell r="CL681">
            <v>14817.786</v>
          </cell>
        </row>
        <row r="682">
          <cell r="CJ682" t="str">
            <v xml:space="preserve">NFT-422700624GN00029XXXXXXX </v>
          </cell>
          <cell r="CK682" t="str">
            <v>2024-08-14</v>
          </cell>
          <cell r="CL682">
            <v>36333.720999999998</v>
          </cell>
        </row>
        <row r="683">
          <cell r="CJ683" t="str">
            <v xml:space="preserve">NFT-422502003GN00079XXXXXXX </v>
          </cell>
          <cell r="CK683" t="str">
            <v>2024-08-12</v>
          </cell>
          <cell r="CL683">
            <v>14836.665999999999</v>
          </cell>
        </row>
        <row r="684">
          <cell r="CJ684" t="str">
            <v xml:space="preserve">NFT-422502003GN00079XXXXXXX </v>
          </cell>
          <cell r="CK684" t="str">
            <v>2024-08-12</v>
          </cell>
          <cell r="CL684">
            <v>35997.436999999998</v>
          </cell>
        </row>
        <row r="685">
          <cell r="CJ685" t="str">
            <v xml:space="preserve">NFT-422700624GN00029XXXXXXX </v>
          </cell>
          <cell r="CK685" t="str">
            <v>2024-08-14</v>
          </cell>
          <cell r="CL685">
            <v>72624.183000000005</v>
          </cell>
        </row>
        <row r="687">
          <cell r="CJ687" t="str">
            <v xml:space="preserve">NFT-422700624GN00029XXXXXXX </v>
          </cell>
          <cell r="CK687" t="str">
            <v>2024-08-14</v>
          </cell>
          <cell r="CL687">
            <v>71989.375</v>
          </cell>
          <cell r="CM687" t="str">
            <v xml:space="preserve">NFT-423200864GN00138XXXXXXX </v>
          </cell>
          <cell r="CN687" t="str">
            <v>2024-08-19</v>
          </cell>
          <cell r="CO687">
            <v>-71989.375</v>
          </cell>
        </row>
        <row r="688">
          <cell r="CJ688" t="str">
            <v xml:space="preserve">NFT-422502003GN00079XXXXXXX </v>
          </cell>
          <cell r="CK688" t="str">
            <v>2024-08-12</v>
          </cell>
          <cell r="CL688">
            <v>7469.3580000000002</v>
          </cell>
          <cell r="CM688" t="str">
            <v xml:space="preserve">NFT-423600944GN00087XXXXXXX </v>
          </cell>
          <cell r="CN688" t="str">
            <v>2024-08-23</v>
          </cell>
          <cell r="CO688">
            <v>-7469.3580000000002</v>
          </cell>
          <cell r="CP688" t="str">
            <v xml:space="preserve">NFT-/XUTR/DEUTH024281A0KN4X </v>
          </cell>
          <cell r="CQ688" t="str">
            <v>2024-10-07</v>
          </cell>
          <cell r="CR688">
            <v>7542.85</v>
          </cell>
        </row>
        <row r="689">
          <cell r="CJ689" t="str">
            <v xml:space="preserve">NFT-422700624GN00029XXXXXXX </v>
          </cell>
          <cell r="CK689" t="str">
            <v>2024-08-14</v>
          </cell>
          <cell r="CL689">
            <v>71989.375</v>
          </cell>
        </row>
        <row r="690">
          <cell r="CJ690" t="str">
            <v xml:space="preserve">NFT-422700624GN00029XXXXXXX </v>
          </cell>
          <cell r="CK690" t="str">
            <v>2024-08-14</v>
          </cell>
          <cell r="CL690">
            <v>36016.317000000003</v>
          </cell>
        </row>
        <row r="691">
          <cell r="CJ691" t="str">
            <v xml:space="preserve">NFT-422700624GN00029XXXXXXX </v>
          </cell>
          <cell r="CK691" t="str">
            <v>2024-08-14</v>
          </cell>
          <cell r="CL691">
            <v>35997.436999999998</v>
          </cell>
        </row>
        <row r="692">
          <cell r="CJ692" t="str">
            <v xml:space="preserve">NFT-422700624GN00029XXXXXXX </v>
          </cell>
          <cell r="CK692" t="str">
            <v>2024-08-14</v>
          </cell>
          <cell r="CL692">
            <v>7454.5680000000002</v>
          </cell>
          <cell r="CM692" t="str">
            <v xml:space="preserve">NFT-422700693GN00202XXXXXXX </v>
          </cell>
          <cell r="CN692" t="str">
            <v>2024-08-14</v>
          </cell>
          <cell r="CO692">
            <v>24.045000000000002</v>
          </cell>
        </row>
        <row r="693">
          <cell r="CJ693" t="str">
            <v xml:space="preserve">NFT-422700624GN00029XXXXXXX </v>
          </cell>
          <cell r="CK693" t="str">
            <v>2024-08-14</v>
          </cell>
          <cell r="CL693">
            <v>72643.062999999995</v>
          </cell>
        </row>
        <row r="694">
          <cell r="CJ694" t="str">
            <v xml:space="preserve">NFT-422700624GN00029XXXXXXX </v>
          </cell>
          <cell r="CK694" t="str">
            <v>2024-08-14</v>
          </cell>
          <cell r="CL694">
            <v>72624.183000000005</v>
          </cell>
        </row>
        <row r="695">
          <cell r="CJ695" t="str">
            <v xml:space="preserve">NFT-422700624GN00029XXXXXXX </v>
          </cell>
          <cell r="CK695" t="str">
            <v>2024-08-14</v>
          </cell>
          <cell r="CL695">
            <v>9720.0509999999995</v>
          </cell>
        </row>
        <row r="696">
          <cell r="CJ696" t="str">
            <v xml:space="preserve">NFT-422700624GN00029XXXXXXX </v>
          </cell>
          <cell r="CK696" t="str">
            <v>2024-08-14</v>
          </cell>
          <cell r="CL696">
            <v>73104.752999999997</v>
          </cell>
        </row>
        <row r="697">
          <cell r="CJ697" t="str">
            <v xml:space="preserve">NFT-422700624GN00029XXXXXXX </v>
          </cell>
          <cell r="CK697" t="str">
            <v>2024-08-14</v>
          </cell>
          <cell r="CL697">
            <v>36853.116000000002</v>
          </cell>
        </row>
        <row r="698">
          <cell r="CJ698" t="str">
            <v xml:space="preserve">NFT-422700624GN00029XXXXXXX </v>
          </cell>
          <cell r="CK698" t="str">
            <v>2024-08-14</v>
          </cell>
          <cell r="CL698">
            <v>12073.674000000001</v>
          </cell>
          <cell r="CM698" t="str">
            <v xml:space="preserve">NFT-422700693GN00202XXXXXXX </v>
          </cell>
          <cell r="CN698" t="str">
            <v>2024-08-14</v>
          </cell>
          <cell r="CO698">
            <v>2397.8539999999998</v>
          </cell>
        </row>
        <row r="699">
          <cell r="CJ699" t="str">
            <v xml:space="preserve">NFT-422700624GN00029XXXXXXX </v>
          </cell>
          <cell r="CK699" t="str">
            <v>2024-08-14</v>
          </cell>
          <cell r="CL699">
            <v>12544.968999999999</v>
          </cell>
          <cell r="CM699" t="str">
            <v xml:space="preserve">NFT-422700693GN00202XXXXXXX </v>
          </cell>
          <cell r="CN699" t="str">
            <v>2024-08-14</v>
          </cell>
          <cell r="CO699">
            <v>1926.56</v>
          </cell>
        </row>
        <row r="700">
          <cell r="CJ700" t="str">
            <v xml:space="preserve">NFT-422700624GN00029XXXXXXX </v>
          </cell>
          <cell r="CK700" t="str">
            <v>2024-08-14</v>
          </cell>
          <cell r="CL700">
            <v>12540.162</v>
          </cell>
          <cell r="CM700" t="str">
            <v xml:space="preserve">NFT-422700693GN00202XXXXXXX </v>
          </cell>
          <cell r="CN700" t="str">
            <v>2024-08-14</v>
          </cell>
          <cell r="CO700">
            <v>1931.367</v>
          </cell>
        </row>
        <row r="701">
          <cell r="CJ701" t="str">
            <v xml:space="preserve">NFT-422700624GN00029XXXXXXX </v>
          </cell>
          <cell r="CK701" t="str">
            <v>2024-08-14</v>
          </cell>
          <cell r="CL701">
            <v>12540.162</v>
          </cell>
          <cell r="CM701" t="str">
            <v xml:space="preserve">NFT-422700693GN00202XXXXXXX </v>
          </cell>
          <cell r="CN701" t="str">
            <v>2024-08-14</v>
          </cell>
          <cell r="CO701">
            <v>1931.367</v>
          </cell>
        </row>
        <row r="702">
          <cell r="CJ702" t="str">
            <v xml:space="preserve">NFT-422700624GN00029XXXXXXX </v>
          </cell>
          <cell r="CK702" t="str">
            <v>2024-08-14</v>
          </cell>
          <cell r="CL702">
            <v>12540.162</v>
          </cell>
          <cell r="CM702" t="str">
            <v xml:space="preserve">NFT-422700693GN00202XXXXXXX </v>
          </cell>
          <cell r="CN702" t="str">
            <v>2024-08-14</v>
          </cell>
          <cell r="CO702">
            <v>1931.367</v>
          </cell>
        </row>
        <row r="703">
          <cell r="CJ703" t="str">
            <v xml:space="preserve">NFT-422700624GN00029XXXXXXX </v>
          </cell>
          <cell r="CK703" t="str">
            <v>2024-08-14</v>
          </cell>
          <cell r="CL703">
            <v>13039.96</v>
          </cell>
          <cell r="CM703" t="str">
            <v xml:space="preserve">NFT-422700693GN00202XXXXXXX </v>
          </cell>
          <cell r="CN703" t="str">
            <v>2024-08-14</v>
          </cell>
          <cell r="CO703">
            <v>1450.4480000000001</v>
          </cell>
        </row>
        <row r="704">
          <cell r="CJ704" t="str">
            <v xml:space="preserve">NFT-422700624GN00029XXXXXXX </v>
          </cell>
          <cell r="CK704" t="str">
            <v>2024-08-14</v>
          </cell>
          <cell r="CL704">
            <v>12540.162</v>
          </cell>
          <cell r="CM704" t="str">
            <v xml:space="preserve">NFT-422700693GN00202XXXXXXX </v>
          </cell>
          <cell r="CN704" t="str">
            <v>2024-08-14</v>
          </cell>
          <cell r="CO704">
            <v>1931.367</v>
          </cell>
        </row>
        <row r="705">
          <cell r="CJ705" t="str">
            <v xml:space="preserve">NFT-422700624GN00029XXXXXXX </v>
          </cell>
          <cell r="CK705" t="str">
            <v>2024-08-14</v>
          </cell>
          <cell r="CL705">
            <v>12559.041999999999</v>
          </cell>
          <cell r="CM705" t="str">
            <v xml:space="preserve">NFT-422700693GN00202XXXXXXX </v>
          </cell>
          <cell r="CN705" t="str">
            <v>2024-08-14</v>
          </cell>
          <cell r="CO705">
            <v>1931.367</v>
          </cell>
        </row>
        <row r="706">
          <cell r="CJ706" t="str">
            <v xml:space="preserve">NFT-422700624GN00029XXXXXXX </v>
          </cell>
          <cell r="CK706" t="str">
            <v>2024-08-14</v>
          </cell>
          <cell r="CL706">
            <v>12559.041999999999</v>
          </cell>
          <cell r="CM706" t="str">
            <v xml:space="preserve">NFT-422700693GN00202XXXXXXX </v>
          </cell>
          <cell r="CN706" t="str">
            <v>2024-08-14</v>
          </cell>
          <cell r="CO706">
            <v>1931.367</v>
          </cell>
        </row>
        <row r="707">
          <cell r="CJ707" t="str">
            <v xml:space="preserve">NFT-422700624GN00029XXXXXXX </v>
          </cell>
          <cell r="CK707" t="str">
            <v>2024-08-14</v>
          </cell>
          <cell r="CL707">
            <v>13039.96</v>
          </cell>
          <cell r="CM707" t="str">
            <v xml:space="preserve">NFT-422700693GN00202XXXXXXX </v>
          </cell>
          <cell r="CN707" t="str">
            <v>2024-08-14</v>
          </cell>
          <cell r="CO707">
            <v>1450.4480000000001</v>
          </cell>
        </row>
        <row r="708">
          <cell r="CJ708" t="str">
            <v xml:space="preserve">NFT-422700624GN00029XXXXXXX </v>
          </cell>
          <cell r="CK708" t="str">
            <v>2024-08-14</v>
          </cell>
          <cell r="CL708">
            <v>12559.041999999999</v>
          </cell>
          <cell r="CM708" t="str">
            <v xml:space="preserve">NFT-422700693GN00202XXXXXXX </v>
          </cell>
          <cell r="CN708" t="str">
            <v>2024-08-14</v>
          </cell>
          <cell r="CO708">
            <v>1931.367</v>
          </cell>
        </row>
        <row r="709">
          <cell r="CJ709" t="str">
            <v xml:space="preserve">NFT-422700624GN00029XXXXXXX </v>
          </cell>
          <cell r="CK709" t="str">
            <v>2024-08-14</v>
          </cell>
          <cell r="CL709">
            <v>11847.637000000001</v>
          </cell>
          <cell r="CM709" t="str">
            <v xml:space="preserve">NFT-422700693GN00202XXXXXXX </v>
          </cell>
          <cell r="CN709" t="str">
            <v>2024-08-14</v>
          </cell>
          <cell r="CO709">
            <v>2623.8919999999998</v>
          </cell>
        </row>
        <row r="710">
          <cell r="CJ710" t="str">
            <v xml:space="preserve">NFT-422700624GN00029XXXXXXX </v>
          </cell>
          <cell r="CK710" t="str">
            <v>2024-08-14</v>
          </cell>
          <cell r="CL710">
            <v>12540.162</v>
          </cell>
          <cell r="CM710" t="str">
            <v xml:space="preserve">NFT-422700693GN00202XXXXXXX </v>
          </cell>
          <cell r="CN710" t="str">
            <v>2024-08-14</v>
          </cell>
          <cell r="CO710">
            <v>1931.367</v>
          </cell>
        </row>
        <row r="711">
          <cell r="CJ711" t="str">
            <v xml:space="preserve">NFT-422700624GN00029XXXXXXX </v>
          </cell>
          <cell r="CK711" t="str">
            <v>2024-08-14</v>
          </cell>
          <cell r="CL711">
            <v>13761.338</v>
          </cell>
          <cell r="CM711" t="str">
            <v xml:space="preserve">NFT-422700693GN00202XXXXXXX </v>
          </cell>
          <cell r="CN711" t="str">
            <v>2024-08-14</v>
          </cell>
          <cell r="CO711">
            <v>729.07100000000003</v>
          </cell>
        </row>
        <row r="712">
          <cell r="CJ712" t="str">
            <v xml:space="preserve">NFT-422700624GN00029XXXXXXX </v>
          </cell>
          <cell r="CK712" t="str">
            <v>2024-08-14</v>
          </cell>
          <cell r="CL712">
            <v>13742.458000000001</v>
          </cell>
          <cell r="CM712" t="str">
            <v xml:space="preserve">NFT-422700693GN00202XXXXXXX </v>
          </cell>
          <cell r="CN712" t="str">
            <v>2024-08-14</v>
          </cell>
          <cell r="CO712">
            <v>729.07100000000003</v>
          </cell>
        </row>
        <row r="713">
          <cell r="CJ713" t="str">
            <v xml:space="preserve">NFT-422700624GN00029XXXXXXX </v>
          </cell>
          <cell r="CK713" t="str">
            <v>2024-08-14</v>
          </cell>
          <cell r="CL713">
            <v>11938.048000000001</v>
          </cell>
          <cell r="CM713" t="str">
            <v xml:space="preserve">NFT-422700693GN00202XXXXXXX </v>
          </cell>
          <cell r="CN713" t="str">
            <v>2024-08-14</v>
          </cell>
          <cell r="CO713">
            <v>2533.4810000000002</v>
          </cell>
        </row>
        <row r="714">
          <cell r="CJ714" t="str">
            <v xml:space="preserve">NFT-422700624GN00029XXXXXXX </v>
          </cell>
          <cell r="CK714" t="str">
            <v>2024-08-14</v>
          </cell>
          <cell r="CL714">
            <v>12540.162</v>
          </cell>
          <cell r="CM714" t="str">
            <v xml:space="preserve">NFT-422700693GN00202XXXXXXX </v>
          </cell>
          <cell r="CN714" t="str">
            <v>2024-08-14</v>
          </cell>
          <cell r="CO714">
            <v>1931.367</v>
          </cell>
        </row>
        <row r="715">
          <cell r="CJ715" t="str">
            <v xml:space="preserve">NFT-422700624GN00029XXXXXXX </v>
          </cell>
          <cell r="CK715" t="str">
            <v>2024-08-14</v>
          </cell>
          <cell r="CL715">
            <v>12540.162</v>
          </cell>
          <cell r="CM715" t="str">
            <v xml:space="preserve">NFT-422700693GN00202XXXXXXX </v>
          </cell>
          <cell r="CN715" t="str">
            <v>2024-08-14</v>
          </cell>
          <cell r="CO715">
            <v>1931.367</v>
          </cell>
        </row>
        <row r="716">
          <cell r="CJ716" t="str">
            <v xml:space="preserve">NFT-422700624GN00029XXXXXXX </v>
          </cell>
          <cell r="CK716" t="str">
            <v>2024-08-14</v>
          </cell>
          <cell r="CL716">
            <v>12540.162</v>
          </cell>
          <cell r="CM716" t="str">
            <v xml:space="preserve">NFT-422700693GN00202XXXXXXX </v>
          </cell>
          <cell r="CN716" t="str">
            <v>2024-08-14</v>
          </cell>
          <cell r="CO716">
            <v>1931.367</v>
          </cell>
          <cell r="CP716" t="str">
            <v xml:space="preserve">NFT-423600944GN00087XXXXXXX </v>
          </cell>
          <cell r="CQ716" t="str">
            <v>2024-08-23</v>
          </cell>
          <cell r="CR716">
            <v>-12540.162</v>
          </cell>
          <cell r="CS716" t="str">
            <v xml:space="preserve">NFT-423601027GN00067XXXXXXX </v>
          </cell>
          <cell r="CT716" t="str">
            <v>2024-08-23</v>
          </cell>
          <cell r="CU716">
            <v>-1931.367</v>
          </cell>
        </row>
        <row r="717">
          <cell r="CJ717" t="str">
            <v xml:space="preserve">NFT-422700624GN00029XXXXXXX </v>
          </cell>
          <cell r="CK717" t="str">
            <v>2024-08-14</v>
          </cell>
          <cell r="CL717">
            <v>12540.162</v>
          </cell>
          <cell r="CM717" t="str">
            <v xml:space="preserve">NFT-422700693GN00202XXXXXXX </v>
          </cell>
          <cell r="CN717" t="str">
            <v>2024-08-14</v>
          </cell>
          <cell r="CO717">
            <v>1931.367</v>
          </cell>
        </row>
        <row r="718">
          <cell r="CJ718" t="str">
            <v xml:space="preserve">NFT-422700624GN00029XXXXXXX </v>
          </cell>
          <cell r="CK718" t="str">
            <v>2024-08-14</v>
          </cell>
          <cell r="CL718">
            <v>13742.458000000001</v>
          </cell>
          <cell r="CM718" t="str">
            <v xml:space="preserve">NFT-422700693GN00202XXXXXXX </v>
          </cell>
          <cell r="CN718" t="str">
            <v>2024-08-14</v>
          </cell>
          <cell r="CO718">
            <v>729.07100000000003</v>
          </cell>
        </row>
        <row r="719">
          <cell r="CJ719" t="str">
            <v xml:space="preserve">NFT-422700624GN00029XXXXXXX </v>
          </cell>
          <cell r="CK719" t="str">
            <v>2024-08-14</v>
          </cell>
          <cell r="CL719">
            <v>13742.458000000001</v>
          </cell>
          <cell r="CM719" t="str">
            <v xml:space="preserve">NFT-422700693GN00202XXXXXXX </v>
          </cell>
          <cell r="CN719" t="str">
            <v>2024-08-14</v>
          </cell>
          <cell r="CO719">
            <v>729.07100000000003</v>
          </cell>
        </row>
        <row r="720">
          <cell r="CJ720" t="str">
            <v xml:space="preserve">NFT-422700624GN00029XXXXXXX </v>
          </cell>
          <cell r="CK720" t="str">
            <v>2024-08-14</v>
          </cell>
          <cell r="CL720">
            <v>12540.162</v>
          </cell>
          <cell r="CM720" t="str">
            <v xml:space="preserve">NFT-422700693GN00202XXXXXXX </v>
          </cell>
          <cell r="CN720" t="str">
            <v>2024-08-14</v>
          </cell>
          <cell r="CO720">
            <v>1931.367</v>
          </cell>
        </row>
        <row r="721">
          <cell r="CJ721" t="str">
            <v xml:space="preserve">NFT-422700624GN00029XXXXXXX </v>
          </cell>
          <cell r="CK721" t="str">
            <v>2024-08-14</v>
          </cell>
          <cell r="CL721">
            <v>12540.162</v>
          </cell>
          <cell r="CM721" t="str">
            <v xml:space="preserve">NFT-422700693GN00202XXXXXXX </v>
          </cell>
          <cell r="CN721" t="str">
            <v>2024-08-14</v>
          </cell>
          <cell r="CO721">
            <v>1931.367</v>
          </cell>
        </row>
        <row r="722">
          <cell r="CJ722" t="str">
            <v xml:space="preserve">NFT-422700624GN00029XXXXXXX </v>
          </cell>
          <cell r="CK722" t="str">
            <v>2024-08-14</v>
          </cell>
          <cell r="CL722">
            <v>12540.162</v>
          </cell>
          <cell r="CM722" t="str">
            <v xml:space="preserve">NFT-422700693GN00202XXXXXXX </v>
          </cell>
          <cell r="CN722" t="str">
            <v>2024-08-14</v>
          </cell>
          <cell r="CO722">
            <v>1931.367</v>
          </cell>
        </row>
        <row r="723">
          <cell r="CJ723" t="str">
            <v xml:space="preserve">NFT-422700624GN00029XXXXXXX </v>
          </cell>
          <cell r="CK723" t="str">
            <v>2024-08-14</v>
          </cell>
          <cell r="CL723">
            <v>12559.041999999999</v>
          </cell>
          <cell r="CM723" t="str">
            <v xml:space="preserve">NFT-422700693GN00202XXXXXXX </v>
          </cell>
          <cell r="CN723" t="str">
            <v>2024-08-14</v>
          </cell>
          <cell r="CO723">
            <v>1931.367</v>
          </cell>
        </row>
        <row r="724">
          <cell r="CJ724" t="str">
            <v xml:space="preserve">NFT-422700624GN00029XXXXXXX </v>
          </cell>
          <cell r="CK724" t="str">
            <v>2024-08-14</v>
          </cell>
          <cell r="CL724">
            <v>12540.162</v>
          </cell>
          <cell r="CM724" t="str">
            <v xml:space="preserve">NFT-422700693GN00202XXXXXXX </v>
          </cell>
          <cell r="CN724" t="str">
            <v>2024-08-14</v>
          </cell>
          <cell r="CO724">
            <v>1931.367</v>
          </cell>
        </row>
        <row r="725">
          <cell r="CJ725" t="str">
            <v xml:space="preserve">NFT-422700624GN00029XXXXXXX </v>
          </cell>
          <cell r="CK725" t="str">
            <v>2024-08-14</v>
          </cell>
          <cell r="CL725">
            <v>12559.041999999999</v>
          </cell>
          <cell r="CM725" t="str">
            <v xml:space="preserve">NFT-422700693GN00202XXXXXXX </v>
          </cell>
          <cell r="CN725" t="str">
            <v>2024-08-14</v>
          </cell>
          <cell r="CO725">
            <v>1931.367</v>
          </cell>
        </row>
        <row r="726">
          <cell r="CJ726" t="str">
            <v xml:space="preserve">NFT-422700624GN00029XXXXXXX </v>
          </cell>
          <cell r="CK726" t="str">
            <v>2024-08-14</v>
          </cell>
          <cell r="CL726">
            <v>12540.162</v>
          </cell>
          <cell r="CM726" t="str">
            <v xml:space="preserve">NFT-422700693GN00202XXXXXXX </v>
          </cell>
          <cell r="CN726" t="str">
            <v>2024-08-14</v>
          </cell>
          <cell r="CO726">
            <v>1931.367</v>
          </cell>
        </row>
        <row r="727">
          <cell r="CJ727" t="str">
            <v xml:space="preserve">NFT-422700624GN00029XXXXXXX </v>
          </cell>
          <cell r="CK727" t="str">
            <v>2024-08-14</v>
          </cell>
          <cell r="CL727">
            <v>13334.642</v>
          </cell>
          <cell r="CM727" t="str">
            <v xml:space="preserve">NFT-422700693GN00202XXXXXXX </v>
          </cell>
          <cell r="CN727" t="str">
            <v>2024-08-14</v>
          </cell>
          <cell r="CO727">
            <v>1136.8869999999999</v>
          </cell>
        </row>
        <row r="728">
          <cell r="CJ728" t="str">
            <v xml:space="preserve">NFT-422700624GN00029XXXXXXX </v>
          </cell>
          <cell r="CK728" t="str">
            <v>2024-08-14</v>
          </cell>
          <cell r="CL728">
            <v>12540.162</v>
          </cell>
          <cell r="CM728" t="str">
            <v xml:space="preserve">NFT-422700693GN00202XXXXXXX </v>
          </cell>
          <cell r="CN728" t="str">
            <v>2024-08-14</v>
          </cell>
          <cell r="CO728">
            <v>1931.367</v>
          </cell>
        </row>
        <row r="729">
          <cell r="CJ729" t="str">
            <v xml:space="preserve">NFT-422700624GN00029XXXXXXX </v>
          </cell>
          <cell r="CK729" t="str">
            <v>2024-08-14</v>
          </cell>
          <cell r="CL729">
            <v>12540.162</v>
          </cell>
          <cell r="CM729" t="str">
            <v xml:space="preserve">NFT-422700693GN00202XXXXXXX </v>
          </cell>
          <cell r="CN729" t="str">
            <v>2024-08-14</v>
          </cell>
          <cell r="CO729">
            <v>1931.367</v>
          </cell>
        </row>
        <row r="730">
          <cell r="CJ730" t="str">
            <v xml:space="preserve">NFT-422700624GN00029XXXXXXX </v>
          </cell>
          <cell r="CK730" t="str">
            <v>2024-08-14</v>
          </cell>
          <cell r="CL730">
            <v>12641.152</v>
          </cell>
          <cell r="CM730" t="str">
            <v xml:space="preserve">NFT-422700693GN00202XXXXXXX </v>
          </cell>
          <cell r="CN730" t="str">
            <v>2024-08-14</v>
          </cell>
          <cell r="CO730">
            <v>1830.376</v>
          </cell>
        </row>
        <row r="731">
          <cell r="CJ731" t="str">
            <v xml:space="preserve">NFT-422700624GN00029XXXXXXX </v>
          </cell>
          <cell r="CK731" t="str">
            <v>2024-08-14</v>
          </cell>
          <cell r="CL731">
            <v>12506.502</v>
          </cell>
          <cell r="CM731" t="str">
            <v xml:space="preserve">NFT-422700693GN00202XXXXXXX </v>
          </cell>
          <cell r="CN731" t="str">
            <v>2024-08-14</v>
          </cell>
          <cell r="CO731">
            <v>1965.037</v>
          </cell>
        </row>
        <row r="732">
          <cell r="CJ732" t="str">
            <v xml:space="preserve">NFT-422700624GN00029XXXXXXX </v>
          </cell>
          <cell r="CK732" t="str">
            <v>2024-08-14</v>
          </cell>
          <cell r="CL732">
            <v>12544.003000000001</v>
          </cell>
          <cell r="CM732" t="str">
            <v xml:space="preserve">NFT-422700693GN00202XXXXXXX </v>
          </cell>
          <cell r="CN732" t="str">
            <v>2024-08-14</v>
          </cell>
          <cell r="CO732">
            <v>1927.5250000000001</v>
          </cell>
        </row>
        <row r="733">
          <cell r="CJ733" t="str">
            <v xml:space="preserve">NFT-422700624GN00029XXXXXXX </v>
          </cell>
          <cell r="CK733" t="str">
            <v>2024-08-14</v>
          </cell>
          <cell r="CL733">
            <v>12540.162</v>
          </cell>
          <cell r="CM733" t="str">
            <v xml:space="preserve">NFT-422700693GN00202XXXXXXX </v>
          </cell>
          <cell r="CN733" t="str">
            <v>2024-08-14</v>
          </cell>
          <cell r="CO733">
            <v>1931.367</v>
          </cell>
        </row>
        <row r="734">
          <cell r="CJ734" t="str">
            <v xml:space="preserve">NFT-422700624GN00029XXXXXXX </v>
          </cell>
          <cell r="CK734" t="str">
            <v>2024-08-14</v>
          </cell>
          <cell r="CL734">
            <v>12540.162</v>
          </cell>
          <cell r="CM734" t="str">
            <v xml:space="preserve">NFT-422700693GN00202XXXXXXX </v>
          </cell>
          <cell r="CN734" t="str">
            <v>2024-08-14</v>
          </cell>
          <cell r="CO734">
            <v>1931.367</v>
          </cell>
        </row>
        <row r="735">
          <cell r="CJ735" t="str">
            <v xml:space="preserve">NFT-422700624GN00029XXXXXXX </v>
          </cell>
          <cell r="CK735" t="str">
            <v>2024-08-14</v>
          </cell>
          <cell r="CL735">
            <v>12559.041999999999</v>
          </cell>
          <cell r="CM735" t="str">
            <v xml:space="preserve">NFT-422700693GN00202XXXXXXX </v>
          </cell>
          <cell r="CN735" t="str">
            <v>2024-08-14</v>
          </cell>
          <cell r="CO735">
            <v>1931.367</v>
          </cell>
        </row>
        <row r="736">
          <cell r="CJ736" t="str">
            <v xml:space="preserve">NFT-422700624GN00029XXXXXXX </v>
          </cell>
          <cell r="CK736" t="str">
            <v>2024-08-14</v>
          </cell>
          <cell r="CL736">
            <v>12540.162</v>
          </cell>
          <cell r="CM736" t="str">
            <v xml:space="preserve">NFT-422700693GN00202XXXXXXX </v>
          </cell>
          <cell r="CN736" t="str">
            <v>2024-08-14</v>
          </cell>
          <cell r="CO736">
            <v>1931.367</v>
          </cell>
        </row>
        <row r="737">
          <cell r="CJ737" t="str">
            <v xml:space="preserve">NFT-422700624GN00029XXXXXXX </v>
          </cell>
          <cell r="CK737" t="str">
            <v>2024-08-14</v>
          </cell>
          <cell r="CL737">
            <v>12540.162</v>
          </cell>
          <cell r="CM737" t="str">
            <v xml:space="preserve">NFT-422700693GN00202XXXXXXX </v>
          </cell>
          <cell r="CN737" t="str">
            <v>2024-08-14</v>
          </cell>
          <cell r="CO737">
            <v>1931.367</v>
          </cell>
          <cell r="CP737" t="str">
            <v xml:space="preserve">NFT-423600944GN00087XXXXXXX </v>
          </cell>
          <cell r="CQ737" t="str">
            <v>2024-08-23</v>
          </cell>
          <cell r="CR737">
            <v>-12540.162</v>
          </cell>
          <cell r="CS737" t="str">
            <v xml:space="preserve">NFT-423601027GN00067XXXXXXX </v>
          </cell>
          <cell r="CT737" t="str">
            <v>2024-08-23</v>
          </cell>
          <cell r="CU737">
            <v>-1931.367</v>
          </cell>
        </row>
        <row r="738">
          <cell r="CJ738" t="str">
            <v xml:space="preserve">NFT-422700624GN00029XXXXXXX </v>
          </cell>
          <cell r="CK738" t="str">
            <v>2024-08-14</v>
          </cell>
          <cell r="CL738">
            <v>12540.162</v>
          </cell>
          <cell r="CM738" t="str">
            <v xml:space="preserve">NFT-422700693GN00202XXXXXXX </v>
          </cell>
          <cell r="CN738" t="str">
            <v>2024-08-14</v>
          </cell>
          <cell r="CO738">
            <v>1931.367</v>
          </cell>
        </row>
        <row r="739">
          <cell r="CJ739" t="str">
            <v xml:space="preserve">NFT-422700624GN00029XXXXXXX </v>
          </cell>
          <cell r="CK739" t="str">
            <v>2024-08-14</v>
          </cell>
          <cell r="CL739">
            <v>13742.458000000001</v>
          </cell>
          <cell r="CM739" t="str">
            <v xml:space="preserve">NFT-422700693GN00202XXXXXXX </v>
          </cell>
          <cell r="CN739" t="str">
            <v>2024-08-14</v>
          </cell>
          <cell r="CO739">
            <v>729.07100000000003</v>
          </cell>
        </row>
        <row r="740">
          <cell r="CJ740" t="str">
            <v xml:space="preserve">NFT-422700624GN00029XXXXXXX </v>
          </cell>
          <cell r="CK740" t="str">
            <v>2024-08-14</v>
          </cell>
          <cell r="CL740">
            <v>12718.098</v>
          </cell>
          <cell r="CM740" t="str">
            <v xml:space="preserve">NFT-422700693GN00202XXXXXXX </v>
          </cell>
          <cell r="CN740" t="str">
            <v>2024-08-14</v>
          </cell>
          <cell r="CO740">
            <v>1753.432</v>
          </cell>
        </row>
        <row r="741">
          <cell r="CJ741" t="str">
            <v xml:space="preserve">NFT-422700624GN00029XXXXXXX </v>
          </cell>
          <cell r="CK741" t="str">
            <v>2024-08-14</v>
          </cell>
          <cell r="CL741">
            <v>12540.162</v>
          </cell>
          <cell r="CM741" t="str">
            <v xml:space="preserve">NFT-422700693GN00202XXXXXXX </v>
          </cell>
          <cell r="CN741" t="str">
            <v>2024-08-14</v>
          </cell>
          <cell r="CO741">
            <v>1931.367</v>
          </cell>
        </row>
        <row r="742">
          <cell r="CJ742" t="str">
            <v xml:space="preserve">NFT-422700624GN00029XXXXXXX </v>
          </cell>
          <cell r="CK742" t="str">
            <v>2024-08-14</v>
          </cell>
          <cell r="CL742">
            <v>13269.233</v>
          </cell>
          <cell r="CM742" t="str">
            <v xml:space="preserve">NFT-422700693GN00202XXXXXXX </v>
          </cell>
          <cell r="CN742" t="str">
            <v>2024-08-14</v>
          </cell>
          <cell r="CO742">
            <v>1202.296</v>
          </cell>
        </row>
        <row r="743">
          <cell r="CJ743" t="str">
            <v xml:space="preserve">NFT-422700624GN00029XXXXXXX </v>
          </cell>
          <cell r="CK743" t="str">
            <v>2024-08-14</v>
          </cell>
          <cell r="CL743">
            <v>13101.877</v>
          </cell>
          <cell r="CM743" t="str">
            <v xml:space="preserve">NFT-422700693GN00202XXXXXXX </v>
          </cell>
          <cell r="CN743" t="str">
            <v>2024-08-14</v>
          </cell>
          <cell r="CO743">
            <v>1369.652</v>
          </cell>
        </row>
        <row r="744">
          <cell r="CJ744" t="str">
            <v xml:space="preserve">NFT-422700624GN00029XXXXXXX </v>
          </cell>
          <cell r="CK744" t="str">
            <v>2024-08-14</v>
          </cell>
          <cell r="CL744">
            <v>13039.96</v>
          </cell>
          <cell r="CM744" t="str">
            <v xml:space="preserve">NFT-422700693GN00202XXXXXXX </v>
          </cell>
          <cell r="CN744" t="str">
            <v>2024-08-14</v>
          </cell>
          <cell r="CO744">
            <v>1450.4480000000001</v>
          </cell>
        </row>
        <row r="745">
          <cell r="CJ745" t="str">
            <v xml:space="preserve">NFT-422700624GN00029XXXXXXX </v>
          </cell>
          <cell r="CK745" t="str">
            <v>2024-08-14</v>
          </cell>
          <cell r="CL745">
            <v>12540.162</v>
          </cell>
          <cell r="CM745" t="str">
            <v xml:space="preserve">NFT-422700693GN00202XXXXXXX </v>
          </cell>
          <cell r="CN745" t="str">
            <v>2024-08-14</v>
          </cell>
          <cell r="CO745">
            <v>1931.367</v>
          </cell>
        </row>
        <row r="746">
          <cell r="CJ746" t="str">
            <v xml:space="preserve">NFT-422700624GN00029XXXXXXX </v>
          </cell>
          <cell r="CK746" t="str">
            <v>2024-08-14</v>
          </cell>
          <cell r="CL746">
            <v>13315.045</v>
          </cell>
          <cell r="CM746" t="str">
            <v xml:space="preserve">NFT-422700693GN00202XXXXXXX </v>
          </cell>
          <cell r="CN746" t="str">
            <v>2024-08-14</v>
          </cell>
          <cell r="CO746">
            <v>1175.364</v>
          </cell>
        </row>
        <row r="747">
          <cell r="CJ747" t="str">
            <v xml:space="preserve">NFT-422700624GN00029XXXXXXX </v>
          </cell>
          <cell r="CK747" t="str">
            <v>2024-08-14</v>
          </cell>
          <cell r="CL747">
            <v>13743.413</v>
          </cell>
          <cell r="CM747" t="str">
            <v xml:space="preserve">NFT-422700693GN00202XXXXXXX </v>
          </cell>
          <cell r="CN747" t="str">
            <v>2024-08-14</v>
          </cell>
          <cell r="CO747">
            <v>728.11500000000001</v>
          </cell>
        </row>
        <row r="748">
          <cell r="CJ748" t="str">
            <v xml:space="preserve">NFT-422700624GN00029XXXXXXX </v>
          </cell>
          <cell r="CK748" t="str">
            <v>2024-08-14</v>
          </cell>
          <cell r="CL748">
            <v>13039.96</v>
          </cell>
          <cell r="CM748" t="str">
            <v xml:space="preserve">NFT-422700693GN00202XXXXXXX </v>
          </cell>
          <cell r="CN748" t="str">
            <v>2024-08-14</v>
          </cell>
          <cell r="CO748">
            <v>1450.4480000000001</v>
          </cell>
        </row>
        <row r="749">
          <cell r="CJ749" t="str">
            <v xml:space="preserve">NFT-422700624GN00029XXXXXXX </v>
          </cell>
          <cell r="CK749" t="str">
            <v>2024-08-14</v>
          </cell>
          <cell r="CL749">
            <v>12559.041999999999</v>
          </cell>
          <cell r="CM749" t="str">
            <v xml:space="preserve">NFT-422700693GN00202XXXXXXX </v>
          </cell>
          <cell r="CN749" t="str">
            <v>2024-08-14</v>
          </cell>
          <cell r="CO749">
            <v>1931.367</v>
          </cell>
        </row>
        <row r="750">
          <cell r="CJ750" t="str">
            <v xml:space="preserve">NFT-422700624GN00029XXXXXXX </v>
          </cell>
          <cell r="CK750" t="str">
            <v>2024-08-14</v>
          </cell>
          <cell r="CL750">
            <v>12540.162</v>
          </cell>
          <cell r="CM750" t="str">
            <v xml:space="preserve">NFT-422700693GN00202XXXXXXX </v>
          </cell>
          <cell r="CN750" t="str">
            <v>2024-08-14</v>
          </cell>
          <cell r="CO750">
            <v>1931.367</v>
          </cell>
        </row>
        <row r="751">
          <cell r="CJ751" t="str">
            <v xml:space="preserve">NFT-422700624GN00029XXXXXXX </v>
          </cell>
          <cell r="CK751" t="str">
            <v>2024-08-14</v>
          </cell>
          <cell r="CL751">
            <v>12540.162</v>
          </cell>
          <cell r="CM751" t="str">
            <v xml:space="preserve">NFT-422700693GN00202XXXXXXX </v>
          </cell>
          <cell r="CN751" t="str">
            <v>2024-08-14</v>
          </cell>
          <cell r="CO751">
            <v>1931.367</v>
          </cell>
        </row>
        <row r="752">
          <cell r="CJ752" t="str">
            <v xml:space="preserve">NFT-422700624GN00029XXXXXXX </v>
          </cell>
          <cell r="CK752" t="str">
            <v>2024-08-14</v>
          </cell>
          <cell r="CL752">
            <v>13742.458000000001</v>
          </cell>
          <cell r="CM752" t="str">
            <v xml:space="preserve">NFT-422700693GN00202XXXXXXX </v>
          </cell>
          <cell r="CN752" t="str">
            <v>2024-08-14</v>
          </cell>
          <cell r="CO752">
            <v>729.07100000000003</v>
          </cell>
        </row>
        <row r="753">
          <cell r="CJ753" t="str">
            <v xml:space="preserve">NFT-422700624GN00029XXXXXXX </v>
          </cell>
          <cell r="CK753" t="str">
            <v>2024-08-14</v>
          </cell>
          <cell r="CL753">
            <v>12540.162</v>
          </cell>
          <cell r="CM753" t="str">
            <v xml:space="preserve">NFT-422700693GN00202XXXXXXX </v>
          </cell>
          <cell r="CN753" t="str">
            <v>2024-08-14</v>
          </cell>
          <cell r="CO753">
            <v>1931.367</v>
          </cell>
        </row>
        <row r="754">
          <cell r="CJ754" t="str">
            <v xml:space="preserve">NFT-422700624GN00029XXXXXXX </v>
          </cell>
          <cell r="CK754" t="str">
            <v>2024-08-14</v>
          </cell>
          <cell r="CL754">
            <v>12540.162</v>
          </cell>
          <cell r="CM754" t="str">
            <v xml:space="preserve">NFT-422700693GN00202XXXXXXX </v>
          </cell>
          <cell r="CN754" t="str">
            <v>2024-08-14</v>
          </cell>
          <cell r="CO754">
            <v>1931.367</v>
          </cell>
        </row>
        <row r="755">
          <cell r="CJ755" t="str">
            <v xml:space="preserve">NFT-422700624GN00029XXXXXXX </v>
          </cell>
          <cell r="CK755" t="str">
            <v>2024-08-14</v>
          </cell>
          <cell r="CL755">
            <v>12540.162</v>
          </cell>
          <cell r="CM755" t="str">
            <v xml:space="preserve">NFT-422700693GN00202XXXXXXX </v>
          </cell>
          <cell r="CN755" t="str">
            <v>2024-08-14</v>
          </cell>
          <cell r="CO755">
            <v>1931.367</v>
          </cell>
        </row>
        <row r="756">
          <cell r="CJ756" t="str">
            <v xml:space="preserve">NFT-422700624GN00029XXXXXXX </v>
          </cell>
          <cell r="CK756" t="str">
            <v>2024-08-14</v>
          </cell>
          <cell r="CL756">
            <v>12540.162</v>
          </cell>
          <cell r="CM756" t="str">
            <v xml:space="preserve">NFT-422700693GN00202XXXXXXX </v>
          </cell>
          <cell r="CN756" t="str">
            <v>2024-08-14</v>
          </cell>
          <cell r="CO756">
            <v>1931.367</v>
          </cell>
        </row>
        <row r="757">
          <cell r="CJ757" t="str">
            <v xml:space="preserve">NFT-422700624GN00029XXXXXXX </v>
          </cell>
          <cell r="CK757" t="str">
            <v>2024-08-14</v>
          </cell>
          <cell r="CL757">
            <v>12540.162</v>
          </cell>
          <cell r="CM757" t="str">
            <v xml:space="preserve">NFT-422700693GN00202XXXXXXX </v>
          </cell>
          <cell r="CN757" t="str">
            <v>2024-08-14</v>
          </cell>
          <cell r="CO757">
            <v>1931.367</v>
          </cell>
        </row>
        <row r="758">
          <cell r="CJ758" t="str">
            <v xml:space="preserve">NFT-422700624GN00029XXXXXXX </v>
          </cell>
          <cell r="CK758" t="str">
            <v>2024-08-14</v>
          </cell>
          <cell r="CL758">
            <v>13742.458000000001</v>
          </cell>
          <cell r="CM758" t="str">
            <v xml:space="preserve">NFT-422700693GN00202XXXXXXX </v>
          </cell>
          <cell r="CN758" t="str">
            <v>2024-08-14</v>
          </cell>
          <cell r="CO758">
            <v>729.07100000000003</v>
          </cell>
        </row>
        <row r="759">
          <cell r="CJ759" t="str">
            <v xml:space="preserve">NFT-422700624GN00029XXXXXXX </v>
          </cell>
          <cell r="CK759" t="str">
            <v>2024-08-14</v>
          </cell>
          <cell r="CL759">
            <v>12559.996999999999</v>
          </cell>
          <cell r="CM759" t="str">
            <v xml:space="preserve">NFT-422700693GN00202XXXXXXX </v>
          </cell>
          <cell r="CN759" t="str">
            <v>2024-08-14</v>
          </cell>
          <cell r="CO759">
            <v>1930.402</v>
          </cell>
        </row>
        <row r="760">
          <cell r="CJ760" t="str">
            <v xml:space="preserve">NFT-422700624GN00029XXXXXXX </v>
          </cell>
          <cell r="CK760" t="str">
            <v>2024-08-14</v>
          </cell>
          <cell r="CL760">
            <v>12559.041999999999</v>
          </cell>
          <cell r="CM760" t="str">
            <v xml:space="preserve">NFT-422700693GN00202XXXXXXX </v>
          </cell>
          <cell r="CN760" t="str">
            <v>2024-08-14</v>
          </cell>
          <cell r="CO760">
            <v>1931.367</v>
          </cell>
        </row>
        <row r="761">
          <cell r="CJ761" t="str">
            <v xml:space="preserve">NFT-422700624GN00029XXXXXXX </v>
          </cell>
          <cell r="CK761" t="str">
            <v>2024-08-14</v>
          </cell>
          <cell r="CL761">
            <v>14490.409</v>
          </cell>
        </row>
        <row r="762">
          <cell r="CJ762" t="str">
            <v xml:space="preserve">NFT-422900441GN00081XXXXXXX </v>
          </cell>
          <cell r="CK762" t="str">
            <v>2024-08-16</v>
          </cell>
          <cell r="CL762">
            <v>12540.162</v>
          </cell>
          <cell r="CM762" t="str">
            <v xml:space="preserve">NFT-422900461GN00273XXXXXXX </v>
          </cell>
          <cell r="CN762" t="str">
            <v>2024-08-16</v>
          </cell>
          <cell r="CO762">
            <v>1931.367</v>
          </cell>
        </row>
        <row r="763">
          <cell r="CJ763" t="str">
            <v xml:space="preserve">NFT-422900441GN00081XXXXXXX </v>
          </cell>
          <cell r="CK763" t="str">
            <v>2024-08-16</v>
          </cell>
          <cell r="CL763">
            <v>12559.041999999999</v>
          </cell>
          <cell r="CM763" t="str">
            <v xml:space="preserve">NFT-422900461GN00273XXXXXXX </v>
          </cell>
          <cell r="CN763" t="str">
            <v>2024-08-16</v>
          </cell>
          <cell r="CO763">
            <v>1931.367</v>
          </cell>
        </row>
        <row r="764">
          <cell r="CJ764" t="str">
            <v xml:space="preserve">NFT-422900441GN00081XXXXXXX </v>
          </cell>
          <cell r="CK764" t="str">
            <v>2024-08-16</v>
          </cell>
          <cell r="CL764">
            <v>12540.162</v>
          </cell>
          <cell r="CM764" t="str">
            <v xml:space="preserve">NFT-422900461GN00273XXXXXXX </v>
          </cell>
          <cell r="CN764" t="str">
            <v>2024-08-16</v>
          </cell>
          <cell r="CO764">
            <v>1931.367</v>
          </cell>
        </row>
        <row r="765">
          <cell r="CJ765" t="str">
            <v xml:space="preserve">NFT-422900441GN00081XXXXXXX </v>
          </cell>
          <cell r="CK765" t="str">
            <v>2024-08-16</v>
          </cell>
          <cell r="CL765">
            <v>12540.162</v>
          </cell>
          <cell r="CM765" t="str">
            <v xml:space="preserve">NFT-422900461GN00273XXXXXXX </v>
          </cell>
          <cell r="CN765" t="str">
            <v>2024-08-16</v>
          </cell>
          <cell r="CO765">
            <v>1931.367</v>
          </cell>
        </row>
        <row r="766">
          <cell r="CJ766" t="str">
            <v xml:space="preserve">NFT-422900441GN00081XXXXXXX </v>
          </cell>
          <cell r="CK766" t="str">
            <v>2024-08-16</v>
          </cell>
          <cell r="CL766">
            <v>12540.162</v>
          </cell>
          <cell r="CM766" t="str">
            <v xml:space="preserve">NFT-422900461GN00273XXXXXXX </v>
          </cell>
          <cell r="CN766" t="str">
            <v>2024-08-16</v>
          </cell>
          <cell r="CO766">
            <v>1931.367</v>
          </cell>
        </row>
        <row r="767">
          <cell r="CJ767" t="str">
            <v xml:space="preserve">NFT-422900441GN00081XXXXXXX </v>
          </cell>
          <cell r="CK767" t="str">
            <v>2024-08-16</v>
          </cell>
          <cell r="CL767">
            <v>12559.041999999999</v>
          </cell>
          <cell r="CM767" t="str">
            <v xml:space="preserve">NFT-422900461GN00273XXXXXXX </v>
          </cell>
          <cell r="CN767" t="str">
            <v>2024-08-16</v>
          </cell>
          <cell r="CO767">
            <v>1931.367</v>
          </cell>
        </row>
        <row r="768">
          <cell r="CJ768" t="str">
            <v xml:space="preserve">NFT-422900441GN00081XXXXXXX </v>
          </cell>
          <cell r="CK768" t="str">
            <v>2024-08-16</v>
          </cell>
          <cell r="CL768">
            <v>12540.162</v>
          </cell>
          <cell r="CM768" t="str">
            <v xml:space="preserve">NFT-422900461GN00273XXXXXXX </v>
          </cell>
          <cell r="CN768" t="str">
            <v>2024-08-16</v>
          </cell>
          <cell r="CO768">
            <v>1931.367</v>
          </cell>
        </row>
        <row r="769">
          <cell r="CJ769" t="str">
            <v xml:space="preserve">NFT-422900441GN00081XXXXXXX </v>
          </cell>
          <cell r="CK769" t="str">
            <v>2024-08-16</v>
          </cell>
          <cell r="CL769">
            <v>12540.162</v>
          </cell>
          <cell r="CM769" t="str">
            <v xml:space="preserve">NFT-422900461GN00273XXXXXXX </v>
          </cell>
          <cell r="CN769" t="str">
            <v>2024-08-16</v>
          </cell>
          <cell r="CO769">
            <v>1931.367</v>
          </cell>
        </row>
        <row r="770">
          <cell r="CJ770" t="str">
            <v xml:space="preserve">NFT-422900441GN00081XXXXXXX </v>
          </cell>
          <cell r="CK770" t="str">
            <v>2024-08-16</v>
          </cell>
          <cell r="CL770">
            <v>12540.162</v>
          </cell>
          <cell r="CM770" t="str">
            <v xml:space="preserve">NFT-422900461GN00273XXXXXXX </v>
          </cell>
          <cell r="CN770" t="str">
            <v>2024-08-16</v>
          </cell>
          <cell r="CO770">
            <v>1931.367</v>
          </cell>
        </row>
        <row r="771">
          <cell r="CJ771" t="str">
            <v xml:space="preserve">NFT-422900441GN00081XXXXXXX </v>
          </cell>
          <cell r="CK771" t="str">
            <v>2024-08-16</v>
          </cell>
          <cell r="CL771">
            <v>12540.162</v>
          </cell>
          <cell r="CM771" t="str">
            <v xml:space="preserve">NFT-422900461GN00273XXXXXXX </v>
          </cell>
          <cell r="CN771" t="str">
            <v>2024-08-16</v>
          </cell>
          <cell r="CO771">
            <v>1931.367</v>
          </cell>
        </row>
        <row r="772">
          <cell r="CJ772" t="str">
            <v xml:space="preserve">NFT-422900441GN00081XXXXXXX </v>
          </cell>
          <cell r="CK772" t="str">
            <v>2024-08-16</v>
          </cell>
          <cell r="CL772">
            <v>12540.162</v>
          </cell>
          <cell r="CM772" t="str">
            <v xml:space="preserve">NFT-422900461GN00273XXXXXXX </v>
          </cell>
          <cell r="CN772" t="str">
            <v>2024-08-16</v>
          </cell>
          <cell r="CO772">
            <v>1931.367</v>
          </cell>
        </row>
        <row r="773">
          <cell r="CJ773" t="str">
            <v xml:space="preserve">NFT-422900441GN00081XXXXXXX </v>
          </cell>
          <cell r="CK773" t="str">
            <v>2024-08-16</v>
          </cell>
          <cell r="CL773">
            <v>12843.135</v>
          </cell>
          <cell r="CM773" t="str">
            <v xml:space="preserve">NFT-422900461GN00273XXXXXXX </v>
          </cell>
          <cell r="CN773" t="str">
            <v>2024-08-16</v>
          </cell>
          <cell r="CO773">
            <v>1974.652</v>
          </cell>
          <cell r="CP773" t="str">
            <v xml:space="preserve">NFT-425000928GN00239XXXXXXX </v>
          </cell>
          <cell r="CQ773" t="str">
            <v>2024-09-06</v>
          </cell>
          <cell r="CR773">
            <v>-12843.135</v>
          </cell>
          <cell r="CS773" t="str">
            <v xml:space="preserve">NFT-425000978GN00015XXXXXXX </v>
          </cell>
          <cell r="CT773" t="str">
            <v>2024-09-06</v>
          </cell>
          <cell r="CU773">
            <v>-1974.652</v>
          </cell>
        </row>
        <row r="774">
          <cell r="CJ774" t="str">
            <v xml:space="preserve">NFT-422900441GN00081XXXXXXX </v>
          </cell>
          <cell r="CK774" t="str">
            <v>2024-08-16</v>
          </cell>
          <cell r="CL774">
            <v>12540.162</v>
          </cell>
          <cell r="CM774" t="str">
            <v xml:space="preserve">NFT-422900461GN00273XXXXXXX </v>
          </cell>
          <cell r="CN774" t="str">
            <v>2024-08-16</v>
          </cell>
          <cell r="CO774">
            <v>1931.367</v>
          </cell>
        </row>
        <row r="775">
          <cell r="CJ775" t="str">
            <v xml:space="preserve">NFT-422900441GN00081XXXXXXX </v>
          </cell>
          <cell r="CK775" t="str">
            <v>2024-08-16</v>
          </cell>
          <cell r="CL775">
            <v>12540.162</v>
          </cell>
          <cell r="CM775" t="str">
            <v xml:space="preserve">NFT-422900461GN00273XXXXXXX </v>
          </cell>
          <cell r="CN775" t="str">
            <v>2024-08-16</v>
          </cell>
          <cell r="CO775">
            <v>1931.367</v>
          </cell>
        </row>
        <row r="776">
          <cell r="CJ776" t="str">
            <v xml:space="preserve">NFT-422900441GN00081XXXXXXX </v>
          </cell>
          <cell r="CK776" t="str">
            <v>2024-08-16</v>
          </cell>
          <cell r="CL776">
            <v>12540.162</v>
          </cell>
          <cell r="CM776" t="str">
            <v xml:space="preserve">NFT-422900461GN00273XXXXXXX </v>
          </cell>
          <cell r="CN776" t="str">
            <v>2024-08-16</v>
          </cell>
          <cell r="CO776">
            <v>1931.367</v>
          </cell>
        </row>
        <row r="777">
          <cell r="CJ777" t="str">
            <v xml:space="preserve">NFT-422900441GN00081XXXXXXX </v>
          </cell>
          <cell r="CK777" t="str">
            <v>2024-08-16</v>
          </cell>
          <cell r="CL777">
            <v>12559.041999999999</v>
          </cell>
          <cell r="CM777" t="str">
            <v xml:space="preserve">NFT-422900461GN00273XXXXXXX </v>
          </cell>
          <cell r="CN777" t="str">
            <v>2024-08-16</v>
          </cell>
          <cell r="CO777">
            <v>1931.367</v>
          </cell>
        </row>
        <row r="778">
          <cell r="CJ778" t="str">
            <v xml:space="preserve">NFT-422900441GN00081XXXXXXX </v>
          </cell>
          <cell r="CK778" t="str">
            <v>2024-08-16</v>
          </cell>
          <cell r="CL778">
            <v>6352.308</v>
          </cell>
          <cell r="CM778" t="str">
            <v xml:space="preserve">NFT-422900461GN00273XXXXXXX </v>
          </cell>
          <cell r="CN778" t="str">
            <v>2024-08-16</v>
          </cell>
          <cell r="CO778">
            <v>1135.932</v>
          </cell>
        </row>
        <row r="779">
          <cell r="CJ779" t="str">
            <v xml:space="preserve">NFT-422900441GN00081XXXXXXX </v>
          </cell>
          <cell r="CK779" t="str">
            <v>2024-08-16</v>
          </cell>
          <cell r="CL779">
            <v>13047.654</v>
          </cell>
          <cell r="CM779" t="str">
            <v xml:space="preserve">NFT-422900461GN00273XXXXXXX </v>
          </cell>
          <cell r="CN779" t="str">
            <v>2024-08-16</v>
          </cell>
          <cell r="CO779">
            <v>1442.7550000000001</v>
          </cell>
        </row>
        <row r="780">
          <cell r="CJ780" t="str">
            <v xml:space="preserve">NFT-422900441GN00081XXXXXXX </v>
          </cell>
          <cell r="CK780" t="str">
            <v>2024-08-16</v>
          </cell>
          <cell r="CL780">
            <v>71994.183000000005</v>
          </cell>
          <cell r="CM780" t="str">
            <v xml:space="preserve">NFT-422900461GN00273XXXXXXX </v>
          </cell>
          <cell r="CN780" t="str">
            <v>2024-08-16</v>
          </cell>
          <cell r="CO780">
            <v>630.00099999999998</v>
          </cell>
        </row>
        <row r="781">
          <cell r="CJ781" t="str">
            <v xml:space="preserve">NFT-422900441GN00081XXXXXXX </v>
          </cell>
          <cell r="CK781" t="str">
            <v>2024-08-16</v>
          </cell>
          <cell r="CL781">
            <v>71989.375</v>
          </cell>
        </row>
        <row r="782">
          <cell r="CJ782" t="str">
            <v xml:space="preserve">NFT-422900441GN00081XXXXXXX </v>
          </cell>
          <cell r="CK782" t="str">
            <v>2024-08-16</v>
          </cell>
          <cell r="CL782">
            <v>13047.654</v>
          </cell>
          <cell r="CM782" t="str">
            <v xml:space="preserve">NFT-422900461GN00273XXXXXXX </v>
          </cell>
          <cell r="CN782" t="str">
            <v>2024-08-16</v>
          </cell>
          <cell r="CO782">
            <v>1442.7550000000001</v>
          </cell>
        </row>
        <row r="783">
          <cell r="CJ783" t="str">
            <v xml:space="preserve">NFT-422900441GN00081XXXXXXX </v>
          </cell>
          <cell r="CK783" t="str">
            <v>2024-08-16</v>
          </cell>
          <cell r="CL783">
            <v>11231.125</v>
          </cell>
        </row>
        <row r="784">
          <cell r="CJ784" t="str">
            <v xml:space="preserve">NFT-422900441GN00081XXXXXXX </v>
          </cell>
          <cell r="CK784" t="str">
            <v>2024-08-16</v>
          </cell>
          <cell r="CL784">
            <v>37093.576000000001</v>
          </cell>
        </row>
        <row r="785">
          <cell r="CJ785" t="str">
            <v xml:space="preserve">NFT-422900441GN00081XXXXXXX </v>
          </cell>
          <cell r="CK785" t="str">
            <v>2024-08-16</v>
          </cell>
          <cell r="CL785">
            <v>37093.576000000001</v>
          </cell>
          <cell r="CM785" t="str">
            <v xml:space="preserve">NFT-423600944GN00087XXXXXXX </v>
          </cell>
          <cell r="CN785" t="str">
            <v>2024-08-23</v>
          </cell>
          <cell r="CO785">
            <v>-37093.576000000001</v>
          </cell>
        </row>
        <row r="786">
          <cell r="CJ786" t="str">
            <v xml:space="preserve">NFT-422900441GN00081XXXXXXX </v>
          </cell>
          <cell r="CK786" t="str">
            <v>2024-08-16</v>
          </cell>
          <cell r="CL786">
            <v>37074.696000000004</v>
          </cell>
        </row>
        <row r="787">
          <cell r="CJ787" t="str">
            <v xml:space="preserve">NFT-422900441GN00081XXXXXXX </v>
          </cell>
          <cell r="CK787" t="str">
            <v>2024-08-16</v>
          </cell>
          <cell r="CL787">
            <v>37074.696000000004</v>
          </cell>
        </row>
        <row r="788">
          <cell r="CJ788" t="str">
            <v xml:space="preserve">NFT-422900441GN00081XXXXXXX </v>
          </cell>
          <cell r="CK788" t="str">
            <v>2024-08-16</v>
          </cell>
          <cell r="CL788">
            <v>73104.752999999997</v>
          </cell>
        </row>
        <row r="789">
          <cell r="CJ789" t="str">
            <v xml:space="preserve">NFT-422900441GN00081XXXXXXX </v>
          </cell>
          <cell r="CK789" t="str">
            <v>2024-08-16</v>
          </cell>
          <cell r="CL789">
            <v>74168.271999999997</v>
          </cell>
        </row>
        <row r="790">
          <cell r="CJ790" t="str">
            <v xml:space="preserve">NFT-422900441GN00081XXXXXXX </v>
          </cell>
          <cell r="CK790" t="str">
            <v>2024-08-16</v>
          </cell>
          <cell r="CL790">
            <v>146190.61600000001</v>
          </cell>
        </row>
        <row r="791">
          <cell r="CJ791" t="str">
            <v xml:space="preserve">NFT-422900441GN00081XXXXXXX </v>
          </cell>
          <cell r="CK791" t="str">
            <v>2024-08-16</v>
          </cell>
          <cell r="CL791">
            <v>73104.752999999997</v>
          </cell>
        </row>
        <row r="792">
          <cell r="CJ792" t="str">
            <v xml:space="preserve">NFT-422900441GN00081XXXXXXX </v>
          </cell>
          <cell r="CK792" t="str">
            <v>2024-08-16</v>
          </cell>
          <cell r="CL792">
            <v>72396.842000000004</v>
          </cell>
          <cell r="CM792" t="str">
            <v xml:space="preserve">NFT-422900461GN00273XXXXXXX </v>
          </cell>
          <cell r="CN792" t="str">
            <v>2024-08-16</v>
          </cell>
          <cell r="CO792">
            <v>707.91200000000003</v>
          </cell>
        </row>
        <row r="793">
          <cell r="CJ793" t="str">
            <v xml:space="preserve">NFT-422900441GN00081XXXXXXX </v>
          </cell>
          <cell r="CK793" t="str">
            <v>2024-08-16</v>
          </cell>
          <cell r="CL793">
            <v>72400.076000000001</v>
          </cell>
          <cell r="CM793" t="str">
            <v xml:space="preserve">NFT-422900461GN00273XXXXXXX </v>
          </cell>
          <cell r="CN793" t="str">
            <v>2024-08-16</v>
          </cell>
          <cell r="CO793">
            <v>743.50300000000004</v>
          </cell>
        </row>
        <row r="795">
          <cell r="CJ795" t="str">
            <v xml:space="preserve">NFT-422900441GN00081XXXXXXX </v>
          </cell>
          <cell r="CK795" t="str">
            <v>2024-08-16</v>
          </cell>
          <cell r="CL795">
            <v>73470.248999999996</v>
          </cell>
          <cell r="CM795" t="str">
            <v xml:space="preserve">NFT-/XUTR/DEUTH02428867200X </v>
          </cell>
          <cell r="CN795" t="str">
            <v>2024-10-14</v>
          </cell>
          <cell r="CO795">
            <v>-73628.369000000006</v>
          </cell>
        </row>
        <row r="797">
          <cell r="CJ797" t="str">
            <v xml:space="preserve">NFT-422900441GN00081XXXXXXX </v>
          </cell>
          <cell r="CK797" t="str">
            <v>2024-08-16</v>
          </cell>
          <cell r="CL797">
            <v>14056.18</v>
          </cell>
        </row>
        <row r="798">
          <cell r="CJ798" t="str">
            <v xml:space="preserve">NFT-422900441GN00081XXXXXXX </v>
          </cell>
          <cell r="CK798" t="str">
            <v>2024-08-16</v>
          </cell>
          <cell r="CL798">
            <v>36747.317999999999</v>
          </cell>
        </row>
        <row r="799">
          <cell r="CJ799" t="str">
            <v xml:space="preserve">NFT-422900441GN00081XXXXXXX </v>
          </cell>
          <cell r="CK799" t="str">
            <v>2024-08-16</v>
          </cell>
          <cell r="CL799">
            <v>73470.248999999996</v>
          </cell>
          <cell r="CM799" t="str">
            <v xml:space="preserve">NFT-423200864GN00138XXXXXXX </v>
          </cell>
          <cell r="CN799" t="str">
            <v>2024-08-19</v>
          </cell>
          <cell r="CO799">
            <v>-73470.248999999996</v>
          </cell>
        </row>
        <row r="800">
          <cell r="CJ800" t="str">
            <v xml:space="preserve">NFT-422900441GN00081XXXXXXX </v>
          </cell>
          <cell r="CK800" t="str">
            <v>2024-08-16</v>
          </cell>
          <cell r="CL800">
            <v>2236.962</v>
          </cell>
          <cell r="CM800" t="str">
            <v xml:space="preserve">NFT-424100873GN00159XXXXXXX </v>
          </cell>
          <cell r="CN800" t="str">
            <v>2024-08-28</v>
          </cell>
          <cell r="CO800">
            <v>-2236.962</v>
          </cell>
          <cell r="CP800" t="str">
            <v xml:space="preserve">NFT-/XUTR/DEUTH02427825558X </v>
          </cell>
          <cell r="CQ800" t="str">
            <v>2024-10-04</v>
          </cell>
          <cell r="CR800">
            <v>2236.96</v>
          </cell>
        </row>
        <row r="801">
          <cell r="CJ801" t="str">
            <v xml:space="preserve">NFT-422900441GN00081XXXXXXX </v>
          </cell>
          <cell r="CK801" t="str">
            <v>2024-08-16</v>
          </cell>
          <cell r="CL801">
            <v>36545.686000000002</v>
          </cell>
        </row>
        <row r="802">
          <cell r="CJ802" t="str">
            <v xml:space="preserve">NFT-422900441GN00081XXXXXXX </v>
          </cell>
          <cell r="CK802" t="str">
            <v>2024-08-16</v>
          </cell>
          <cell r="CL802">
            <v>14952.447</v>
          </cell>
        </row>
        <row r="803">
          <cell r="CJ803" t="str">
            <v xml:space="preserve">NFT-422900441GN00081XXXXXXX </v>
          </cell>
          <cell r="CK803" t="str">
            <v>2024-08-16</v>
          </cell>
          <cell r="CL803">
            <v>1275.124</v>
          </cell>
        </row>
        <row r="804">
          <cell r="CJ804" t="str">
            <v xml:space="preserve">NFT-422900441GN00081XXXXXXX </v>
          </cell>
          <cell r="CK804" t="str">
            <v>2024-08-16</v>
          </cell>
          <cell r="CL804">
            <v>73383.680999999997</v>
          </cell>
        </row>
        <row r="805">
          <cell r="CJ805" t="str">
            <v xml:space="preserve">NFT-422900441GN00081XXXXXXX </v>
          </cell>
          <cell r="CK805" t="str">
            <v>2024-08-16</v>
          </cell>
          <cell r="CL805">
            <v>1294.0039999999999</v>
          </cell>
        </row>
        <row r="806">
          <cell r="CJ806" t="str">
            <v xml:space="preserve">NFT-422900441GN00081XXXXXXX </v>
          </cell>
          <cell r="CK806" t="str">
            <v>2024-08-16</v>
          </cell>
          <cell r="CL806">
            <v>73335.588000000003</v>
          </cell>
        </row>
        <row r="807">
          <cell r="CJ807" t="str">
            <v xml:space="preserve">NFT-422900441GN00081XXXXXXX </v>
          </cell>
          <cell r="CK807" t="str">
            <v>2024-08-16</v>
          </cell>
          <cell r="CL807">
            <v>36661.108</v>
          </cell>
          <cell r="CM807" t="str">
            <v xml:space="preserve">NFT-424800948GN00078XXXXXXX </v>
          </cell>
          <cell r="CN807" t="str">
            <v>2024-09-04</v>
          </cell>
          <cell r="CO807">
            <v>-36661.108</v>
          </cell>
        </row>
        <row r="808">
          <cell r="CJ808" t="str">
            <v xml:space="preserve">NFT-423200864GN00138XXXXXXX </v>
          </cell>
          <cell r="CK808" t="str">
            <v>2024-08-19</v>
          </cell>
          <cell r="CL808">
            <v>73132.034</v>
          </cell>
          <cell r="CP808" t="str">
            <v xml:space="preserve">NFT-423201020GN00282XXXXXXX </v>
          </cell>
          <cell r="CQ808" t="str">
            <v>2024-08-19</v>
          </cell>
          <cell r="CR808">
            <v>1829.4110000000001</v>
          </cell>
        </row>
        <row r="809">
          <cell r="CJ809" t="str">
            <v xml:space="preserve">NFT-423200864GN00138XXXXXXX </v>
          </cell>
          <cell r="CK809" t="str">
            <v>2024-08-19</v>
          </cell>
          <cell r="CL809">
            <v>13606.483</v>
          </cell>
          <cell r="CP809" t="str">
            <v xml:space="preserve">NFT-423201020GN00282XXXXXXX </v>
          </cell>
          <cell r="CQ809" t="str">
            <v>2024-08-19</v>
          </cell>
          <cell r="CR809">
            <v>1480.268</v>
          </cell>
        </row>
        <row r="810">
          <cell r="CJ810" t="str">
            <v xml:space="preserve">NFT-423200864GN00138XXXXXXX </v>
          </cell>
          <cell r="CK810" t="str">
            <v>2024-08-19</v>
          </cell>
          <cell r="CL810">
            <v>14308.98</v>
          </cell>
          <cell r="CP810" t="str">
            <v xml:space="preserve">NFT-423201020GN00282XXXXXXX </v>
          </cell>
          <cell r="CQ810" t="str">
            <v>2024-08-19</v>
          </cell>
          <cell r="CR810">
            <v>758.89</v>
          </cell>
        </row>
        <row r="811">
          <cell r="CJ811" t="str">
            <v xml:space="preserve">NFT-423200864GN00138XXXXXXX </v>
          </cell>
          <cell r="CK811" t="str">
            <v>2024-08-19</v>
          </cell>
          <cell r="CL811">
            <v>45563.385999999999</v>
          </cell>
          <cell r="CM811" t="str">
            <v xml:space="preserve">NFT-423400974GN00225XXXXXXX </v>
          </cell>
          <cell r="CN811" t="str">
            <v>2024-08-21</v>
          </cell>
          <cell r="CO811">
            <v>-45563.385999999999</v>
          </cell>
          <cell r="CP811" t="str">
            <v xml:space="preserve">NFT-423201020GN00282XXXXXXX </v>
          </cell>
          <cell r="CQ811" t="str">
            <v>2024-08-19</v>
          </cell>
          <cell r="CR811">
            <v>2402.672</v>
          </cell>
          <cell r="CS811" t="str">
            <v xml:space="preserve">NFT-423401022GN00277XXXXXXX </v>
          </cell>
          <cell r="CT811" t="str">
            <v>2024-08-21</v>
          </cell>
          <cell r="CU811">
            <v>-2402.672</v>
          </cell>
        </row>
        <row r="812">
          <cell r="CJ812" t="str">
            <v xml:space="preserve">NFT-423200864GN00138XXXXXXX </v>
          </cell>
          <cell r="CK812" t="str">
            <v>2024-08-19</v>
          </cell>
          <cell r="CL812">
            <v>72075.944000000003</v>
          </cell>
          <cell r="CM812" t="str">
            <v xml:space="preserve">NFT-423600944GN00087XXXXXXX </v>
          </cell>
          <cell r="CN812" t="str">
            <v>2024-08-23</v>
          </cell>
          <cell r="CO812">
            <v>-72075.944000000003</v>
          </cell>
          <cell r="CP812" t="str">
            <v xml:space="preserve">NFT-423201020GN00282XXXXXXX </v>
          </cell>
          <cell r="CQ812" t="str">
            <v>2024-08-19</v>
          </cell>
          <cell r="CR812">
            <v>2885.511</v>
          </cell>
          <cell r="CS812" t="str">
            <v xml:space="preserve">NFT-423601027GN00067XXXXXXX </v>
          </cell>
          <cell r="CT812" t="str">
            <v>2024-08-23</v>
          </cell>
          <cell r="CU812">
            <v>-2885.511</v>
          </cell>
        </row>
        <row r="813">
          <cell r="CJ813" t="str">
            <v xml:space="preserve">NFT-423200864GN00138XXXXXXX </v>
          </cell>
          <cell r="CK813" t="str">
            <v>2024-08-19</v>
          </cell>
          <cell r="CL813">
            <v>71075.63</v>
          </cell>
          <cell r="CP813" t="str">
            <v xml:space="preserve">NFT-423201020GN00282XXXXXXX </v>
          </cell>
          <cell r="CQ813" t="str">
            <v>2024-08-19</v>
          </cell>
          <cell r="CR813">
            <v>2885.511</v>
          </cell>
        </row>
        <row r="814">
          <cell r="CJ814" t="str">
            <v xml:space="preserve">NFT-423200864GN00138XXXXXXX </v>
          </cell>
          <cell r="CK814" t="str">
            <v>2024-08-19</v>
          </cell>
          <cell r="CL814">
            <v>14308.98</v>
          </cell>
          <cell r="CP814" t="str">
            <v xml:space="preserve">NFT-423201020GN00282XXXXXXX </v>
          </cell>
          <cell r="CQ814" t="str">
            <v>2024-08-19</v>
          </cell>
          <cell r="CR814">
            <v>758.89</v>
          </cell>
        </row>
        <row r="815">
          <cell r="CJ815" t="str">
            <v xml:space="preserve">NFT-423200864GN00138XXXXXXX </v>
          </cell>
          <cell r="CK815" t="str">
            <v>2024-08-19</v>
          </cell>
          <cell r="CL815">
            <v>35105.817000000003</v>
          </cell>
          <cell r="CP815" t="str">
            <v xml:space="preserve">NFT-423201020GN00282XXXXXXX </v>
          </cell>
          <cell r="CQ815" t="str">
            <v>2024-08-19</v>
          </cell>
          <cell r="CR815">
            <v>1853.4570000000001</v>
          </cell>
        </row>
        <row r="816">
          <cell r="CJ816" t="str">
            <v xml:space="preserve">NFT-423200864GN00138XXXXXXX </v>
          </cell>
          <cell r="CK816" t="str">
            <v>2024-08-19</v>
          </cell>
          <cell r="CL816">
            <v>14092.208000000001</v>
          </cell>
          <cell r="CP816" t="str">
            <v xml:space="preserve">NFT-423201020GN00282XXXXXXX </v>
          </cell>
          <cell r="CQ816" t="str">
            <v>2024-08-19</v>
          </cell>
          <cell r="CR816">
            <v>907.97299999999996</v>
          </cell>
        </row>
        <row r="817">
          <cell r="CJ817" t="str">
            <v xml:space="preserve">NFT-423200864GN00138XXXXXXX </v>
          </cell>
          <cell r="CK817" t="str">
            <v>2024-08-19</v>
          </cell>
          <cell r="CL817">
            <v>14246.098</v>
          </cell>
          <cell r="CP817" t="str">
            <v xml:space="preserve">NFT-423201020GN00282XXXXXXX </v>
          </cell>
          <cell r="CQ817" t="str">
            <v>2024-08-19</v>
          </cell>
          <cell r="CR817">
            <v>754.08199999999999</v>
          </cell>
        </row>
        <row r="818">
          <cell r="CJ818" t="str">
            <v xml:space="preserve">NFT-423200864GN00138XXXXXXX </v>
          </cell>
          <cell r="CK818" t="str">
            <v>2024-08-19</v>
          </cell>
          <cell r="CL818">
            <v>14246.099</v>
          </cell>
          <cell r="CP818" t="str">
            <v xml:space="preserve">NFT-423201020GN00282XXXXXXX </v>
          </cell>
          <cell r="CQ818" t="str">
            <v>2024-08-19</v>
          </cell>
          <cell r="CR818">
            <v>754.08199999999999</v>
          </cell>
        </row>
        <row r="819">
          <cell r="CJ819" t="str">
            <v xml:space="preserve">NFT-423200864GN00138XXXXXXX </v>
          </cell>
          <cell r="CK819" t="str">
            <v>2024-08-19</v>
          </cell>
          <cell r="CL819">
            <v>13545.173000000001</v>
          </cell>
          <cell r="CP819" t="str">
            <v xml:space="preserve">NFT-423201020GN00282XXXXXXX </v>
          </cell>
          <cell r="CQ819" t="str">
            <v>2024-08-19</v>
          </cell>
          <cell r="CR819">
            <v>718.65800000000002</v>
          </cell>
        </row>
        <row r="820">
          <cell r="CJ820" t="str">
            <v xml:space="preserve">NFT-423200864GN00138XXXXXXX </v>
          </cell>
          <cell r="CK820" t="str">
            <v>2024-08-19</v>
          </cell>
          <cell r="CL820">
            <v>57115.222000000002</v>
          </cell>
          <cell r="CP820" t="str">
            <v xml:space="preserve">NFT-423201020GN00282XXXXXXX </v>
          </cell>
          <cell r="CQ820" t="str">
            <v>2024-08-19</v>
          </cell>
          <cell r="CR820">
            <v>2885.5120000000002</v>
          </cell>
        </row>
        <row r="822">
          <cell r="CJ822" t="str">
            <v xml:space="preserve">NFT-423200864GN00138XXXXXXX </v>
          </cell>
          <cell r="CK822" t="str">
            <v>2024-08-19</v>
          </cell>
          <cell r="CL822">
            <v>72710.752999999997</v>
          </cell>
          <cell r="CP822" t="str">
            <v xml:space="preserve">NFT-423201020GN00282XXXXXXX </v>
          </cell>
          <cell r="CQ822" t="str">
            <v>2024-08-19</v>
          </cell>
          <cell r="CR822">
            <v>2885.511</v>
          </cell>
        </row>
        <row r="823">
          <cell r="CJ823" t="str">
            <v xml:space="preserve">NFT-423200864GN00138XXXXXXX </v>
          </cell>
          <cell r="CK823" t="str">
            <v>2024-08-19</v>
          </cell>
          <cell r="CL823">
            <v>71691.210000000006</v>
          </cell>
          <cell r="CP823" t="str">
            <v xml:space="preserve">NFT-423201020GN00282XXXXXXX </v>
          </cell>
          <cell r="CQ823" t="str">
            <v>2024-08-19</v>
          </cell>
          <cell r="CR823">
            <v>2885.511</v>
          </cell>
        </row>
        <row r="824">
          <cell r="CJ824" t="str">
            <v xml:space="preserve">NFT-423200864GN00138XXXXXXX </v>
          </cell>
          <cell r="CK824" t="str">
            <v>2024-08-19</v>
          </cell>
          <cell r="CL824">
            <v>14246.099</v>
          </cell>
          <cell r="CP824" t="str">
            <v xml:space="preserve">NFT-423201020GN00282XXXXXXX </v>
          </cell>
          <cell r="CQ824" t="str">
            <v>2024-08-19</v>
          </cell>
          <cell r="CR824">
            <v>754.08199999999999</v>
          </cell>
        </row>
        <row r="825">
          <cell r="CJ825" t="str">
            <v xml:space="preserve">NFT-423200864GN00138XXXXXXX </v>
          </cell>
          <cell r="CK825" t="str">
            <v>2024-08-19</v>
          </cell>
          <cell r="CL825">
            <v>14246.099</v>
          </cell>
          <cell r="CP825" t="str">
            <v xml:space="preserve">NFT-423201020GN00282XXXXXXX </v>
          </cell>
          <cell r="CQ825" t="str">
            <v>2024-08-19</v>
          </cell>
          <cell r="CR825">
            <v>754.08199999999999</v>
          </cell>
        </row>
        <row r="826">
          <cell r="CJ826" t="str">
            <v xml:space="preserve">NFT-423200864GN00138XXXXXXX </v>
          </cell>
          <cell r="CK826" t="str">
            <v>2024-08-19</v>
          </cell>
          <cell r="CL826">
            <v>72729.633000000002</v>
          </cell>
          <cell r="CP826" t="str">
            <v xml:space="preserve">NFT-423201020GN00282XXXXXXX </v>
          </cell>
          <cell r="CQ826" t="str">
            <v>2024-08-19</v>
          </cell>
          <cell r="CR826">
            <v>2885.51</v>
          </cell>
        </row>
        <row r="827">
          <cell r="CJ827" t="str">
            <v xml:space="preserve">NFT-423200864GN00138XXXXXXX </v>
          </cell>
          <cell r="CK827" t="str">
            <v>2024-08-19</v>
          </cell>
          <cell r="CL827">
            <v>14227.218000000001</v>
          </cell>
          <cell r="CP827" t="str">
            <v xml:space="preserve">NFT-423201020GN00282XXXXXXX </v>
          </cell>
          <cell r="CQ827" t="str">
            <v>2024-08-19</v>
          </cell>
          <cell r="CR827">
            <v>754.08199999999999</v>
          </cell>
        </row>
        <row r="828">
          <cell r="CJ828" t="str">
            <v xml:space="preserve">NFT-423200864GN00138XXXXXXX </v>
          </cell>
          <cell r="CK828" t="str">
            <v>2024-08-19</v>
          </cell>
          <cell r="CL828">
            <v>71691.210000000006</v>
          </cell>
          <cell r="CP828" t="str">
            <v xml:space="preserve">NFT-423201020GN00282XXXXXXX </v>
          </cell>
          <cell r="CQ828" t="str">
            <v>2024-08-19</v>
          </cell>
          <cell r="CR828">
            <v>2885.511</v>
          </cell>
        </row>
        <row r="829">
          <cell r="CJ829" t="str">
            <v xml:space="preserve">NFT-423200864GN00138XXXXXXX </v>
          </cell>
          <cell r="CK829" t="str">
            <v>2024-08-19</v>
          </cell>
          <cell r="CL829">
            <v>71691.210000000006</v>
          </cell>
          <cell r="CP829" t="str">
            <v xml:space="preserve">NFT-423201020GN00282XXXXXXX </v>
          </cell>
          <cell r="CQ829" t="str">
            <v>2024-08-19</v>
          </cell>
          <cell r="CR829">
            <v>2885.511</v>
          </cell>
        </row>
        <row r="830">
          <cell r="CJ830" t="str">
            <v xml:space="preserve">NFT-423200864GN00138XXXXXXX </v>
          </cell>
          <cell r="CK830" t="str">
            <v>2024-08-19</v>
          </cell>
          <cell r="CL830">
            <v>72710.752999999997</v>
          </cell>
          <cell r="CP830" t="str">
            <v xml:space="preserve">NFT-423201020GN00282XXXXXXX </v>
          </cell>
          <cell r="CQ830" t="str">
            <v>2024-08-19</v>
          </cell>
          <cell r="CR830">
            <v>2885.511</v>
          </cell>
        </row>
        <row r="831">
          <cell r="CJ831" t="str">
            <v xml:space="preserve">NFT-423200864GN00138XXXXXXX </v>
          </cell>
          <cell r="CK831" t="str">
            <v>2024-08-19</v>
          </cell>
          <cell r="CL831">
            <v>72075.944000000003</v>
          </cell>
          <cell r="CP831" t="str">
            <v xml:space="preserve">NFT-423201020GN00282XXXXXXX </v>
          </cell>
          <cell r="CQ831" t="str">
            <v>2024-08-19</v>
          </cell>
          <cell r="CR831">
            <v>2885.511</v>
          </cell>
        </row>
        <row r="832">
          <cell r="CJ832" t="str">
            <v xml:space="preserve">NFT-423200864GN00138XXXXXXX </v>
          </cell>
          <cell r="CK832" t="str">
            <v>2024-08-19</v>
          </cell>
          <cell r="CL832">
            <v>9485.0049999999992</v>
          </cell>
          <cell r="CP832" t="str">
            <v xml:space="preserve">NFT-423201020GN00282XXXXXXX </v>
          </cell>
          <cell r="CQ832" t="str">
            <v>2024-08-19</v>
          </cell>
          <cell r="CR832">
            <v>503.99900000000002</v>
          </cell>
        </row>
        <row r="833">
          <cell r="CJ833" t="str">
            <v xml:space="preserve">NFT-423200864GN00138XXXXXXX </v>
          </cell>
          <cell r="CK833" t="str">
            <v>2024-08-19</v>
          </cell>
          <cell r="CL833">
            <v>7292.0190000000002</v>
          </cell>
          <cell r="CP833" t="str">
            <v xml:space="preserve">NFT-423201020GN00282XXXXXXX </v>
          </cell>
          <cell r="CQ833" t="str">
            <v>2024-08-19</v>
          </cell>
          <cell r="CR833">
            <v>388.58699999999999</v>
          </cell>
        </row>
        <row r="834">
          <cell r="CJ834" t="str">
            <v xml:space="preserve">NFT-423200864GN00138XXXXXXX </v>
          </cell>
          <cell r="CK834" t="str">
            <v>2024-08-19</v>
          </cell>
          <cell r="CL834">
            <v>14246.098</v>
          </cell>
          <cell r="CP834" t="str">
            <v xml:space="preserve">NFT-423201020GN00282XXXXXXX </v>
          </cell>
          <cell r="CQ834" t="str">
            <v>2024-08-19</v>
          </cell>
          <cell r="CR834">
            <v>754.08199999999999</v>
          </cell>
        </row>
        <row r="835">
          <cell r="CJ835" t="str">
            <v xml:space="preserve">NFT-423200864GN00138XXXXXXX </v>
          </cell>
          <cell r="CK835" t="str">
            <v>2024-08-19</v>
          </cell>
          <cell r="CL835">
            <v>14981.3</v>
          </cell>
        </row>
        <row r="836">
          <cell r="CJ836" t="str">
            <v xml:space="preserve">NFT-423200864GN00138XXXXXXX </v>
          </cell>
          <cell r="CK836" t="str">
            <v>2024-08-19</v>
          </cell>
          <cell r="CL836">
            <v>28557.606</v>
          </cell>
          <cell r="CP836" t="str">
            <v xml:space="preserve">NFT-423201020GN00282XXXXXXX </v>
          </cell>
          <cell r="CQ836" t="str">
            <v>2024-08-19</v>
          </cell>
          <cell r="CR836">
            <v>1442.7539999999999</v>
          </cell>
        </row>
        <row r="837">
          <cell r="CJ837" t="str">
            <v xml:space="preserve">NFT-423200864GN00138XXXXXXX </v>
          </cell>
          <cell r="CK837" t="str">
            <v>2024-08-19</v>
          </cell>
          <cell r="CL837">
            <v>7273.1390000000001</v>
          </cell>
          <cell r="CP837" t="str">
            <v xml:space="preserve">NFT-423201020GN00282XXXXXXX </v>
          </cell>
          <cell r="CQ837" t="str">
            <v>2024-08-19</v>
          </cell>
          <cell r="CR837">
            <v>388.58699999999999</v>
          </cell>
        </row>
        <row r="838">
          <cell r="CJ838" t="str">
            <v xml:space="preserve">NFT-423200864GN00138XXXXXXX </v>
          </cell>
          <cell r="CK838" t="str">
            <v>2024-08-19</v>
          </cell>
          <cell r="CL838">
            <v>7292.9849999999997</v>
          </cell>
          <cell r="CP838" t="str">
            <v xml:space="preserve">NFT-423201020GN00282XXXXXXX </v>
          </cell>
          <cell r="CQ838" t="str">
            <v>2024-08-19</v>
          </cell>
          <cell r="CR838">
            <v>387.62099999999998</v>
          </cell>
        </row>
        <row r="839">
          <cell r="CJ839" t="str">
            <v xml:space="preserve">NFT-423200864GN00138XXXXXXX </v>
          </cell>
          <cell r="CK839" t="str">
            <v>2024-08-19</v>
          </cell>
          <cell r="CL839">
            <v>14246.099</v>
          </cell>
          <cell r="CP839" t="str">
            <v xml:space="preserve">NFT-423201020GN00282XXXXXXX </v>
          </cell>
          <cell r="CQ839" t="str">
            <v>2024-08-19</v>
          </cell>
          <cell r="CR839">
            <v>754.08199999999999</v>
          </cell>
        </row>
        <row r="840">
          <cell r="CJ840" t="str">
            <v xml:space="preserve">NFT-423200864GN00138XXXXXXX </v>
          </cell>
          <cell r="CK840" t="str">
            <v>2024-08-19</v>
          </cell>
          <cell r="CL840">
            <v>14227.218000000001</v>
          </cell>
          <cell r="CP840" t="str">
            <v xml:space="preserve">NFT-423201020GN00282XXXXXXX </v>
          </cell>
          <cell r="CQ840" t="str">
            <v>2024-08-19</v>
          </cell>
          <cell r="CR840">
            <v>754.08199999999999</v>
          </cell>
        </row>
        <row r="841">
          <cell r="CJ841" t="str">
            <v xml:space="preserve">NFT-423200864GN00138XXXXXXX </v>
          </cell>
          <cell r="CK841" t="str">
            <v>2024-08-19</v>
          </cell>
          <cell r="CL841">
            <v>14227.218000000001</v>
          </cell>
          <cell r="CP841" t="str">
            <v xml:space="preserve">NFT-423201020GN00282XXXXXXX </v>
          </cell>
          <cell r="CQ841" t="str">
            <v>2024-08-19</v>
          </cell>
          <cell r="CR841">
            <v>754.08199999999999</v>
          </cell>
        </row>
        <row r="842">
          <cell r="CJ842" t="str">
            <v xml:space="preserve">NFT-423200864GN00138XXXXXXX </v>
          </cell>
          <cell r="CK842" t="str">
            <v>2024-08-19</v>
          </cell>
          <cell r="CL842">
            <v>72729.633000000002</v>
          </cell>
          <cell r="CP842" t="str">
            <v xml:space="preserve">NFT-423201020GN00282XXXXXXX </v>
          </cell>
          <cell r="CQ842" t="str">
            <v>2024-08-19</v>
          </cell>
          <cell r="CR842">
            <v>2885.51</v>
          </cell>
        </row>
        <row r="843">
          <cell r="CJ843" t="str">
            <v xml:space="preserve">NFT-423200864GN00138XXXXXXX </v>
          </cell>
          <cell r="CK843" t="str">
            <v>2024-08-19</v>
          </cell>
          <cell r="CL843">
            <v>14981.3</v>
          </cell>
        </row>
        <row r="844">
          <cell r="CJ844" t="str">
            <v xml:space="preserve">NFT-423200864GN00138XXXXXXX </v>
          </cell>
          <cell r="CK844" t="str">
            <v>2024-08-19</v>
          </cell>
          <cell r="CL844">
            <v>28557.606</v>
          </cell>
          <cell r="CP844" t="str">
            <v xml:space="preserve">NFT-423201020GN00282XXXXXXX </v>
          </cell>
          <cell r="CQ844" t="str">
            <v>2024-08-19</v>
          </cell>
          <cell r="CR844">
            <v>1442.7560000000001</v>
          </cell>
        </row>
        <row r="845">
          <cell r="CJ845" t="str">
            <v xml:space="preserve">NFT-423200864GN00138XXXXXXX </v>
          </cell>
          <cell r="CK845" t="str">
            <v>2024-08-19</v>
          </cell>
          <cell r="CL845">
            <v>45803.684999999998</v>
          </cell>
          <cell r="CP845" t="str">
            <v xml:space="preserve">NFT-423201020GN00282XXXXXXX </v>
          </cell>
          <cell r="CQ845" t="str">
            <v>2024-08-19</v>
          </cell>
          <cell r="CR845">
            <v>2418.058</v>
          </cell>
        </row>
        <row r="846">
          <cell r="CJ846" t="str">
            <v xml:space="preserve">NFT-423200864GN00138XXXXXXX </v>
          </cell>
          <cell r="CK846" t="str">
            <v>2024-08-19</v>
          </cell>
          <cell r="CL846">
            <v>72729.633000000002</v>
          </cell>
          <cell r="CM846" t="str">
            <v xml:space="preserve">NFT-423600944GN00087XXXXXXX </v>
          </cell>
          <cell r="CN846" t="str">
            <v>2024-08-23</v>
          </cell>
          <cell r="CO846">
            <v>-72729.633000000002</v>
          </cell>
          <cell r="CP846" t="str">
            <v xml:space="preserve">NFT-423201020GN00282XXXXXXX </v>
          </cell>
          <cell r="CQ846" t="str">
            <v>2024-08-19</v>
          </cell>
          <cell r="CR846">
            <v>2885.51</v>
          </cell>
          <cell r="CS846" t="str">
            <v xml:space="preserve">NFT-423601027GN00067XXXXXXX </v>
          </cell>
          <cell r="CT846" t="str">
            <v>2024-08-23</v>
          </cell>
          <cell r="CU846">
            <v>-2885.51</v>
          </cell>
        </row>
        <row r="847">
          <cell r="CJ847" t="str">
            <v xml:space="preserve">NFT-423200864GN00138XXXXXXX </v>
          </cell>
          <cell r="CK847" t="str">
            <v>2024-08-19</v>
          </cell>
          <cell r="CL847">
            <v>28492.207999999999</v>
          </cell>
          <cell r="CP847" t="str">
            <v xml:space="preserve">NFT-423201020GN00282XXXXXXX </v>
          </cell>
          <cell r="CQ847" t="str">
            <v>2024-08-19</v>
          </cell>
          <cell r="CR847">
            <v>1508.164</v>
          </cell>
        </row>
        <row r="848">
          <cell r="CJ848" t="str">
            <v xml:space="preserve">NFT-423200864GN00138XXXXXXX </v>
          </cell>
          <cell r="CK848" t="str">
            <v>2024-08-19</v>
          </cell>
          <cell r="CL848">
            <v>28557.606</v>
          </cell>
          <cell r="CP848" t="str">
            <v xml:space="preserve">NFT-423201020GN00282XXXXXXX </v>
          </cell>
          <cell r="CQ848" t="str">
            <v>2024-08-19</v>
          </cell>
          <cell r="CR848">
            <v>1442.7560000000001</v>
          </cell>
        </row>
        <row r="849">
          <cell r="CJ849" t="str">
            <v xml:space="preserve">NFT-423200864GN00138XXXXXXX </v>
          </cell>
          <cell r="CK849" t="str">
            <v>2024-08-19</v>
          </cell>
          <cell r="CL849">
            <v>29981.48</v>
          </cell>
        </row>
        <row r="850">
          <cell r="CJ850" t="str">
            <v xml:space="preserve">NFT-423200864GN00138XXXXXXX </v>
          </cell>
          <cell r="CK850" t="str">
            <v>2024-08-19</v>
          </cell>
          <cell r="CL850">
            <v>14227.218000000001</v>
          </cell>
          <cell r="CP850" t="str">
            <v xml:space="preserve">NFT-423201020GN00282XXXXXXX </v>
          </cell>
          <cell r="CQ850" t="str">
            <v>2024-08-19</v>
          </cell>
          <cell r="CR850">
            <v>754.08199999999999</v>
          </cell>
        </row>
        <row r="851">
          <cell r="CJ851" t="str">
            <v xml:space="preserve">NFT-423200864GN00138XXXXXXX </v>
          </cell>
          <cell r="CK851" t="str">
            <v>2024-08-19</v>
          </cell>
          <cell r="CL851">
            <v>14246.099</v>
          </cell>
          <cell r="CP851" t="str">
            <v xml:space="preserve">NFT-423201020GN00282XXXXXXX </v>
          </cell>
          <cell r="CQ851" t="str">
            <v>2024-08-19</v>
          </cell>
          <cell r="CR851">
            <v>754.08199999999999</v>
          </cell>
        </row>
        <row r="852">
          <cell r="CJ852" t="str">
            <v xml:space="preserve">NFT-423200864GN00138XXXXXXX </v>
          </cell>
          <cell r="CK852" t="str">
            <v>2024-08-19</v>
          </cell>
          <cell r="CL852">
            <v>9787.0220000000008</v>
          </cell>
          <cell r="CM852" t="str">
            <v xml:space="preserve">NFT-423400974GN00225XXXXXXX </v>
          </cell>
          <cell r="CN852" t="str">
            <v>2024-08-21</v>
          </cell>
          <cell r="CO852">
            <v>-9787.0220000000008</v>
          </cell>
          <cell r="CP852" t="str">
            <v xml:space="preserve">NFT-423201020GN00282XXXXXXX </v>
          </cell>
          <cell r="CQ852" t="str">
            <v>2024-08-19</v>
          </cell>
          <cell r="CR852">
            <v>519.39599999999996</v>
          </cell>
          <cell r="CS852" t="str">
            <v xml:space="preserve">NFT-423401022GN00277XXXXXXX </v>
          </cell>
          <cell r="CT852" t="str">
            <v>2024-08-21</v>
          </cell>
          <cell r="CU852">
            <v>-519.39599999999996</v>
          </cell>
        </row>
        <row r="853">
          <cell r="CJ853" t="str">
            <v xml:space="preserve">NFT-423200864GN00138XXXXXXX </v>
          </cell>
          <cell r="CK853" t="str">
            <v>2024-08-19</v>
          </cell>
          <cell r="CL853">
            <v>57115.222000000002</v>
          </cell>
          <cell r="CP853" t="str">
            <v xml:space="preserve">NFT-423201020GN00282XXXXXXX </v>
          </cell>
          <cell r="CQ853" t="str">
            <v>2024-08-19</v>
          </cell>
          <cell r="CR853">
            <v>2885.5120000000002</v>
          </cell>
        </row>
        <row r="854">
          <cell r="CJ854" t="str">
            <v xml:space="preserve">NFT-423200864GN00138XXXXXXX </v>
          </cell>
          <cell r="CK854" t="str">
            <v>2024-08-19</v>
          </cell>
          <cell r="CL854">
            <v>13545.173000000001</v>
          </cell>
          <cell r="CP854" t="str">
            <v xml:space="preserve">NFT-423201020GN00282XXXXXXX </v>
          </cell>
          <cell r="CQ854" t="str">
            <v>2024-08-19</v>
          </cell>
          <cell r="CR854">
            <v>718.65800000000002</v>
          </cell>
        </row>
        <row r="855">
          <cell r="CJ855" t="str">
            <v xml:space="preserve">NFT-423200864GN00138XXXXXXX </v>
          </cell>
          <cell r="CK855" t="str">
            <v>2024-08-19</v>
          </cell>
          <cell r="CL855">
            <v>14227.218000000001</v>
          </cell>
          <cell r="CP855" t="str">
            <v xml:space="preserve">NFT-423201020GN00282XXXXXXX </v>
          </cell>
          <cell r="CQ855" t="str">
            <v>2024-08-19</v>
          </cell>
          <cell r="CR855">
            <v>754.08199999999999</v>
          </cell>
        </row>
        <row r="856">
          <cell r="CJ856" t="str">
            <v xml:space="preserve">NFT-423400974GN00225XXXXXXX </v>
          </cell>
          <cell r="CK856" t="str">
            <v>2024-08-21</v>
          </cell>
          <cell r="CL856">
            <v>14246.098</v>
          </cell>
          <cell r="CM856" t="str">
            <v xml:space="preserve">NFT-423401022GN00277XXXXXXX </v>
          </cell>
          <cell r="CN856" t="str">
            <v>2024-08-21</v>
          </cell>
          <cell r="CO856">
            <v>754.08199999999999</v>
          </cell>
        </row>
        <row r="857">
          <cell r="CJ857" t="str">
            <v xml:space="preserve">NFT-423400974GN00225XXXXXXX </v>
          </cell>
          <cell r="CK857" t="str">
            <v>2024-08-21</v>
          </cell>
          <cell r="CL857">
            <v>14246.099</v>
          </cell>
          <cell r="CM857" t="str">
            <v xml:space="preserve">NFT-423401022GN00277XXXXXXX </v>
          </cell>
          <cell r="CN857" t="str">
            <v>2024-08-21</v>
          </cell>
          <cell r="CO857">
            <v>754.08199999999999</v>
          </cell>
        </row>
        <row r="858">
          <cell r="CJ858" t="str">
            <v xml:space="preserve">NFT-423400974GN00225XXXXXXX </v>
          </cell>
          <cell r="CK858" t="str">
            <v>2024-08-21</v>
          </cell>
          <cell r="CL858">
            <v>73057.009999999995</v>
          </cell>
          <cell r="CM858" t="str">
            <v xml:space="preserve">NFT-423401022GN00277XXXXXXX </v>
          </cell>
          <cell r="CN858" t="str">
            <v>2024-08-21</v>
          </cell>
          <cell r="CO858">
            <v>2885.511</v>
          </cell>
        </row>
        <row r="859">
          <cell r="CJ859" t="str">
            <v xml:space="preserve">NFT-423400974GN00225XXXXXXX </v>
          </cell>
          <cell r="CK859" t="str">
            <v>2024-08-21</v>
          </cell>
          <cell r="CL859">
            <v>14246.098</v>
          </cell>
          <cell r="CM859" t="str">
            <v xml:space="preserve">NFT-423401022GN00277XXXXXXX </v>
          </cell>
          <cell r="CN859" t="str">
            <v>2024-08-21</v>
          </cell>
          <cell r="CO859">
            <v>754.08199999999999</v>
          </cell>
          <cell r="CP859" t="str">
            <v xml:space="preserve">NFT-423600944GN00087XXXXXXX </v>
          </cell>
          <cell r="CQ859" t="str">
            <v>2024-08-23</v>
          </cell>
          <cell r="CR859">
            <v>-14246.098</v>
          </cell>
          <cell r="CS859" t="str">
            <v xml:space="preserve">NFT-423601027GN00067XXXXXXX </v>
          </cell>
          <cell r="CT859" t="str">
            <v>2024-08-23</v>
          </cell>
          <cell r="CU859">
            <v>-754.08199999999999</v>
          </cell>
        </row>
        <row r="860">
          <cell r="CJ860" t="str">
            <v xml:space="preserve">NFT-423400974GN00225XXXXXXX </v>
          </cell>
          <cell r="CK860" t="str">
            <v>2024-08-21</v>
          </cell>
          <cell r="CL860">
            <v>14246.099</v>
          </cell>
          <cell r="CM860" t="str">
            <v xml:space="preserve">NFT-423401022GN00277XXXXXXX </v>
          </cell>
          <cell r="CN860" t="str">
            <v>2024-08-21</v>
          </cell>
          <cell r="CO860">
            <v>754.08199999999999</v>
          </cell>
        </row>
        <row r="861">
          <cell r="CJ861" t="str">
            <v xml:space="preserve">NFT-423400974GN00225XXXXXXX </v>
          </cell>
          <cell r="CK861" t="str">
            <v>2024-08-21</v>
          </cell>
          <cell r="CL861">
            <v>28557.606</v>
          </cell>
          <cell r="CM861" t="str">
            <v xml:space="preserve">NFT-423401022GN00277XXXXXXX </v>
          </cell>
          <cell r="CN861" t="str">
            <v>2024-08-21</v>
          </cell>
          <cell r="CO861">
            <v>1442.7560000000001</v>
          </cell>
        </row>
        <row r="862">
          <cell r="CJ862" t="str">
            <v xml:space="preserve">NFT-423400974GN00225XXXXXXX </v>
          </cell>
          <cell r="CK862" t="str">
            <v>2024-08-21</v>
          </cell>
          <cell r="CL862">
            <v>36093.260999999999</v>
          </cell>
          <cell r="CM862" t="str">
            <v xml:space="preserve">NFT-423401022GN00277XXXXXXX </v>
          </cell>
          <cell r="CN862" t="str">
            <v>2024-08-21</v>
          </cell>
          <cell r="CO862">
            <v>1904.4349999999999</v>
          </cell>
        </row>
        <row r="863">
          <cell r="CJ863" t="str">
            <v xml:space="preserve">NFT-423400974GN00225XXXXXXX </v>
          </cell>
          <cell r="CK863" t="str">
            <v>2024-08-21</v>
          </cell>
          <cell r="CL863">
            <v>36074.381000000001</v>
          </cell>
          <cell r="CM863" t="str">
            <v xml:space="preserve">NFT-423401022GN00277XXXXXXX </v>
          </cell>
          <cell r="CN863" t="str">
            <v>2024-08-21</v>
          </cell>
          <cell r="CO863">
            <v>1904.4349999999999</v>
          </cell>
          <cell r="CP863" t="str">
            <v xml:space="preserve">NFT-423901043GN00083XXXXXXX </v>
          </cell>
          <cell r="CQ863" t="str">
            <v>2024-08-26</v>
          </cell>
          <cell r="CR863">
            <v>-1904.4349999999999</v>
          </cell>
          <cell r="CS863" t="str">
            <v xml:space="preserve">NFT-423900923GN00109XXXXXXX </v>
          </cell>
          <cell r="CT863" t="str">
            <v>2024-08-26</v>
          </cell>
          <cell r="CU863">
            <v>-36074.381000000001</v>
          </cell>
        </row>
        <row r="864">
          <cell r="CJ864" t="str">
            <v xml:space="preserve">NFT-423400974GN00225XXXXXXX </v>
          </cell>
          <cell r="CK864" t="str">
            <v>2024-08-21</v>
          </cell>
          <cell r="CL864">
            <v>14290.707</v>
          </cell>
          <cell r="CM864" t="str">
            <v xml:space="preserve">NFT-423401022GN00277XXXXXXX </v>
          </cell>
          <cell r="CN864" t="str">
            <v>2024-08-21</v>
          </cell>
          <cell r="CO864">
            <v>757.92499999999995</v>
          </cell>
        </row>
        <row r="865">
          <cell r="CJ865" t="str">
            <v xml:space="preserve">NFT-423400974GN00225XXXXXXX </v>
          </cell>
          <cell r="CK865" t="str">
            <v>2024-08-21</v>
          </cell>
          <cell r="CL865">
            <v>15000.18</v>
          </cell>
        </row>
        <row r="866">
          <cell r="CJ866" t="str">
            <v xml:space="preserve">NFT-423200864GN00138XXXXXXX </v>
          </cell>
          <cell r="CK866" t="str">
            <v>2024-08-19</v>
          </cell>
          <cell r="CL866">
            <v>14246.099</v>
          </cell>
          <cell r="CM866" t="str">
            <v xml:space="preserve">NFT-423600944GN00087XXXXXXX </v>
          </cell>
          <cell r="CN866" t="str">
            <v>2024-08-23</v>
          </cell>
          <cell r="CO866">
            <v>-14246.099</v>
          </cell>
          <cell r="CP866" t="str">
            <v xml:space="preserve">NFT-423201020GN00282XXXXXXX </v>
          </cell>
          <cell r="CQ866" t="str">
            <v>2024-08-19</v>
          </cell>
          <cell r="CR866">
            <v>754.08199999999999</v>
          </cell>
          <cell r="CS866" t="str">
            <v xml:space="preserve">NFT-423601027GN00067XXXXXXX </v>
          </cell>
          <cell r="CT866" t="str">
            <v>2024-08-23</v>
          </cell>
          <cell r="CU866">
            <v>-754.08199999999999</v>
          </cell>
        </row>
        <row r="867">
          <cell r="CJ867" t="str">
            <v xml:space="preserve">NFT-423200864GN00138XXXXXXX </v>
          </cell>
          <cell r="CK867" t="str">
            <v>2024-08-19</v>
          </cell>
          <cell r="CL867">
            <v>29279.657999999999</v>
          </cell>
          <cell r="CP867" t="str">
            <v xml:space="preserve">NFT-423201020GN00282XXXXXXX </v>
          </cell>
          <cell r="CQ867" t="str">
            <v>2024-08-19</v>
          </cell>
          <cell r="CR867">
            <v>1442.7560000000001</v>
          </cell>
        </row>
        <row r="868">
          <cell r="CJ868" t="str">
            <v xml:space="preserve">NFT-423400974GN00225XXXXXXX </v>
          </cell>
          <cell r="CK868" t="str">
            <v>2024-08-21</v>
          </cell>
          <cell r="CL868">
            <v>28538.725999999999</v>
          </cell>
          <cell r="CM868" t="str">
            <v xml:space="preserve">NFT-423401022GN00277XXXXXXX </v>
          </cell>
          <cell r="CN868" t="str">
            <v>2024-08-21</v>
          </cell>
          <cell r="CO868">
            <v>1442.7539999999999</v>
          </cell>
        </row>
        <row r="869">
          <cell r="CJ869" t="str">
            <v xml:space="preserve">NFT-423400974GN00225XXXXXXX </v>
          </cell>
          <cell r="CK869" t="str">
            <v>2024-08-21</v>
          </cell>
          <cell r="CL869">
            <v>12938.395</v>
          </cell>
          <cell r="CM869" t="str">
            <v xml:space="preserve">NFT-423401022GN00277XXXXXXX </v>
          </cell>
          <cell r="CN869" t="str">
            <v>2024-08-21</v>
          </cell>
          <cell r="CO869">
            <v>1407.5260000000001</v>
          </cell>
        </row>
        <row r="870">
          <cell r="CJ870" t="str">
            <v xml:space="preserve">NFT-423400974GN00225XXXXXXX </v>
          </cell>
          <cell r="CK870" t="str">
            <v>2024-08-21</v>
          </cell>
          <cell r="CL870">
            <v>73057.009999999995</v>
          </cell>
          <cell r="CM870" t="str">
            <v xml:space="preserve">NFT-423401022GN00277XXXXXXX </v>
          </cell>
          <cell r="CN870" t="str">
            <v>2024-08-21</v>
          </cell>
          <cell r="CO870">
            <v>2885.511</v>
          </cell>
        </row>
        <row r="871">
          <cell r="CJ871" t="str">
            <v xml:space="preserve">NFT-423400974GN00225XXXXXXX </v>
          </cell>
          <cell r="CK871" t="str">
            <v>2024-08-21</v>
          </cell>
          <cell r="CL871">
            <v>14246.099</v>
          </cell>
          <cell r="CM871" t="str">
            <v xml:space="preserve">NFT-423401022GN00277XXXXXXX </v>
          </cell>
          <cell r="CN871" t="str">
            <v>2024-08-21</v>
          </cell>
          <cell r="CO871">
            <v>754.08199999999999</v>
          </cell>
        </row>
        <row r="873">
          <cell r="CJ873" t="str">
            <v xml:space="preserve">NFT-423200864GN00138XXXXXXX </v>
          </cell>
          <cell r="CK873" t="str">
            <v>2024-08-19</v>
          </cell>
          <cell r="CL873">
            <v>14227.218000000001</v>
          </cell>
          <cell r="CP873" t="str">
            <v xml:space="preserve">NFT-423201020GN00282XXXXXXX </v>
          </cell>
          <cell r="CQ873" t="str">
            <v>2024-08-19</v>
          </cell>
          <cell r="CR873">
            <v>754.08199999999999</v>
          </cell>
        </row>
        <row r="874">
          <cell r="CJ874" t="str">
            <v xml:space="preserve">NFT-423400974GN00225XXXXXXX </v>
          </cell>
          <cell r="CK874" t="str">
            <v>2024-08-21</v>
          </cell>
          <cell r="CL874">
            <v>14227.218000000001</v>
          </cell>
          <cell r="CM874" t="str">
            <v xml:space="preserve">NFT-423401022GN00277XXXXXXX </v>
          </cell>
          <cell r="CN874" t="str">
            <v>2024-08-21</v>
          </cell>
          <cell r="CO874">
            <v>754.08199999999999</v>
          </cell>
        </row>
        <row r="875">
          <cell r="CJ875" t="str">
            <v xml:space="preserve">NFT-423400974GN00225XXXXXXX </v>
          </cell>
          <cell r="CK875" t="str">
            <v>2024-08-21</v>
          </cell>
          <cell r="CL875">
            <v>14246.098</v>
          </cell>
          <cell r="CM875" t="str">
            <v xml:space="preserve">NFT-423401022GN00277XXXXXXX </v>
          </cell>
          <cell r="CN875" t="str">
            <v>2024-08-21</v>
          </cell>
          <cell r="CO875">
            <v>754.08199999999999</v>
          </cell>
        </row>
        <row r="876">
          <cell r="CJ876" t="str">
            <v xml:space="preserve">NFT-423400974GN00225XXXXXXX </v>
          </cell>
          <cell r="CK876" t="str">
            <v>2024-08-21</v>
          </cell>
          <cell r="CL876">
            <v>7690.5789999999997</v>
          </cell>
        </row>
        <row r="878">
          <cell r="CJ878" t="str">
            <v xml:space="preserve">NFT-423400974GN00225XXXXXXX </v>
          </cell>
          <cell r="CK878" t="str">
            <v>2024-08-21</v>
          </cell>
          <cell r="CL878">
            <v>14246.099</v>
          </cell>
          <cell r="CM878" t="str">
            <v xml:space="preserve">NFT-423401022GN00277XXXXXXX </v>
          </cell>
          <cell r="CN878" t="str">
            <v>2024-08-21</v>
          </cell>
          <cell r="CO878">
            <v>754.08199999999999</v>
          </cell>
        </row>
        <row r="879">
          <cell r="CJ879" t="str">
            <v xml:space="preserve">NFT-423400974GN00225XXXXXXX </v>
          </cell>
          <cell r="CK879" t="str">
            <v>2024-08-21</v>
          </cell>
          <cell r="CL879">
            <v>14310.541999999999</v>
          </cell>
          <cell r="CM879" t="str">
            <v xml:space="preserve">NFT-423401022GN00277XXXXXXX </v>
          </cell>
          <cell r="CN879" t="str">
            <v>2024-08-21</v>
          </cell>
          <cell r="CO879">
            <v>756.96900000000005</v>
          </cell>
        </row>
        <row r="880">
          <cell r="CJ880" t="str">
            <v xml:space="preserve">NFT-423200864GN00138XXXXXXX </v>
          </cell>
          <cell r="CK880" t="str">
            <v>2024-08-19</v>
          </cell>
          <cell r="CL880">
            <v>29000.058000000001</v>
          </cell>
          <cell r="CP880" t="str">
            <v xml:space="preserve">NFT-423201020GN00282XXXXXXX </v>
          </cell>
          <cell r="CQ880" t="str">
            <v>2024-08-19</v>
          </cell>
          <cell r="CR880">
            <v>1442.7539999999999</v>
          </cell>
        </row>
        <row r="881">
          <cell r="CJ881" t="str">
            <v xml:space="preserve">NFT-423200864GN00138XXXXXXX </v>
          </cell>
          <cell r="CK881" t="str">
            <v>2024-08-19</v>
          </cell>
          <cell r="CL881">
            <v>29000.058000000001</v>
          </cell>
          <cell r="CP881" t="str">
            <v xml:space="preserve">NFT-423201020GN00282XXXXXXX </v>
          </cell>
          <cell r="CQ881" t="str">
            <v>2024-08-19</v>
          </cell>
          <cell r="CR881">
            <v>1442.7539999999999</v>
          </cell>
        </row>
        <row r="882">
          <cell r="CJ882" t="str">
            <v xml:space="preserve">NFT-423400974GN00225XXXXXXX </v>
          </cell>
          <cell r="CK882" t="str">
            <v>2024-08-21</v>
          </cell>
          <cell r="CL882">
            <v>14246.098</v>
          </cell>
          <cell r="CM882" t="str">
            <v xml:space="preserve">NFT-423401022GN00277XXXXXXX </v>
          </cell>
          <cell r="CN882" t="str">
            <v>2024-08-21</v>
          </cell>
          <cell r="CO882">
            <v>754.08199999999999</v>
          </cell>
          <cell r="CP882" t="str">
            <v xml:space="preserve">NFT-423600944GN00087XXXXXXX </v>
          </cell>
          <cell r="CQ882" t="str">
            <v>2024-08-23</v>
          </cell>
          <cell r="CR882">
            <v>-14246.098</v>
          </cell>
          <cell r="CS882" t="str">
            <v xml:space="preserve">NFT-423601027GN00067XXXXXXX </v>
          </cell>
          <cell r="CT882" t="str">
            <v>2024-08-23</v>
          </cell>
          <cell r="CU882">
            <v>-754.08199999999999</v>
          </cell>
        </row>
        <row r="883">
          <cell r="CJ883" t="str">
            <v xml:space="preserve">NFT-423400974GN00225XXXXXXX </v>
          </cell>
          <cell r="CK883" t="str">
            <v>2024-08-21</v>
          </cell>
          <cell r="CL883">
            <v>7680.6049999999996</v>
          </cell>
        </row>
        <row r="884">
          <cell r="CJ884" t="str">
            <v xml:space="preserve">NFT-423400974GN00225XXXXXXX </v>
          </cell>
          <cell r="CK884" t="str">
            <v>2024-08-21</v>
          </cell>
          <cell r="CL884">
            <v>14227.218000000001</v>
          </cell>
          <cell r="CM884" t="str">
            <v xml:space="preserve">NFT-423401022GN00277XXXXXXX </v>
          </cell>
          <cell r="CN884" t="str">
            <v>2024-08-21</v>
          </cell>
          <cell r="CO884">
            <v>754.08199999999999</v>
          </cell>
        </row>
        <row r="885">
          <cell r="CJ885" t="str">
            <v xml:space="preserve">NFT-423400974GN00225XXXXXXX </v>
          </cell>
          <cell r="CK885" t="str">
            <v>2024-08-21</v>
          </cell>
          <cell r="CL885">
            <v>36093.262000000002</v>
          </cell>
          <cell r="CM885" t="str">
            <v xml:space="preserve">NFT-423401022GN00277XXXXXXX </v>
          </cell>
          <cell r="CN885" t="str">
            <v>2024-08-21</v>
          </cell>
          <cell r="CO885">
            <v>1904.4349999999999</v>
          </cell>
        </row>
        <row r="886">
          <cell r="CJ886" t="str">
            <v xml:space="preserve">NFT-423200864GN00138XXXXXXX </v>
          </cell>
          <cell r="CK886" t="str">
            <v>2024-08-19</v>
          </cell>
          <cell r="CL886">
            <v>14227.218000000001</v>
          </cell>
          <cell r="CP886" t="str">
            <v xml:space="preserve">NFT-423201020GN00282XXXXXXX </v>
          </cell>
          <cell r="CQ886" t="str">
            <v>2024-08-19</v>
          </cell>
          <cell r="CR886">
            <v>754.08199999999999</v>
          </cell>
        </row>
        <row r="887">
          <cell r="CJ887" t="str">
            <v xml:space="preserve">NFT-423400974GN00225XXXXXXX </v>
          </cell>
          <cell r="CK887" t="str">
            <v>2024-08-21</v>
          </cell>
          <cell r="CL887">
            <v>13531.458000000001</v>
          </cell>
          <cell r="CM887" t="str">
            <v xml:space="preserve">NFT-423401022GN00277XXXXXXX </v>
          </cell>
          <cell r="CN887" t="str">
            <v>2024-08-21</v>
          </cell>
          <cell r="CO887">
            <v>1468.722</v>
          </cell>
        </row>
        <row r="888">
          <cell r="CJ888" t="str">
            <v xml:space="preserve">NFT-423400974GN00225XXXXXXX </v>
          </cell>
          <cell r="CK888" t="str">
            <v>2024-08-21</v>
          </cell>
          <cell r="CL888">
            <v>1322.8579999999999</v>
          </cell>
        </row>
        <row r="889">
          <cell r="CJ889" t="str">
            <v xml:space="preserve">NFT-423400974GN00225XXXXXXX </v>
          </cell>
          <cell r="CK889" t="str">
            <v>2024-08-21</v>
          </cell>
          <cell r="CL889">
            <v>14227.218000000001</v>
          </cell>
          <cell r="CM889" t="str">
            <v xml:space="preserve">NFT-423401022GN00277XXXXXXX </v>
          </cell>
          <cell r="CN889" t="str">
            <v>2024-08-21</v>
          </cell>
          <cell r="CO889">
            <v>754.08199999999999</v>
          </cell>
        </row>
        <row r="890">
          <cell r="CJ890" t="str">
            <v xml:space="preserve">NFT-423400974GN00225XXXXXXX </v>
          </cell>
          <cell r="CK890" t="str">
            <v>2024-08-21</v>
          </cell>
          <cell r="CL890">
            <v>14246.099</v>
          </cell>
          <cell r="CM890" t="str">
            <v xml:space="preserve">NFT-423401022GN00277XXXXXXX </v>
          </cell>
          <cell r="CN890" t="str">
            <v>2024-08-21</v>
          </cell>
          <cell r="CO890">
            <v>754.08199999999999</v>
          </cell>
        </row>
        <row r="891">
          <cell r="CJ891" t="str">
            <v xml:space="preserve">NFT-423400974GN00225XXXXXXX </v>
          </cell>
          <cell r="CK891" t="str">
            <v>2024-08-21</v>
          </cell>
          <cell r="CL891">
            <v>73133.964999999997</v>
          </cell>
          <cell r="CM891" t="str">
            <v xml:space="preserve">NFT-423401022GN00277XXXXXXX </v>
          </cell>
          <cell r="CN891" t="str">
            <v>2024-08-21</v>
          </cell>
          <cell r="CO891">
            <v>1442.7550000000001</v>
          </cell>
        </row>
        <row r="892">
          <cell r="CJ892" t="str">
            <v xml:space="preserve">NFT-423400974GN00225XXXXXXX </v>
          </cell>
          <cell r="CK892" t="str">
            <v>2024-08-21</v>
          </cell>
          <cell r="CL892">
            <v>13770.344999999999</v>
          </cell>
          <cell r="CM892" t="str">
            <v xml:space="preserve">NFT-423401022GN00277XXXXXXX </v>
          </cell>
          <cell r="CN892" t="str">
            <v>2024-08-21</v>
          </cell>
          <cell r="CO892">
            <v>1210.9559999999999</v>
          </cell>
        </row>
        <row r="893">
          <cell r="CJ893" t="str">
            <v xml:space="preserve">NFT-423400974GN00225XXXXXXX </v>
          </cell>
          <cell r="CK893" t="str">
            <v>2024-08-21</v>
          </cell>
          <cell r="CL893">
            <v>14227.218000000001</v>
          </cell>
          <cell r="CM893" t="str">
            <v xml:space="preserve">NFT-423401022GN00277XXXXXXX </v>
          </cell>
          <cell r="CN893" t="str">
            <v>2024-08-21</v>
          </cell>
          <cell r="CO893">
            <v>754.08199999999999</v>
          </cell>
        </row>
        <row r="894">
          <cell r="CJ894" t="str">
            <v xml:space="preserve">NFT-423400974GN00225XXXXXXX </v>
          </cell>
          <cell r="CK894" t="str">
            <v>2024-08-21</v>
          </cell>
          <cell r="CL894">
            <v>28557.606</v>
          </cell>
          <cell r="CM894" t="str">
            <v xml:space="preserve">NFT-423401022GN00277XXXXXXX </v>
          </cell>
          <cell r="CN894" t="str">
            <v>2024-08-21</v>
          </cell>
          <cell r="CO894">
            <v>1442.7560000000001</v>
          </cell>
        </row>
        <row r="895">
          <cell r="CJ895" t="str">
            <v xml:space="preserve">NFT-423400974GN00225XXXXXXX </v>
          </cell>
          <cell r="CK895" t="str">
            <v>2024-08-21</v>
          </cell>
          <cell r="CL895">
            <v>9366.1</v>
          </cell>
          <cell r="CM895" t="str">
            <v xml:space="preserve">NFT-423401022GN00277XXXXXXX </v>
          </cell>
          <cell r="CN895" t="str">
            <v>2024-08-21</v>
          </cell>
          <cell r="CO895">
            <v>498.23599999999999</v>
          </cell>
        </row>
        <row r="896">
          <cell r="CJ896" t="str">
            <v xml:space="preserve">NFT-423400974GN00225XXXXXXX </v>
          </cell>
          <cell r="CK896" t="str">
            <v>2024-08-21</v>
          </cell>
          <cell r="CL896">
            <v>14309.587</v>
          </cell>
          <cell r="CM896" t="str">
            <v xml:space="preserve">NFT-423401022GN00277XXXXXXX </v>
          </cell>
          <cell r="CN896" t="str">
            <v>2024-08-21</v>
          </cell>
          <cell r="CO896">
            <v>757.92499999999995</v>
          </cell>
        </row>
        <row r="897">
          <cell r="CJ897" t="str">
            <v xml:space="preserve">NFT-423400974GN00225XXXXXXX </v>
          </cell>
          <cell r="CK897" t="str">
            <v>2024-08-21</v>
          </cell>
          <cell r="CL897">
            <v>5099.9989999999998</v>
          </cell>
          <cell r="CM897" t="str">
            <v xml:space="preserve">NFT-423401022GN00277XXXXXXX </v>
          </cell>
          <cell r="CN897" t="str">
            <v>2024-08-21</v>
          </cell>
          <cell r="CO897">
            <v>272.19799999999998</v>
          </cell>
        </row>
        <row r="898">
          <cell r="CJ898" t="str">
            <v xml:space="preserve">NFT-423400974GN00225XXXXXXX </v>
          </cell>
          <cell r="CK898" t="str">
            <v>2024-08-21</v>
          </cell>
          <cell r="CL898">
            <v>1284.749</v>
          </cell>
        </row>
        <row r="899">
          <cell r="CJ899" t="str">
            <v xml:space="preserve">NFT-423400974GN00225XXXXXXX </v>
          </cell>
          <cell r="CK899" t="str">
            <v>2024-08-21</v>
          </cell>
          <cell r="CL899">
            <v>28557.606</v>
          </cell>
          <cell r="CM899" t="str">
            <v xml:space="preserve">NFT-423401022GN00277XXXXXXX </v>
          </cell>
          <cell r="CN899" t="str">
            <v>2024-08-21</v>
          </cell>
          <cell r="CO899">
            <v>1442.7560000000001</v>
          </cell>
        </row>
        <row r="900">
          <cell r="CJ900" t="str">
            <v xml:space="preserve">NFT-423400974GN00225XXXXXXX </v>
          </cell>
          <cell r="CK900" t="str">
            <v>2024-08-21</v>
          </cell>
          <cell r="CL900">
            <v>14309.585999999999</v>
          </cell>
          <cell r="CM900" t="str">
            <v xml:space="preserve">NFT-423401022GN00277XXXXXXX </v>
          </cell>
          <cell r="CN900" t="str">
            <v>2024-08-21</v>
          </cell>
          <cell r="CO900">
            <v>757.92399999999998</v>
          </cell>
          <cell r="CP900" t="str">
            <v xml:space="preserve">NFT-423600944GN00087XXXXXXX </v>
          </cell>
          <cell r="CQ900" t="str">
            <v>2024-08-23</v>
          </cell>
          <cell r="CR900">
            <v>-14309.585999999999</v>
          </cell>
          <cell r="CS900" t="str">
            <v xml:space="preserve">NFT-423601027GN00067XXXXXXX </v>
          </cell>
          <cell r="CT900" t="str">
            <v>2024-08-23</v>
          </cell>
          <cell r="CU900">
            <v>-757.92399999999998</v>
          </cell>
        </row>
        <row r="901">
          <cell r="CJ901" t="str">
            <v xml:space="preserve">NFT-423400974GN00225XXXXXXX </v>
          </cell>
          <cell r="CK901" t="str">
            <v>2024-08-21</v>
          </cell>
          <cell r="CL901">
            <v>14290.707</v>
          </cell>
          <cell r="CM901" t="str">
            <v xml:space="preserve">NFT-423401022GN00277XXXXXXX </v>
          </cell>
          <cell r="CN901" t="str">
            <v>2024-08-21</v>
          </cell>
          <cell r="CO901">
            <v>757.92499999999995</v>
          </cell>
        </row>
        <row r="902">
          <cell r="CJ902" t="str">
            <v xml:space="preserve">NFT-423400974GN00225XXXXXXX </v>
          </cell>
          <cell r="CK902" t="str">
            <v>2024-08-21</v>
          </cell>
          <cell r="CL902">
            <v>14639.834000000001</v>
          </cell>
          <cell r="CM902" t="str">
            <v xml:space="preserve">NFT-423401022GN00277XXXXXXX </v>
          </cell>
          <cell r="CN902" t="str">
            <v>2024-08-21</v>
          </cell>
          <cell r="CO902">
            <v>779.08399999999995</v>
          </cell>
        </row>
        <row r="903">
          <cell r="CJ903" t="str">
            <v xml:space="preserve">NFT-423400974GN00225XXXXXXX </v>
          </cell>
          <cell r="CK903" t="str">
            <v>2024-08-21</v>
          </cell>
          <cell r="CL903">
            <v>14290.707</v>
          </cell>
          <cell r="CM903" t="str">
            <v xml:space="preserve">NFT-423401022GN00277XXXXXXX </v>
          </cell>
          <cell r="CN903" t="str">
            <v>2024-08-21</v>
          </cell>
          <cell r="CO903">
            <v>757.92499999999995</v>
          </cell>
        </row>
        <row r="904">
          <cell r="CJ904" t="str">
            <v xml:space="preserve">NFT-423400974GN00225XXXXXXX </v>
          </cell>
          <cell r="CK904" t="str">
            <v>2024-08-21</v>
          </cell>
          <cell r="CL904">
            <v>15288.732</v>
          </cell>
        </row>
        <row r="905">
          <cell r="CJ905" t="str">
            <v xml:space="preserve">NFT-423400974GN00225XXXXXXX </v>
          </cell>
          <cell r="CK905" t="str">
            <v>2024-08-21</v>
          </cell>
          <cell r="CL905">
            <v>36074.381000000001</v>
          </cell>
          <cell r="CM905" t="str">
            <v xml:space="preserve">NFT-423401022GN00277XXXXXXX </v>
          </cell>
          <cell r="CN905" t="str">
            <v>2024-08-21</v>
          </cell>
          <cell r="CO905">
            <v>1904.4349999999999</v>
          </cell>
        </row>
        <row r="906">
          <cell r="CJ906" t="str">
            <v xml:space="preserve">NFT-423400974GN00225XXXXXXX </v>
          </cell>
          <cell r="CK906" t="str">
            <v>2024-08-21</v>
          </cell>
          <cell r="CL906">
            <v>72008.255999999994</v>
          </cell>
          <cell r="CM906" t="str">
            <v xml:space="preserve">NFT-423401022GN00277XXXXXXX </v>
          </cell>
          <cell r="CN906" t="str">
            <v>2024-08-21</v>
          </cell>
          <cell r="CO906">
            <v>2885.51</v>
          </cell>
        </row>
        <row r="907">
          <cell r="CJ907" t="str">
            <v xml:space="preserve">NFT-423400974GN00225XXXXXXX </v>
          </cell>
          <cell r="CK907" t="str">
            <v>2024-08-21</v>
          </cell>
          <cell r="CL907">
            <v>14340.72</v>
          </cell>
          <cell r="CM907" t="str">
            <v xml:space="preserve">NFT-423401022GN00277XXXXXXX </v>
          </cell>
          <cell r="CN907" t="str">
            <v>2024-08-21</v>
          </cell>
          <cell r="CO907">
            <v>707.91099999999994</v>
          </cell>
          <cell r="CP907" t="str">
            <v xml:space="preserve">NFT-424100932GN00157XXXXXXX </v>
          </cell>
          <cell r="CQ907" t="str">
            <v>2024-08-28</v>
          </cell>
          <cell r="CR907">
            <v>-707.91099999999994</v>
          </cell>
          <cell r="CS907" t="str">
            <v xml:space="preserve">NFT-424100873GN00159XXXXXXX </v>
          </cell>
          <cell r="CT907" t="str">
            <v>2024-08-28</v>
          </cell>
          <cell r="CU907">
            <v>-14340.72</v>
          </cell>
        </row>
        <row r="908">
          <cell r="CJ908" t="str">
            <v xml:space="preserve">NFT-423400974GN00225XXXXXXX </v>
          </cell>
          <cell r="CK908" t="str">
            <v>2024-08-21</v>
          </cell>
          <cell r="CL908">
            <v>14520.227999999999</v>
          </cell>
          <cell r="CM908" t="str">
            <v xml:space="preserve">NFT-423401022GN00277XXXXXXX </v>
          </cell>
          <cell r="CN908" t="str">
            <v>2024-08-21</v>
          </cell>
          <cell r="CO908">
            <v>768.505</v>
          </cell>
          <cell r="CP908" t="str">
            <v xml:space="preserve">NFT-423600944GN00087XXXXXXX </v>
          </cell>
          <cell r="CQ908" t="str">
            <v>2024-08-23</v>
          </cell>
          <cell r="CR908">
            <v>-14520.227999999999</v>
          </cell>
          <cell r="CS908" t="str">
            <v xml:space="preserve">NFT-423601027GN00067XXXXXXX </v>
          </cell>
          <cell r="CT908" t="str">
            <v>2024-08-23</v>
          </cell>
          <cell r="CU908">
            <v>-768.505</v>
          </cell>
        </row>
        <row r="909">
          <cell r="CJ909" t="str">
            <v xml:space="preserve">NFT-423400974GN00225XXXXXXX </v>
          </cell>
          <cell r="CK909" t="str">
            <v>2024-08-21</v>
          </cell>
          <cell r="CL909">
            <v>72008.255999999994</v>
          </cell>
          <cell r="CM909" t="str">
            <v xml:space="preserve">NFT-423401022GN00277XXXXXXX </v>
          </cell>
          <cell r="CN909" t="str">
            <v>2024-08-21</v>
          </cell>
          <cell r="CO909">
            <v>2885.51</v>
          </cell>
        </row>
        <row r="910">
          <cell r="CJ910" t="str">
            <v xml:space="preserve">NFT-423400974GN00225XXXXXXX </v>
          </cell>
          <cell r="CK910" t="str">
            <v>2024-08-21</v>
          </cell>
          <cell r="CL910">
            <v>72037.467000000004</v>
          </cell>
          <cell r="CM910" t="str">
            <v xml:space="preserve">NFT-423401022GN00277XXXXXXX </v>
          </cell>
          <cell r="CN910" t="str">
            <v>2024-08-21</v>
          </cell>
          <cell r="CO910">
            <v>2885.511</v>
          </cell>
        </row>
        <row r="911">
          <cell r="CJ911" t="str">
            <v xml:space="preserve">NFT-423400974GN00225XXXXXXX </v>
          </cell>
          <cell r="CK911" t="str">
            <v>2024-08-21</v>
          </cell>
          <cell r="CL911">
            <v>14309.585999999999</v>
          </cell>
          <cell r="CM911" t="str">
            <v xml:space="preserve">NFT-423401022GN00277XXXXXXX </v>
          </cell>
          <cell r="CN911" t="str">
            <v>2024-08-21</v>
          </cell>
          <cell r="CO911">
            <v>757.92399999999998</v>
          </cell>
        </row>
        <row r="912">
          <cell r="CJ912" t="str">
            <v xml:space="preserve">NFT-423400974GN00225XXXXXXX </v>
          </cell>
          <cell r="CK912" t="str">
            <v>2024-08-21</v>
          </cell>
          <cell r="CL912">
            <v>30116.142</v>
          </cell>
        </row>
        <row r="913">
          <cell r="CJ913" t="str">
            <v xml:space="preserve">NFT-423400974GN00225XXXXXXX </v>
          </cell>
          <cell r="CK913" t="str">
            <v>2024-08-21</v>
          </cell>
          <cell r="CL913">
            <v>14290.707</v>
          </cell>
          <cell r="CM913" t="str">
            <v xml:space="preserve">NFT-423401022GN00277XXXXXXX </v>
          </cell>
          <cell r="CN913" t="str">
            <v>2024-08-21</v>
          </cell>
          <cell r="CO913">
            <v>757.92499999999995</v>
          </cell>
        </row>
        <row r="914">
          <cell r="CJ914" t="str">
            <v xml:space="preserve">NFT-423400974GN00225XXXXXXX </v>
          </cell>
          <cell r="CK914" t="str">
            <v>2024-08-21</v>
          </cell>
          <cell r="CL914">
            <v>72008.255999999994</v>
          </cell>
          <cell r="CM914" t="str">
            <v xml:space="preserve">NFT-423401022GN00277XXXXXXX </v>
          </cell>
          <cell r="CN914" t="str">
            <v>2024-08-21</v>
          </cell>
          <cell r="CO914">
            <v>2885.51</v>
          </cell>
        </row>
        <row r="915">
          <cell r="CJ915" t="str">
            <v xml:space="preserve">NFT-423400974GN00225XXXXXXX </v>
          </cell>
          <cell r="CK915" t="str">
            <v>2024-08-21</v>
          </cell>
          <cell r="CL915">
            <v>13628.233</v>
          </cell>
          <cell r="CM915" t="str">
            <v xml:space="preserve">NFT-423401022GN00277XXXXXXX </v>
          </cell>
          <cell r="CN915" t="str">
            <v>2024-08-21</v>
          </cell>
          <cell r="CO915">
            <v>698.798</v>
          </cell>
        </row>
        <row r="916">
          <cell r="CJ916" t="str">
            <v xml:space="preserve">NFT-423400974GN00225XXXXXXX </v>
          </cell>
          <cell r="CK916" t="str">
            <v>2024-08-21</v>
          </cell>
          <cell r="CL916">
            <v>13305.922</v>
          </cell>
          <cell r="CM916" t="str">
            <v xml:space="preserve">NFT-423401022GN00277XXXXXXX </v>
          </cell>
          <cell r="CN916" t="str">
            <v>2024-08-21</v>
          </cell>
          <cell r="CO916">
            <v>705.11599999999999</v>
          </cell>
        </row>
        <row r="917">
          <cell r="CJ917" t="str">
            <v xml:space="preserve">NFT-423400974GN00225XXXXXXX </v>
          </cell>
          <cell r="CK917" t="str">
            <v>2024-08-21</v>
          </cell>
          <cell r="CL917">
            <v>72806.937000000005</v>
          </cell>
          <cell r="CM917" t="str">
            <v xml:space="preserve">NFT-423401022GN00277XXXXXXX </v>
          </cell>
          <cell r="CN917" t="str">
            <v>2024-08-21</v>
          </cell>
          <cell r="CO917">
            <v>2885.511</v>
          </cell>
        </row>
        <row r="918">
          <cell r="CJ918" t="str">
            <v xml:space="preserve">NFT-423400974GN00225XXXXXXX </v>
          </cell>
          <cell r="CK918" t="str">
            <v>2024-08-21</v>
          </cell>
          <cell r="CL918">
            <v>14474.056</v>
          </cell>
          <cell r="CM918" t="str">
            <v xml:space="preserve">NFT-423401022GN00277XXXXXXX </v>
          </cell>
          <cell r="CN918" t="str">
            <v>2024-08-21</v>
          </cell>
          <cell r="CO918">
            <v>766.58399999999995</v>
          </cell>
        </row>
        <row r="919">
          <cell r="CJ919" t="str">
            <v xml:space="preserve">NFT-423400974GN00225XXXXXXX </v>
          </cell>
          <cell r="CK919" t="str">
            <v>2024-08-21</v>
          </cell>
          <cell r="CL919">
            <v>9686.0319999999992</v>
          </cell>
          <cell r="CM919" t="str">
            <v xml:space="preserve">NFT-423401022GN00277XXXXXXX </v>
          </cell>
          <cell r="CN919" t="str">
            <v>2024-08-21</v>
          </cell>
          <cell r="CO919">
            <v>514.57899999999995</v>
          </cell>
        </row>
        <row r="920">
          <cell r="CJ920" t="str">
            <v xml:space="preserve">NFT-423400974GN00225XXXXXXX </v>
          </cell>
          <cell r="CK920" t="str">
            <v>2024-08-21</v>
          </cell>
          <cell r="CL920">
            <v>14264.380999999999</v>
          </cell>
          <cell r="CM920" t="str">
            <v xml:space="preserve">NFT-423401022GN00277XXXXXXX </v>
          </cell>
          <cell r="CN920" t="str">
            <v>2024-08-21</v>
          </cell>
          <cell r="CO920">
            <v>755.03800000000001</v>
          </cell>
        </row>
        <row r="922">
          <cell r="CJ922" t="str">
            <v xml:space="preserve">NFT-423400974GN00225XXXXXXX </v>
          </cell>
          <cell r="CK922" t="str">
            <v>2024-08-21</v>
          </cell>
          <cell r="CL922">
            <v>8910.7890000000007</v>
          </cell>
          <cell r="CM922" t="str">
            <v xml:space="preserve">NFT-423401022GN00277XXXXXXX </v>
          </cell>
          <cell r="CN922" t="str">
            <v>2024-08-21</v>
          </cell>
          <cell r="CO922">
            <v>972.41700000000003</v>
          </cell>
          <cell r="CP922" t="str">
            <v xml:space="preserve">NFT-423901043GN00083XXXXXXX </v>
          </cell>
          <cell r="CQ922" t="str">
            <v>2024-08-26</v>
          </cell>
          <cell r="CR922">
            <v>-972.41700000000003</v>
          </cell>
          <cell r="CS922" t="str">
            <v xml:space="preserve">NFT-423900923GN00109XXXXXXX </v>
          </cell>
          <cell r="CT922" t="str">
            <v>2024-08-26</v>
          </cell>
          <cell r="CU922">
            <v>-8910.7890000000007</v>
          </cell>
        </row>
        <row r="923">
          <cell r="CJ923" t="str">
            <v xml:space="preserve">NFT-423400974GN00225XXXXXXX </v>
          </cell>
          <cell r="CK923" t="str">
            <v>2024-08-21</v>
          </cell>
          <cell r="CL923">
            <v>7301.0370000000003</v>
          </cell>
          <cell r="CM923" t="str">
            <v xml:space="preserve">NFT-423401022GN00277XXXXXXX </v>
          </cell>
          <cell r="CN923" t="str">
            <v>2024-08-21</v>
          </cell>
          <cell r="CO923">
            <v>389.54199999999997</v>
          </cell>
        </row>
        <row r="924">
          <cell r="CJ924" t="str">
            <v xml:space="preserve">NFT-423400974GN00225XXXXXXX </v>
          </cell>
          <cell r="CK924" t="str">
            <v>2024-08-21</v>
          </cell>
          <cell r="CL924">
            <v>72806.937000000005</v>
          </cell>
          <cell r="CM924" t="str">
            <v xml:space="preserve">NFT-423401022GN00277XXXXXXX </v>
          </cell>
          <cell r="CN924" t="str">
            <v>2024-08-21</v>
          </cell>
          <cell r="CO924">
            <v>2885.511</v>
          </cell>
          <cell r="CP924" t="str">
            <v xml:space="preserve">NFT-423600944GN00087XXXXXXX </v>
          </cell>
          <cell r="CQ924" t="str">
            <v>2024-08-23</v>
          </cell>
          <cell r="CR924">
            <v>-72806.937000000005</v>
          </cell>
          <cell r="CS924" t="str">
            <v xml:space="preserve">NFT-423601027GN00067XXXXXXX </v>
          </cell>
          <cell r="CT924" t="str">
            <v>2024-08-23</v>
          </cell>
          <cell r="CU924">
            <v>-2885.511</v>
          </cell>
        </row>
        <row r="925">
          <cell r="CJ925" t="str">
            <v xml:space="preserve">NFT-423400974GN00225XXXXXXX </v>
          </cell>
          <cell r="CK925" t="str">
            <v>2024-08-21</v>
          </cell>
          <cell r="CL925">
            <v>14290.707</v>
          </cell>
          <cell r="CM925" t="str">
            <v xml:space="preserve">NFT-423401022GN00277XXXXXXX </v>
          </cell>
          <cell r="CN925" t="str">
            <v>2024-08-21</v>
          </cell>
          <cell r="CO925">
            <v>757.92499999999995</v>
          </cell>
        </row>
        <row r="926">
          <cell r="CJ926" t="str">
            <v xml:space="preserve">NFT-423400974GN00225XXXXXXX </v>
          </cell>
          <cell r="CK926" t="str">
            <v>2024-08-21</v>
          </cell>
          <cell r="CL926">
            <v>13727.071</v>
          </cell>
          <cell r="CM926" t="str">
            <v xml:space="preserve">NFT-423401022GN00277XXXXXXX </v>
          </cell>
          <cell r="CN926" t="str">
            <v>2024-08-21</v>
          </cell>
          <cell r="CO926">
            <v>1494.6980000000001</v>
          </cell>
        </row>
        <row r="927">
          <cell r="CJ927" t="str">
            <v xml:space="preserve">NFT-423400974GN00225XXXXXXX </v>
          </cell>
          <cell r="CK927" t="str">
            <v>2024-08-21</v>
          </cell>
          <cell r="CL927">
            <v>75711.327000000005</v>
          </cell>
        </row>
        <row r="928">
          <cell r="CJ928" t="str">
            <v xml:space="preserve">NFT-423400974GN00225XXXXXXX </v>
          </cell>
          <cell r="CK928" t="str">
            <v>2024-08-21</v>
          </cell>
          <cell r="CL928">
            <v>43759.779000000002</v>
          </cell>
          <cell r="CM928" t="str">
            <v xml:space="preserve">NFT-423401022GN00277XXXXXXX </v>
          </cell>
          <cell r="CN928" t="str">
            <v>2024-08-21</v>
          </cell>
          <cell r="CO928">
            <v>1442.7570000000001</v>
          </cell>
        </row>
        <row r="929">
          <cell r="CJ929" t="str">
            <v xml:space="preserve">NFT-423400974GN00225XXXXXXX </v>
          </cell>
          <cell r="CK929" t="str">
            <v>2024-08-21</v>
          </cell>
          <cell r="CL929">
            <v>70959.251999999993</v>
          </cell>
          <cell r="CM929" t="str">
            <v xml:space="preserve">NFT-423401022GN00277XXXXXXX </v>
          </cell>
          <cell r="CN929" t="str">
            <v>2024-08-21</v>
          </cell>
          <cell r="CO929">
            <v>3665.56</v>
          </cell>
        </row>
        <row r="930">
          <cell r="CJ930" t="str">
            <v xml:space="preserve">NFT-423400974GN00225XXXXXXX </v>
          </cell>
          <cell r="CK930" t="str">
            <v>2024-08-21</v>
          </cell>
          <cell r="CL930">
            <v>73826.479000000007</v>
          </cell>
          <cell r="CM930" t="str">
            <v xml:space="preserve">NFT-423401022GN00277XXXXXXX </v>
          </cell>
          <cell r="CN930" t="str">
            <v>2024-08-21</v>
          </cell>
          <cell r="CO930">
            <v>1865.9680000000001</v>
          </cell>
        </row>
        <row r="931">
          <cell r="CJ931" t="str">
            <v xml:space="preserve">NFT-423400974GN00225XXXXXXX </v>
          </cell>
          <cell r="CK931" t="str">
            <v>2024-08-21</v>
          </cell>
          <cell r="CL931">
            <v>13570.285</v>
          </cell>
          <cell r="CM931" t="str">
            <v xml:space="preserve">NFT-423401022GN00277XXXXXXX </v>
          </cell>
          <cell r="CN931" t="str">
            <v>2024-08-21</v>
          </cell>
          <cell r="CO931">
            <v>1478.347</v>
          </cell>
        </row>
        <row r="932">
          <cell r="CJ932" t="str">
            <v xml:space="preserve">NFT-423400974GN00225XXXXXXX </v>
          </cell>
          <cell r="CK932" t="str">
            <v>2024-08-21</v>
          </cell>
          <cell r="CL932">
            <v>7690.22</v>
          </cell>
        </row>
        <row r="933">
          <cell r="CJ933" t="str">
            <v xml:space="preserve">NFT-423400974GN00225XXXXXXX </v>
          </cell>
          <cell r="CK933" t="str">
            <v>2024-08-21</v>
          </cell>
          <cell r="CL933">
            <v>36378.328999999998</v>
          </cell>
          <cell r="CM933" t="str">
            <v xml:space="preserve">NFT-423401022GN00277XXXXXXX </v>
          </cell>
          <cell r="CN933" t="str">
            <v>2024-08-21</v>
          </cell>
          <cell r="CO933">
            <v>1600.4970000000001</v>
          </cell>
        </row>
        <row r="934">
          <cell r="CJ934" t="str">
            <v xml:space="preserve">NFT-423400974GN00225XXXXXXX </v>
          </cell>
          <cell r="CK934" t="str">
            <v>2024-08-21</v>
          </cell>
          <cell r="CL934">
            <v>12599.911</v>
          </cell>
          <cell r="CM934" t="str">
            <v xml:space="preserve">NFT-423401022GN00277XXXXXXX </v>
          </cell>
          <cell r="CN934" t="str">
            <v>2024-08-21</v>
          </cell>
          <cell r="CO934">
            <v>1411.1379999999999</v>
          </cell>
        </row>
        <row r="935">
          <cell r="CJ935" t="str">
            <v xml:space="preserve">NFT-423400974GN00225XXXXXXX </v>
          </cell>
          <cell r="CK935" t="str">
            <v>2024-08-21</v>
          </cell>
          <cell r="CL935">
            <v>14011.038</v>
          </cell>
        </row>
        <row r="936">
          <cell r="CJ936" t="str">
            <v xml:space="preserve">NFT-423400974GN00225XXXXXXX </v>
          </cell>
          <cell r="CK936" t="str">
            <v>2024-08-21</v>
          </cell>
          <cell r="CL936">
            <v>12599.911</v>
          </cell>
          <cell r="CM936" t="str">
            <v xml:space="preserve">NFT-423401022GN00277XXXXXXX </v>
          </cell>
          <cell r="CN936" t="str">
            <v>2024-08-21</v>
          </cell>
          <cell r="CO936">
            <v>1411.1379999999999</v>
          </cell>
        </row>
        <row r="937">
          <cell r="CJ937" t="str">
            <v xml:space="preserve">NFT-423400974GN00225XXXXXXX </v>
          </cell>
          <cell r="CK937" t="str">
            <v>2024-08-21</v>
          </cell>
          <cell r="CL937">
            <v>12599.911</v>
          </cell>
          <cell r="CM937" t="str">
            <v xml:space="preserve">NFT-423401022GN00277XXXXXXX </v>
          </cell>
          <cell r="CN937" t="str">
            <v>2024-08-21</v>
          </cell>
          <cell r="CO937">
            <v>1411.1379999999999</v>
          </cell>
        </row>
        <row r="938">
          <cell r="CJ938" t="str">
            <v xml:space="preserve">NFT-423400974GN00225XXXXXXX </v>
          </cell>
          <cell r="CK938" t="str">
            <v>2024-08-21</v>
          </cell>
          <cell r="CL938">
            <v>12599.911</v>
          </cell>
          <cell r="CM938" t="str">
            <v xml:space="preserve">NFT-423401022GN00277XXXXXXX </v>
          </cell>
          <cell r="CN938" t="str">
            <v>2024-08-21</v>
          </cell>
          <cell r="CO938">
            <v>1411.1379999999999</v>
          </cell>
        </row>
        <row r="939">
          <cell r="CJ939" t="str">
            <v xml:space="preserve">NFT-423400974GN00225XXXXXXX </v>
          </cell>
          <cell r="CK939" t="str">
            <v>2024-08-21</v>
          </cell>
          <cell r="CL939">
            <v>12618.790999999999</v>
          </cell>
          <cell r="CM939" t="str">
            <v xml:space="preserve">NFT-423401022GN00277XXXXXXX </v>
          </cell>
          <cell r="CN939" t="str">
            <v>2024-08-21</v>
          </cell>
          <cell r="CO939">
            <v>1411.1369999999999</v>
          </cell>
        </row>
        <row r="940">
          <cell r="CJ940" t="str">
            <v xml:space="preserve">NFT-423400974GN00225XXXXXXX </v>
          </cell>
          <cell r="CK940" t="str">
            <v>2024-08-21</v>
          </cell>
          <cell r="CL940">
            <v>9172.4079999999994</v>
          </cell>
          <cell r="CM940" t="str">
            <v xml:space="preserve">NFT-423401022GN00277XXXXXXX </v>
          </cell>
          <cell r="CN940" t="str">
            <v>2024-08-21</v>
          </cell>
          <cell r="CO940">
            <v>1028.202</v>
          </cell>
        </row>
        <row r="941">
          <cell r="CJ941" t="str">
            <v xml:space="preserve">NFT-423400974GN00225XXXXXXX </v>
          </cell>
          <cell r="CK941" t="str">
            <v>2024-08-21</v>
          </cell>
          <cell r="CL941">
            <v>12599.911</v>
          </cell>
          <cell r="CM941" t="str">
            <v xml:space="preserve">NFT-423401022GN00277XXXXXXX </v>
          </cell>
          <cell r="CN941" t="str">
            <v>2024-08-21</v>
          </cell>
          <cell r="CO941">
            <v>1411.1379999999999</v>
          </cell>
        </row>
        <row r="942">
          <cell r="CJ942" t="str">
            <v xml:space="preserve">NFT-423400974GN00225XXXXXXX </v>
          </cell>
          <cell r="CK942" t="str">
            <v>2024-08-21</v>
          </cell>
          <cell r="CL942">
            <v>12599.911</v>
          </cell>
          <cell r="CM942" t="str">
            <v xml:space="preserve">NFT-423401022GN00277XXXXXXX </v>
          </cell>
          <cell r="CN942" t="str">
            <v>2024-08-21</v>
          </cell>
          <cell r="CO942">
            <v>1411.1379999999999</v>
          </cell>
        </row>
        <row r="943">
          <cell r="CJ943" t="str">
            <v xml:space="preserve">NFT-423400974GN00225XXXXXXX </v>
          </cell>
          <cell r="CK943" t="str">
            <v>2024-08-21</v>
          </cell>
          <cell r="CL943">
            <v>12630.606</v>
          </cell>
          <cell r="CM943" t="str">
            <v xml:space="preserve">NFT-423401022GN00277XXXXXXX </v>
          </cell>
          <cell r="CN943" t="str">
            <v>2024-08-21</v>
          </cell>
          <cell r="CO943">
            <v>1380.443</v>
          </cell>
        </row>
        <row r="944">
          <cell r="CJ944" t="str">
            <v xml:space="preserve">NFT-423400974GN00225XXXXXXX </v>
          </cell>
          <cell r="CK944" t="str">
            <v>2024-08-21</v>
          </cell>
          <cell r="CL944">
            <v>12599.911</v>
          </cell>
          <cell r="CM944" t="str">
            <v xml:space="preserve">NFT-423401022GN00277XXXXXXX </v>
          </cell>
          <cell r="CN944" t="str">
            <v>2024-08-21</v>
          </cell>
          <cell r="CO944">
            <v>1411.1379999999999</v>
          </cell>
        </row>
        <row r="945">
          <cell r="CJ945" t="str">
            <v xml:space="preserve">NFT-423400974GN00225XXXXXXX </v>
          </cell>
          <cell r="CK945" t="str">
            <v>2024-08-21</v>
          </cell>
          <cell r="CL945">
            <v>12599.911</v>
          </cell>
          <cell r="CM945" t="str">
            <v xml:space="preserve">NFT-423401022GN00277XXXXXXX </v>
          </cell>
          <cell r="CN945" t="str">
            <v>2024-08-21</v>
          </cell>
          <cell r="CO945">
            <v>1411.1379999999999</v>
          </cell>
        </row>
        <row r="946">
          <cell r="CJ946" t="str">
            <v xml:space="preserve">NFT-423400974GN00225XXXXXXX </v>
          </cell>
          <cell r="CK946" t="str">
            <v>2024-08-21</v>
          </cell>
          <cell r="CL946">
            <v>12599.911</v>
          </cell>
          <cell r="CM946" t="str">
            <v xml:space="preserve">NFT-423401022GN00277XXXXXXX </v>
          </cell>
          <cell r="CN946" t="str">
            <v>2024-08-21</v>
          </cell>
          <cell r="CO946">
            <v>1411.1379999999999</v>
          </cell>
        </row>
        <row r="947">
          <cell r="CJ947" t="str">
            <v xml:space="preserve">NFT-423400974GN00225XXXXXXX </v>
          </cell>
          <cell r="CK947" t="str">
            <v>2024-08-21</v>
          </cell>
          <cell r="CL947">
            <v>9462.2839999999997</v>
          </cell>
          <cell r="CM947" t="str">
            <v xml:space="preserve">NFT-423401022GN00277XXXXXXX </v>
          </cell>
          <cell r="CN947" t="str">
            <v>2024-08-21</v>
          </cell>
          <cell r="CO947">
            <v>402.053</v>
          </cell>
        </row>
        <row r="948">
          <cell r="CJ948" t="str">
            <v xml:space="preserve">NFT-423400974GN00225XXXXXXX </v>
          </cell>
          <cell r="CK948" t="str">
            <v>2024-08-21</v>
          </cell>
          <cell r="CL948">
            <v>12618.790999999999</v>
          </cell>
          <cell r="CM948" t="str">
            <v xml:space="preserve">NFT-423401022GN00277XXXXXXX </v>
          </cell>
          <cell r="CN948" t="str">
            <v>2024-08-21</v>
          </cell>
          <cell r="CO948">
            <v>1411.1379999999999</v>
          </cell>
        </row>
        <row r="949">
          <cell r="CJ949" t="str">
            <v xml:space="preserve">NFT-423400974GN00225XXXXXXX </v>
          </cell>
          <cell r="CK949" t="str">
            <v>2024-08-21</v>
          </cell>
          <cell r="CL949">
            <v>12599.911</v>
          </cell>
          <cell r="CM949" t="str">
            <v xml:space="preserve">NFT-423401022GN00277XXXXXXX </v>
          </cell>
          <cell r="CN949" t="str">
            <v>2024-08-21</v>
          </cell>
          <cell r="CO949">
            <v>1411.1379999999999</v>
          </cell>
        </row>
        <row r="950">
          <cell r="CJ950" t="str">
            <v xml:space="preserve">NFT-423400974GN00225XXXXXXX </v>
          </cell>
          <cell r="CK950" t="str">
            <v>2024-08-21</v>
          </cell>
          <cell r="CL950">
            <v>12618.790999999999</v>
          </cell>
          <cell r="CM950" t="str">
            <v xml:space="preserve">NFT-423401022GN00277XXXXXXX </v>
          </cell>
          <cell r="CN950" t="str">
            <v>2024-08-21</v>
          </cell>
          <cell r="CO950">
            <v>1411.1369999999999</v>
          </cell>
        </row>
        <row r="951">
          <cell r="CJ951" t="str">
            <v xml:space="preserve">NFT-423400974GN00225XXXXXXX </v>
          </cell>
          <cell r="CK951" t="str">
            <v>2024-08-21</v>
          </cell>
          <cell r="CL951">
            <v>11983.192999999999</v>
          </cell>
          <cell r="CM951" t="str">
            <v xml:space="preserve">NFT-423401022GN00277XXXXXXX </v>
          </cell>
          <cell r="CN951" t="str">
            <v>2024-08-21</v>
          </cell>
          <cell r="CO951">
            <v>2046.7360000000001</v>
          </cell>
        </row>
        <row r="952">
          <cell r="CJ952" t="str">
            <v xml:space="preserve">NFT-423400974GN00225XXXXXXX </v>
          </cell>
          <cell r="CK952" t="str">
            <v>2024-08-21</v>
          </cell>
          <cell r="CL952">
            <v>12599.911</v>
          </cell>
          <cell r="CM952" t="str">
            <v xml:space="preserve">NFT-423401022GN00277XXXXXXX </v>
          </cell>
          <cell r="CN952" t="str">
            <v>2024-08-21</v>
          </cell>
          <cell r="CO952">
            <v>1411.1379999999999</v>
          </cell>
        </row>
        <row r="953">
          <cell r="CJ953" t="str">
            <v xml:space="preserve">NFT-423400974GN00225XXXXXXX </v>
          </cell>
          <cell r="CK953" t="str">
            <v>2024-08-21</v>
          </cell>
          <cell r="CL953">
            <v>12599.911</v>
          </cell>
          <cell r="CM953" t="str">
            <v xml:space="preserve">NFT-423401022GN00277XXXXXXX </v>
          </cell>
          <cell r="CN953" t="str">
            <v>2024-08-21</v>
          </cell>
          <cell r="CO953">
            <v>1411.1379999999999</v>
          </cell>
        </row>
        <row r="954">
          <cell r="CJ954" t="str">
            <v xml:space="preserve">NFT-423400974GN00225XXXXXXX </v>
          </cell>
          <cell r="CK954" t="str">
            <v>2024-08-21</v>
          </cell>
          <cell r="CL954">
            <v>12599.911</v>
          </cell>
          <cell r="CM954" t="str">
            <v xml:space="preserve">NFT-423401022GN00277XXXXXXX </v>
          </cell>
          <cell r="CN954" t="str">
            <v>2024-08-21</v>
          </cell>
          <cell r="CO954">
            <v>1411.1379999999999</v>
          </cell>
        </row>
        <row r="955">
          <cell r="CJ955" t="str">
            <v xml:space="preserve">NFT-423400974GN00225XXXXXXX </v>
          </cell>
          <cell r="CK955" t="str">
            <v>2024-08-21</v>
          </cell>
          <cell r="CL955">
            <v>12618.790999999999</v>
          </cell>
          <cell r="CM955" t="str">
            <v xml:space="preserve">NFT-423401022GN00277XXXXXXX </v>
          </cell>
          <cell r="CN955" t="str">
            <v>2024-08-21</v>
          </cell>
          <cell r="CO955">
            <v>1411.1369999999999</v>
          </cell>
        </row>
        <row r="956">
          <cell r="CJ956" t="str">
            <v xml:space="preserve">NFT-423400974GN00225XXXXXXX </v>
          </cell>
          <cell r="CK956" t="str">
            <v>2024-08-21</v>
          </cell>
          <cell r="CL956">
            <v>12599.911</v>
          </cell>
          <cell r="CM956" t="str">
            <v xml:space="preserve">NFT-423401022GN00277XXXXXXX </v>
          </cell>
          <cell r="CN956" t="str">
            <v>2024-08-21</v>
          </cell>
          <cell r="CO956">
            <v>1411.1379999999999</v>
          </cell>
          <cell r="CP956" t="str">
            <v xml:space="preserve">NFT-424800948GN00078XXXXXXX </v>
          </cell>
          <cell r="CQ956" t="str">
            <v>2024-09-04</v>
          </cell>
          <cell r="CR956">
            <v>-12599.911</v>
          </cell>
          <cell r="CS956" t="str">
            <v xml:space="preserve">NFT-424800981GN00017XXXXXXX </v>
          </cell>
          <cell r="CT956" t="str">
            <v>2024-09-04</v>
          </cell>
          <cell r="CU956">
            <v>-1411.1379999999999</v>
          </cell>
        </row>
        <row r="957">
          <cell r="CJ957" t="str">
            <v xml:space="preserve">NFT-423400974GN00225XXXXXXX </v>
          </cell>
          <cell r="CK957" t="str">
            <v>2024-08-21</v>
          </cell>
          <cell r="CL957">
            <v>13323.906999999999</v>
          </cell>
          <cell r="CM957" t="str">
            <v xml:space="preserve">NFT-423401022GN00277XXXXXXX </v>
          </cell>
          <cell r="CN957" t="str">
            <v>2024-08-21</v>
          </cell>
          <cell r="CO957">
            <v>706.02200000000005</v>
          </cell>
        </row>
        <row r="958">
          <cell r="CJ958" t="str">
            <v xml:space="preserve">NFT-423400974GN00225XXXXXXX </v>
          </cell>
          <cell r="CK958" t="str">
            <v>2024-08-21</v>
          </cell>
          <cell r="CL958">
            <v>12599.911</v>
          </cell>
          <cell r="CM958" t="str">
            <v xml:space="preserve">NFT-423401022GN00277XXXXXXX </v>
          </cell>
          <cell r="CN958" t="str">
            <v>2024-08-21</v>
          </cell>
          <cell r="CO958">
            <v>1411.1379999999999</v>
          </cell>
        </row>
        <row r="959">
          <cell r="CJ959" t="str">
            <v xml:space="preserve">NFT-423400974GN00225XXXXXXX </v>
          </cell>
          <cell r="CK959" t="str">
            <v>2024-08-21</v>
          </cell>
          <cell r="CL959">
            <v>11983.192999999999</v>
          </cell>
          <cell r="CM959" t="str">
            <v xml:space="preserve">NFT-423401022GN00277XXXXXXX </v>
          </cell>
          <cell r="CN959" t="str">
            <v>2024-08-21</v>
          </cell>
          <cell r="CO959">
            <v>2046.7360000000001</v>
          </cell>
        </row>
        <row r="960">
          <cell r="CJ960" t="str">
            <v xml:space="preserve">NFT-423400974GN00225XXXXXXX </v>
          </cell>
          <cell r="CK960" t="str">
            <v>2024-08-21</v>
          </cell>
          <cell r="CL960">
            <v>12599.911</v>
          </cell>
          <cell r="CM960" t="str">
            <v xml:space="preserve">NFT-423401022GN00277XXXXXXX </v>
          </cell>
          <cell r="CN960" t="str">
            <v>2024-08-21</v>
          </cell>
          <cell r="CO960">
            <v>1411.1379999999999</v>
          </cell>
        </row>
        <row r="961">
          <cell r="CJ961" t="str">
            <v xml:space="preserve">NFT-423400974GN00225XXXXXXX </v>
          </cell>
          <cell r="CK961" t="str">
            <v>2024-08-21</v>
          </cell>
          <cell r="CL961">
            <v>35930.106</v>
          </cell>
          <cell r="CM961" t="str">
            <v xml:space="preserve">NFT-423401022GN00277XXXXXXX </v>
          </cell>
          <cell r="CN961" t="str">
            <v>2024-08-21</v>
          </cell>
          <cell r="CO961">
            <v>1923.674</v>
          </cell>
        </row>
        <row r="962">
          <cell r="CJ962" t="str">
            <v xml:space="preserve">NFT-423400974GN00225XXXXXXX </v>
          </cell>
          <cell r="CK962" t="str">
            <v>2024-08-21</v>
          </cell>
          <cell r="CL962">
            <v>12599.911</v>
          </cell>
          <cell r="CM962" t="str">
            <v xml:space="preserve">NFT-423401022GN00277XXXXXXX </v>
          </cell>
          <cell r="CN962" t="str">
            <v>2024-08-21</v>
          </cell>
          <cell r="CO962">
            <v>1411.1379999999999</v>
          </cell>
        </row>
        <row r="963">
          <cell r="CJ963" t="str">
            <v xml:space="preserve">NFT-423400974GN00225XXXXXXX </v>
          </cell>
          <cell r="CK963" t="str">
            <v>2024-08-21</v>
          </cell>
          <cell r="CL963">
            <v>35948.985999999997</v>
          </cell>
          <cell r="CM963" t="str">
            <v xml:space="preserve">NFT-423401022GN00277XXXXXXX </v>
          </cell>
          <cell r="CN963" t="str">
            <v>2024-08-21</v>
          </cell>
          <cell r="CO963">
            <v>1923.674</v>
          </cell>
        </row>
        <row r="964">
          <cell r="CJ964" t="str">
            <v xml:space="preserve">NFT-423400974GN00225XXXXXXX </v>
          </cell>
          <cell r="CK964" t="str">
            <v>2024-08-21</v>
          </cell>
          <cell r="CL964">
            <v>12599.911</v>
          </cell>
          <cell r="CM964" t="str">
            <v xml:space="preserve">NFT-423401022GN00277XXXXXXX </v>
          </cell>
          <cell r="CN964" t="str">
            <v>2024-08-21</v>
          </cell>
          <cell r="CO964">
            <v>1411.1379999999999</v>
          </cell>
        </row>
        <row r="965">
          <cell r="CJ965" t="str">
            <v xml:space="preserve">NFT-423400974GN00225XXXXXXX </v>
          </cell>
          <cell r="CK965" t="str">
            <v>2024-08-21</v>
          </cell>
          <cell r="CL965">
            <v>12618.790999999999</v>
          </cell>
          <cell r="CM965" t="str">
            <v xml:space="preserve">NFT-423401022GN00277XXXXXXX </v>
          </cell>
          <cell r="CN965" t="str">
            <v>2024-08-21</v>
          </cell>
          <cell r="CO965">
            <v>1411.1369999999999</v>
          </cell>
        </row>
        <row r="966">
          <cell r="CJ966" t="str">
            <v xml:space="preserve">NFT-423400974GN00225XXXXXXX </v>
          </cell>
          <cell r="CK966" t="str">
            <v>2024-08-21</v>
          </cell>
          <cell r="CL966">
            <v>12618.790999999999</v>
          </cell>
          <cell r="CM966" t="str">
            <v xml:space="preserve">NFT-423401022GN00277XXXXXXX </v>
          </cell>
          <cell r="CN966" t="str">
            <v>2024-08-21</v>
          </cell>
          <cell r="CO966">
            <v>1411.1369999999999</v>
          </cell>
        </row>
        <row r="967">
          <cell r="CJ967" t="str">
            <v xml:space="preserve">NFT-423400974GN00225XXXXXXX </v>
          </cell>
          <cell r="CK967" t="str">
            <v>2024-08-21</v>
          </cell>
          <cell r="CL967">
            <v>12618.790999999999</v>
          </cell>
          <cell r="CM967" t="str">
            <v xml:space="preserve">NFT-423401022GN00277XXXXXXX </v>
          </cell>
          <cell r="CN967" t="str">
            <v>2024-08-21</v>
          </cell>
          <cell r="CO967">
            <v>1411.1369999999999</v>
          </cell>
        </row>
        <row r="968">
          <cell r="CJ968" t="str">
            <v xml:space="preserve">NFT-423400974GN00225XXXXXXX </v>
          </cell>
          <cell r="CK968" t="str">
            <v>2024-08-21</v>
          </cell>
          <cell r="CL968">
            <v>12599.911</v>
          </cell>
          <cell r="CM968" t="str">
            <v xml:space="preserve">NFT-423401022GN00277XXXXXXX </v>
          </cell>
          <cell r="CN968" t="str">
            <v>2024-08-21</v>
          </cell>
          <cell r="CO968">
            <v>1411.1379999999999</v>
          </cell>
        </row>
        <row r="969">
          <cell r="CJ969" t="str">
            <v xml:space="preserve">NFT-423400974GN00225XXXXXXX </v>
          </cell>
          <cell r="CK969" t="str">
            <v>2024-08-21</v>
          </cell>
          <cell r="CL969">
            <v>11983.192999999999</v>
          </cell>
          <cell r="CM969" t="str">
            <v xml:space="preserve">NFT-423401022GN00277XXXXXXX </v>
          </cell>
          <cell r="CN969" t="str">
            <v>2024-08-21</v>
          </cell>
          <cell r="CO969">
            <v>2046.7360000000001</v>
          </cell>
        </row>
        <row r="970">
          <cell r="CJ970" t="str">
            <v xml:space="preserve">NFT-423400974GN00225XXXXXXX </v>
          </cell>
          <cell r="CK970" t="str">
            <v>2024-08-21</v>
          </cell>
          <cell r="CL970">
            <v>12618.790999999999</v>
          </cell>
          <cell r="CM970" t="str">
            <v xml:space="preserve">NFT-423401022GN00277XXXXXXX </v>
          </cell>
          <cell r="CN970" t="str">
            <v>2024-08-21</v>
          </cell>
          <cell r="CO970">
            <v>1411.1379999999999</v>
          </cell>
        </row>
        <row r="971">
          <cell r="CJ971" t="str">
            <v xml:space="preserve">NFT-423400974GN00225XXXXXXX </v>
          </cell>
          <cell r="CK971" t="str">
            <v>2024-08-21</v>
          </cell>
          <cell r="CL971">
            <v>12618.790999999999</v>
          </cell>
          <cell r="CM971" t="str">
            <v xml:space="preserve">NFT-423401022GN00277XXXXXXX </v>
          </cell>
          <cell r="CN971" t="str">
            <v>2024-08-21</v>
          </cell>
          <cell r="CO971">
            <v>1411.1369999999999</v>
          </cell>
        </row>
        <row r="972">
          <cell r="CJ972" t="str">
            <v xml:space="preserve">NFT-423400974GN00225XXXXXXX </v>
          </cell>
          <cell r="CK972" t="str">
            <v>2024-08-21</v>
          </cell>
          <cell r="CL972">
            <v>12599.911</v>
          </cell>
          <cell r="CM972" t="str">
            <v xml:space="preserve">NFT-423401022GN00277XXXXXXX </v>
          </cell>
          <cell r="CN972" t="str">
            <v>2024-08-21</v>
          </cell>
          <cell r="CO972">
            <v>1411.1379999999999</v>
          </cell>
        </row>
        <row r="973">
          <cell r="CJ973" t="str">
            <v xml:space="preserve">NFT-423400974GN00225XXXXXXX </v>
          </cell>
          <cell r="CK973" t="str">
            <v>2024-08-21</v>
          </cell>
          <cell r="CL973">
            <v>12599.911</v>
          </cell>
          <cell r="CM973" t="str">
            <v xml:space="preserve">NFT-423401022GN00277XXXXXXX </v>
          </cell>
          <cell r="CN973" t="str">
            <v>2024-08-21</v>
          </cell>
          <cell r="CO973">
            <v>1411.1379999999999</v>
          </cell>
        </row>
        <row r="974">
          <cell r="CJ974" t="str">
            <v xml:space="preserve">NFT-423400974GN00225XXXXXXX </v>
          </cell>
          <cell r="CK974" t="str">
            <v>2024-08-21</v>
          </cell>
          <cell r="CL974">
            <v>11983.192999999999</v>
          </cell>
          <cell r="CM974" t="str">
            <v xml:space="preserve">NFT-423401022GN00277XXXXXXX </v>
          </cell>
          <cell r="CN974" t="str">
            <v>2024-08-21</v>
          </cell>
          <cell r="CO974">
            <v>2046.7360000000001</v>
          </cell>
        </row>
        <row r="975">
          <cell r="CJ975" t="str">
            <v xml:space="preserve">NFT-423400974GN00225XXXXXXX </v>
          </cell>
          <cell r="CK975" t="str">
            <v>2024-08-21</v>
          </cell>
          <cell r="CL975">
            <v>12618.790999999999</v>
          </cell>
          <cell r="CM975" t="str">
            <v xml:space="preserve">NFT-423401022GN00277XXXXXXX </v>
          </cell>
          <cell r="CN975" t="str">
            <v>2024-08-21</v>
          </cell>
          <cell r="CO975">
            <v>1411.1369999999999</v>
          </cell>
        </row>
        <row r="976">
          <cell r="CJ976" t="str">
            <v xml:space="preserve">NFT-423400974GN00225XXXXXXX </v>
          </cell>
          <cell r="CK976" t="str">
            <v>2024-08-21</v>
          </cell>
          <cell r="CL976">
            <v>12618.790999999999</v>
          </cell>
          <cell r="CM976" t="str">
            <v xml:space="preserve">NFT-423401022GN00277XXXXXXX </v>
          </cell>
          <cell r="CN976" t="str">
            <v>2024-08-21</v>
          </cell>
          <cell r="CO976">
            <v>1411.1369999999999</v>
          </cell>
        </row>
        <row r="977">
          <cell r="CJ977" t="str">
            <v xml:space="preserve">NFT-423400974GN00225XXXXXXX </v>
          </cell>
          <cell r="CK977" t="str">
            <v>2024-08-21</v>
          </cell>
          <cell r="CL977">
            <v>12599.911</v>
          </cell>
          <cell r="CM977" t="str">
            <v xml:space="preserve">NFT-423401022GN00277XXXXXXX </v>
          </cell>
          <cell r="CN977" t="str">
            <v>2024-08-21</v>
          </cell>
          <cell r="CO977">
            <v>1411.1379999999999</v>
          </cell>
        </row>
        <row r="978">
          <cell r="CJ978" t="str">
            <v xml:space="preserve">NFT-423400974GN00225XXXXXXX </v>
          </cell>
          <cell r="CK978" t="str">
            <v>2024-08-21</v>
          </cell>
          <cell r="CL978">
            <v>12618.790999999999</v>
          </cell>
          <cell r="CM978" t="str">
            <v xml:space="preserve">NFT-423401022GN00277XXXXXXX </v>
          </cell>
          <cell r="CN978" t="str">
            <v>2024-08-21</v>
          </cell>
          <cell r="CO978">
            <v>1411.1369999999999</v>
          </cell>
        </row>
        <row r="979">
          <cell r="CJ979" t="str">
            <v xml:space="preserve">NFT-423400974GN00225XXXXXXX </v>
          </cell>
          <cell r="CK979" t="str">
            <v>2024-08-21</v>
          </cell>
          <cell r="CL979">
            <v>12618.790999999999</v>
          </cell>
          <cell r="CM979" t="str">
            <v xml:space="preserve">NFT-423401022GN00277XXXXXXX </v>
          </cell>
          <cell r="CN979" t="str">
            <v>2024-08-21</v>
          </cell>
          <cell r="CO979">
            <v>1411.1369999999999</v>
          </cell>
        </row>
        <row r="980">
          <cell r="CJ980" t="str">
            <v xml:space="preserve">NFT-423400974GN00225XXXXXXX </v>
          </cell>
          <cell r="CK980" t="str">
            <v>2024-08-21</v>
          </cell>
          <cell r="CL980">
            <v>13008.894</v>
          </cell>
          <cell r="CM980" t="str">
            <v xml:space="preserve">NFT-423401022GN00277XXXXXXX </v>
          </cell>
          <cell r="CN980" t="str">
            <v>2024-08-21</v>
          </cell>
          <cell r="CO980">
            <v>1002.144</v>
          </cell>
          <cell r="CP980" t="str">
            <v xml:space="preserve">NFT-423600944GN00087XXXXXXX </v>
          </cell>
          <cell r="CQ980" t="str">
            <v>2024-08-23</v>
          </cell>
          <cell r="CR980">
            <v>-13008.894</v>
          </cell>
          <cell r="CS980" t="str">
            <v xml:space="preserve">NFT-423601027GN00067XXXXXXX </v>
          </cell>
          <cell r="CT980" t="str">
            <v>2024-08-23</v>
          </cell>
          <cell r="CU980">
            <v>-1002.144</v>
          </cell>
        </row>
        <row r="981">
          <cell r="CJ981" t="str">
            <v xml:space="preserve">NFT-423400974GN00225XXXXXXX </v>
          </cell>
          <cell r="CK981" t="str">
            <v>2024-08-21</v>
          </cell>
          <cell r="CL981">
            <v>12599.911</v>
          </cell>
          <cell r="CM981" t="str">
            <v xml:space="preserve">NFT-423401022GN00277XXXXXXX </v>
          </cell>
          <cell r="CN981" t="str">
            <v>2024-08-21</v>
          </cell>
          <cell r="CO981">
            <v>1411.1379999999999</v>
          </cell>
        </row>
        <row r="982">
          <cell r="CJ982" t="str">
            <v xml:space="preserve">NFT-423400974GN00225XXXXXXX </v>
          </cell>
          <cell r="CK982" t="str">
            <v>2024-08-21</v>
          </cell>
          <cell r="CL982">
            <v>35948.985999999997</v>
          </cell>
          <cell r="CM982" t="str">
            <v xml:space="preserve">NFT-423401022GN00277XXXXXXX </v>
          </cell>
          <cell r="CN982" t="str">
            <v>2024-08-21</v>
          </cell>
          <cell r="CO982">
            <v>1923.674</v>
          </cell>
        </row>
        <row r="983">
          <cell r="CJ983" t="str">
            <v xml:space="preserve">NFT-423400974GN00225XXXXXXX </v>
          </cell>
          <cell r="CK983" t="str">
            <v>2024-08-21</v>
          </cell>
          <cell r="CL983">
            <v>12599.911</v>
          </cell>
          <cell r="CM983" t="str">
            <v xml:space="preserve">NFT-423401022GN00277XXXXXXX </v>
          </cell>
          <cell r="CN983" t="str">
            <v>2024-08-21</v>
          </cell>
          <cell r="CO983">
            <v>1411.1379999999999</v>
          </cell>
        </row>
        <row r="984">
          <cell r="CJ984" t="str">
            <v xml:space="preserve">NFT-423400974GN00225XXXXXXX </v>
          </cell>
          <cell r="CK984" t="str">
            <v>2024-08-21</v>
          </cell>
          <cell r="CL984">
            <v>12599.911</v>
          </cell>
          <cell r="CM984" t="str">
            <v xml:space="preserve">NFT-423401022GN00277XXXXXXX </v>
          </cell>
          <cell r="CN984" t="str">
            <v>2024-08-21</v>
          </cell>
          <cell r="CO984">
            <v>1411.1379999999999</v>
          </cell>
        </row>
        <row r="985">
          <cell r="CJ985" t="str">
            <v xml:space="preserve">NFT-423400974GN00225XXXXXXX </v>
          </cell>
          <cell r="CK985" t="str">
            <v>2024-08-21</v>
          </cell>
          <cell r="CL985">
            <v>12618.790999999999</v>
          </cell>
          <cell r="CM985" t="str">
            <v xml:space="preserve">NFT-423401022GN00277XXXXXXX </v>
          </cell>
          <cell r="CN985" t="str">
            <v>2024-08-21</v>
          </cell>
          <cell r="CO985">
            <v>1411.1369999999999</v>
          </cell>
        </row>
        <row r="986">
          <cell r="CJ986" t="str">
            <v xml:space="preserve">NFT-423400974GN00225XXXXXXX </v>
          </cell>
          <cell r="CK986" t="str">
            <v>2024-08-21</v>
          </cell>
          <cell r="CL986">
            <v>12599.911</v>
          </cell>
          <cell r="CM986" t="str">
            <v xml:space="preserve">NFT-423401022GN00277XXXXXXX </v>
          </cell>
          <cell r="CN986" t="str">
            <v>2024-08-21</v>
          </cell>
          <cell r="CO986">
            <v>1411.1379999999999</v>
          </cell>
        </row>
        <row r="987">
          <cell r="CJ987" t="str">
            <v xml:space="preserve">NFT-423400974GN00225XXXXXXX </v>
          </cell>
          <cell r="CK987" t="str">
            <v>2024-08-21</v>
          </cell>
          <cell r="CL987">
            <v>12599.911</v>
          </cell>
          <cell r="CM987" t="str">
            <v xml:space="preserve">NFT-423401022GN00277XXXXXXX </v>
          </cell>
          <cell r="CN987" t="str">
            <v>2024-08-21</v>
          </cell>
          <cell r="CO987">
            <v>1411.1379999999999</v>
          </cell>
        </row>
        <row r="988">
          <cell r="CJ988" t="str">
            <v xml:space="preserve">NFT-423400974GN00225XXXXXXX </v>
          </cell>
          <cell r="CK988" t="str">
            <v>2024-08-21</v>
          </cell>
          <cell r="CL988">
            <v>12599.911</v>
          </cell>
          <cell r="CM988" t="str">
            <v xml:space="preserve">NFT-423401022GN00277XXXXXXX </v>
          </cell>
          <cell r="CN988" t="str">
            <v>2024-08-21</v>
          </cell>
          <cell r="CO988">
            <v>1411.1379999999999</v>
          </cell>
        </row>
        <row r="989">
          <cell r="CJ989" t="str">
            <v xml:space="preserve">NFT-423400974GN00225XXXXXXX </v>
          </cell>
          <cell r="CK989" t="str">
            <v>2024-08-21</v>
          </cell>
          <cell r="CL989">
            <v>12599.911</v>
          </cell>
          <cell r="CM989" t="str">
            <v xml:space="preserve">NFT-423401022GN00277XXXXXXX </v>
          </cell>
          <cell r="CN989" t="str">
            <v>2024-08-21</v>
          </cell>
          <cell r="CO989">
            <v>1411.1379999999999</v>
          </cell>
        </row>
        <row r="990">
          <cell r="CJ990" t="str">
            <v xml:space="preserve">NFT-423400974GN00225XXXXXXX </v>
          </cell>
          <cell r="CK990" t="str">
            <v>2024-08-21</v>
          </cell>
          <cell r="CL990">
            <v>12599.911</v>
          </cell>
          <cell r="CM990" t="str">
            <v xml:space="preserve">NFT-423401022GN00277XXXXXXX </v>
          </cell>
          <cell r="CN990" t="str">
            <v>2024-08-21</v>
          </cell>
          <cell r="CO990">
            <v>1411.1379999999999</v>
          </cell>
        </row>
        <row r="991">
          <cell r="CJ991" t="str">
            <v xml:space="preserve">NFT-423400974GN00225XXXXXXX </v>
          </cell>
          <cell r="CK991" t="str">
            <v>2024-08-21</v>
          </cell>
          <cell r="CL991">
            <v>12599.911</v>
          </cell>
          <cell r="CM991" t="str">
            <v xml:space="preserve">NFT-423401022GN00277XXXXXXX </v>
          </cell>
          <cell r="CN991" t="str">
            <v>2024-08-21</v>
          </cell>
          <cell r="CO991">
            <v>1411.1379999999999</v>
          </cell>
        </row>
        <row r="992">
          <cell r="CJ992" t="str">
            <v xml:space="preserve">NFT-423400974GN00225XXXXXXX </v>
          </cell>
          <cell r="CK992" t="str">
            <v>2024-08-21</v>
          </cell>
          <cell r="CL992">
            <v>12599.911</v>
          </cell>
          <cell r="CM992" t="str">
            <v xml:space="preserve">NFT-423401022GN00277XXXXXXX </v>
          </cell>
          <cell r="CN992" t="str">
            <v>2024-08-21</v>
          </cell>
          <cell r="CO992">
            <v>1411.1379999999999</v>
          </cell>
        </row>
        <row r="993">
          <cell r="CJ993" t="str">
            <v xml:space="preserve">NFT-423400974GN00225XXXXXXX </v>
          </cell>
          <cell r="CK993" t="str">
            <v>2024-08-21</v>
          </cell>
          <cell r="CL993">
            <v>12618.790999999999</v>
          </cell>
          <cell r="CM993" t="str">
            <v xml:space="preserve">NFT-423401022GN00277XXXXXXX </v>
          </cell>
          <cell r="CN993" t="str">
            <v>2024-08-21</v>
          </cell>
          <cell r="CO993">
            <v>1411.1379999999999</v>
          </cell>
        </row>
        <row r="994">
          <cell r="CJ994" t="str">
            <v xml:space="preserve">NFT-423400974GN00225XXXXXXX </v>
          </cell>
          <cell r="CK994" t="str">
            <v>2024-08-21</v>
          </cell>
          <cell r="CL994">
            <v>12599.911</v>
          </cell>
          <cell r="CM994" t="str">
            <v xml:space="preserve">NFT-423401022GN00277XXXXXXX </v>
          </cell>
          <cell r="CN994" t="str">
            <v>2024-08-21</v>
          </cell>
          <cell r="CO994">
            <v>1411.1379999999999</v>
          </cell>
        </row>
        <row r="995">
          <cell r="CJ995" t="str">
            <v xml:space="preserve">NFT-423400974GN00225XXXXXXX </v>
          </cell>
          <cell r="CK995" t="str">
            <v>2024-08-21</v>
          </cell>
          <cell r="CL995">
            <v>12599.911</v>
          </cell>
          <cell r="CM995" t="str">
            <v xml:space="preserve">NFT-423401022GN00277XXXXXXX </v>
          </cell>
          <cell r="CN995" t="str">
            <v>2024-08-21</v>
          </cell>
          <cell r="CO995">
            <v>1411.1379999999999</v>
          </cell>
        </row>
        <row r="996">
          <cell r="CJ996" t="str">
            <v xml:space="preserve">NFT-423400974GN00225XXXXXXX </v>
          </cell>
          <cell r="CK996" t="str">
            <v>2024-08-21</v>
          </cell>
          <cell r="CL996">
            <v>12599.911</v>
          </cell>
          <cell r="CM996" t="str">
            <v xml:space="preserve">NFT-423401022GN00277XXXXXXX </v>
          </cell>
          <cell r="CN996" t="str">
            <v>2024-08-21</v>
          </cell>
          <cell r="CO996">
            <v>1411.1379999999999</v>
          </cell>
        </row>
        <row r="997">
          <cell r="CJ997" t="str">
            <v xml:space="preserve">NFT-423400974GN00225XXXXXXX </v>
          </cell>
          <cell r="CK997" t="str">
            <v>2024-08-21</v>
          </cell>
          <cell r="CL997">
            <v>12599.911</v>
          </cell>
          <cell r="CM997" t="str">
            <v xml:space="preserve">NFT-423401022GN00277XXXXXXX </v>
          </cell>
          <cell r="CN997" t="str">
            <v>2024-08-21</v>
          </cell>
          <cell r="CO997">
            <v>1411.1379999999999</v>
          </cell>
        </row>
        <row r="998">
          <cell r="CJ998" t="str">
            <v xml:space="preserve">NFT-423400974GN00225XXXXXXX </v>
          </cell>
          <cell r="CK998" t="str">
            <v>2024-08-21</v>
          </cell>
          <cell r="CL998">
            <v>12599.911</v>
          </cell>
          <cell r="CM998" t="str">
            <v xml:space="preserve">NFT-423401022GN00277XXXXXXX </v>
          </cell>
          <cell r="CN998" t="str">
            <v>2024-08-21</v>
          </cell>
          <cell r="CO998">
            <v>1411.1379999999999</v>
          </cell>
        </row>
        <row r="999">
          <cell r="CJ999" t="str">
            <v xml:space="preserve">NFT-423400974GN00225XXXXXXX </v>
          </cell>
          <cell r="CK999" t="str">
            <v>2024-08-21</v>
          </cell>
          <cell r="CL999">
            <v>12599.911</v>
          </cell>
          <cell r="CM999" t="str">
            <v xml:space="preserve">NFT-423401022GN00277XXXXXXX </v>
          </cell>
          <cell r="CN999" t="str">
            <v>2024-08-21</v>
          </cell>
          <cell r="CO999">
            <v>1411.1379999999999</v>
          </cell>
        </row>
        <row r="1000">
          <cell r="CJ1000" t="str">
            <v xml:space="preserve">NFT-423400974GN00225XXXXXXX </v>
          </cell>
          <cell r="CK1000" t="str">
            <v>2024-08-21</v>
          </cell>
          <cell r="CL1000">
            <v>12599.911</v>
          </cell>
          <cell r="CM1000" t="str">
            <v xml:space="preserve">NFT-423401022GN00277XXXXXXX </v>
          </cell>
          <cell r="CN1000" t="str">
            <v>2024-08-21</v>
          </cell>
          <cell r="CO1000">
            <v>1411.1379999999999</v>
          </cell>
        </row>
        <row r="1001">
          <cell r="CJ1001" t="str">
            <v xml:space="preserve">NFT-423400974GN00225XXXXXXX </v>
          </cell>
          <cell r="CK1001" t="str">
            <v>2024-08-21</v>
          </cell>
          <cell r="CL1001">
            <v>12599.911</v>
          </cell>
          <cell r="CM1001" t="str">
            <v xml:space="preserve">NFT-423401022GN00277XXXXXXX </v>
          </cell>
          <cell r="CN1001" t="str">
            <v>2024-08-21</v>
          </cell>
          <cell r="CO1001">
            <v>1411.1379999999999</v>
          </cell>
        </row>
        <row r="1002">
          <cell r="CJ1002" t="str">
            <v xml:space="preserve">NFT-423400974GN00225XXXXXXX </v>
          </cell>
          <cell r="CK1002" t="str">
            <v>2024-08-21</v>
          </cell>
          <cell r="CL1002">
            <v>12599.911</v>
          </cell>
          <cell r="CM1002" t="str">
            <v xml:space="preserve">NFT-423401022GN00277XXXXXXX </v>
          </cell>
          <cell r="CN1002" t="str">
            <v>2024-08-21</v>
          </cell>
          <cell r="CO1002">
            <v>1411.1379999999999</v>
          </cell>
        </row>
        <row r="1003">
          <cell r="CJ1003" t="str">
            <v xml:space="preserve">NFT-423400974GN00225XXXXXXX </v>
          </cell>
          <cell r="CK1003" t="str">
            <v>2024-08-21</v>
          </cell>
          <cell r="CL1003">
            <v>12599.911</v>
          </cell>
          <cell r="CM1003" t="str">
            <v xml:space="preserve">NFT-423401022GN00277XXXXXXX </v>
          </cell>
          <cell r="CN1003" t="str">
            <v>2024-08-21</v>
          </cell>
          <cell r="CO1003">
            <v>1411.1379999999999</v>
          </cell>
        </row>
        <row r="1004">
          <cell r="CJ1004" t="str">
            <v xml:space="preserve">NFT-423400974GN00225XXXXXXX </v>
          </cell>
          <cell r="CK1004" t="str">
            <v>2024-08-21</v>
          </cell>
          <cell r="CL1004">
            <v>12599.911</v>
          </cell>
          <cell r="CM1004" t="str">
            <v xml:space="preserve">NFT-423401022GN00277XXXXXXX </v>
          </cell>
          <cell r="CN1004" t="str">
            <v>2024-08-21</v>
          </cell>
          <cell r="CO1004">
            <v>1411.1379999999999</v>
          </cell>
        </row>
        <row r="1005">
          <cell r="CJ1005" t="str">
            <v xml:space="preserve">NFT-423400974GN00225XXXXXXX </v>
          </cell>
          <cell r="CK1005" t="str">
            <v>2024-08-21</v>
          </cell>
          <cell r="CL1005">
            <v>12618.790999999999</v>
          </cell>
          <cell r="CM1005" t="str">
            <v xml:space="preserve">NFT-423401022GN00277XXXXXXX </v>
          </cell>
          <cell r="CN1005" t="str">
            <v>2024-08-21</v>
          </cell>
          <cell r="CO1005">
            <v>1411.1369999999999</v>
          </cell>
        </row>
        <row r="1006">
          <cell r="CJ1006" t="str">
            <v xml:space="preserve">NFT-423400974GN00225XXXXXXX </v>
          </cell>
          <cell r="CK1006" t="str">
            <v>2024-08-21</v>
          </cell>
          <cell r="CL1006">
            <v>12599.911</v>
          </cell>
          <cell r="CM1006" t="str">
            <v xml:space="preserve">NFT-423401022GN00277XXXXXXX </v>
          </cell>
          <cell r="CN1006" t="str">
            <v>2024-08-21</v>
          </cell>
          <cell r="CO1006">
            <v>1411.1379999999999</v>
          </cell>
        </row>
        <row r="1007">
          <cell r="CJ1007" t="str">
            <v xml:space="preserve">NFT-423400974GN00225XXXXXXX </v>
          </cell>
          <cell r="CK1007" t="str">
            <v>2024-08-21</v>
          </cell>
          <cell r="CL1007">
            <v>12599.911</v>
          </cell>
          <cell r="CM1007" t="str">
            <v xml:space="preserve">NFT-423401022GN00277XXXXXXX </v>
          </cell>
          <cell r="CN1007" t="str">
            <v>2024-08-21</v>
          </cell>
          <cell r="CO1007">
            <v>1411.1379999999999</v>
          </cell>
        </row>
        <row r="1008">
          <cell r="CJ1008" t="str">
            <v xml:space="preserve">NFT-423400974GN00225XXXXXXX </v>
          </cell>
          <cell r="CK1008" t="str">
            <v>2024-08-21</v>
          </cell>
          <cell r="CL1008">
            <v>12599.911</v>
          </cell>
          <cell r="CM1008" t="str">
            <v xml:space="preserve">NFT-423401022GN00277XXXXXXX </v>
          </cell>
          <cell r="CN1008" t="str">
            <v>2024-08-21</v>
          </cell>
          <cell r="CO1008">
            <v>1411.1379999999999</v>
          </cell>
        </row>
        <row r="1009">
          <cell r="CJ1009" t="str">
            <v xml:space="preserve">NFT-423400974GN00225XXXXXXX </v>
          </cell>
          <cell r="CK1009" t="str">
            <v>2024-08-21</v>
          </cell>
          <cell r="CL1009">
            <v>12599.911</v>
          </cell>
          <cell r="CM1009" t="str">
            <v xml:space="preserve">NFT-423401022GN00277XXXXXXX </v>
          </cell>
          <cell r="CN1009" t="str">
            <v>2024-08-21</v>
          </cell>
          <cell r="CO1009">
            <v>1411.1379999999999</v>
          </cell>
        </row>
        <row r="1010">
          <cell r="CJ1010" t="str">
            <v xml:space="preserve">NFT-423400974GN00225XXXXXXX </v>
          </cell>
          <cell r="CK1010" t="str">
            <v>2024-08-21</v>
          </cell>
          <cell r="CL1010">
            <v>12599.911</v>
          </cell>
          <cell r="CM1010" t="str">
            <v xml:space="preserve">NFT-423401022GN00277XXXXXXX </v>
          </cell>
          <cell r="CN1010" t="str">
            <v>2024-08-21</v>
          </cell>
          <cell r="CO1010">
            <v>1411.1379999999999</v>
          </cell>
        </row>
        <row r="1011">
          <cell r="CJ1011" t="str">
            <v xml:space="preserve">NFT-423400974GN00225XXXXXXX </v>
          </cell>
          <cell r="CK1011" t="str">
            <v>2024-08-21</v>
          </cell>
          <cell r="CL1011">
            <v>12599.911</v>
          </cell>
          <cell r="CM1011" t="str">
            <v xml:space="preserve">NFT-423401022GN00277XXXXXXX </v>
          </cell>
          <cell r="CN1011" t="str">
            <v>2024-08-21</v>
          </cell>
          <cell r="CO1011">
            <v>1411.1379999999999</v>
          </cell>
        </row>
        <row r="1012">
          <cell r="CJ1012" t="str">
            <v xml:space="preserve">NFT-423400974GN00225XXXXXXX </v>
          </cell>
          <cell r="CK1012" t="str">
            <v>2024-08-21</v>
          </cell>
          <cell r="CL1012">
            <v>12528.581</v>
          </cell>
          <cell r="CM1012" t="str">
            <v xml:space="preserve">NFT-423401022GN00277XXXXXXX </v>
          </cell>
          <cell r="CN1012" t="str">
            <v>2024-08-21</v>
          </cell>
          <cell r="CO1012">
            <v>1482.4570000000001</v>
          </cell>
        </row>
        <row r="1013">
          <cell r="CJ1013" t="str">
            <v xml:space="preserve">NFT-423400974GN00225XXXXXXX </v>
          </cell>
          <cell r="CK1013" t="str">
            <v>2024-08-21</v>
          </cell>
          <cell r="CL1013">
            <v>12599.911</v>
          </cell>
          <cell r="CM1013" t="str">
            <v xml:space="preserve">NFT-423401022GN00277XXXXXXX </v>
          </cell>
          <cell r="CN1013" t="str">
            <v>2024-08-21</v>
          </cell>
          <cell r="CO1013">
            <v>1411.1379999999999</v>
          </cell>
        </row>
        <row r="1014">
          <cell r="CJ1014" t="str">
            <v xml:space="preserve">NFT-423400974GN00225XXXXXXX </v>
          </cell>
          <cell r="CK1014" t="str">
            <v>2024-08-21</v>
          </cell>
          <cell r="CL1014">
            <v>13305.017</v>
          </cell>
          <cell r="CM1014" t="str">
            <v xml:space="preserve">NFT-423401022GN00277XXXXXXX </v>
          </cell>
          <cell r="CN1014" t="str">
            <v>2024-08-21</v>
          </cell>
          <cell r="CO1014">
            <v>706.02200000000005</v>
          </cell>
        </row>
        <row r="1015">
          <cell r="CJ1015" t="str">
            <v xml:space="preserve">NFT-423400974GN00225XXXXXXX </v>
          </cell>
          <cell r="CK1015" t="str">
            <v>2024-08-21</v>
          </cell>
          <cell r="CL1015">
            <v>9384.98</v>
          </cell>
          <cell r="CM1015" t="str">
            <v xml:space="preserve">NFT-423401022GN00277XXXXXXX </v>
          </cell>
          <cell r="CN1015" t="str">
            <v>2024-08-21</v>
          </cell>
          <cell r="CO1015">
            <v>498.23599999999999</v>
          </cell>
          <cell r="CP1015" t="str">
            <v xml:space="preserve">NFT-423600944GN00087XXXXXXX </v>
          </cell>
          <cell r="CQ1015" t="str">
            <v>2024-08-23</v>
          </cell>
          <cell r="CR1015">
            <v>-9384.98</v>
          </cell>
          <cell r="CS1015" t="str">
            <v xml:space="preserve">NFT-423601027GN00067XXXXXXX </v>
          </cell>
          <cell r="CT1015" t="str">
            <v>2024-08-23</v>
          </cell>
          <cell r="CU1015">
            <v>-498.23599999999999</v>
          </cell>
        </row>
        <row r="1016">
          <cell r="CJ1016" t="str">
            <v xml:space="preserve">NFT-423400974GN00225XXXXXXX </v>
          </cell>
          <cell r="CK1016" t="str">
            <v>2024-08-21</v>
          </cell>
          <cell r="CL1016">
            <v>9686.0319999999992</v>
          </cell>
          <cell r="CM1016" t="str">
            <v xml:space="preserve">NFT-423401022GN00277XXXXXXX </v>
          </cell>
          <cell r="CN1016" t="str">
            <v>2024-08-21</v>
          </cell>
          <cell r="CO1016">
            <v>514.57899999999995</v>
          </cell>
        </row>
        <row r="1017">
          <cell r="CJ1017" t="str">
            <v xml:space="preserve">NFT-423400974GN00225XXXXXXX </v>
          </cell>
          <cell r="CK1017" t="str">
            <v>2024-08-21</v>
          </cell>
          <cell r="CL1017">
            <v>5099.9989999999998</v>
          </cell>
          <cell r="CM1017" t="str">
            <v xml:space="preserve">NFT-423401022GN00277XXXXXXX </v>
          </cell>
          <cell r="CN1017" t="str">
            <v>2024-08-21</v>
          </cell>
          <cell r="CO1017">
            <v>272.19799999999998</v>
          </cell>
        </row>
        <row r="1018">
          <cell r="CJ1018" t="str">
            <v xml:space="preserve">NFT-423400974GN00225XXXXXXX </v>
          </cell>
          <cell r="CK1018" t="str">
            <v>2024-08-21</v>
          </cell>
          <cell r="CL1018">
            <v>9883.2060000000001</v>
          </cell>
        </row>
        <row r="1019">
          <cell r="CM1019" t="str">
            <v xml:space="preserve">NFT-423600944GN00087XXXXXXX </v>
          </cell>
          <cell r="CN1019" t="str">
            <v>2024-08-23</v>
          </cell>
          <cell r="CO1019">
            <v>13562.326999999999</v>
          </cell>
          <cell r="CP1019" t="str">
            <v xml:space="preserve">NFT-423601027GN00067XXXXXXX </v>
          </cell>
          <cell r="CQ1019" t="str">
            <v>2024-08-23</v>
          </cell>
          <cell r="CR1019">
            <v>719.56299999999999</v>
          </cell>
        </row>
        <row r="1020">
          <cell r="CM1020" t="str">
            <v xml:space="preserve">NFT-423600944GN00087XXXXXXX </v>
          </cell>
          <cell r="CN1020" t="str">
            <v>2024-08-23</v>
          </cell>
          <cell r="CO1020">
            <v>71787.392999999996</v>
          </cell>
          <cell r="CP1020" t="str">
            <v xml:space="preserve">NFT-423601027GN00067XXXXXXX </v>
          </cell>
          <cell r="CQ1020" t="str">
            <v>2024-08-23</v>
          </cell>
          <cell r="CR1020">
            <v>2885.511</v>
          </cell>
        </row>
        <row r="1021">
          <cell r="CM1021" t="str">
            <v xml:space="preserve">NFT-423600944GN00087XXXXXXX </v>
          </cell>
          <cell r="CN1021" t="str">
            <v>2024-08-23</v>
          </cell>
          <cell r="CO1021">
            <v>35956.082999999999</v>
          </cell>
          <cell r="CP1021" t="str">
            <v xml:space="preserve">NFT-423601027GN00067XXXXXXX </v>
          </cell>
          <cell r="CQ1021" t="str">
            <v>2024-08-23</v>
          </cell>
          <cell r="CR1021">
            <v>1897.7070000000001</v>
          </cell>
        </row>
        <row r="1022">
          <cell r="CM1022" t="str">
            <v xml:space="preserve">NFT-423600944GN00087XXXXXXX </v>
          </cell>
          <cell r="CN1022" t="str">
            <v>2024-08-23</v>
          </cell>
          <cell r="CO1022">
            <v>14245.501</v>
          </cell>
          <cell r="CP1022" t="str">
            <v xml:space="preserve">NFT-423601027GN00067XXXXXXX </v>
          </cell>
          <cell r="CQ1022" t="str">
            <v>2024-08-23</v>
          </cell>
          <cell r="CR1022">
            <v>755.03800000000001</v>
          </cell>
        </row>
        <row r="1023">
          <cell r="CM1023" t="str">
            <v xml:space="preserve">NFT-423600944GN00087XXXXXXX </v>
          </cell>
          <cell r="CN1023" t="str">
            <v>2024-08-23</v>
          </cell>
          <cell r="CO1023">
            <v>42190.055</v>
          </cell>
          <cell r="CP1023" t="str">
            <v xml:space="preserve">NFT-423601027GN00067XXXXXXX </v>
          </cell>
          <cell r="CQ1023" t="str">
            <v>2024-08-23</v>
          </cell>
          <cell r="CR1023">
            <v>2868.2020000000002</v>
          </cell>
        </row>
        <row r="1024">
          <cell r="CM1024" t="str">
            <v xml:space="preserve">NFT-423600944GN00087XXXXXXX </v>
          </cell>
          <cell r="CN1024" t="str">
            <v>2024-08-23</v>
          </cell>
          <cell r="CO1024">
            <v>71806.273000000001</v>
          </cell>
          <cell r="CP1024" t="str">
            <v xml:space="preserve">NFT-423601027GN00067XXXXXXX </v>
          </cell>
          <cell r="CQ1024" t="str">
            <v>2024-08-23</v>
          </cell>
          <cell r="CR1024">
            <v>2885.51</v>
          </cell>
        </row>
        <row r="1025">
          <cell r="CM1025" t="str">
            <v xml:space="preserve">NFT-423600944GN00087XXXXXXX </v>
          </cell>
          <cell r="CN1025" t="str">
            <v>2024-08-23</v>
          </cell>
          <cell r="CO1025">
            <v>57173.284</v>
          </cell>
          <cell r="CP1025" t="str">
            <v xml:space="preserve">NFT-423601027GN00067XXXXXXX </v>
          </cell>
          <cell r="CQ1025" t="str">
            <v>2024-08-23</v>
          </cell>
          <cell r="CR1025">
            <v>2885.5079999999998</v>
          </cell>
        </row>
        <row r="1026">
          <cell r="CM1026" t="str">
            <v xml:space="preserve">NFT-423600944GN00087XXXXXXX </v>
          </cell>
          <cell r="CN1026" t="str">
            <v>2024-08-23</v>
          </cell>
          <cell r="CO1026">
            <v>57192.167999999998</v>
          </cell>
          <cell r="CP1026" t="str">
            <v xml:space="preserve">NFT-423601027GN00067XXXXXXX </v>
          </cell>
          <cell r="CQ1026" t="str">
            <v>2024-08-23</v>
          </cell>
          <cell r="CR1026">
            <v>2885.5120000000002</v>
          </cell>
        </row>
        <row r="1028">
          <cell r="CM1028" t="str">
            <v xml:space="preserve">NFT-423600944GN00087XXXXXXX </v>
          </cell>
          <cell r="CN1028" t="str">
            <v>2024-08-23</v>
          </cell>
          <cell r="CO1028">
            <v>71806.273000000001</v>
          </cell>
          <cell r="CP1028" t="str">
            <v xml:space="preserve">NFT-423601027GN00067XXXXXXX </v>
          </cell>
          <cell r="CQ1028" t="str">
            <v>2024-08-23</v>
          </cell>
          <cell r="CR1028">
            <v>2885.51</v>
          </cell>
        </row>
        <row r="1029">
          <cell r="CM1029" t="str">
            <v xml:space="preserve">NFT-423600944GN00087XXXXXXX </v>
          </cell>
          <cell r="CN1029" t="str">
            <v>2024-08-23</v>
          </cell>
          <cell r="CO1029">
            <v>14245.501</v>
          </cell>
          <cell r="CP1029" t="str">
            <v xml:space="preserve">NFT-423601027GN00067XXXXXXX </v>
          </cell>
          <cell r="CQ1029" t="str">
            <v>2024-08-23</v>
          </cell>
          <cell r="CR1029">
            <v>755.03800000000001</v>
          </cell>
        </row>
        <row r="1030">
          <cell r="CM1030" t="str">
            <v xml:space="preserve">NFT-423600944GN00087XXXXXXX </v>
          </cell>
          <cell r="CN1030" t="str">
            <v>2024-08-23</v>
          </cell>
          <cell r="CO1030">
            <v>14190.313</v>
          </cell>
          <cell r="CP1030" t="str">
            <v xml:space="preserve">NFT-423601027GN00067XXXXXXX </v>
          </cell>
          <cell r="CQ1030" t="str">
            <v>2024-08-23</v>
          </cell>
          <cell r="CR1030">
            <v>829.10699999999997</v>
          </cell>
        </row>
        <row r="1031">
          <cell r="CM1031" t="str">
            <v xml:space="preserve">NFT-423600944GN00087XXXXXXX </v>
          </cell>
          <cell r="CN1031" t="str">
            <v>2024-08-23</v>
          </cell>
          <cell r="CO1031">
            <v>71787.392999999996</v>
          </cell>
          <cell r="CP1031" t="str">
            <v xml:space="preserve">NFT-423601027GN00067XXXXXXX </v>
          </cell>
          <cell r="CQ1031" t="str">
            <v>2024-08-23</v>
          </cell>
          <cell r="CR1031">
            <v>2885.511</v>
          </cell>
        </row>
        <row r="1032">
          <cell r="CM1032" t="str">
            <v xml:space="preserve">NFT-423600944GN00087XXXXXXX </v>
          </cell>
          <cell r="CN1032" t="str">
            <v>2024-08-23</v>
          </cell>
          <cell r="CO1032">
            <v>71739.301000000007</v>
          </cell>
          <cell r="CP1032" t="str">
            <v xml:space="preserve">NFT-423601027GN00067XXXXXXX </v>
          </cell>
          <cell r="CQ1032" t="str">
            <v>2024-08-23</v>
          </cell>
          <cell r="CR1032">
            <v>2885.511</v>
          </cell>
        </row>
        <row r="1033">
          <cell r="CM1033" t="str">
            <v xml:space="preserve">NFT-423600944GN00087XXXXXXX </v>
          </cell>
          <cell r="CN1033" t="str">
            <v>2024-08-23</v>
          </cell>
          <cell r="CO1033">
            <v>7671.34</v>
          </cell>
        </row>
        <row r="1034">
          <cell r="CM1034" t="str">
            <v xml:space="preserve">NFT-423600944GN00087XXXXXXX </v>
          </cell>
          <cell r="CN1034" t="str">
            <v>2024-08-23</v>
          </cell>
          <cell r="CO1034">
            <v>14245.501</v>
          </cell>
          <cell r="CP1034" t="str">
            <v xml:space="preserve">NFT-423601027GN00067XXXXXXX </v>
          </cell>
          <cell r="CQ1034" t="str">
            <v>2024-08-23</v>
          </cell>
          <cell r="CR1034">
            <v>755.03800000000001</v>
          </cell>
        </row>
        <row r="1035">
          <cell r="CM1035" t="str">
            <v xml:space="preserve">NFT-423600944GN00087XXXXXXX </v>
          </cell>
          <cell r="CN1035" t="str">
            <v>2024-08-23</v>
          </cell>
          <cell r="CO1035">
            <v>71613.906000000003</v>
          </cell>
          <cell r="CP1035" t="str">
            <v xml:space="preserve">NFT-423601027GN00067XXXXXXX </v>
          </cell>
          <cell r="CQ1035" t="str">
            <v>2024-08-23</v>
          </cell>
          <cell r="CR1035">
            <v>3077.8780000000002</v>
          </cell>
        </row>
        <row r="1036">
          <cell r="CM1036" t="str">
            <v xml:space="preserve">NFT-423600944GN00087XXXXXXX </v>
          </cell>
          <cell r="CN1036" t="str">
            <v>2024-08-23</v>
          </cell>
          <cell r="CO1036">
            <v>14474.057000000001</v>
          </cell>
          <cell r="CP1036" t="str">
            <v xml:space="preserve">NFT-423601027GN00067XXXXXXX </v>
          </cell>
          <cell r="CQ1036" t="str">
            <v>2024-08-23</v>
          </cell>
          <cell r="CR1036">
            <v>766.58299999999997</v>
          </cell>
        </row>
        <row r="1037">
          <cell r="CM1037" t="str">
            <v xml:space="preserve">NFT-423600944GN00087XXXXXXX </v>
          </cell>
          <cell r="CN1037" t="str">
            <v>2024-08-23</v>
          </cell>
          <cell r="CO1037">
            <v>14233.956</v>
          </cell>
          <cell r="CP1037" t="str">
            <v xml:space="preserve">NFT-423601027GN00067XXXXXXX </v>
          </cell>
          <cell r="CQ1037" t="str">
            <v>2024-08-23</v>
          </cell>
          <cell r="CR1037">
            <v>766.58399999999995</v>
          </cell>
        </row>
        <row r="1038">
          <cell r="CJ1038" t="str">
            <v xml:space="preserve">NFT-423901043GN00083XXXXXXX </v>
          </cell>
          <cell r="CK1038" t="str">
            <v>2024-08-26</v>
          </cell>
          <cell r="CL1038">
            <v>-388.58699999999999</v>
          </cell>
          <cell r="CM1038" t="str">
            <v xml:space="preserve">NFT-423600944GN00087XXXXXXX </v>
          </cell>
          <cell r="CN1038" t="str">
            <v>2024-08-23</v>
          </cell>
          <cell r="CO1038">
            <v>7301.6440000000002</v>
          </cell>
          <cell r="CP1038" t="str">
            <v xml:space="preserve">NFT-423601027GN00067XXXXXXX </v>
          </cell>
          <cell r="CQ1038" t="str">
            <v>2024-08-23</v>
          </cell>
          <cell r="CR1038">
            <v>388.58699999999999</v>
          </cell>
          <cell r="CS1038" t="str">
            <v xml:space="preserve">NFT-423900923GN00109XXXXXXX </v>
          </cell>
          <cell r="CT1038" t="str">
            <v>2024-08-26</v>
          </cell>
          <cell r="CU1038">
            <v>-7301.6440000000002</v>
          </cell>
        </row>
        <row r="1040">
          <cell r="CM1040" t="str">
            <v xml:space="preserve">NFT-423600944GN00087XXXXXXX </v>
          </cell>
          <cell r="CN1040" t="str">
            <v>2024-08-23</v>
          </cell>
          <cell r="CO1040">
            <v>13490.454</v>
          </cell>
          <cell r="CP1040" t="str">
            <v xml:space="preserve">NFT-423601027GN00067XXXXXXX </v>
          </cell>
          <cell r="CQ1040" t="str">
            <v>2024-08-23</v>
          </cell>
          <cell r="CR1040">
            <v>1510.086</v>
          </cell>
        </row>
        <row r="1041">
          <cell r="CM1041" t="str">
            <v xml:space="preserve">NFT-423600944GN00087XXXXXXX </v>
          </cell>
          <cell r="CN1041" t="str">
            <v>2024-08-23</v>
          </cell>
          <cell r="CO1041">
            <v>13509.334000000001</v>
          </cell>
          <cell r="CP1041" t="str">
            <v xml:space="preserve">NFT-423601027GN00067XXXXXXX </v>
          </cell>
          <cell r="CQ1041" t="str">
            <v>2024-08-23</v>
          </cell>
          <cell r="CR1041">
            <v>1510.085</v>
          </cell>
        </row>
        <row r="1042">
          <cell r="CM1042" t="str">
            <v xml:space="preserve">NFT-423600944GN00087XXXXXXX </v>
          </cell>
          <cell r="CN1042" t="str">
            <v>2024-08-23</v>
          </cell>
          <cell r="CO1042">
            <v>6894.1769999999997</v>
          </cell>
          <cell r="CP1042" t="str">
            <v xml:space="preserve">NFT-423601027GN00067XXXXXXX </v>
          </cell>
          <cell r="CQ1042" t="str">
            <v>2024-08-23</v>
          </cell>
          <cell r="CR1042">
            <v>777.16300000000001</v>
          </cell>
        </row>
        <row r="1043">
          <cell r="CM1043" t="str">
            <v xml:space="preserve">NFT-423600944GN00087XXXXXXX </v>
          </cell>
          <cell r="CN1043" t="str">
            <v>2024-08-23</v>
          </cell>
          <cell r="CO1043">
            <v>13509.334000000001</v>
          </cell>
          <cell r="CP1043" t="str">
            <v xml:space="preserve">NFT-423601027GN00067XXXXXXX </v>
          </cell>
          <cell r="CQ1043" t="str">
            <v>2024-08-23</v>
          </cell>
          <cell r="CR1043">
            <v>1510.085</v>
          </cell>
        </row>
        <row r="1044">
          <cell r="CM1044" t="str">
            <v xml:space="preserve">NFT-423600944GN00087XXXXXXX </v>
          </cell>
          <cell r="CN1044" t="str">
            <v>2024-08-23</v>
          </cell>
          <cell r="CO1044">
            <v>13490.454</v>
          </cell>
          <cell r="CP1044" t="str">
            <v xml:space="preserve">NFT-423601027GN00067XXXXXXX </v>
          </cell>
          <cell r="CQ1044" t="str">
            <v>2024-08-23</v>
          </cell>
          <cell r="CR1044">
            <v>1510.086</v>
          </cell>
        </row>
        <row r="1045">
          <cell r="CM1045" t="str">
            <v xml:space="preserve">NFT-423600944GN00087XXXXXXX </v>
          </cell>
          <cell r="CN1045" t="str">
            <v>2024-08-23</v>
          </cell>
          <cell r="CO1045">
            <v>14264.380999999999</v>
          </cell>
          <cell r="CP1045" t="str">
            <v xml:space="preserve">NFT-423601027GN00067XXXXXXX </v>
          </cell>
          <cell r="CQ1045" t="str">
            <v>2024-08-23</v>
          </cell>
          <cell r="CR1045">
            <v>755.03800000000001</v>
          </cell>
        </row>
        <row r="1046">
          <cell r="CM1046" t="str">
            <v xml:space="preserve">NFT-423600944GN00087XXXXXXX </v>
          </cell>
          <cell r="CN1046" t="str">
            <v>2024-08-23</v>
          </cell>
          <cell r="CO1046">
            <v>12195.434999999999</v>
          </cell>
          <cell r="CP1046" t="str">
            <v xml:space="preserve">NFT-423601027GN00067XXXXXXX </v>
          </cell>
          <cell r="CQ1046" t="str">
            <v>2024-08-23</v>
          </cell>
          <cell r="CR1046">
            <v>2086.4540000000002</v>
          </cell>
        </row>
        <row r="1047">
          <cell r="CM1047" t="str">
            <v xml:space="preserve">NFT-423600944GN00087XXXXXXX </v>
          </cell>
          <cell r="CN1047" t="str">
            <v>2024-08-23</v>
          </cell>
          <cell r="CO1047">
            <v>13509.334000000001</v>
          </cell>
          <cell r="CP1047" t="str">
            <v xml:space="preserve">NFT-423601027GN00067XXXXXXX </v>
          </cell>
          <cell r="CQ1047" t="str">
            <v>2024-08-23</v>
          </cell>
          <cell r="CR1047">
            <v>1510.085</v>
          </cell>
        </row>
        <row r="1048">
          <cell r="CM1048" t="str">
            <v xml:space="preserve">NFT-423600944GN00087XXXXXXX </v>
          </cell>
          <cell r="CN1048" t="str">
            <v>2024-08-23</v>
          </cell>
          <cell r="CO1048">
            <v>13490.454</v>
          </cell>
          <cell r="CP1048" t="str">
            <v xml:space="preserve">NFT-423601027GN00067XXXXXXX </v>
          </cell>
          <cell r="CQ1048" t="str">
            <v>2024-08-23</v>
          </cell>
          <cell r="CR1048">
            <v>1510.086</v>
          </cell>
        </row>
        <row r="1049">
          <cell r="CM1049" t="str">
            <v xml:space="preserve">NFT-423600944GN00087XXXXXXX </v>
          </cell>
          <cell r="CN1049" t="str">
            <v>2024-08-23</v>
          </cell>
          <cell r="CO1049">
            <v>13490.454</v>
          </cell>
          <cell r="CP1049" t="str">
            <v xml:space="preserve">NFT-423601027GN00067XXXXXXX </v>
          </cell>
          <cell r="CQ1049" t="str">
            <v>2024-08-23</v>
          </cell>
          <cell r="CR1049">
            <v>1510.086</v>
          </cell>
        </row>
        <row r="1050">
          <cell r="CM1050" t="str">
            <v xml:space="preserve">NFT-423600944GN00087XXXXXXX </v>
          </cell>
          <cell r="CN1050" t="str">
            <v>2024-08-23</v>
          </cell>
          <cell r="CO1050">
            <v>6913.0569999999998</v>
          </cell>
          <cell r="CP1050" t="str">
            <v xml:space="preserve">NFT-423601027GN00067XXXXXXX </v>
          </cell>
          <cell r="CQ1050" t="str">
            <v>2024-08-23</v>
          </cell>
          <cell r="CR1050">
            <v>777.16300000000001</v>
          </cell>
        </row>
        <row r="1051">
          <cell r="CM1051" t="str">
            <v xml:space="preserve">NFT-423600944GN00087XXXXXXX </v>
          </cell>
          <cell r="CN1051" t="str">
            <v>2024-08-23</v>
          </cell>
          <cell r="CO1051">
            <v>13490.454</v>
          </cell>
          <cell r="CP1051" t="str">
            <v xml:space="preserve">NFT-423601027GN00067XXXXXXX </v>
          </cell>
          <cell r="CQ1051" t="str">
            <v>2024-08-23</v>
          </cell>
          <cell r="CR1051">
            <v>1510.086</v>
          </cell>
        </row>
        <row r="1052">
          <cell r="CM1052" t="str">
            <v xml:space="preserve">NFT-423600944GN00087XXXXXXX </v>
          </cell>
          <cell r="CN1052" t="str">
            <v>2024-08-23</v>
          </cell>
          <cell r="CO1052">
            <v>13689.558999999999</v>
          </cell>
          <cell r="CP1052" t="str">
            <v xml:space="preserve">NFT-423601027GN00067XXXXXXX </v>
          </cell>
          <cell r="CQ1052" t="str">
            <v>2024-08-23</v>
          </cell>
          <cell r="CR1052">
            <v>1532.201</v>
          </cell>
        </row>
        <row r="1053">
          <cell r="CM1053" t="str">
            <v xml:space="preserve">NFT-423600944GN00087XXXXXXX </v>
          </cell>
          <cell r="CN1053" t="str">
            <v>2024-08-23</v>
          </cell>
          <cell r="CO1053">
            <v>13509.334000000001</v>
          </cell>
          <cell r="CP1053" t="str">
            <v xml:space="preserve">NFT-423601027GN00067XXXXXXX </v>
          </cell>
          <cell r="CQ1053" t="str">
            <v>2024-08-23</v>
          </cell>
          <cell r="CR1053">
            <v>1510.085</v>
          </cell>
        </row>
        <row r="1054">
          <cell r="CM1054" t="str">
            <v xml:space="preserve">NFT-423600944GN00087XXXXXXX </v>
          </cell>
          <cell r="CN1054" t="str">
            <v>2024-08-23</v>
          </cell>
          <cell r="CO1054">
            <v>13509.334000000001</v>
          </cell>
          <cell r="CP1054" t="str">
            <v xml:space="preserve">NFT-423601027GN00067XXXXXXX </v>
          </cell>
          <cell r="CQ1054" t="str">
            <v>2024-08-23</v>
          </cell>
          <cell r="CR1054">
            <v>1510.085</v>
          </cell>
        </row>
        <row r="1055">
          <cell r="CM1055" t="str">
            <v xml:space="preserve">NFT-423600944GN00087XXXXXXX </v>
          </cell>
          <cell r="CN1055" t="str">
            <v>2024-08-23</v>
          </cell>
          <cell r="CO1055">
            <v>12843.669</v>
          </cell>
          <cell r="CP1055" t="str">
            <v xml:space="preserve">NFT-423601027GN00067XXXXXXX </v>
          </cell>
          <cell r="CQ1055" t="str">
            <v>2024-08-23</v>
          </cell>
          <cell r="CR1055">
            <v>1438.221</v>
          </cell>
        </row>
        <row r="1056">
          <cell r="CM1056" t="str">
            <v xml:space="preserve">NFT-423600944GN00087XXXXXXX </v>
          </cell>
          <cell r="CN1056" t="str">
            <v>2024-08-23</v>
          </cell>
          <cell r="CO1056">
            <v>13509.334000000001</v>
          </cell>
          <cell r="CP1056" t="str">
            <v xml:space="preserve">NFT-423601027GN00067XXXXXXX </v>
          </cell>
          <cell r="CQ1056" t="str">
            <v>2024-08-23</v>
          </cell>
          <cell r="CR1056">
            <v>1510.085</v>
          </cell>
        </row>
        <row r="1057">
          <cell r="CM1057" t="str">
            <v xml:space="preserve">NFT-423600944GN00087XXXXXXX </v>
          </cell>
          <cell r="CN1057" t="str">
            <v>2024-08-23</v>
          </cell>
          <cell r="CO1057">
            <v>13490.454</v>
          </cell>
          <cell r="CP1057" t="str">
            <v xml:space="preserve">NFT-423601027GN00067XXXXXXX </v>
          </cell>
          <cell r="CQ1057" t="str">
            <v>2024-08-23</v>
          </cell>
          <cell r="CR1057">
            <v>1510.086</v>
          </cell>
        </row>
        <row r="1058">
          <cell r="CM1058" t="str">
            <v xml:space="preserve">NFT-423600944GN00087XXXXXXX </v>
          </cell>
          <cell r="CN1058" t="str">
            <v>2024-08-23</v>
          </cell>
          <cell r="CO1058">
            <v>13490.454</v>
          </cell>
          <cell r="CP1058" t="str">
            <v xml:space="preserve">NFT-423601027GN00067XXXXXXX </v>
          </cell>
          <cell r="CQ1058" t="str">
            <v>2024-08-23</v>
          </cell>
          <cell r="CR1058">
            <v>1510.086</v>
          </cell>
        </row>
        <row r="1059">
          <cell r="CM1059" t="str">
            <v xml:space="preserve">NFT-423600944GN00087XXXXXXX </v>
          </cell>
          <cell r="CN1059" t="str">
            <v>2024-08-23</v>
          </cell>
          <cell r="CO1059">
            <v>13826.114</v>
          </cell>
          <cell r="CP1059" t="str">
            <v xml:space="preserve">NFT-423601027GN00067XXXXXXX </v>
          </cell>
          <cell r="CQ1059" t="str">
            <v>2024-08-23</v>
          </cell>
          <cell r="CR1059">
            <v>1554.326</v>
          </cell>
        </row>
        <row r="1060">
          <cell r="CM1060" t="str">
            <v xml:space="preserve">NFT-423600944GN00087XXXXXXX </v>
          </cell>
          <cell r="CN1060" t="str">
            <v>2024-08-23</v>
          </cell>
          <cell r="CO1060">
            <v>6913.058</v>
          </cell>
          <cell r="CP1060" t="str">
            <v xml:space="preserve">NFT-423601027GN00067XXXXXXX </v>
          </cell>
          <cell r="CQ1060" t="str">
            <v>2024-08-23</v>
          </cell>
          <cell r="CR1060">
            <v>777.16300000000001</v>
          </cell>
        </row>
        <row r="1061">
          <cell r="CM1061" t="str">
            <v xml:space="preserve">NFT-423600944GN00087XXXXXXX </v>
          </cell>
          <cell r="CN1061" t="str">
            <v>2024-08-23</v>
          </cell>
          <cell r="CO1061">
            <v>72701.138999999996</v>
          </cell>
          <cell r="CP1061" t="str">
            <v xml:space="preserve">NFT-423601027GN00067XXXXXXX </v>
          </cell>
          <cell r="CQ1061" t="str">
            <v>2024-08-23</v>
          </cell>
          <cell r="CR1061">
            <v>1923.674</v>
          </cell>
        </row>
        <row r="1062">
          <cell r="CM1062" t="str">
            <v xml:space="preserve">NFT-423600944GN00087XXXXXXX </v>
          </cell>
          <cell r="CN1062" t="str">
            <v>2024-08-23</v>
          </cell>
          <cell r="CO1062">
            <v>13490.454</v>
          </cell>
          <cell r="CP1062" t="str">
            <v xml:space="preserve">NFT-423601027GN00067XXXXXXX </v>
          </cell>
          <cell r="CQ1062" t="str">
            <v>2024-08-23</v>
          </cell>
          <cell r="CR1062">
            <v>1510.086</v>
          </cell>
        </row>
        <row r="1063">
          <cell r="CM1063" t="str">
            <v xml:space="preserve">NFT-423600944GN00087XXXXXXX </v>
          </cell>
          <cell r="CN1063" t="str">
            <v>2024-08-23</v>
          </cell>
          <cell r="CO1063">
            <v>13807.234</v>
          </cell>
          <cell r="CP1063" t="str">
            <v xml:space="preserve">NFT-423601027GN00067XXXXXXX </v>
          </cell>
          <cell r="CQ1063" t="str">
            <v>2024-08-23</v>
          </cell>
          <cell r="CR1063">
            <v>1554.326</v>
          </cell>
        </row>
        <row r="1064">
          <cell r="CM1064" t="str">
            <v xml:space="preserve">NFT-423600944GN00087XXXXXXX </v>
          </cell>
          <cell r="CN1064" t="str">
            <v>2024-08-23</v>
          </cell>
          <cell r="CO1064">
            <v>13490.454</v>
          </cell>
          <cell r="CP1064" t="str">
            <v xml:space="preserve">NFT-423601027GN00067XXXXXXX </v>
          </cell>
          <cell r="CQ1064" t="str">
            <v>2024-08-23</v>
          </cell>
          <cell r="CR1064">
            <v>1510.086</v>
          </cell>
        </row>
        <row r="1065">
          <cell r="CM1065" t="str">
            <v xml:space="preserve">NFT-423600944GN00087XXXXXXX </v>
          </cell>
          <cell r="CN1065" t="str">
            <v>2024-08-23</v>
          </cell>
          <cell r="CO1065">
            <v>13490.454</v>
          </cell>
          <cell r="CP1065" t="str">
            <v xml:space="preserve">NFT-423601027GN00067XXXXXXX </v>
          </cell>
          <cell r="CQ1065" t="str">
            <v>2024-08-23</v>
          </cell>
          <cell r="CR1065">
            <v>1510.086</v>
          </cell>
        </row>
        <row r="1066">
          <cell r="CM1066" t="str">
            <v xml:space="preserve">NFT-423600944GN00087XXXXXXX </v>
          </cell>
          <cell r="CN1066" t="str">
            <v>2024-08-23</v>
          </cell>
          <cell r="CO1066">
            <v>13509.334000000001</v>
          </cell>
          <cell r="CP1066" t="str">
            <v xml:space="preserve">NFT-423601027GN00067XXXXXXX </v>
          </cell>
          <cell r="CQ1066" t="str">
            <v>2024-08-23</v>
          </cell>
          <cell r="CR1066">
            <v>1510.085</v>
          </cell>
        </row>
        <row r="1067">
          <cell r="CM1067" t="str">
            <v xml:space="preserve">NFT-423600944GN00087XXXXXXX </v>
          </cell>
          <cell r="CN1067" t="str">
            <v>2024-08-23</v>
          </cell>
          <cell r="CO1067">
            <v>13490.454</v>
          </cell>
          <cell r="CP1067" t="str">
            <v xml:space="preserve">NFT-423601027GN00067XXXXXXX </v>
          </cell>
          <cell r="CQ1067" t="str">
            <v>2024-08-23</v>
          </cell>
          <cell r="CR1067">
            <v>1510.086</v>
          </cell>
        </row>
        <row r="1068">
          <cell r="CM1068" t="str">
            <v xml:space="preserve">NFT-423600944GN00087XXXXXXX </v>
          </cell>
          <cell r="CN1068" t="str">
            <v>2024-08-23</v>
          </cell>
          <cell r="CO1068">
            <v>13509.334000000001</v>
          </cell>
          <cell r="CP1068" t="str">
            <v xml:space="preserve">NFT-423601027GN00067XXXXXXX </v>
          </cell>
          <cell r="CQ1068" t="str">
            <v>2024-08-23</v>
          </cell>
          <cell r="CR1068">
            <v>1510.085</v>
          </cell>
        </row>
        <row r="1069">
          <cell r="CM1069" t="str">
            <v xml:space="preserve">NFT-423600944GN00087XXXXXXX </v>
          </cell>
          <cell r="CN1069" t="str">
            <v>2024-08-23</v>
          </cell>
          <cell r="CO1069">
            <v>13509.334000000001</v>
          </cell>
          <cell r="CP1069" t="str">
            <v xml:space="preserve">NFT-423601027GN00067XXXXXXX </v>
          </cell>
          <cell r="CQ1069" t="str">
            <v>2024-08-23</v>
          </cell>
          <cell r="CR1069">
            <v>1510.085</v>
          </cell>
        </row>
        <row r="1070">
          <cell r="CM1070" t="str">
            <v xml:space="preserve">NFT-423600944GN00087XXXXXXX </v>
          </cell>
          <cell r="CN1070" t="str">
            <v>2024-08-23</v>
          </cell>
          <cell r="CO1070">
            <v>13689.558999999999</v>
          </cell>
          <cell r="CP1070" t="str">
            <v xml:space="preserve">NFT-423601027GN00067XXXXXXX </v>
          </cell>
          <cell r="CQ1070" t="str">
            <v>2024-08-23</v>
          </cell>
          <cell r="CR1070">
            <v>1532.201</v>
          </cell>
        </row>
        <row r="1071">
          <cell r="CM1071" t="str">
            <v xml:space="preserve">NFT-423600944GN00087XXXXXXX </v>
          </cell>
          <cell r="CN1071" t="str">
            <v>2024-08-23</v>
          </cell>
          <cell r="CO1071">
            <v>12843.669</v>
          </cell>
          <cell r="CP1071" t="str">
            <v xml:space="preserve">NFT-423601027GN00067XXXXXXX </v>
          </cell>
          <cell r="CQ1071" t="str">
            <v>2024-08-23</v>
          </cell>
          <cell r="CR1071">
            <v>1438.221</v>
          </cell>
        </row>
        <row r="1072">
          <cell r="CM1072" t="str">
            <v xml:space="preserve">NFT-423600944GN00087XXXXXXX </v>
          </cell>
          <cell r="CN1072" t="str">
            <v>2024-08-23</v>
          </cell>
          <cell r="CO1072">
            <v>13490.454</v>
          </cell>
          <cell r="CP1072" t="str">
            <v xml:space="preserve">NFT-423601027GN00067XXXXXXX </v>
          </cell>
          <cell r="CQ1072" t="str">
            <v>2024-08-23</v>
          </cell>
          <cell r="CR1072">
            <v>1510.086</v>
          </cell>
        </row>
        <row r="1073">
          <cell r="CM1073" t="str">
            <v xml:space="preserve">NFT-423600944GN00087XXXXXXX </v>
          </cell>
          <cell r="CN1073" t="str">
            <v>2024-08-23</v>
          </cell>
          <cell r="CO1073">
            <v>13490.454</v>
          </cell>
          <cell r="CP1073" t="str">
            <v xml:space="preserve">NFT-423601027GN00067XXXXXXX </v>
          </cell>
          <cell r="CQ1073" t="str">
            <v>2024-08-23</v>
          </cell>
          <cell r="CR1073">
            <v>1510.086</v>
          </cell>
        </row>
        <row r="1074">
          <cell r="CM1074" t="str">
            <v xml:space="preserve">NFT-423600944GN00087XXXXXXX </v>
          </cell>
          <cell r="CN1074" t="str">
            <v>2024-08-23</v>
          </cell>
          <cell r="CO1074">
            <v>13509.334000000001</v>
          </cell>
          <cell r="CP1074" t="str">
            <v xml:space="preserve">NFT-423601027GN00067XXXXXXX </v>
          </cell>
          <cell r="CQ1074" t="str">
            <v>2024-08-23</v>
          </cell>
          <cell r="CR1074">
            <v>1510.085</v>
          </cell>
        </row>
        <row r="1075">
          <cell r="CM1075" t="str">
            <v xml:space="preserve">NFT-423600944GN00087XXXXXXX </v>
          </cell>
          <cell r="CN1075" t="str">
            <v>2024-08-23</v>
          </cell>
          <cell r="CO1075">
            <v>13509.334000000001</v>
          </cell>
          <cell r="CP1075" t="str">
            <v xml:space="preserve">NFT-423601027GN00067XXXXXXX </v>
          </cell>
          <cell r="CQ1075" t="str">
            <v>2024-08-23</v>
          </cell>
          <cell r="CR1075">
            <v>1510.085</v>
          </cell>
        </row>
        <row r="1076">
          <cell r="CM1076" t="str">
            <v xml:space="preserve">NFT-423600944GN00087XXXXXXX </v>
          </cell>
          <cell r="CN1076" t="str">
            <v>2024-08-23</v>
          </cell>
          <cell r="CO1076">
            <v>13490.454</v>
          </cell>
          <cell r="CP1076" t="str">
            <v xml:space="preserve">NFT-423601027GN00067XXXXXXX </v>
          </cell>
          <cell r="CQ1076" t="str">
            <v>2024-08-23</v>
          </cell>
          <cell r="CR1076">
            <v>1510.086</v>
          </cell>
        </row>
        <row r="1077">
          <cell r="CM1077" t="str">
            <v xml:space="preserve">NFT-423600944GN00087XXXXXXX </v>
          </cell>
          <cell r="CN1077" t="str">
            <v>2024-08-23</v>
          </cell>
          <cell r="CO1077">
            <v>13826.114</v>
          </cell>
          <cell r="CP1077" t="str">
            <v xml:space="preserve">NFT-423601027GN00067XXXXXXX </v>
          </cell>
          <cell r="CQ1077" t="str">
            <v>2024-08-23</v>
          </cell>
          <cell r="CR1077">
            <v>1554.326</v>
          </cell>
        </row>
        <row r="1078">
          <cell r="CM1078" t="str">
            <v xml:space="preserve">NFT-423600944GN00087XXXXXXX </v>
          </cell>
          <cell r="CN1078" t="str">
            <v>2024-08-23</v>
          </cell>
          <cell r="CO1078">
            <v>13509.334000000001</v>
          </cell>
          <cell r="CP1078" t="str">
            <v xml:space="preserve">NFT-423601027GN00067XXXXXXX </v>
          </cell>
          <cell r="CQ1078" t="str">
            <v>2024-08-23</v>
          </cell>
          <cell r="CR1078">
            <v>1510.085</v>
          </cell>
        </row>
        <row r="1079">
          <cell r="CM1079" t="str">
            <v xml:space="preserve">NFT-423600944GN00087XXXXXXX </v>
          </cell>
          <cell r="CN1079" t="str">
            <v>2024-08-23</v>
          </cell>
          <cell r="CO1079">
            <v>13490.454</v>
          </cell>
          <cell r="CP1079" t="str">
            <v xml:space="preserve">NFT-423601027GN00067XXXXXXX </v>
          </cell>
          <cell r="CQ1079" t="str">
            <v>2024-08-23</v>
          </cell>
          <cell r="CR1079">
            <v>1510.086</v>
          </cell>
        </row>
        <row r="1080">
          <cell r="CM1080" t="str">
            <v xml:space="preserve">NFT-423600944GN00087XXXXXXX </v>
          </cell>
          <cell r="CN1080" t="str">
            <v>2024-08-23</v>
          </cell>
          <cell r="CO1080">
            <v>13368.303</v>
          </cell>
          <cell r="CP1080" t="str">
            <v xml:space="preserve">NFT-423601027GN00067XXXXXXX </v>
          </cell>
          <cell r="CQ1080" t="str">
            <v>2024-08-23</v>
          </cell>
          <cell r="CR1080">
            <v>1632.2370000000001</v>
          </cell>
        </row>
        <row r="1081">
          <cell r="CM1081" t="str">
            <v xml:space="preserve">NFT-423600944GN00087XXXXXXX </v>
          </cell>
          <cell r="CN1081" t="str">
            <v>2024-08-23</v>
          </cell>
          <cell r="CO1081">
            <v>13509.334000000001</v>
          </cell>
          <cell r="CP1081" t="str">
            <v xml:space="preserve">NFT-423601027GN00067XXXXXXX </v>
          </cell>
          <cell r="CQ1081" t="str">
            <v>2024-08-23</v>
          </cell>
          <cell r="CR1081">
            <v>1510.086</v>
          </cell>
        </row>
        <row r="1082">
          <cell r="CM1082" t="str">
            <v xml:space="preserve">NFT-423600944GN00087XXXXXXX </v>
          </cell>
          <cell r="CN1082" t="str">
            <v>2024-08-23</v>
          </cell>
          <cell r="CO1082">
            <v>13509.334000000001</v>
          </cell>
          <cell r="CP1082" t="str">
            <v xml:space="preserve">NFT-423601027GN00067XXXXXXX </v>
          </cell>
          <cell r="CQ1082" t="str">
            <v>2024-08-23</v>
          </cell>
          <cell r="CR1082">
            <v>1510.086</v>
          </cell>
        </row>
        <row r="1083">
          <cell r="CM1083" t="str">
            <v xml:space="preserve">NFT-423600944GN00087XXXXXXX </v>
          </cell>
          <cell r="CN1083" t="str">
            <v>2024-08-23</v>
          </cell>
          <cell r="CO1083">
            <v>13689.558999999999</v>
          </cell>
          <cell r="CP1083" t="str">
            <v xml:space="preserve">NFT-423601027GN00067XXXXXXX </v>
          </cell>
          <cell r="CQ1083" t="str">
            <v>2024-08-23</v>
          </cell>
          <cell r="CR1083">
            <v>1532.201</v>
          </cell>
        </row>
        <row r="1084">
          <cell r="CM1084" t="str">
            <v xml:space="preserve">NFT-423600944GN00087XXXXXXX </v>
          </cell>
          <cell r="CN1084" t="str">
            <v>2024-08-23</v>
          </cell>
          <cell r="CO1084">
            <v>13509.334000000001</v>
          </cell>
          <cell r="CP1084" t="str">
            <v xml:space="preserve">NFT-423601027GN00067XXXXXXX </v>
          </cell>
          <cell r="CQ1084" t="str">
            <v>2024-08-23</v>
          </cell>
          <cell r="CR1084">
            <v>1510.086</v>
          </cell>
        </row>
        <row r="1085">
          <cell r="CM1085" t="str">
            <v xml:space="preserve">NFT-423600944GN00087XXXXXXX </v>
          </cell>
          <cell r="CN1085" t="str">
            <v>2024-08-23</v>
          </cell>
          <cell r="CO1085">
            <v>12843.669</v>
          </cell>
          <cell r="CP1085" t="str">
            <v xml:space="preserve">NFT-423601027GN00067XXXXXXX </v>
          </cell>
          <cell r="CQ1085" t="str">
            <v>2024-08-23</v>
          </cell>
          <cell r="CR1085">
            <v>1438.221</v>
          </cell>
        </row>
        <row r="1086">
          <cell r="CM1086" t="str">
            <v xml:space="preserve">NFT-423600944GN00087XXXXXXX </v>
          </cell>
          <cell r="CN1086" t="str">
            <v>2024-08-23</v>
          </cell>
          <cell r="CO1086">
            <v>6894.1769999999997</v>
          </cell>
          <cell r="CP1086" t="str">
            <v xml:space="preserve">NFT-423601027GN00067XXXXXXX </v>
          </cell>
          <cell r="CQ1086" t="str">
            <v>2024-08-23</v>
          </cell>
          <cell r="CR1086">
            <v>777.16300000000001</v>
          </cell>
        </row>
        <row r="1087">
          <cell r="CM1087" t="str">
            <v xml:space="preserve">NFT-423600944GN00087XXXXXXX </v>
          </cell>
          <cell r="CN1087" t="str">
            <v>2024-08-23</v>
          </cell>
          <cell r="CO1087">
            <v>13490.454</v>
          </cell>
          <cell r="CP1087" t="str">
            <v xml:space="preserve">NFT-423601027GN00067XXXXXXX </v>
          </cell>
          <cell r="CQ1087" t="str">
            <v>2024-08-23</v>
          </cell>
          <cell r="CR1087">
            <v>1510.086</v>
          </cell>
        </row>
        <row r="1088">
          <cell r="CM1088" t="str">
            <v xml:space="preserve">NFT-423600944GN00087XXXXXXX </v>
          </cell>
          <cell r="CN1088" t="str">
            <v>2024-08-23</v>
          </cell>
          <cell r="CO1088">
            <v>13490.454</v>
          </cell>
          <cell r="CP1088" t="str">
            <v xml:space="preserve">NFT-423601027GN00067XXXXXXX </v>
          </cell>
          <cell r="CQ1088" t="str">
            <v>2024-08-23</v>
          </cell>
          <cell r="CR1088">
            <v>1510.086</v>
          </cell>
        </row>
        <row r="1089">
          <cell r="CM1089" t="str">
            <v xml:space="preserve">NFT-423600944GN00087XXXXXXX </v>
          </cell>
          <cell r="CN1089" t="str">
            <v>2024-08-23</v>
          </cell>
          <cell r="CO1089">
            <v>12810.44</v>
          </cell>
          <cell r="CP1089" t="str">
            <v xml:space="preserve">NFT-423601027GN00067XXXXXXX </v>
          </cell>
          <cell r="CQ1089" t="str">
            <v>2024-08-23</v>
          </cell>
          <cell r="CR1089">
            <v>2190.1</v>
          </cell>
        </row>
        <row r="1090">
          <cell r="CM1090" t="str">
            <v xml:space="preserve">NFT-423600944GN00087XXXXXXX </v>
          </cell>
          <cell r="CN1090" t="str">
            <v>2024-08-23</v>
          </cell>
          <cell r="CO1090">
            <v>12862.548000000001</v>
          </cell>
          <cell r="CP1090" t="str">
            <v xml:space="preserve">NFT-423601027GN00067XXXXXXX </v>
          </cell>
          <cell r="CQ1090" t="str">
            <v>2024-08-23</v>
          </cell>
          <cell r="CR1090">
            <v>1438.22</v>
          </cell>
        </row>
        <row r="1091">
          <cell r="CM1091" t="str">
            <v xml:space="preserve">NFT-423600944GN00087XXXXXXX </v>
          </cell>
          <cell r="CN1091" t="str">
            <v>2024-08-23</v>
          </cell>
          <cell r="CO1091">
            <v>13561.636</v>
          </cell>
          <cell r="CP1091" t="str">
            <v xml:space="preserve">NFT-423601027GN00067XXXXXXX </v>
          </cell>
          <cell r="CQ1091" t="str">
            <v>2024-08-23</v>
          </cell>
          <cell r="CR1091">
            <v>1438.904</v>
          </cell>
        </row>
        <row r="1092">
          <cell r="CM1092" t="str">
            <v xml:space="preserve">NFT-423600944GN00087XXXXXXX </v>
          </cell>
          <cell r="CN1092" t="str">
            <v>2024-08-23</v>
          </cell>
          <cell r="CO1092">
            <v>13490.454</v>
          </cell>
          <cell r="CP1092" t="str">
            <v xml:space="preserve">NFT-423601027GN00067XXXXXXX </v>
          </cell>
          <cell r="CQ1092" t="str">
            <v>2024-08-23</v>
          </cell>
          <cell r="CR1092">
            <v>1510.086</v>
          </cell>
        </row>
        <row r="1093">
          <cell r="CM1093" t="str">
            <v xml:space="preserve">NFT-423600944GN00087XXXXXXX </v>
          </cell>
          <cell r="CN1093" t="str">
            <v>2024-08-23</v>
          </cell>
          <cell r="CO1093">
            <v>13689.558999999999</v>
          </cell>
          <cell r="CP1093" t="str">
            <v xml:space="preserve">NFT-423601027GN00067XXXXXXX </v>
          </cell>
          <cell r="CQ1093" t="str">
            <v>2024-08-23</v>
          </cell>
          <cell r="CR1093">
            <v>1532.201</v>
          </cell>
        </row>
        <row r="1094">
          <cell r="CM1094" t="str">
            <v xml:space="preserve">NFT-423600944GN00087XXXXXXX </v>
          </cell>
          <cell r="CN1094" t="str">
            <v>2024-08-23</v>
          </cell>
          <cell r="CO1094">
            <v>6894.1769999999997</v>
          </cell>
          <cell r="CP1094" t="str">
            <v xml:space="preserve">NFT-423601027GN00067XXXXXXX </v>
          </cell>
          <cell r="CQ1094" t="str">
            <v>2024-08-23</v>
          </cell>
          <cell r="CR1094">
            <v>777.16300000000001</v>
          </cell>
        </row>
        <row r="1095">
          <cell r="CM1095" t="str">
            <v xml:space="preserve">NFT-423600944GN00087XXXXXXX </v>
          </cell>
          <cell r="CN1095" t="str">
            <v>2024-08-23</v>
          </cell>
          <cell r="CO1095">
            <v>7301.6440000000002</v>
          </cell>
          <cell r="CP1095" t="str">
            <v xml:space="preserve">NFT-423601027GN00067XXXXXXX </v>
          </cell>
          <cell r="CQ1095" t="str">
            <v>2024-08-23</v>
          </cell>
          <cell r="CR1095">
            <v>388.58699999999999</v>
          </cell>
        </row>
        <row r="1096">
          <cell r="CM1096" t="str">
            <v xml:space="preserve">NFT-423600944GN00087XXXXXXX </v>
          </cell>
          <cell r="CN1096" t="str">
            <v>2024-08-23</v>
          </cell>
          <cell r="CO1096">
            <v>6913.0569999999998</v>
          </cell>
          <cell r="CP1096" t="str">
            <v xml:space="preserve">NFT-423601027GN00067XXXXXXX </v>
          </cell>
          <cell r="CQ1096" t="str">
            <v>2024-08-23</v>
          </cell>
          <cell r="CR1096">
            <v>777.16300000000001</v>
          </cell>
        </row>
        <row r="1097">
          <cell r="CM1097" t="str">
            <v xml:space="preserve">NFT-423600944GN00087XXXXXXX </v>
          </cell>
          <cell r="CN1097" t="str">
            <v>2024-08-23</v>
          </cell>
          <cell r="CO1097">
            <v>13807.234</v>
          </cell>
          <cell r="CP1097" t="str">
            <v xml:space="preserve">NFT-423601027GN00067XXXXXXX </v>
          </cell>
          <cell r="CQ1097" t="str">
            <v>2024-08-23</v>
          </cell>
          <cell r="CR1097">
            <v>1554.326</v>
          </cell>
        </row>
        <row r="1098">
          <cell r="CM1098" t="str">
            <v xml:space="preserve">NFT-423600944GN00087XXXXXXX </v>
          </cell>
          <cell r="CN1098" t="str">
            <v>2024-08-23</v>
          </cell>
          <cell r="CO1098">
            <v>13509.334000000001</v>
          </cell>
          <cell r="CP1098" t="str">
            <v xml:space="preserve">NFT-423601027GN00067XXXXXXX </v>
          </cell>
          <cell r="CQ1098" t="str">
            <v>2024-08-23</v>
          </cell>
          <cell r="CR1098">
            <v>1510.085</v>
          </cell>
        </row>
        <row r="1099">
          <cell r="CM1099" t="str">
            <v xml:space="preserve">NFT-423600944GN00087XXXXXXX </v>
          </cell>
          <cell r="CN1099" t="str">
            <v>2024-08-23</v>
          </cell>
          <cell r="CO1099">
            <v>6913.0569999999998</v>
          </cell>
          <cell r="CP1099" t="str">
            <v xml:space="preserve">NFT-423601027GN00067XXXXXXX </v>
          </cell>
          <cell r="CQ1099" t="str">
            <v>2024-08-23</v>
          </cell>
          <cell r="CR1099">
            <v>777.16300000000001</v>
          </cell>
        </row>
        <row r="1100">
          <cell r="CM1100" t="str">
            <v xml:space="preserve">NFT-423600944GN00087XXXXXXX </v>
          </cell>
          <cell r="CN1100" t="str">
            <v>2024-08-23</v>
          </cell>
          <cell r="CO1100">
            <v>13509.334000000001</v>
          </cell>
          <cell r="CP1100" t="str">
            <v xml:space="preserve">NFT-423601027GN00067XXXXXXX </v>
          </cell>
          <cell r="CQ1100" t="str">
            <v>2024-08-23</v>
          </cell>
          <cell r="CR1100">
            <v>1510.085</v>
          </cell>
        </row>
        <row r="1101">
          <cell r="CM1101" t="str">
            <v xml:space="preserve">NFT-423600944GN00087XXXXXXX </v>
          </cell>
          <cell r="CN1101" t="str">
            <v>2024-08-23</v>
          </cell>
          <cell r="CO1101">
            <v>13490.454</v>
          </cell>
          <cell r="CP1101" t="str">
            <v xml:space="preserve">NFT-423601027GN00067XXXXXXX </v>
          </cell>
          <cell r="CQ1101" t="str">
            <v>2024-08-23</v>
          </cell>
          <cell r="CR1101">
            <v>1510.086</v>
          </cell>
        </row>
        <row r="1102">
          <cell r="CM1102" t="str">
            <v xml:space="preserve">NFT-423600944GN00087XXXXXXX </v>
          </cell>
          <cell r="CN1102" t="str">
            <v>2024-08-23</v>
          </cell>
          <cell r="CO1102">
            <v>13490.454</v>
          </cell>
          <cell r="CP1102" t="str">
            <v xml:space="preserve">NFT-423601027GN00067XXXXXXX </v>
          </cell>
          <cell r="CQ1102" t="str">
            <v>2024-08-23</v>
          </cell>
          <cell r="CR1102">
            <v>1510.086</v>
          </cell>
        </row>
        <row r="1103">
          <cell r="CJ1103" t="str">
            <v xml:space="preserve">NFT-424100932GN00157XXXXXXX </v>
          </cell>
          <cell r="CK1103" t="str">
            <v>2024-08-28</v>
          </cell>
          <cell r="CL1103">
            <v>-1554.326</v>
          </cell>
          <cell r="CM1103" t="str">
            <v xml:space="preserve">NFT-423600944GN00087XXXXXXX </v>
          </cell>
          <cell r="CN1103" t="str">
            <v>2024-08-23</v>
          </cell>
          <cell r="CO1103">
            <v>13826.116</v>
          </cell>
          <cell r="CP1103" t="str">
            <v xml:space="preserve">NFT-423601027GN00067XXXXXXX </v>
          </cell>
          <cell r="CQ1103" t="str">
            <v>2024-08-23</v>
          </cell>
          <cell r="CR1103">
            <v>1554.326</v>
          </cell>
          <cell r="CS1103" t="str">
            <v xml:space="preserve">NFT-424100873GN00159XXXXXXX </v>
          </cell>
          <cell r="CT1103" t="str">
            <v>2024-08-28</v>
          </cell>
          <cell r="CU1103">
            <v>-13826.116</v>
          </cell>
        </row>
        <row r="1104">
          <cell r="CM1104" t="str">
            <v xml:space="preserve">NFT-423600944GN00087XXXXXXX </v>
          </cell>
          <cell r="CN1104" t="str">
            <v>2024-08-23</v>
          </cell>
          <cell r="CO1104">
            <v>13490.454</v>
          </cell>
          <cell r="CP1104" t="str">
            <v xml:space="preserve">NFT-423601027GN00067XXXXXXX </v>
          </cell>
          <cell r="CQ1104" t="str">
            <v>2024-08-23</v>
          </cell>
          <cell r="CR1104">
            <v>1510.086</v>
          </cell>
        </row>
        <row r="1105">
          <cell r="CM1105" t="str">
            <v xml:space="preserve">NFT-423600944GN00087XXXXXXX </v>
          </cell>
          <cell r="CN1105" t="str">
            <v>2024-08-23</v>
          </cell>
          <cell r="CO1105">
            <v>13509.334000000001</v>
          </cell>
          <cell r="CP1105" t="str">
            <v xml:space="preserve">NFT-423601027GN00067XXXXXXX </v>
          </cell>
          <cell r="CQ1105" t="str">
            <v>2024-08-23</v>
          </cell>
          <cell r="CR1105">
            <v>1510.085</v>
          </cell>
        </row>
        <row r="1106">
          <cell r="CM1106" t="str">
            <v xml:space="preserve">NFT-423600944GN00087XXXXXXX </v>
          </cell>
          <cell r="CN1106" t="str">
            <v>2024-08-23</v>
          </cell>
          <cell r="CO1106">
            <v>13689.558999999999</v>
          </cell>
          <cell r="CP1106" t="str">
            <v xml:space="preserve">NFT-423601027GN00067XXXXXXX </v>
          </cell>
          <cell r="CQ1106" t="str">
            <v>2024-08-23</v>
          </cell>
          <cell r="CR1106">
            <v>1532.201</v>
          </cell>
        </row>
        <row r="1107">
          <cell r="CM1107" t="str">
            <v xml:space="preserve">NFT-423600944GN00087XXXXXXX </v>
          </cell>
          <cell r="CN1107" t="str">
            <v>2024-08-23</v>
          </cell>
          <cell r="CO1107">
            <v>12501.498</v>
          </cell>
          <cell r="CP1107" t="str">
            <v xml:space="preserve">NFT-423601027GN00067XXXXXXX </v>
          </cell>
          <cell r="CQ1107" t="str">
            <v>2024-08-23</v>
          </cell>
          <cell r="CR1107">
            <v>1780.3920000000001</v>
          </cell>
        </row>
        <row r="1108">
          <cell r="CM1108" t="str">
            <v xml:space="preserve">NFT-423600944GN00087XXXXXXX </v>
          </cell>
          <cell r="CN1108" t="str">
            <v>2024-08-23</v>
          </cell>
          <cell r="CO1108">
            <v>12843.669</v>
          </cell>
          <cell r="CP1108" t="str">
            <v xml:space="preserve">NFT-423601027GN00067XXXXXXX </v>
          </cell>
          <cell r="CQ1108" t="str">
            <v>2024-08-23</v>
          </cell>
          <cell r="CR1108">
            <v>1438.221</v>
          </cell>
        </row>
        <row r="1109">
          <cell r="CM1109" t="str">
            <v xml:space="preserve">NFT-423600944GN00087XXXXXXX </v>
          </cell>
          <cell r="CN1109" t="str">
            <v>2024-08-23</v>
          </cell>
          <cell r="CO1109">
            <v>13509.334000000001</v>
          </cell>
          <cell r="CP1109" t="str">
            <v xml:space="preserve">NFT-423601027GN00067XXXXXXX </v>
          </cell>
          <cell r="CQ1109" t="str">
            <v>2024-08-23</v>
          </cell>
          <cell r="CR1109">
            <v>1510.085</v>
          </cell>
        </row>
        <row r="1110">
          <cell r="CM1110" t="str">
            <v xml:space="preserve">NFT-423600944GN00087XXXXXXX </v>
          </cell>
          <cell r="CN1110" t="str">
            <v>2024-08-23</v>
          </cell>
          <cell r="CO1110">
            <v>12843.669</v>
          </cell>
          <cell r="CP1110" t="str">
            <v xml:space="preserve">NFT-423601027GN00067XXXXXXX </v>
          </cell>
          <cell r="CQ1110" t="str">
            <v>2024-08-23</v>
          </cell>
          <cell r="CR1110">
            <v>1438.221</v>
          </cell>
        </row>
        <row r="1111">
          <cell r="CM1111" t="str">
            <v xml:space="preserve">NFT-423600944GN00087XXXXXXX </v>
          </cell>
          <cell r="CN1111" t="str">
            <v>2024-08-23</v>
          </cell>
          <cell r="CO1111">
            <v>13490.454</v>
          </cell>
          <cell r="CP1111" t="str">
            <v xml:space="preserve">NFT-423601027GN00067XXXXXXX </v>
          </cell>
          <cell r="CQ1111" t="str">
            <v>2024-08-23</v>
          </cell>
          <cell r="CR1111">
            <v>1510.086</v>
          </cell>
        </row>
        <row r="1112">
          <cell r="CM1112" t="str">
            <v xml:space="preserve">NFT-423600944GN00087XXXXXXX </v>
          </cell>
          <cell r="CN1112" t="str">
            <v>2024-08-23</v>
          </cell>
          <cell r="CO1112">
            <v>13490.454</v>
          </cell>
          <cell r="CP1112" t="str">
            <v xml:space="preserve">NFT-423601027GN00067XXXXXXX </v>
          </cell>
          <cell r="CQ1112" t="str">
            <v>2024-08-23</v>
          </cell>
          <cell r="CR1112">
            <v>1510.086</v>
          </cell>
        </row>
        <row r="1113">
          <cell r="CM1113" t="str">
            <v xml:space="preserve">NFT-423600944GN00087XXXXXXX </v>
          </cell>
          <cell r="CN1113" t="str">
            <v>2024-08-23</v>
          </cell>
          <cell r="CO1113">
            <v>13490.454</v>
          </cell>
          <cell r="CP1113" t="str">
            <v xml:space="preserve">NFT-423601027GN00067XXXXXXX </v>
          </cell>
          <cell r="CQ1113" t="str">
            <v>2024-08-23</v>
          </cell>
          <cell r="CR1113">
            <v>1510.086</v>
          </cell>
        </row>
        <row r="1114">
          <cell r="CM1114" t="str">
            <v xml:space="preserve">NFT-423600944GN00087XXXXXXX </v>
          </cell>
          <cell r="CN1114" t="str">
            <v>2024-08-23</v>
          </cell>
          <cell r="CO1114">
            <v>13509.334000000001</v>
          </cell>
          <cell r="CP1114" t="str">
            <v xml:space="preserve">NFT-423601027GN00067XXXXXXX </v>
          </cell>
          <cell r="CQ1114" t="str">
            <v>2024-08-23</v>
          </cell>
          <cell r="CR1114">
            <v>1510.085</v>
          </cell>
        </row>
        <row r="1115">
          <cell r="CM1115" t="str">
            <v xml:space="preserve">NFT-423600944GN00087XXXXXXX </v>
          </cell>
          <cell r="CN1115" t="str">
            <v>2024-08-23</v>
          </cell>
          <cell r="CO1115">
            <v>13509.334000000001</v>
          </cell>
          <cell r="CP1115" t="str">
            <v xml:space="preserve">NFT-423601027GN00067XXXXXXX </v>
          </cell>
          <cell r="CQ1115" t="str">
            <v>2024-08-23</v>
          </cell>
          <cell r="CR1115">
            <v>1510.086</v>
          </cell>
        </row>
        <row r="1116">
          <cell r="CJ1116" t="str">
            <v xml:space="preserve">NFT-424800948GN00078XXXXXXX </v>
          </cell>
          <cell r="CK1116" t="str">
            <v>2024-09-04</v>
          </cell>
          <cell r="CL1116">
            <v>-14815.12</v>
          </cell>
          <cell r="CM1116" t="str">
            <v xml:space="preserve">NFT-423600944GN00087XXXXXXX </v>
          </cell>
          <cell r="CN1116" t="str">
            <v>2024-08-23</v>
          </cell>
          <cell r="CO1116">
            <v>14815.12</v>
          </cell>
          <cell r="CP1116" t="str">
            <v xml:space="preserve">NFT-423601027GN00067XXXXXXX </v>
          </cell>
          <cell r="CQ1116" t="str">
            <v>2024-08-23</v>
          </cell>
          <cell r="CR1116">
            <v>554.02200000000005</v>
          </cell>
          <cell r="CS1116" t="str">
            <v xml:space="preserve">NFT-424800981GN00017XXXXXXX </v>
          </cell>
          <cell r="CT1116" t="str">
            <v>2024-09-04</v>
          </cell>
          <cell r="CU1116">
            <v>-554.02200000000005</v>
          </cell>
        </row>
        <row r="1117">
          <cell r="CM1117" t="str">
            <v xml:space="preserve">NFT-423600944GN00087XXXXXXX </v>
          </cell>
          <cell r="CN1117" t="str">
            <v>2024-08-23</v>
          </cell>
          <cell r="CO1117">
            <v>13490.454</v>
          </cell>
          <cell r="CP1117" t="str">
            <v xml:space="preserve">NFT-423601027GN00067XXXXXXX </v>
          </cell>
          <cell r="CQ1117" t="str">
            <v>2024-08-23</v>
          </cell>
          <cell r="CR1117">
            <v>1510.086</v>
          </cell>
        </row>
        <row r="1118">
          <cell r="CM1118" t="str">
            <v xml:space="preserve">NFT-423600944GN00087XXXXXXX </v>
          </cell>
          <cell r="CN1118" t="str">
            <v>2024-08-23</v>
          </cell>
          <cell r="CO1118">
            <v>6913.0569999999998</v>
          </cell>
          <cell r="CP1118" t="str">
            <v xml:space="preserve">NFT-423601027GN00067XXXXXXX </v>
          </cell>
          <cell r="CQ1118" t="str">
            <v>2024-08-23</v>
          </cell>
          <cell r="CR1118">
            <v>777.16300000000001</v>
          </cell>
        </row>
        <row r="1119">
          <cell r="CM1119" t="str">
            <v xml:space="preserve">NFT-423600944GN00087XXXXXXX </v>
          </cell>
          <cell r="CN1119" t="str">
            <v>2024-08-23</v>
          </cell>
          <cell r="CO1119">
            <v>13490.454</v>
          </cell>
          <cell r="CP1119" t="str">
            <v xml:space="preserve">NFT-423601027GN00067XXXXXXX </v>
          </cell>
          <cell r="CQ1119" t="str">
            <v>2024-08-23</v>
          </cell>
          <cell r="CR1119">
            <v>1510.086</v>
          </cell>
        </row>
        <row r="1120">
          <cell r="CM1120" t="str">
            <v xml:space="preserve">NFT-423600944GN00087XXXXXXX </v>
          </cell>
          <cell r="CN1120" t="str">
            <v>2024-08-23</v>
          </cell>
          <cell r="CO1120">
            <v>13509.334000000001</v>
          </cell>
          <cell r="CP1120" t="str">
            <v xml:space="preserve">NFT-423601027GN00067XXXXXXX </v>
          </cell>
          <cell r="CQ1120" t="str">
            <v>2024-08-23</v>
          </cell>
          <cell r="CR1120">
            <v>1510.086</v>
          </cell>
        </row>
        <row r="1122">
          <cell r="CM1122" t="str">
            <v xml:space="preserve">NFT-423600944GN00087XXXXXXX </v>
          </cell>
          <cell r="CN1122" t="str">
            <v>2024-08-23</v>
          </cell>
          <cell r="CO1122">
            <v>13708.438</v>
          </cell>
          <cell r="CP1122" t="str">
            <v xml:space="preserve">NFT-423601027GN00067XXXXXXX </v>
          </cell>
          <cell r="CQ1122" t="str">
            <v>2024-08-23</v>
          </cell>
          <cell r="CR1122">
            <v>1532.2</v>
          </cell>
        </row>
        <row r="1123">
          <cell r="CM1123" t="str">
            <v xml:space="preserve">NFT-423600944GN00087XXXXXXX </v>
          </cell>
          <cell r="CN1123" t="str">
            <v>2024-08-23</v>
          </cell>
          <cell r="CO1123">
            <v>13826.116</v>
          </cell>
          <cell r="CP1123" t="str">
            <v xml:space="preserve">NFT-423601027GN00067XXXXXXX </v>
          </cell>
          <cell r="CQ1123" t="str">
            <v>2024-08-23</v>
          </cell>
          <cell r="CR1123">
            <v>1554.326</v>
          </cell>
        </row>
        <row r="1124">
          <cell r="CM1124" t="str">
            <v xml:space="preserve">NFT-423600944GN00087XXXXXXX </v>
          </cell>
          <cell r="CN1124" t="str">
            <v>2024-08-23</v>
          </cell>
          <cell r="CO1124">
            <v>13509.334000000001</v>
          </cell>
          <cell r="CP1124" t="str">
            <v xml:space="preserve">NFT-423601027GN00067XXXXXXX </v>
          </cell>
          <cell r="CQ1124" t="str">
            <v>2024-08-23</v>
          </cell>
          <cell r="CR1124">
            <v>1510.085</v>
          </cell>
        </row>
        <row r="1125">
          <cell r="CM1125" t="str">
            <v xml:space="preserve">NFT-423600944GN00087XXXXXXX </v>
          </cell>
          <cell r="CN1125" t="str">
            <v>2024-08-23</v>
          </cell>
          <cell r="CO1125">
            <v>13490.454</v>
          </cell>
          <cell r="CP1125" t="str">
            <v xml:space="preserve">NFT-423601027GN00067XXXXXXX </v>
          </cell>
          <cell r="CQ1125" t="str">
            <v>2024-08-23</v>
          </cell>
          <cell r="CR1125">
            <v>1510.086</v>
          </cell>
        </row>
        <row r="1126">
          <cell r="CM1126" t="str">
            <v xml:space="preserve">NFT-423600944GN00087XXXXXXX </v>
          </cell>
          <cell r="CN1126" t="str">
            <v>2024-08-23</v>
          </cell>
          <cell r="CO1126">
            <v>12843.669</v>
          </cell>
          <cell r="CP1126" t="str">
            <v xml:space="preserve">NFT-423601027GN00067XXXXXXX </v>
          </cell>
          <cell r="CQ1126" t="str">
            <v>2024-08-23</v>
          </cell>
          <cell r="CR1126">
            <v>1438.221</v>
          </cell>
        </row>
        <row r="1127">
          <cell r="CM1127" t="str">
            <v xml:space="preserve">NFT-423600944GN00087XXXXXXX </v>
          </cell>
          <cell r="CN1127" t="str">
            <v>2024-08-23</v>
          </cell>
          <cell r="CO1127">
            <v>13707.474</v>
          </cell>
          <cell r="CP1127" t="str">
            <v xml:space="preserve">NFT-423601027GN00067XXXXXXX </v>
          </cell>
          <cell r="CQ1127" t="str">
            <v>2024-08-23</v>
          </cell>
          <cell r="CR1127">
            <v>1533.1659999999999</v>
          </cell>
        </row>
        <row r="1128">
          <cell r="CM1128" t="str">
            <v xml:space="preserve">NFT-423600944GN00087XXXXXXX </v>
          </cell>
          <cell r="CN1128" t="str">
            <v>2024-08-23</v>
          </cell>
          <cell r="CO1128">
            <v>13490.454</v>
          </cell>
          <cell r="CP1128" t="str">
            <v xml:space="preserve">NFT-423601027GN00067XXXXXXX </v>
          </cell>
          <cell r="CQ1128" t="str">
            <v>2024-08-23</v>
          </cell>
          <cell r="CR1128">
            <v>1510.086</v>
          </cell>
        </row>
        <row r="1129">
          <cell r="CM1129" t="str">
            <v xml:space="preserve">NFT-423600944GN00087XXXXXXX </v>
          </cell>
          <cell r="CN1129" t="str">
            <v>2024-08-23</v>
          </cell>
          <cell r="CO1129">
            <v>12843.669</v>
          </cell>
          <cell r="CP1129" t="str">
            <v xml:space="preserve">NFT-423601027GN00067XXXXXXX </v>
          </cell>
          <cell r="CQ1129" t="str">
            <v>2024-08-23</v>
          </cell>
          <cell r="CR1129">
            <v>1438.221</v>
          </cell>
        </row>
        <row r="1130">
          <cell r="CM1130" t="str">
            <v xml:space="preserve">NFT-423600944GN00087XXXXXXX </v>
          </cell>
          <cell r="CN1130" t="str">
            <v>2024-08-23</v>
          </cell>
          <cell r="CO1130">
            <v>13509.334000000001</v>
          </cell>
          <cell r="CP1130" t="str">
            <v xml:space="preserve">NFT-423601027GN00067XXXXXXX </v>
          </cell>
          <cell r="CQ1130" t="str">
            <v>2024-08-23</v>
          </cell>
          <cell r="CR1130">
            <v>1510.085</v>
          </cell>
        </row>
        <row r="1131">
          <cell r="CM1131" t="str">
            <v xml:space="preserve">NFT-423600944GN00087XXXXXXX </v>
          </cell>
          <cell r="CN1131" t="str">
            <v>2024-08-23</v>
          </cell>
          <cell r="CO1131">
            <v>13708.439</v>
          </cell>
          <cell r="CP1131" t="str">
            <v xml:space="preserve">NFT-423601027GN00067XXXXXXX </v>
          </cell>
          <cell r="CQ1131" t="str">
            <v>2024-08-23</v>
          </cell>
          <cell r="CR1131">
            <v>1532.201</v>
          </cell>
        </row>
        <row r="1132">
          <cell r="CM1132" t="str">
            <v xml:space="preserve">NFT-423600944GN00087XXXXXXX </v>
          </cell>
          <cell r="CN1132" t="str">
            <v>2024-08-23</v>
          </cell>
          <cell r="CO1132">
            <v>13509.334000000001</v>
          </cell>
          <cell r="CP1132" t="str">
            <v xml:space="preserve">NFT-423601027GN00067XXXXXXX </v>
          </cell>
          <cell r="CQ1132" t="str">
            <v>2024-08-23</v>
          </cell>
          <cell r="CR1132">
            <v>1510.086</v>
          </cell>
        </row>
        <row r="1133">
          <cell r="CM1133" t="str">
            <v xml:space="preserve">NFT-423600944GN00087XXXXXXX </v>
          </cell>
          <cell r="CN1133" t="str">
            <v>2024-08-23</v>
          </cell>
          <cell r="CO1133">
            <v>6972.6940000000004</v>
          </cell>
          <cell r="CP1133" t="str">
            <v xml:space="preserve">NFT-423601027GN00067XXXXXXX </v>
          </cell>
          <cell r="CQ1133" t="str">
            <v>2024-08-23</v>
          </cell>
          <cell r="CR1133">
            <v>717.53599999999994</v>
          </cell>
        </row>
        <row r="1134">
          <cell r="CM1134" t="str">
            <v xml:space="preserve">NFT-423600944GN00087XXXXXXX </v>
          </cell>
          <cell r="CN1134" t="str">
            <v>2024-08-23</v>
          </cell>
          <cell r="CO1134">
            <v>13509.334000000001</v>
          </cell>
          <cell r="CP1134" t="str">
            <v xml:space="preserve">NFT-423601027GN00067XXXXXXX </v>
          </cell>
          <cell r="CQ1134" t="str">
            <v>2024-08-23</v>
          </cell>
          <cell r="CR1134">
            <v>1510.085</v>
          </cell>
        </row>
        <row r="1135">
          <cell r="CM1135" t="str">
            <v xml:space="preserve">NFT-423600944GN00087XXXXXXX </v>
          </cell>
          <cell r="CN1135" t="str">
            <v>2024-08-23</v>
          </cell>
          <cell r="CO1135">
            <v>6913.0569999999998</v>
          </cell>
          <cell r="CP1135" t="str">
            <v xml:space="preserve">NFT-423601027GN00067XXXXXXX </v>
          </cell>
          <cell r="CQ1135" t="str">
            <v>2024-08-23</v>
          </cell>
          <cell r="CR1135">
            <v>777.16300000000001</v>
          </cell>
        </row>
        <row r="1136">
          <cell r="CM1136" t="str">
            <v xml:space="preserve">NFT-423600944GN00087XXXXXXX </v>
          </cell>
          <cell r="CN1136" t="str">
            <v>2024-08-23</v>
          </cell>
          <cell r="CO1136">
            <v>13509.334000000001</v>
          </cell>
          <cell r="CP1136" t="str">
            <v xml:space="preserve">NFT-423601027GN00067XXXXXXX </v>
          </cell>
          <cell r="CQ1136" t="str">
            <v>2024-08-23</v>
          </cell>
          <cell r="CR1136">
            <v>1510.085</v>
          </cell>
        </row>
        <row r="1137">
          <cell r="CM1137" t="str">
            <v xml:space="preserve">NFT-423600944GN00087XXXXXXX </v>
          </cell>
          <cell r="CN1137" t="str">
            <v>2024-08-23</v>
          </cell>
          <cell r="CO1137">
            <v>12998.955</v>
          </cell>
          <cell r="CP1137" t="str">
            <v xml:space="preserve">NFT-423601027GN00067XXXXXXX </v>
          </cell>
          <cell r="CQ1137" t="str">
            <v>2024-08-23</v>
          </cell>
          <cell r="CR1137">
            <v>2222.8040000000001</v>
          </cell>
        </row>
        <row r="1138">
          <cell r="CM1138" t="str">
            <v xml:space="preserve">NFT-423600944GN00087XXXXXXX </v>
          </cell>
          <cell r="CN1138" t="str">
            <v>2024-08-23</v>
          </cell>
          <cell r="CO1138">
            <v>13509.334000000001</v>
          </cell>
          <cell r="CP1138" t="str">
            <v xml:space="preserve">NFT-423601027GN00067XXXXXXX </v>
          </cell>
          <cell r="CQ1138" t="str">
            <v>2024-08-23</v>
          </cell>
          <cell r="CR1138">
            <v>1510.085</v>
          </cell>
        </row>
        <row r="1139">
          <cell r="CM1139" t="str">
            <v xml:space="preserve">NFT-423600944GN00087XXXXXXX </v>
          </cell>
          <cell r="CN1139" t="str">
            <v>2024-08-23</v>
          </cell>
          <cell r="CO1139">
            <v>13708.439</v>
          </cell>
          <cell r="CP1139" t="str">
            <v xml:space="preserve">NFT-423601027GN00067XXXXXXX </v>
          </cell>
          <cell r="CQ1139" t="str">
            <v>2024-08-23</v>
          </cell>
          <cell r="CR1139">
            <v>1532.201</v>
          </cell>
        </row>
        <row r="1140">
          <cell r="CM1140" t="str">
            <v xml:space="preserve">NFT-423600944GN00087XXXXXXX </v>
          </cell>
          <cell r="CN1140" t="str">
            <v>2024-08-23</v>
          </cell>
          <cell r="CO1140">
            <v>13490.454</v>
          </cell>
          <cell r="CP1140" t="str">
            <v xml:space="preserve">NFT-423601027GN00067XXXXXXX </v>
          </cell>
          <cell r="CQ1140" t="str">
            <v>2024-08-23</v>
          </cell>
          <cell r="CR1140">
            <v>1510.086</v>
          </cell>
        </row>
        <row r="1141">
          <cell r="CM1141" t="str">
            <v xml:space="preserve">NFT-423600944GN00087XXXXXXX </v>
          </cell>
          <cell r="CN1141" t="str">
            <v>2024-08-23</v>
          </cell>
          <cell r="CO1141">
            <v>13509.334000000001</v>
          </cell>
          <cell r="CP1141" t="str">
            <v xml:space="preserve">NFT-423601027GN00067XXXXXXX </v>
          </cell>
          <cell r="CQ1141" t="str">
            <v>2024-08-23</v>
          </cell>
          <cell r="CR1141">
            <v>1510.086</v>
          </cell>
        </row>
        <row r="1142">
          <cell r="CM1142" t="str">
            <v xml:space="preserve">NFT-423600944GN00087XXXXXXX </v>
          </cell>
          <cell r="CN1142" t="str">
            <v>2024-08-23</v>
          </cell>
          <cell r="CO1142">
            <v>13509.334000000001</v>
          </cell>
          <cell r="CP1142" t="str">
            <v xml:space="preserve">NFT-423601027GN00067XXXXXXX </v>
          </cell>
          <cell r="CQ1142" t="str">
            <v>2024-08-23</v>
          </cell>
          <cell r="CR1142">
            <v>1510.085</v>
          </cell>
        </row>
        <row r="1143">
          <cell r="CM1143" t="str">
            <v xml:space="preserve">NFT-423600944GN00087XXXXXXX </v>
          </cell>
          <cell r="CN1143" t="str">
            <v>2024-08-23</v>
          </cell>
          <cell r="CO1143">
            <v>13509.334000000001</v>
          </cell>
          <cell r="CP1143" t="str">
            <v xml:space="preserve">NFT-423601027GN00067XXXXXXX </v>
          </cell>
          <cell r="CQ1143" t="str">
            <v>2024-08-23</v>
          </cell>
          <cell r="CR1143">
            <v>1510.085</v>
          </cell>
        </row>
        <row r="1144">
          <cell r="CM1144" t="str">
            <v xml:space="preserve">NFT-423600944GN00087XXXXXXX </v>
          </cell>
          <cell r="CN1144" t="str">
            <v>2024-08-23</v>
          </cell>
          <cell r="CO1144">
            <v>14325.665999999999</v>
          </cell>
          <cell r="CP1144" t="str">
            <v xml:space="preserve">NFT-423601027GN00067XXXXXXX </v>
          </cell>
          <cell r="CQ1144" t="str">
            <v>2024-08-23</v>
          </cell>
          <cell r="CR1144">
            <v>1034.94</v>
          </cell>
        </row>
        <row r="1145">
          <cell r="CM1145" t="str">
            <v xml:space="preserve">NFT-423600944GN00087XXXXXXX </v>
          </cell>
          <cell r="CN1145" t="str">
            <v>2024-08-23</v>
          </cell>
          <cell r="CO1145">
            <v>13490.454</v>
          </cell>
          <cell r="CP1145" t="str">
            <v xml:space="preserve">NFT-423601027GN00067XXXXXXX </v>
          </cell>
          <cell r="CQ1145" t="str">
            <v>2024-08-23</v>
          </cell>
          <cell r="CR1145">
            <v>1510.086</v>
          </cell>
        </row>
        <row r="1146">
          <cell r="CM1146" t="str">
            <v xml:space="preserve">NFT-423600944GN00087XXXXXXX </v>
          </cell>
          <cell r="CN1146" t="str">
            <v>2024-08-23</v>
          </cell>
          <cell r="CO1146">
            <v>13689.558999999999</v>
          </cell>
          <cell r="CP1146" t="str">
            <v xml:space="preserve">NFT-423601027GN00067XXXXXXX </v>
          </cell>
          <cell r="CQ1146" t="str">
            <v>2024-08-23</v>
          </cell>
          <cell r="CR1146">
            <v>1532.201</v>
          </cell>
        </row>
        <row r="1147">
          <cell r="CM1147" t="str">
            <v xml:space="preserve">NFT-423600944GN00087XXXXXXX </v>
          </cell>
          <cell r="CN1147" t="str">
            <v>2024-08-23</v>
          </cell>
          <cell r="CO1147">
            <v>13490.454</v>
          </cell>
          <cell r="CP1147" t="str">
            <v xml:space="preserve">NFT-423601027GN00067XXXXXXX </v>
          </cell>
          <cell r="CQ1147" t="str">
            <v>2024-08-23</v>
          </cell>
          <cell r="CR1147">
            <v>1510.086</v>
          </cell>
        </row>
        <row r="1148">
          <cell r="CM1148" t="str">
            <v xml:space="preserve">NFT-423600944GN00087XXXXXXX </v>
          </cell>
          <cell r="CN1148" t="str">
            <v>2024-08-23</v>
          </cell>
          <cell r="CO1148">
            <v>13490.454</v>
          </cell>
          <cell r="CP1148" t="str">
            <v xml:space="preserve">NFT-423601027GN00067XXXXXXX </v>
          </cell>
          <cell r="CQ1148" t="str">
            <v>2024-08-23</v>
          </cell>
          <cell r="CR1148">
            <v>1510.086</v>
          </cell>
        </row>
        <row r="1149">
          <cell r="CM1149" t="str">
            <v xml:space="preserve">NFT-423600944GN00087XXXXXXX </v>
          </cell>
          <cell r="CN1149" t="str">
            <v>2024-08-23</v>
          </cell>
          <cell r="CO1149">
            <v>13509.334000000001</v>
          </cell>
          <cell r="CP1149" t="str">
            <v xml:space="preserve">NFT-423601027GN00067XXXXXXX </v>
          </cell>
          <cell r="CQ1149" t="str">
            <v>2024-08-23</v>
          </cell>
          <cell r="CR1149">
            <v>1510.085</v>
          </cell>
        </row>
        <row r="1150">
          <cell r="CM1150" t="str">
            <v xml:space="preserve">NFT-423600944GN00087XXXXXXX </v>
          </cell>
          <cell r="CN1150" t="str">
            <v>2024-08-23</v>
          </cell>
          <cell r="CO1150">
            <v>12843.669</v>
          </cell>
          <cell r="CP1150" t="str">
            <v xml:space="preserve">NFT-423601027GN00067XXXXXXX </v>
          </cell>
          <cell r="CQ1150" t="str">
            <v>2024-08-23</v>
          </cell>
          <cell r="CR1150">
            <v>1438.221</v>
          </cell>
        </row>
        <row r="1152">
          <cell r="CM1152" t="str">
            <v xml:space="preserve">NFT-423600944GN00087XXXXXXX </v>
          </cell>
          <cell r="CN1152" t="str">
            <v>2024-08-23</v>
          </cell>
          <cell r="CO1152">
            <v>6913.058</v>
          </cell>
          <cell r="CP1152" t="str">
            <v xml:space="preserve">NFT-423601027GN00067XXXXXXX </v>
          </cell>
          <cell r="CQ1152" t="str">
            <v>2024-08-23</v>
          </cell>
          <cell r="CR1152">
            <v>777.16300000000001</v>
          </cell>
        </row>
        <row r="1153">
          <cell r="CM1153" t="str">
            <v xml:space="preserve">NFT-423600944GN00087XXXXXXX </v>
          </cell>
          <cell r="CN1153" t="str">
            <v>2024-08-23</v>
          </cell>
          <cell r="CO1153">
            <v>13490.454</v>
          </cell>
          <cell r="CP1153" t="str">
            <v xml:space="preserve">NFT-423601027GN00067XXXXXXX </v>
          </cell>
          <cell r="CQ1153" t="str">
            <v>2024-08-23</v>
          </cell>
          <cell r="CR1153">
            <v>1510.086</v>
          </cell>
        </row>
        <row r="1154">
          <cell r="CM1154" t="str">
            <v xml:space="preserve">NFT-423600944GN00087XXXXXXX </v>
          </cell>
          <cell r="CN1154" t="str">
            <v>2024-08-23</v>
          </cell>
          <cell r="CO1154">
            <v>13490.454</v>
          </cell>
          <cell r="CP1154" t="str">
            <v xml:space="preserve">NFT-423601027GN00067XXXXXXX </v>
          </cell>
          <cell r="CQ1154" t="str">
            <v>2024-08-23</v>
          </cell>
          <cell r="CR1154">
            <v>1510.086</v>
          </cell>
        </row>
        <row r="1155">
          <cell r="CM1155" t="str">
            <v xml:space="preserve">NFT-423600944GN00087XXXXXXX </v>
          </cell>
          <cell r="CN1155" t="str">
            <v>2024-08-23</v>
          </cell>
          <cell r="CO1155">
            <v>13490.454</v>
          </cell>
          <cell r="CP1155" t="str">
            <v xml:space="preserve">NFT-423601027GN00067XXXXXXX </v>
          </cell>
          <cell r="CQ1155" t="str">
            <v>2024-08-23</v>
          </cell>
          <cell r="CR1155">
            <v>1510.086</v>
          </cell>
        </row>
        <row r="1156">
          <cell r="CM1156" t="str">
            <v xml:space="preserve">NFT-423600944GN00087XXXXXXX </v>
          </cell>
          <cell r="CN1156" t="str">
            <v>2024-08-23</v>
          </cell>
          <cell r="CO1156">
            <v>13509.334000000001</v>
          </cell>
          <cell r="CP1156" t="str">
            <v xml:space="preserve">NFT-423601027GN00067XXXXXXX </v>
          </cell>
          <cell r="CQ1156" t="str">
            <v>2024-08-23</v>
          </cell>
          <cell r="CR1156">
            <v>1510.085</v>
          </cell>
        </row>
        <row r="1157">
          <cell r="CM1157" t="str">
            <v xml:space="preserve">NFT-423600944GN00087XXXXXXX </v>
          </cell>
          <cell r="CN1157" t="str">
            <v>2024-08-23</v>
          </cell>
          <cell r="CO1157">
            <v>13490.454</v>
          </cell>
          <cell r="CP1157" t="str">
            <v xml:space="preserve">NFT-423601027GN00067XXXXXXX </v>
          </cell>
          <cell r="CQ1157" t="str">
            <v>2024-08-23</v>
          </cell>
          <cell r="CR1157">
            <v>1510.086</v>
          </cell>
        </row>
        <row r="1158">
          <cell r="CM1158" t="str">
            <v xml:space="preserve">NFT-423600944GN00087XXXXXXX </v>
          </cell>
          <cell r="CN1158" t="str">
            <v>2024-08-23</v>
          </cell>
          <cell r="CO1158">
            <v>13490.454</v>
          </cell>
          <cell r="CP1158" t="str">
            <v xml:space="preserve">NFT-423601027GN00067XXXXXXX </v>
          </cell>
          <cell r="CQ1158" t="str">
            <v>2024-08-23</v>
          </cell>
          <cell r="CR1158">
            <v>1510.086</v>
          </cell>
        </row>
        <row r="1159">
          <cell r="CM1159" t="str">
            <v xml:space="preserve">NFT-423600944GN00087XXXXXXX </v>
          </cell>
          <cell r="CN1159" t="str">
            <v>2024-08-23</v>
          </cell>
          <cell r="CO1159">
            <v>13708.438</v>
          </cell>
          <cell r="CP1159" t="str">
            <v xml:space="preserve">NFT-423601027GN00067XXXXXXX </v>
          </cell>
          <cell r="CQ1159" t="str">
            <v>2024-08-23</v>
          </cell>
          <cell r="CR1159">
            <v>1532.2</v>
          </cell>
        </row>
        <row r="1160">
          <cell r="CM1160" t="str">
            <v xml:space="preserve">NFT-423600944GN00087XXXXXXX </v>
          </cell>
          <cell r="CN1160" t="str">
            <v>2024-08-23</v>
          </cell>
          <cell r="CO1160">
            <v>13490.454</v>
          </cell>
          <cell r="CP1160" t="str">
            <v xml:space="preserve">NFT-423601027GN00067XXXXXXX </v>
          </cell>
          <cell r="CQ1160" t="str">
            <v>2024-08-23</v>
          </cell>
          <cell r="CR1160">
            <v>1510.086</v>
          </cell>
        </row>
        <row r="1161">
          <cell r="CM1161" t="str">
            <v xml:space="preserve">NFT-423600944GN00087XXXXXXX </v>
          </cell>
          <cell r="CN1161" t="str">
            <v>2024-08-23</v>
          </cell>
          <cell r="CO1161">
            <v>13509.334000000001</v>
          </cell>
          <cell r="CP1161" t="str">
            <v xml:space="preserve">NFT-423601027GN00067XXXXXXX </v>
          </cell>
          <cell r="CQ1161" t="str">
            <v>2024-08-23</v>
          </cell>
          <cell r="CR1161">
            <v>1510.086</v>
          </cell>
        </row>
        <row r="1162">
          <cell r="CM1162" t="str">
            <v xml:space="preserve">NFT-423600944GN00087XXXXXXX </v>
          </cell>
          <cell r="CN1162" t="str">
            <v>2024-08-23</v>
          </cell>
          <cell r="CO1162">
            <v>13422.772999999999</v>
          </cell>
          <cell r="CP1162" t="str">
            <v xml:space="preserve">NFT-423601027GN00067XXXXXXX </v>
          </cell>
          <cell r="CQ1162" t="str">
            <v>2024-08-23</v>
          </cell>
          <cell r="CR1162">
            <v>1596.645</v>
          </cell>
        </row>
        <row r="1163">
          <cell r="CM1163" t="str">
            <v xml:space="preserve">NFT-423600944GN00087XXXXXXX </v>
          </cell>
          <cell r="CN1163" t="str">
            <v>2024-08-23</v>
          </cell>
          <cell r="CO1163">
            <v>13509.334000000001</v>
          </cell>
          <cell r="CP1163" t="str">
            <v xml:space="preserve">NFT-423601027GN00067XXXXXXX </v>
          </cell>
          <cell r="CQ1163" t="str">
            <v>2024-08-23</v>
          </cell>
          <cell r="CR1163">
            <v>1510.085</v>
          </cell>
        </row>
        <row r="1164">
          <cell r="CM1164" t="str">
            <v xml:space="preserve">NFT-423600944GN00087XXXXXXX </v>
          </cell>
          <cell r="CN1164" t="str">
            <v>2024-08-23</v>
          </cell>
          <cell r="CO1164">
            <v>13490.454</v>
          </cell>
          <cell r="CP1164" t="str">
            <v xml:space="preserve">NFT-423601027GN00067XXXXXXX </v>
          </cell>
          <cell r="CQ1164" t="str">
            <v>2024-08-23</v>
          </cell>
          <cell r="CR1164">
            <v>1510.086</v>
          </cell>
        </row>
        <row r="1165">
          <cell r="CM1165" t="str">
            <v xml:space="preserve">NFT-423600944GN00087XXXXXXX </v>
          </cell>
          <cell r="CN1165" t="str">
            <v>2024-08-23</v>
          </cell>
          <cell r="CO1165">
            <v>13509.334000000001</v>
          </cell>
          <cell r="CP1165" t="str">
            <v xml:space="preserve">NFT-423601027GN00067XXXXXXX </v>
          </cell>
          <cell r="CQ1165" t="str">
            <v>2024-08-23</v>
          </cell>
          <cell r="CR1165">
            <v>1510.085</v>
          </cell>
        </row>
        <row r="1166">
          <cell r="CM1166" t="str">
            <v xml:space="preserve">NFT-423600944GN00087XXXXXXX </v>
          </cell>
          <cell r="CN1166" t="str">
            <v>2024-08-23</v>
          </cell>
          <cell r="CO1166">
            <v>13689.558999999999</v>
          </cell>
          <cell r="CP1166" t="str">
            <v xml:space="preserve">NFT-423601027GN00067XXXXXXX </v>
          </cell>
          <cell r="CQ1166" t="str">
            <v>2024-08-23</v>
          </cell>
          <cell r="CR1166">
            <v>1532.201</v>
          </cell>
        </row>
        <row r="1167">
          <cell r="CM1167" t="str">
            <v xml:space="preserve">NFT-423600944GN00087XXXXXXX </v>
          </cell>
          <cell r="CN1167" t="str">
            <v>2024-08-23</v>
          </cell>
          <cell r="CO1167">
            <v>13708.438</v>
          </cell>
          <cell r="CP1167" t="str">
            <v xml:space="preserve">NFT-423601027GN00067XXXXXXX </v>
          </cell>
          <cell r="CQ1167" t="str">
            <v>2024-08-23</v>
          </cell>
          <cell r="CR1167">
            <v>1532.2</v>
          </cell>
        </row>
        <row r="1168">
          <cell r="CM1168" t="str">
            <v xml:space="preserve">NFT-423600944GN00087XXXXXXX </v>
          </cell>
          <cell r="CN1168" t="str">
            <v>2024-08-23</v>
          </cell>
          <cell r="CO1168">
            <v>12843.669</v>
          </cell>
          <cell r="CP1168" t="str">
            <v xml:space="preserve">NFT-423601027GN00067XXXXXXX </v>
          </cell>
          <cell r="CQ1168" t="str">
            <v>2024-08-23</v>
          </cell>
          <cell r="CR1168">
            <v>1438.221</v>
          </cell>
        </row>
        <row r="1169">
          <cell r="CM1169" t="str">
            <v xml:space="preserve">NFT-423600944GN00087XXXXXXX </v>
          </cell>
          <cell r="CN1169" t="str">
            <v>2024-08-23</v>
          </cell>
          <cell r="CO1169">
            <v>12843.669</v>
          </cell>
          <cell r="CP1169" t="str">
            <v xml:space="preserve">NFT-423601027GN00067XXXXXXX </v>
          </cell>
          <cell r="CQ1169" t="str">
            <v>2024-08-23</v>
          </cell>
          <cell r="CR1169">
            <v>1438.221</v>
          </cell>
        </row>
        <row r="1170">
          <cell r="CM1170" t="str">
            <v xml:space="preserve">NFT-423600944GN00087XXXXXXX </v>
          </cell>
          <cell r="CN1170" t="str">
            <v>2024-08-23</v>
          </cell>
          <cell r="CO1170">
            <v>12843.669</v>
          </cell>
          <cell r="CP1170" t="str">
            <v xml:space="preserve">NFT-423601027GN00067XXXXXXX </v>
          </cell>
          <cell r="CQ1170" t="str">
            <v>2024-08-23</v>
          </cell>
          <cell r="CR1170">
            <v>1438.221</v>
          </cell>
        </row>
        <row r="1171">
          <cell r="CM1171" t="str">
            <v xml:space="preserve">NFT-423600944GN00087XXXXXXX </v>
          </cell>
          <cell r="CN1171" t="str">
            <v>2024-08-23</v>
          </cell>
          <cell r="CO1171">
            <v>13509.334000000001</v>
          </cell>
          <cell r="CP1171" t="str">
            <v xml:space="preserve">NFT-423601027GN00067XXXXXXX </v>
          </cell>
          <cell r="CQ1171" t="str">
            <v>2024-08-23</v>
          </cell>
          <cell r="CR1171">
            <v>1510.086</v>
          </cell>
        </row>
        <row r="1172">
          <cell r="CM1172" t="str">
            <v xml:space="preserve">NFT-423600944GN00087XXXXXXX </v>
          </cell>
          <cell r="CN1172" t="str">
            <v>2024-08-23</v>
          </cell>
          <cell r="CO1172">
            <v>13490.454</v>
          </cell>
          <cell r="CP1172" t="str">
            <v xml:space="preserve">NFT-423601027GN00067XXXXXXX </v>
          </cell>
          <cell r="CQ1172" t="str">
            <v>2024-08-23</v>
          </cell>
          <cell r="CR1172">
            <v>1510.086</v>
          </cell>
        </row>
        <row r="1173">
          <cell r="CM1173" t="str">
            <v xml:space="preserve">NFT-423600944GN00087XXXXXXX </v>
          </cell>
          <cell r="CN1173" t="str">
            <v>2024-08-23</v>
          </cell>
          <cell r="CO1173">
            <v>6913.0569999999998</v>
          </cell>
          <cell r="CP1173" t="str">
            <v xml:space="preserve">NFT-423601027GN00067XXXXXXX </v>
          </cell>
          <cell r="CQ1173" t="str">
            <v>2024-08-23</v>
          </cell>
          <cell r="CR1173">
            <v>777.16300000000001</v>
          </cell>
        </row>
        <row r="1174">
          <cell r="CM1174" t="str">
            <v xml:space="preserve">NFT-423600944GN00087XXXXXXX </v>
          </cell>
          <cell r="CN1174" t="str">
            <v>2024-08-23</v>
          </cell>
          <cell r="CO1174">
            <v>13509.334000000001</v>
          </cell>
          <cell r="CP1174" t="str">
            <v xml:space="preserve">NFT-423601027GN00067XXXXXXX </v>
          </cell>
          <cell r="CQ1174" t="str">
            <v>2024-08-23</v>
          </cell>
          <cell r="CR1174">
            <v>1510.085</v>
          </cell>
        </row>
        <row r="1175">
          <cell r="CM1175" t="str">
            <v xml:space="preserve">NFT-423600944GN00087XXXXXXX </v>
          </cell>
          <cell r="CN1175" t="str">
            <v>2024-08-23</v>
          </cell>
          <cell r="CO1175">
            <v>6725.8559999999998</v>
          </cell>
          <cell r="CP1175" t="str">
            <v xml:space="preserve">NFT-423601027GN00067XXXXXXX </v>
          </cell>
          <cell r="CQ1175" t="str">
            <v>2024-08-23</v>
          </cell>
          <cell r="CR1175">
            <v>945.48400000000004</v>
          </cell>
        </row>
        <row r="1176">
          <cell r="CM1176" t="str">
            <v xml:space="preserve">NFT-423600944GN00087XXXXXXX </v>
          </cell>
          <cell r="CN1176" t="str">
            <v>2024-08-23</v>
          </cell>
          <cell r="CO1176">
            <v>6913.0569999999998</v>
          </cell>
          <cell r="CP1176" t="str">
            <v xml:space="preserve">NFT-423601027GN00067XXXXXXX </v>
          </cell>
          <cell r="CQ1176" t="str">
            <v>2024-08-23</v>
          </cell>
          <cell r="CR1176">
            <v>777.16300000000001</v>
          </cell>
        </row>
        <row r="1177">
          <cell r="CM1177" t="str">
            <v xml:space="preserve">NFT-423600944GN00087XXXXXXX </v>
          </cell>
          <cell r="CN1177" t="str">
            <v>2024-08-23</v>
          </cell>
          <cell r="CO1177">
            <v>13490.454</v>
          </cell>
          <cell r="CP1177" t="str">
            <v xml:space="preserve">NFT-423601027GN00067XXXXXXX </v>
          </cell>
          <cell r="CQ1177" t="str">
            <v>2024-08-23</v>
          </cell>
          <cell r="CR1177">
            <v>1510.086</v>
          </cell>
        </row>
        <row r="1178">
          <cell r="CM1178" t="str">
            <v xml:space="preserve">NFT-423600944GN00087XXXXXXX </v>
          </cell>
          <cell r="CN1178" t="str">
            <v>2024-08-23</v>
          </cell>
          <cell r="CO1178">
            <v>13509.334000000001</v>
          </cell>
          <cell r="CP1178" t="str">
            <v xml:space="preserve">NFT-423601027GN00067XXXXXXX </v>
          </cell>
          <cell r="CQ1178" t="str">
            <v>2024-08-23</v>
          </cell>
          <cell r="CR1178">
            <v>1510.085</v>
          </cell>
        </row>
        <row r="1179">
          <cell r="CM1179" t="str">
            <v xml:space="preserve">NFT-423600944GN00087XXXXXXX </v>
          </cell>
          <cell r="CN1179" t="str">
            <v>2024-08-23</v>
          </cell>
          <cell r="CO1179">
            <v>6913.058</v>
          </cell>
          <cell r="CP1179" t="str">
            <v xml:space="preserve">NFT-423601027GN00067XXXXXXX </v>
          </cell>
          <cell r="CQ1179" t="str">
            <v>2024-08-23</v>
          </cell>
          <cell r="CR1179">
            <v>777.16300000000001</v>
          </cell>
        </row>
        <row r="1180">
          <cell r="CM1180" t="str">
            <v xml:space="preserve">NFT-423600944GN00087XXXXXXX </v>
          </cell>
          <cell r="CN1180" t="str">
            <v>2024-08-23</v>
          </cell>
          <cell r="CO1180">
            <v>13689.558999999999</v>
          </cell>
          <cell r="CP1180" t="str">
            <v xml:space="preserve">NFT-423601027GN00067XXXXXXX </v>
          </cell>
          <cell r="CQ1180" t="str">
            <v>2024-08-23</v>
          </cell>
          <cell r="CR1180">
            <v>1532.201</v>
          </cell>
        </row>
        <row r="1181">
          <cell r="CM1181" t="str">
            <v xml:space="preserve">NFT-423600944GN00087XXXXXXX </v>
          </cell>
          <cell r="CN1181" t="str">
            <v>2024-08-23</v>
          </cell>
          <cell r="CO1181">
            <v>13509.334000000001</v>
          </cell>
          <cell r="CP1181" t="str">
            <v xml:space="preserve">NFT-423601027GN00067XXXXXXX </v>
          </cell>
          <cell r="CQ1181" t="str">
            <v>2024-08-23</v>
          </cell>
          <cell r="CR1181">
            <v>1510.086</v>
          </cell>
          <cell r="CS1181" t="str">
            <v xml:space="preserve">NFT-423901043GN00083XXXXXXX </v>
          </cell>
          <cell r="CT1181" t="str">
            <v>2024-08-26</v>
          </cell>
          <cell r="CU1181">
            <v>-1510.086</v>
          </cell>
          <cell r="CV1181" t="str">
            <v xml:space="preserve">NFT-423900923GN00109XXXXXXX </v>
          </cell>
          <cell r="CW1181" t="str">
            <v>2024-08-26</v>
          </cell>
          <cell r="CX1181">
            <v>-13509.334000000001</v>
          </cell>
        </row>
        <row r="1182">
          <cell r="CM1182" t="str">
            <v xml:space="preserve">NFT-423600944GN00087XXXXXXX </v>
          </cell>
          <cell r="CN1182" t="str">
            <v>2024-08-23</v>
          </cell>
          <cell r="CO1182">
            <v>6913.058</v>
          </cell>
          <cell r="CP1182" t="str">
            <v xml:space="preserve">NFT-423601027GN00067XXXXXXX </v>
          </cell>
          <cell r="CQ1182" t="str">
            <v>2024-08-23</v>
          </cell>
          <cell r="CR1182">
            <v>777.16300000000001</v>
          </cell>
        </row>
        <row r="1183">
          <cell r="CM1183" t="str">
            <v xml:space="preserve">NFT-423600944GN00087XXXXXXX </v>
          </cell>
          <cell r="CN1183" t="str">
            <v>2024-08-23</v>
          </cell>
          <cell r="CO1183">
            <v>13490.454</v>
          </cell>
          <cell r="CP1183" t="str">
            <v xml:space="preserve">NFT-423601027GN00067XXXXXXX </v>
          </cell>
          <cell r="CQ1183" t="str">
            <v>2024-08-23</v>
          </cell>
          <cell r="CR1183">
            <v>1510.086</v>
          </cell>
        </row>
        <row r="1184">
          <cell r="CM1184" t="str">
            <v xml:space="preserve">NFT-423600944GN00087XXXXXXX </v>
          </cell>
          <cell r="CN1184" t="str">
            <v>2024-08-23</v>
          </cell>
          <cell r="CO1184">
            <v>13689.558999999999</v>
          </cell>
          <cell r="CP1184" t="str">
            <v xml:space="preserve">NFT-423601027GN00067XXXXXXX </v>
          </cell>
          <cell r="CQ1184" t="str">
            <v>2024-08-23</v>
          </cell>
          <cell r="CR1184">
            <v>1532.201</v>
          </cell>
        </row>
        <row r="1185">
          <cell r="CM1185" t="str">
            <v xml:space="preserve">NFT-423600944GN00087XXXXXXX </v>
          </cell>
          <cell r="CN1185" t="str">
            <v>2024-08-23</v>
          </cell>
          <cell r="CO1185">
            <v>13689.558999999999</v>
          </cell>
          <cell r="CP1185" t="str">
            <v xml:space="preserve">NFT-423601027GN00067XXXXXXX </v>
          </cell>
          <cell r="CQ1185" t="str">
            <v>2024-08-23</v>
          </cell>
          <cell r="CR1185">
            <v>1532.201</v>
          </cell>
        </row>
        <row r="1186">
          <cell r="CM1186" t="str">
            <v xml:space="preserve">NFT-423600944GN00087XXXXXXX </v>
          </cell>
          <cell r="CN1186" t="str">
            <v>2024-08-23</v>
          </cell>
          <cell r="CO1186">
            <v>13689.558999999999</v>
          </cell>
          <cell r="CP1186" t="str">
            <v xml:space="preserve">NFT-423601027GN00067XXXXXXX </v>
          </cell>
          <cell r="CQ1186" t="str">
            <v>2024-08-23</v>
          </cell>
          <cell r="CR1186">
            <v>1532.201</v>
          </cell>
        </row>
        <row r="1187">
          <cell r="CM1187" t="str">
            <v xml:space="preserve">NFT-423600944GN00087XXXXXXX </v>
          </cell>
          <cell r="CN1187" t="str">
            <v>2024-08-23</v>
          </cell>
          <cell r="CO1187">
            <v>13490.454</v>
          </cell>
          <cell r="CP1187" t="str">
            <v xml:space="preserve">NFT-423601027GN00067XXXXXXX </v>
          </cell>
          <cell r="CQ1187" t="str">
            <v>2024-08-23</v>
          </cell>
          <cell r="CR1187">
            <v>1510.086</v>
          </cell>
        </row>
        <row r="1188">
          <cell r="CM1188" t="str">
            <v xml:space="preserve">NFT-423600944GN00087XXXXXXX </v>
          </cell>
          <cell r="CN1188" t="str">
            <v>2024-08-23</v>
          </cell>
          <cell r="CO1188">
            <v>12843.669</v>
          </cell>
          <cell r="CP1188" t="str">
            <v xml:space="preserve">NFT-423601027GN00067XXXXXXX </v>
          </cell>
          <cell r="CQ1188" t="str">
            <v>2024-08-23</v>
          </cell>
          <cell r="CR1188">
            <v>1438.221</v>
          </cell>
        </row>
        <row r="1189">
          <cell r="CM1189" t="str">
            <v xml:space="preserve">NFT-423600944GN00087XXXXXXX </v>
          </cell>
          <cell r="CN1189" t="str">
            <v>2024-08-23</v>
          </cell>
          <cell r="CO1189">
            <v>13689.558999999999</v>
          </cell>
          <cell r="CP1189" t="str">
            <v xml:space="preserve">NFT-423601027GN00067XXXXXXX </v>
          </cell>
          <cell r="CQ1189" t="str">
            <v>2024-08-23</v>
          </cell>
          <cell r="CR1189">
            <v>1532.201</v>
          </cell>
        </row>
        <row r="1190">
          <cell r="CM1190" t="str">
            <v xml:space="preserve">NFT-423600944GN00087XXXXXXX </v>
          </cell>
          <cell r="CN1190" t="str">
            <v>2024-08-23</v>
          </cell>
          <cell r="CO1190">
            <v>13490.454</v>
          </cell>
          <cell r="CP1190" t="str">
            <v xml:space="preserve">NFT-423601027GN00067XXXXXXX </v>
          </cell>
          <cell r="CQ1190" t="str">
            <v>2024-08-23</v>
          </cell>
          <cell r="CR1190">
            <v>1510.086</v>
          </cell>
        </row>
        <row r="1191">
          <cell r="CM1191" t="str">
            <v xml:space="preserve">NFT-423600944GN00087XXXXXXX </v>
          </cell>
          <cell r="CN1191" t="str">
            <v>2024-08-23</v>
          </cell>
          <cell r="CO1191">
            <v>13490.454</v>
          </cell>
          <cell r="CP1191" t="str">
            <v xml:space="preserve">NFT-423601027GN00067XXXXXXX </v>
          </cell>
          <cell r="CQ1191" t="str">
            <v>2024-08-23</v>
          </cell>
          <cell r="CR1191">
            <v>1510.086</v>
          </cell>
        </row>
        <row r="1192">
          <cell r="CM1192" t="str">
            <v xml:space="preserve">NFT-423600944GN00087XXXXXXX </v>
          </cell>
          <cell r="CN1192" t="str">
            <v>2024-08-23</v>
          </cell>
          <cell r="CO1192">
            <v>13826.114</v>
          </cell>
          <cell r="CP1192" t="str">
            <v xml:space="preserve">NFT-423601027GN00067XXXXXXX </v>
          </cell>
          <cell r="CQ1192" t="str">
            <v>2024-08-23</v>
          </cell>
          <cell r="CR1192">
            <v>1554.326</v>
          </cell>
        </row>
        <row r="1193">
          <cell r="CM1193" t="str">
            <v xml:space="preserve">NFT-423600944GN00087XXXXXXX </v>
          </cell>
          <cell r="CN1193" t="str">
            <v>2024-08-23</v>
          </cell>
          <cell r="CO1193">
            <v>13632.675999999999</v>
          </cell>
          <cell r="CP1193" t="str">
            <v xml:space="preserve">NFT-423601027GN00067XXXXXXX </v>
          </cell>
          <cell r="CQ1193" t="str">
            <v>2024-08-23</v>
          </cell>
          <cell r="CR1193">
            <v>722.26900000000001</v>
          </cell>
        </row>
        <row r="1194">
          <cell r="CM1194" t="str">
            <v xml:space="preserve">NFT-423600944GN00087XXXXXXX </v>
          </cell>
          <cell r="CN1194" t="str">
            <v>2024-08-23</v>
          </cell>
          <cell r="CO1194">
            <v>1294.3630000000001</v>
          </cell>
        </row>
        <row r="1195">
          <cell r="CM1195" t="str">
            <v xml:space="preserve">NFT-423600944GN00087XXXXXXX </v>
          </cell>
          <cell r="CN1195" t="str">
            <v>2024-08-23</v>
          </cell>
          <cell r="CO1195">
            <v>72883.523000000001</v>
          </cell>
          <cell r="CP1195" t="str">
            <v xml:space="preserve">NFT-423601027GN00067XXXXXXX </v>
          </cell>
          <cell r="CQ1195" t="str">
            <v>2024-08-23</v>
          </cell>
          <cell r="CR1195">
            <v>3135.5839999999998</v>
          </cell>
        </row>
        <row r="1196">
          <cell r="CM1196" t="str">
            <v xml:space="preserve">NFT-423600944GN00087XXXXXXX </v>
          </cell>
          <cell r="CN1196" t="str">
            <v>2024-08-23</v>
          </cell>
          <cell r="CO1196">
            <v>7690.2190000000001</v>
          </cell>
        </row>
        <row r="1197">
          <cell r="CM1197" t="str">
            <v xml:space="preserve">NFT-423600944GN00087XXXXXXX </v>
          </cell>
          <cell r="CN1197" t="str">
            <v>2024-08-23</v>
          </cell>
          <cell r="CO1197">
            <v>7690.22</v>
          </cell>
        </row>
        <row r="1198">
          <cell r="CM1198" t="str">
            <v xml:space="preserve">NFT-423600944GN00087XXXXXXX </v>
          </cell>
          <cell r="CN1198" t="str">
            <v>2024-08-23</v>
          </cell>
          <cell r="CO1198">
            <v>29316.216</v>
          </cell>
          <cell r="CP1198" t="str">
            <v xml:space="preserve">NFT-423601027GN00067XXXXXXX </v>
          </cell>
          <cell r="CQ1198" t="str">
            <v>2024-08-23</v>
          </cell>
          <cell r="CR1198">
            <v>1558.1780000000001</v>
          </cell>
        </row>
        <row r="1199">
          <cell r="CM1199" t="str">
            <v xml:space="preserve">NFT-423600944GN00087XXXXXXX </v>
          </cell>
          <cell r="CN1199" t="str">
            <v>2024-08-23</v>
          </cell>
          <cell r="CO1199">
            <v>12504.13</v>
          </cell>
          <cell r="CP1199" t="str">
            <v xml:space="preserve">NFT-423601027GN00067XXXXXXX </v>
          </cell>
          <cell r="CQ1199" t="str">
            <v>2024-08-23</v>
          </cell>
          <cell r="CR1199">
            <v>1850.816</v>
          </cell>
        </row>
        <row r="1200">
          <cell r="CM1200" t="str">
            <v xml:space="preserve">NFT-423600944GN00087XXXXXXX </v>
          </cell>
          <cell r="CN1200" t="str">
            <v>2024-08-23</v>
          </cell>
          <cell r="CO1200">
            <v>12254.119000000001</v>
          </cell>
          <cell r="CP1200" t="str">
            <v xml:space="preserve">NFT-423601027GN00067XXXXXXX </v>
          </cell>
          <cell r="CQ1200" t="str">
            <v>2024-08-23</v>
          </cell>
          <cell r="CR1200">
            <v>1838.1790000000001</v>
          </cell>
        </row>
        <row r="1201">
          <cell r="CM1201" t="str">
            <v xml:space="preserve">NFT-423600944GN00087XXXXXXX </v>
          </cell>
          <cell r="CN1201" t="str">
            <v>2024-08-23</v>
          </cell>
          <cell r="CO1201">
            <v>12254.119000000001</v>
          </cell>
          <cell r="CP1201" t="str">
            <v xml:space="preserve">NFT-423601027GN00067XXXXXXX </v>
          </cell>
          <cell r="CQ1201" t="str">
            <v>2024-08-23</v>
          </cell>
          <cell r="CR1201">
            <v>1838.1790000000001</v>
          </cell>
        </row>
        <row r="1202">
          <cell r="CM1202" t="str">
            <v xml:space="preserve">NFT-423600944GN00087XXXXXXX </v>
          </cell>
          <cell r="CN1202" t="str">
            <v>2024-08-23</v>
          </cell>
          <cell r="CO1202">
            <v>12254.119000000001</v>
          </cell>
          <cell r="CP1202" t="str">
            <v xml:space="preserve">NFT-423601027GN00067XXXXXXX </v>
          </cell>
          <cell r="CQ1202" t="str">
            <v>2024-08-23</v>
          </cell>
          <cell r="CR1202">
            <v>1838.1790000000001</v>
          </cell>
        </row>
        <row r="1203">
          <cell r="CM1203" t="str">
            <v xml:space="preserve">NFT-423600944GN00087XXXXXXX </v>
          </cell>
          <cell r="CN1203" t="str">
            <v>2024-08-23</v>
          </cell>
          <cell r="CO1203">
            <v>12254.119000000001</v>
          </cell>
          <cell r="CP1203" t="str">
            <v xml:space="preserve">NFT-423601027GN00067XXXXXXX </v>
          </cell>
          <cell r="CQ1203" t="str">
            <v>2024-08-23</v>
          </cell>
          <cell r="CR1203">
            <v>1838.1790000000001</v>
          </cell>
        </row>
        <row r="1204">
          <cell r="CM1204" t="str">
            <v xml:space="preserve">NFT-423600944GN00087XXXXXXX </v>
          </cell>
          <cell r="CN1204" t="str">
            <v>2024-08-23</v>
          </cell>
          <cell r="CO1204">
            <v>11598.578</v>
          </cell>
          <cell r="CP1204" t="str">
            <v xml:space="preserve">NFT-423601027GN00067XXXXXXX </v>
          </cell>
          <cell r="CQ1204" t="str">
            <v>2024-08-23</v>
          </cell>
          <cell r="CR1204">
            <v>2512.5909999999999</v>
          </cell>
        </row>
        <row r="1205">
          <cell r="CM1205" t="str">
            <v xml:space="preserve">NFT-423600944GN00087XXXXXXX </v>
          </cell>
          <cell r="CN1205" t="str">
            <v>2024-08-23</v>
          </cell>
          <cell r="CO1205">
            <v>8396.2109999999993</v>
          </cell>
          <cell r="CP1205" t="str">
            <v xml:space="preserve">NFT-423601027GN00067XXXXXXX </v>
          </cell>
          <cell r="CQ1205" t="str">
            <v>2024-08-23</v>
          </cell>
          <cell r="CR1205">
            <v>1496.62</v>
          </cell>
        </row>
        <row r="1206">
          <cell r="CM1206" t="str">
            <v xml:space="preserve">NFT-423600944GN00087XXXXXXX </v>
          </cell>
          <cell r="CN1206" t="str">
            <v>2024-08-23</v>
          </cell>
          <cell r="CO1206">
            <v>8377.3310000000001</v>
          </cell>
          <cell r="CP1206" t="str">
            <v xml:space="preserve">NFT-423601027GN00067XXXXXXX </v>
          </cell>
          <cell r="CQ1206" t="str">
            <v>2024-08-23</v>
          </cell>
          <cell r="CR1206">
            <v>1496.62</v>
          </cell>
        </row>
        <row r="1207">
          <cell r="CM1207" t="str">
            <v xml:space="preserve">NFT-423600944GN00087XXXXXXX </v>
          </cell>
          <cell r="CN1207" t="str">
            <v>2024-08-23</v>
          </cell>
          <cell r="CO1207">
            <v>6529.6369999999997</v>
          </cell>
          <cell r="CP1207" t="str">
            <v xml:space="preserve">NFT-423601027GN00067XXXXXXX </v>
          </cell>
          <cell r="CQ1207" t="str">
            <v>2024-08-23</v>
          </cell>
          <cell r="CR1207">
            <v>1170.556</v>
          </cell>
        </row>
        <row r="1208">
          <cell r="CM1208" t="str">
            <v xml:space="preserve">NFT-423600944GN00087XXXXXXX </v>
          </cell>
          <cell r="CN1208" t="str">
            <v>2024-08-23</v>
          </cell>
          <cell r="CO1208">
            <v>9027.5360000000001</v>
          </cell>
          <cell r="CP1208" t="str">
            <v xml:space="preserve">NFT-423601027GN00067XXXXXXX </v>
          </cell>
          <cell r="CQ1208" t="str">
            <v>2024-08-23</v>
          </cell>
          <cell r="CR1208">
            <v>480.91899999999998</v>
          </cell>
        </row>
        <row r="1209">
          <cell r="CM1209" t="str">
            <v xml:space="preserve">NFT-423600944GN00087XXXXXXX </v>
          </cell>
          <cell r="CN1209" t="str">
            <v>2024-08-23</v>
          </cell>
          <cell r="CO1209">
            <v>12272.999</v>
          </cell>
          <cell r="CP1209" t="str">
            <v xml:space="preserve">NFT-423601027GN00067XXXXXXX </v>
          </cell>
          <cell r="CQ1209" t="str">
            <v>2024-08-23</v>
          </cell>
          <cell r="CR1209">
            <v>1838.1790000000001</v>
          </cell>
        </row>
        <row r="1210">
          <cell r="CM1210" t="str">
            <v xml:space="preserve">NFT-423600944GN00087XXXXXXX </v>
          </cell>
          <cell r="CN1210" t="str">
            <v>2024-08-23</v>
          </cell>
          <cell r="CO1210">
            <v>7671.34</v>
          </cell>
        </row>
        <row r="1211">
          <cell r="CM1211" t="str">
            <v xml:space="preserve">NFT-423600944GN00087XXXXXXX </v>
          </cell>
          <cell r="CN1211" t="str">
            <v>2024-08-23</v>
          </cell>
          <cell r="CO1211">
            <v>14011.038</v>
          </cell>
        </row>
        <row r="1212">
          <cell r="CM1212" t="str">
            <v xml:space="preserve">NFT-423600944GN00087XXXXXXX </v>
          </cell>
          <cell r="CN1212" t="str">
            <v>2024-08-23</v>
          </cell>
          <cell r="CO1212">
            <v>7604.616</v>
          </cell>
          <cell r="CP1212" t="str">
            <v xml:space="preserve">NFT-423601027GN00067XXXXXXX </v>
          </cell>
          <cell r="CQ1212" t="str">
            <v>2024-08-23</v>
          </cell>
          <cell r="CR1212">
            <v>1922.7090000000001</v>
          </cell>
        </row>
        <row r="1213">
          <cell r="CM1213" t="str">
            <v xml:space="preserve">NFT-423600944GN00087XXXXXXX </v>
          </cell>
          <cell r="CN1213" t="str">
            <v>2024-08-23</v>
          </cell>
          <cell r="CO1213">
            <v>68237.851999999999</v>
          </cell>
          <cell r="CP1213" t="str">
            <v xml:space="preserve">NFT-423601027GN00067XXXXXXX </v>
          </cell>
          <cell r="CQ1213" t="str">
            <v>2024-08-23</v>
          </cell>
          <cell r="CR1213">
            <v>6492.3980000000001</v>
          </cell>
        </row>
        <row r="1214">
          <cell r="CM1214" t="str">
            <v xml:space="preserve">NFT-423600944GN00087XXXXXXX </v>
          </cell>
          <cell r="CN1214" t="str">
            <v>2024-08-23</v>
          </cell>
          <cell r="CO1214">
            <v>12254.119000000001</v>
          </cell>
          <cell r="CP1214" t="str">
            <v xml:space="preserve">NFT-423601027GN00067XXXXXXX </v>
          </cell>
          <cell r="CQ1214" t="str">
            <v>2024-08-23</v>
          </cell>
          <cell r="CR1214">
            <v>1838.1790000000001</v>
          </cell>
        </row>
        <row r="1215">
          <cell r="CM1215" t="str">
            <v xml:space="preserve">NFT-423600944GN00087XXXXXXX </v>
          </cell>
          <cell r="CN1215" t="str">
            <v>2024-08-23</v>
          </cell>
          <cell r="CO1215">
            <v>7604.6149999999998</v>
          </cell>
          <cell r="CP1215" t="str">
            <v xml:space="preserve">NFT-423601027GN00067XXXXXXX </v>
          </cell>
          <cell r="CQ1215" t="str">
            <v>2024-08-23</v>
          </cell>
          <cell r="CR1215">
            <v>1922.7070000000001</v>
          </cell>
        </row>
        <row r="1216">
          <cell r="CM1216" t="str">
            <v xml:space="preserve">NFT-423600944GN00087XXXXXXX </v>
          </cell>
          <cell r="CN1216" t="str">
            <v>2024-08-23</v>
          </cell>
          <cell r="CO1216">
            <v>12272.998</v>
          </cell>
          <cell r="CP1216" t="str">
            <v xml:space="preserve">NFT-423601027GN00067XXXXXXX </v>
          </cell>
          <cell r="CQ1216" t="str">
            <v>2024-08-23</v>
          </cell>
          <cell r="CR1216">
            <v>1838.1790000000001</v>
          </cell>
        </row>
        <row r="1217">
          <cell r="CM1217" t="str">
            <v xml:space="preserve">NFT-423600944GN00087XXXXXXX </v>
          </cell>
          <cell r="CN1217" t="str">
            <v>2024-08-23</v>
          </cell>
          <cell r="CO1217">
            <v>7585.7359999999999</v>
          </cell>
          <cell r="CP1217" t="str">
            <v xml:space="preserve">NFT-423601027GN00067XXXXXXX </v>
          </cell>
          <cell r="CQ1217" t="str">
            <v>2024-08-23</v>
          </cell>
          <cell r="CR1217">
            <v>1922.7090000000001</v>
          </cell>
        </row>
        <row r="1218">
          <cell r="CM1218" t="str">
            <v xml:space="preserve">NFT-423600944GN00087XXXXXXX </v>
          </cell>
          <cell r="CN1218" t="str">
            <v>2024-08-23</v>
          </cell>
          <cell r="CO1218">
            <v>8085.5349999999999</v>
          </cell>
          <cell r="CP1218" t="str">
            <v xml:space="preserve">NFT-423601027GN00067XXXXXXX </v>
          </cell>
          <cell r="CQ1218" t="str">
            <v>2024-08-23</v>
          </cell>
          <cell r="CR1218">
            <v>1441.789</v>
          </cell>
        </row>
        <row r="1219">
          <cell r="CM1219" t="str">
            <v xml:space="preserve">NFT-423600944GN00087XXXXXXX </v>
          </cell>
          <cell r="CN1219" t="str">
            <v>2024-08-23</v>
          </cell>
          <cell r="CO1219">
            <v>7604.616</v>
          </cell>
          <cell r="CP1219" t="str">
            <v xml:space="preserve">NFT-423601027GN00067XXXXXXX </v>
          </cell>
          <cell r="CQ1219" t="str">
            <v>2024-08-23</v>
          </cell>
          <cell r="CR1219">
            <v>1922.7090000000001</v>
          </cell>
        </row>
        <row r="1220">
          <cell r="CM1220" t="str">
            <v xml:space="preserve">NFT-423600944GN00087XXXXXXX </v>
          </cell>
          <cell r="CN1220" t="str">
            <v>2024-08-23</v>
          </cell>
          <cell r="CO1220">
            <v>8066.6549999999997</v>
          </cell>
          <cell r="CP1220" t="str">
            <v xml:space="preserve">NFT-423601027GN00067XXXXXXX </v>
          </cell>
          <cell r="CQ1220" t="str">
            <v>2024-08-23</v>
          </cell>
          <cell r="CR1220">
            <v>1441.79</v>
          </cell>
        </row>
        <row r="1221">
          <cell r="CM1221" t="str">
            <v xml:space="preserve">NFT-423600944GN00087XXXXXXX </v>
          </cell>
          <cell r="CN1221" t="str">
            <v>2024-08-23</v>
          </cell>
          <cell r="CO1221">
            <v>8565.4969999999994</v>
          </cell>
          <cell r="CP1221" t="str">
            <v xml:space="preserve">NFT-423601027GN00067XXXXXXX </v>
          </cell>
          <cell r="CQ1221" t="str">
            <v>2024-08-23</v>
          </cell>
          <cell r="CR1221">
            <v>961.83799999999997</v>
          </cell>
        </row>
        <row r="1222">
          <cell r="CM1222" t="str">
            <v xml:space="preserve">NFT-423600944GN00087XXXXXXX </v>
          </cell>
          <cell r="CN1222" t="str">
            <v>2024-08-23</v>
          </cell>
          <cell r="CO1222">
            <v>11739.5</v>
          </cell>
          <cell r="CP1222" t="str">
            <v xml:space="preserve">NFT-423601027GN00067XXXXXXX </v>
          </cell>
          <cell r="CQ1222" t="str">
            <v>2024-08-23</v>
          </cell>
          <cell r="CR1222">
            <v>2352.788</v>
          </cell>
        </row>
        <row r="1223">
          <cell r="CJ1223" t="str">
            <v xml:space="preserve">NFT-424100932GN00157XXXXXXX </v>
          </cell>
          <cell r="CK1223" t="str">
            <v>2024-08-28</v>
          </cell>
          <cell r="CL1223">
            <v>-2512.5909999999999</v>
          </cell>
          <cell r="CM1223" t="str">
            <v xml:space="preserve">NFT-423600944GN00087XXXXXXX </v>
          </cell>
          <cell r="CN1223" t="str">
            <v>2024-08-23</v>
          </cell>
          <cell r="CO1223">
            <v>11598.578</v>
          </cell>
          <cell r="CP1223" t="str">
            <v xml:space="preserve">NFT-423601027GN00067XXXXXXX </v>
          </cell>
          <cell r="CQ1223" t="str">
            <v>2024-08-23</v>
          </cell>
          <cell r="CR1223">
            <v>2512.5909999999999</v>
          </cell>
          <cell r="CS1223" t="str">
            <v xml:space="preserve">NFT-424100873GN00159XXXXXXX </v>
          </cell>
          <cell r="CT1223" t="str">
            <v>2024-08-28</v>
          </cell>
          <cell r="CU1223">
            <v>-11598.578</v>
          </cell>
        </row>
        <row r="1224">
          <cell r="CM1224" t="str">
            <v xml:space="preserve">NFT-423600944GN00087XXXXXXX </v>
          </cell>
          <cell r="CN1224" t="str">
            <v>2024-08-23</v>
          </cell>
          <cell r="CO1224">
            <v>15911.73</v>
          </cell>
          <cell r="CP1224" t="str">
            <v xml:space="preserve">NFT-423601027GN00067XXXXXXX </v>
          </cell>
          <cell r="CQ1224" t="str">
            <v>2024-08-23</v>
          </cell>
          <cell r="CR1224">
            <v>3122.1280000000002</v>
          </cell>
        </row>
        <row r="1225">
          <cell r="CM1225" t="str">
            <v xml:space="preserve">NFT-423600944GN00087XXXXXXX </v>
          </cell>
          <cell r="CN1225" t="str">
            <v>2024-08-23</v>
          </cell>
          <cell r="CO1225">
            <v>12272.999</v>
          </cell>
          <cell r="CP1225" t="str">
            <v xml:space="preserve">NFT-423601027GN00067XXXXXXX </v>
          </cell>
          <cell r="CQ1225" t="str">
            <v>2024-08-23</v>
          </cell>
          <cell r="CR1225">
            <v>1838.1790000000001</v>
          </cell>
        </row>
        <row r="1226">
          <cell r="CM1226" t="str">
            <v xml:space="preserve">NFT-423600944GN00087XXXXXXX </v>
          </cell>
          <cell r="CN1226" t="str">
            <v>2024-08-23</v>
          </cell>
          <cell r="CO1226">
            <v>4209.6930000000002</v>
          </cell>
          <cell r="CP1226" t="str">
            <v xml:space="preserve">NFT-423601027GN00067XXXXXXX </v>
          </cell>
          <cell r="CQ1226" t="str">
            <v>2024-08-23</v>
          </cell>
          <cell r="CR1226">
            <v>970.49599999999998</v>
          </cell>
        </row>
        <row r="1227">
          <cell r="CJ1227" t="str">
            <v xml:space="preserve">NFT-424100932GN00157XXXXXXX </v>
          </cell>
          <cell r="CK1227" t="str">
            <v>2024-08-28</v>
          </cell>
          <cell r="CL1227">
            <v>-2512.5909999999999</v>
          </cell>
          <cell r="CM1227" t="str">
            <v xml:space="preserve">NFT-423600944GN00087XXXXXXX </v>
          </cell>
          <cell r="CN1227" t="str">
            <v>2024-08-23</v>
          </cell>
          <cell r="CO1227">
            <v>11598.578</v>
          </cell>
          <cell r="CP1227" t="str">
            <v xml:space="preserve">NFT-423601027GN00067XXXXXXX </v>
          </cell>
          <cell r="CQ1227" t="str">
            <v>2024-08-23</v>
          </cell>
          <cell r="CR1227">
            <v>2512.5909999999999</v>
          </cell>
          <cell r="CS1227" t="str">
            <v xml:space="preserve">NFT-424100873GN00159XXXXXXX </v>
          </cell>
          <cell r="CT1227" t="str">
            <v>2024-08-28</v>
          </cell>
          <cell r="CU1227">
            <v>-11598.578</v>
          </cell>
        </row>
        <row r="1228">
          <cell r="CM1228" t="str">
            <v xml:space="preserve">NFT-423600944GN00087XXXXXXX </v>
          </cell>
          <cell r="CN1228" t="str">
            <v>2024-08-23</v>
          </cell>
          <cell r="CO1228">
            <v>16872.612000000001</v>
          </cell>
          <cell r="CP1228" t="str">
            <v xml:space="preserve">NFT-423601027GN00067XXXXXXX </v>
          </cell>
          <cell r="CQ1228" t="str">
            <v>2024-08-23</v>
          </cell>
          <cell r="CR1228">
            <v>2164.134</v>
          </cell>
        </row>
        <row r="1229">
          <cell r="CM1229" t="str">
            <v xml:space="preserve">NFT-423600944GN00087XXXXXXX </v>
          </cell>
          <cell r="CN1229" t="str">
            <v>2024-08-23</v>
          </cell>
          <cell r="CO1229">
            <v>12272.998</v>
          </cell>
          <cell r="CP1229" t="str">
            <v xml:space="preserve">NFT-423601027GN00067XXXXXXX </v>
          </cell>
          <cell r="CQ1229" t="str">
            <v>2024-08-23</v>
          </cell>
          <cell r="CR1229">
            <v>1838.1790000000001</v>
          </cell>
        </row>
        <row r="1230">
          <cell r="CM1230" t="str">
            <v xml:space="preserve">NFT-423600944GN00087XXXXXXX </v>
          </cell>
          <cell r="CN1230" t="str">
            <v>2024-08-23</v>
          </cell>
          <cell r="CO1230">
            <v>43616.620999999999</v>
          </cell>
          <cell r="CP1230" t="str">
            <v xml:space="preserve">NFT-423601027GN00067XXXXXXX </v>
          </cell>
          <cell r="CQ1230" t="str">
            <v>2024-08-23</v>
          </cell>
          <cell r="CR1230">
            <v>2300.7150000000001</v>
          </cell>
        </row>
        <row r="1231">
          <cell r="CM1231" t="str">
            <v xml:space="preserve">NFT-423600944GN00087XXXXXXX </v>
          </cell>
          <cell r="CN1231" t="str">
            <v>2024-08-23</v>
          </cell>
          <cell r="CO1231">
            <v>12254.119000000001</v>
          </cell>
          <cell r="CP1231" t="str">
            <v xml:space="preserve">NFT-423601027GN00067XXXXXXX </v>
          </cell>
          <cell r="CQ1231" t="str">
            <v>2024-08-23</v>
          </cell>
          <cell r="CR1231">
            <v>1838.1790000000001</v>
          </cell>
        </row>
        <row r="1232">
          <cell r="CM1232" t="str">
            <v xml:space="preserve">NFT-423600944GN00087XXXXXXX </v>
          </cell>
          <cell r="CN1232" t="str">
            <v>2024-08-23</v>
          </cell>
          <cell r="CO1232">
            <v>12485.25</v>
          </cell>
          <cell r="CP1232" t="str">
            <v xml:space="preserve">NFT-423601027GN00067XXXXXXX </v>
          </cell>
          <cell r="CQ1232" t="str">
            <v>2024-08-23</v>
          </cell>
          <cell r="CR1232">
            <v>1850.816</v>
          </cell>
        </row>
        <row r="1233">
          <cell r="CM1233" t="str">
            <v xml:space="preserve">NFT-423600944GN00087XXXXXXX </v>
          </cell>
          <cell r="CN1233" t="str">
            <v>2024-08-23</v>
          </cell>
          <cell r="CO1233">
            <v>12254.119000000001</v>
          </cell>
          <cell r="CP1233" t="str">
            <v xml:space="preserve">NFT-423601027GN00067XXXXXXX </v>
          </cell>
          <cell r="CQ1233" t="str">
            <v>2024-08-23</v>
          </cell>
          <cell r="CR1233">
            <v>1838.1790000000001</v>
          </cell>
        </row>
        <row r="1234">
          <cell r="CM1234" t="str">
            <v xml:space="preserve">NFT-423600944GN00087XXXXXXX </v>
          </cell>
          <cell r="CN1234" t="str">
            <v>2024-08-23</v>
          </cell>
          <cell r="CO1234">
            <v>13872.616</v>
          </cell>
          <cell r="CP1234" t="str">
            <v xml:space="preserve">NFT-423601027GN00067XXXXXXX </v>
          </cell>
          <cell r="CQ1234" t="str">
            <v>2024-08-23</v>
          </cell>
          <cell r="CR1234">
            <v>744.45899999999995</v>
          </cell>
        </row>
        <row r="1236">
          <cell r="CM1236" t="str">
            <v xml:space="preserve">NFT-423600944GN00087XXXXXXX </v>
          </cell>
          <cell r="CN1236" t="str">
            <v>2024-08-23</v>
          </cell>
          <cell r="CO1236">
            <v>7585.7359999999999</v>
          </cell>
          <cell r="CP1236" t="str">
            <v xml:space="preserve">NFT-423601027GN00067XXXXXXX </v>
          </cell>
          <cell r="CQ1236" t="str">
            <v>2024-08-23</v>
          </cell>
          <cell r="CR1236">
            <v>1922.7090000000001</v>
          </cell>
        </row>
        <row r="1237">
          <cell r="CM1237" t="str">
            <v xml:space="preserve">NFT-423600944GN00087XXXXXXX </v>
          </cell>
          <cell r="CN1237" t="str">
            <v>2024-08-23</v>
          </cell>
          <cell r="CO1237">
            <v>12254.119000000001</v>
          </cell>
          <cell r="CP1237" t="str">
            <v xml:space="preserve">NFT-423601027GN00067XXXXXXX </v>
          </cell>
          <cell r="CQ1237" t="str">
            <v>2024-08-23</v>
          </cell>
          <cell r="CR1237">
            <v>1838.1790000000001</v>
          </cell>
        </row>
        <row r="1238">
          <cell r="CM1238" t="str">
            <v xml:space="preserve">NFT-423600944GN00087XXXXXXX </v>
          </cell>
          <cell r="CN1238" t="str">
            <v>2024-08-23</v>
          </cell>
          <cell r="CO1238">
            <v>24063.282999999999</v>
          </cell>
          <cell r="CP1238" t="str">
            <v xml:space="preserve">NFT-423601027GN00067XXXXXXX </v>
          </cell>
          <cell r="CQ1238" t="str">
            <v>2024-08-23</v>
          </cell>
          <cell r="CR1238">
            <v>4512.9319999999998</v>
          </cell>
        </row>
        <row r="1239">
          <cell r="CM1239" t="str">
            <v xml:space="preserve">NFT-423600944GN00087XXXXXXX </v>
          </cell>
          <cell r="CN1239" t="str">
            <v>2024-08-23</v>
          </cell>
          <cell r="CO1239">
            <v>7604.616</v>
          </cell>
          <cell r="CP1239" t="str">
            <v xml:space="preserve">NFT-423601027GN00067XXXXXXX </v>
          </cell>
          <cell r="CQ1239" t="str">
            <v>2024-08-23</v>
          </cell>
          <cell r="CR1239">
            <v>1922.7090000000001</v>
          </cell>
        </row>
        <row r="1240">
          <cell r="CM1240" t="str">
            <v xml:space="preserve">NFT-423600944GN00087XXXXXXX </v>
          </cell>
          <cell r="CN1240" t="str">
            <v>2024-08-23</v>
          </cell>
          <cell r="CO1240">
            <v>12254.119000000001</v>
          </cell>
          <cell r="CP1240" t="str">
            <v xml:space="preserve">NFT-423601027GN00067XXXXXXX </v>
          </cell>
          <cell r="CQ1240" t="str">
            <v>2024-08-23</v>
          </cell>
          <cell r="CR1240">
            <v>1838.1790000000001</v>
          </cell>
        </row>
        <row r="1241">
          <cell r="CM1241" t="str">
            <v xml:space="preserve">NFT-423600944GN00087XXXXXXX </v>
          </cell>
          <cell r="CN1241" t="str">
            <v>2024-08-23</v>
          </cell>
          <cell r="CO1241">
            <v>12272.998</v>
          </cell>
          <cell r="CP1241" t="str">
            <v xml:space="preserve">NFT-423601027GN00067XXXXXXX </v>
          </cell>
          <cell r="CQ1241" t="str">
            <v>2024-08-23</v>
          </cell>
          <cell r="CR1241">
            <v>1838.1790000000001</v>
          </cell>
        </row>
        <row r="1242">
          <cell r="CM1242" t="str">
            <v xml:space="preserve">NFT-423600944GN00087XXXXXXX </v>
          </cell>
          <cell r="CN1242" t="str">
            <v>2024-08-23</v>
          </cell>
          <cell r="CO1242">
            <v>12272.998</v>
          </cell>
          <cell r="CP1242" t="str">
            <v xml:space="preserve">NFT-423601027GN00067XXXXXXX </v>
          </cell>
          <cell r="CQ1242" t="str">
            <v>2024-08-23</v>
          </cell>
          <cell r="CR1242">
            <v>1838.1790000000001</v>
          </cell>
        </row>
        <row r="1243">
          <cell r="CM1243" t="str">
            <v xml:space="preserve">NFT-423600944GN00087XXXXXXX </v>
          </cell>
          <cell r="CN1243" t="str">
            <v>2024-08-23</v>
          </cell>
          <cell r="CO1243">
            <v>12272.999</v>
          </cell>
          <cell r="CP1243" t="str">
            <v xml:space="preserve">NFT-423601027GN00067XXXXXXX </v>
          </cell>
          <cell r="CQ1243" t="str">
            <v>2024-08-23</v>
          </cell>
          <cell r="CR1243">
            <v>1838.1790000000001</v>
          </cell>
        </row>
        <row r="1244">
          <cell r="CM1244" t="str">
            <v xml:space="preserve">NFT-423600944GN00087XXXXXXX </v>
          </cell>
          <cell r="CN1244" t="str">
            <v>2024-08-23</v>
          </cell>
          <cell r="CO1244">
            <v>34246.942000000003</v>
          </cell>
          <cell r="CP1244" t="str">
            <v xml:space="preserve">NFT-423601027GN00067XXXXXXX </v>
          </cell>
          <cell r="CQ1244" t="str">
            <v>2024-08-23</v>
          </cell>
          <cell r="CR1244">
            <v>3839.654</v>
          </cell>
        </row>
        <row r="1245">
          <cell r="CM1245" t="str">
            <v xml:space="preserve">NFT-423600944GN00087XXXXXXX </v>
          </cell>
          <cell r="CN1245" t="str">
            <v>2024-08-23</v>
          </cell>
          <cell r="CO1245">
            <v>8066.6549999999997</v>
          </cell>
          <cell r="CP1245" t="str">
            <v xml:space="preserve">NFT-423601027GN00067XXXXXXX </v>
          </cell>
          <cell r="CQ1245" t="str">
            <v>2024-08-23</v>
          </cell>
          <cell r="CR1245">
            <v>1441.79</v>
          </cell>
        </row>
        <row r="1246">
          <cell r="CM1246" t="str">
            <v xml:space="preserve">NFT-423600944GN00087XXXXXXX </v>
          </cell>
          <cell r="CN1246" t="str">
            <v>2024-08-23</v>
          </cell>
          <cell r="CO1246">
            <v>9027.5360000000001</v>
          </cell>
          <cell r="CP1246" t="str">
            <v xml:space="preserve">NFT-423601027GN00067XXXXXXX </v>
          </cell>
          <cell r="CQ1246" t="str">
            <v>2024-08-23</v>
          </cell>
          <cell r="CR1246">
            <v>480.91899999999998</v>
          </cell>
        </row>
        <row r="1247">
          <cell r="CM1247" t="str">
            <v xml:space="preserve">NFT-423600944GN00087XXXXXXX </v>
          </cell>
          <cell r="CN1247" t="str">
            <v>2024-08-23</v>
          </cell>
          <cell r="CO1247">
            <v>2313.9070000000002</v>
          </cell>
        </row>
        <row r="1248">
          <cell r="CM1248" t="str">
            <v xml:space="preserve">NFT-423600944GN00087XXXXXXX </v>
          </cell>
          <cell r="CN1248" t="str">
            <v>2024-08-23</v>
          </cell>
          <cell r="CO1248">
            <v>12272.999</v>
          </cell>
          <cell r="CP1248" t="str">
            <v xml:space="preserve">NFT-423601027GN00067XXXXXXX </v>
          </cell>
          <cell r="CQ1248" t="str">
            <v>2024-08-23</v>
          </cell>
          <cell r="CR1248">
            <v>1838.1790000000001</v>
          </cell>
        </row>
        <row r="1249">
          <cell r="CJ1249" t="str">
            <v xml:space="preserve">NFT-424100873GN00159XXXXXXX </v>
          </cell>
          <cell r="CK1249" t="str">
            <v>2024-08-28</v>
          </cell>
          <cell r="CL1249">
            <v>-2179.2550000000001</v>
          </cell>
          <cell r="CM1249" t="str">
            <v xml:space="preserve">NFT-423600944GN00087XXXXXXX </v>
          </cell>
          <cell r="CN1249" t="str">
            <v>2024-08-23</v>
          </cell>
          <cell r="CO1249">
            <v>2179.2550000000001</v>
          </cell>
        </row>
        <row r="1250">
          <cell r="CJ1250" t="str">
            <v xml:space="preserve">NFT-423900923GN00109XXXXXXX </v>
          </cell>
          <cell r="CK1250" t="str">
            <v>2024-08-26</v>
          </cell>
          <cell r="CL1250">
            <v>13759.416999999999</v>
          </cell>
          <cell r="CM1250" t="str">
            <v xml:space="preserve">NFT-423901043GN00083XXXXXXX </v>
          </cell>
          <cell r="CN1250" t="str">
            <v>2024-08-26</v>
          </cell>
          <cell r="CO1250">
            <v>1202.296</v>
          </cell>
        </row>
        <row r="1251">
          <cell r="CJ1251" t="str">
            <v xml:space="preserve">NFT-423900923GN00109XXXXXXX </v>
          </cell>
          <cell r="CK1251" t="str">
            <v>2024-08-26</v>
          </cell>
          <cell r="CL1251">
            <v>13528.931</v>
          </cell>
          <cell r="CM1251" t="str">
            <v xml:space="preserve">NFT-423901043GN00083XXXXXXX </v>
          </cell>
          <cell r="CN1251" t="str">
            <v>2024-08-26</v>
          </cell>
          <cell r="CO1251">
            <v>1202.296</v>
          </cell>
        </row>
        <row r="1252">
          <cell r="CJ1252" t="str">
            <v xml:space="preserve">NFT-423900923GN00109XXXXXXX </v>
          </cell>
          <cell r="CK1252" t="str">
            <v>2024-08-26</v>
          </cell>
          <cell r="CL1252">
            <v>13007.255999999999</v>
          </cell>
          <cell r="CM1252" t="str">
            <v xml:space="preserve">NFT-423901043GN00083XXXXXXX </v>
          </cell>
          <cell r="CN1252" t="str">
            <v>2024-08-26</v>
          </cell>
          <cell r="CO1252">
            <v>1954.4580000000001</v>
          </cell>
        </row>
        <row r="1253">
          <cell r="CJ1253" t="str">
            <v xml:space="preserve">NFT-423900923GN00109XXXXXXX </v>
          </cell>
          <cell r="CK1253" t="str">
            <v>2024-08-26</v>
          </cell>
          <cell r="CL1253">
            <v>6783.2129999999997</v>
          </cell>
          <cell r="CM1253" t="str">
            <v xml:space="preserve">NFT-423901043GN00083XXXXXXX </v>
          </cell>
          <cell r="CN1253" t="str">
            <v>2024-08-26</v>
          </cell>
          <cell r="CO1253">
            <v>762.73099999999999</v>
          </cell>
        </row>
        <row r="1254">
          <cell r="CJ1254" t="str">
            <v xml:space="preserve">NFT-423900923GN00109XXXXXXX </v>
          </cell>
          <cell r="CK1254" t="str">
            <v>2024-08-26</v>
          </cell>
          <cell r="CL1254">
            <v>13547.811</v>
          </cell>
          <cell r="CM1254" t="str">
            <v xml:space="preserve">NFT-423901043GN00083XXXXXXX </v>
          </cell>
          <cell r="CN1254" t="str">
            <v>2024-08-26</v>
          </cell>
          <cell r="CO1254">
            <v>1202.296</v>
          </cell>
        </row>
        <row r="1255">
          <cell r="CJ1255" t="str">
            <v xml:space="preserve">NFT-423900923GN00109XXXXXXX </v>
          </cell>
          <cell r="CK1255" t="str">
            <v>2024-08-26</v>
          </cell>
          <cell r="CL1255">
            <v>13547.811</v>
          </cell>
          <cell r="CM1255" t="str">
            <v xml:space="preserve">NFT-423901043GN00083XXXXXXX </v>
          </cell>
          <cell r="CN1255" t="str">
            <v>2024-08-26</v>
          </cell>
          <cell r="CO1255">
            <v>1202.296</v>
          </cell>
        </row>
        <row r="1256">
          <cell r="CJ1256" t="str">
            <v xml:space="preserve">NFT-423900923GN00109XXXXXXX </v>
          </cell>
          <cell r="CK1256" t="str">
            <v>2024-08-26</v>
          </cell>
          <cell r="CL1256">
            <v>13547.811</v>
          </cell>
          <cell r="CM1256" t="str">
            <v xml:space="preserve">NFT-423901043GN00083XXXXXXX </v>
          </cell>
          <cell r="CN1256" t="str">
            <v>2024-08-26</v>
          </cell>
          <cell r="CO1256">
            <v>1202.296</v>
          </cell>
        </row>
        <row r="1257">
          <cell r="CJ1257" t="str">
            <v xml:space="preserve">NFT-423900923GN00109XXXXXXX </v>
          </cell>
          <cell r="CK1257" t="str">
            <v>2024-08-26</v>
          </cell>
          <cell r="CL1257">
            <v>13547.811</v>
          </cell>
          <cell r="CM1257" t="str">
            <v xml:space="preserve">NFT-423901043GN00083XXXXXXX </v>
          </cell>
          <cell r="CN1257" t="str">
            <v>2024-08-26</v>
          </cell>
          <cell r="CO1257">
            <v>1202.296</v>
          </cell>
        </row>
        <row r="1259">
          <cell r="CJ1259" t="str">
            <v xml:space="preserve">NFT-423900923GN00109XXXXXXX </v>
          </cell>
          <cell r="CK1259" t="str">
            <v>2024-08-26</v>
          </cell>
          <cell r="CL1259">
            <v>13547.811</v>
          </cell>
          <cell r="CM1259" t="str">
            <v xml:space="preserve">NFT-423901043GN00083XXXXXXX </v>
          </cell>
          <cell r="CN1259" t="str">
            <v>2024-08-26</v>
          </cell>
          <cell r="CO1259">
            <v>1202.296</v>
          </cell>
        </row>
        <row r="1260">
          <cell r="CJ1260" t="str">
            <v xml:space="preserve">NFT-423900923GN00109XXXXXXX </v>
          </cell>
          <cell r="CK1260" t="str">
            <v>2024-08-26</v>
          </cell>
          <cell r="CL1260">
            <v>13547.811</v>
          </cell>
          <cell r="CM1260" t="str">
            <v xml:space="preserve">NFT-423901043GN00083XXXXXXX </v>
          </cell>
          <cell r="CN1260" t="str">
            <v>2024-08-26</v>
          </cell>
          <cell r="CO1260">
            <v>1202.296</v>
          </cell>
        </row>
        <row r="1261">
          <cell r="CJ1261" t="str">
            <v xml:space="preserve">NFT-423900923GN00109XXXXXXX </v>
          </cell>
          <cell r="CK1261" t="str">
            <v>2024-08-26</v>
          </cell>
          <cell r="CL1261">
            <v>12204.386</v>
          </cell>
          <cell r="CM1261" t="str">
            <v xml:space="preserve">NFT-423901043GN00083XXXXXXX </v>
          </cell>
          <cell r="CN1261" t="str">
            <v>2024-08-26</v>
          </cell>
          <cell r="CO1261">
            <v>1834.568</v>
          </cell>
        </row>
        <row r="1262">
          <cell r="CJ1262" t="str">
            <v xml:space="preserve">NFT-423900923GN00109XXXXXXX </v>
          </cell>
          <cell r="CK1262" t="str">
            <v>2024-08-26</v>
          </cell>
          <cell r="CL1262">
            <v>13547.811</v>
          </cell>
          <cell r="CM1262" t="str">
            <v xml:space="preserve">NFT-423901043GN00083XXXXXXX </v>
          </cell>
          <cell r="CN1262" t="str">
            <v>2024-08-26</v>
          </cell>
          <cell r="CO1262">
            <v>1202.296</v>
          </cell>
        </row>
        <row r="1263">
          <cell r="CJ1263" t="str">
            <v xml:space="preserve">NFT-423900923GN00109XXXXXXX </v>
          </cell>
          <cell r="CK1263" t="str">
            <v>2024-08-26</v>
          </cell>
          <cell r="CL1263">
            <v>13547.811</v>
          </cell>
          <cell r="CM1263" t="str">
            <v xml:space="preserve">NFT-423901043GN00083XXXXXXX </v>
          </cell>
          <cell r="CN1263" t="str">
            <v>2024-08-26</v>
          </cell>
          <cell r="CO1263">
            <v>1202.296</v>
          </cell>
        </row>
        <row r="1264">
          <cell r="CJ1264" t="str">
            <v xml:space="preserve">NFT-423900923GN00109XXXXXXX </v>
          </cell>
          <cell r="CK1264" t="str">
            <v>2024-08-26</v>
          </cell>
          <cell r="CL1264">
            <v>6419.9960000000001</v>
          </cell>
          <cell r="CM1264" t="str">
            <v xml:space="preserve">NFT-423901043GN00083XXXXXXX </v>
          </cell>
          <cell r="CN1264" t="str">
            <v>2024-08-26</v>
          </cell>
          <cell r="CO1264">
            <v>1107.079</v>
          </cell>
        </row>
        <row r="1265">
          <cell r="CJ1265" t="str">
            <v xml:space="preserve">NFT-423900923GN00109XXXXXXX </v>
          </cell>
          <cell r="CK1265" t="str">
            <v>2024-08-26</v>
          </cell>
          <cell r="CL1265">
            <v>13547.811</v>
          </cell>
          <cell r="CM1265" t="str">
            <v xml:space="preserve">NFT-423901043GN00083XXXXXXX </v>
          </cell>
          <cell r="CN1265" t="str">
            <v>2024-08-26</v>
          </cell>
          <cell r="CO1265">
            <v>1202.296</v>
          </cell>
        </row>
        <row r="1266">
          <cell r="CJ1266" t="str">
            <v xml:space="preserve">NFT-423900923GN00109XXXXXXX </v>
          </cell>
          <cell r="CK1266" t="str">
            <v>2024-08-26</v>
          </cell>
          <cell r="CL1266">
            <v>13528.931</v>
          </cell>
          <cell r="CM1266" t="str">
            <v xml:space="preserve">NFT-423901043GN00083XXXXXXX </v>
          </cell>
          <cell r="CN1266" t="str">
            <v>2024-08-26</v>
          </cell>
          <cell r="CO1266">
            <v>1202.296</v>
          </cell>
        </row>
        <row r="1267">
          <cell r="CJ1267" t="str">
            <v xml:space="preserve">NFT-423900923GN00109XXXXXXX </v>
          </cell>
          <cell r="CK1267" t="str">
            <v>2024-08-26</v>
          </cell>
          <cell r="CL1267">
            <v>13547.811</v>
          </cell>
          <cell r="CM1267" t="str">
            <v xml:space="preserve">NFT-423901043GN00083XXXXXXX </v>
          </cell>
          <cell r="CN1267" t="str">
            <v>2024-08-26</v>
          </cell>
          <cell r="CO1267">
            <v>1202.296</v>
          </cell>
        </row>
        <row r="1268">
          <cell r="CJ1268" t="str">
            <v xml:space="preserve">NFT-424100873GN00159XXXXXXX </v>
          </cell>
          <cell r="CK1268" t="str">
            <v>2024-08-28</v>
          </cell>
          <cell r="CL1268">
            <v>-9536.9490000000005</v>
          </cell>
          <cell r="CM1268" t="str">
            <v xml:space="preserve">NFT-423900923GN00109XXXXXXX </v>
          </cell>
          <cell r="CN1268" t="str">
            <v>2024-08-26</v>
          </cell>
          <cell r="CO1268">
            <v>9536.9490000000005</v>
          </cell>
        </row>
        <row r="1269">
          <cell r="CJ1269" t="str">
            <v xml:space="preserve">NFT-423900923GN00109XXXXXXX </v>
          </cell>
          <cell r="CK1269" t="str">
            <v>2024-08-26</v>
          </cell>
          <cell r="CL1269">
            <v>7066.35</v>
          </cell>
          <cell r="CM1269" t="str">
            <v xml:space="preserve">NFT-423901043GN00083XXXXXXX </v>
          </cell>
          <cell r="CN1269" t="str">
            <v>2024-08-26</v>
          </cell>
          <cell r="CO1269">
            <v>460.72500000000002</v>
          </cell>
        </row>
        <row r="1270">
          <cell r="CJ1270" t="str">
            <v xml:space="preserve">NFT-423900923GN00109XXXXXXX </v>
          </cell>
          <cell r="CK1270" t="str">
            <v>2024-08-26</v>
          </cell>
          <cell r="CL1270">
            <v>7527.0649999999996</v>
          </cell>
        </row>
        <row r="1271">
          <cell r="CJ1271" t="str">
            <v xml:space="preserve">NFT-423900923GN00109XXXXXXX </v>
          </cell>
          <cell r="CK1271" t="str">
            <v>2024-08-26</v>
          </cell>
          <cell r="CL1271">
            <v>6783.2129999999997</v>
          </cell>
          <cell r="CM1271" t="str">
            <v xml:space="preserve">NFT-423901043GN00083XXXXXXX </v>
          </cell>
          <cell r="CN1271" t="str">
            <v>2024-08-26</v>
          </cell>
          <cell r="CO1271">
            <v>762.73099999999999</v>
          </cell>
        </row>
        <row r="1272">
          <cell r="CJ1272" t="str">
            <v xml:space="preserve">NFT-423900923GN00109XXXXXXX </v>
          </cell>
          <cell r="CK1272" t="str">
            <v>2024-08-26</v>
          </cell>
          <cell r="CL1272">
            <v>12910.406999999999</v>
          </cell>
          <cell r="CM1272" t="str">
            <v xml:space="preserve">NFT-423901043GN00083XXXXXXX </v>
          </cell>
          <cell r="CN1272" t="str">
            <v>2024-08-26</v>
          </cell>
          <cell r="CO1272">
            <v>1128.546</v>
          </cell>
        </row>
        <row r="1273">
          <cell r="CJ1273" t="str">
            <v xml:space="preserve">NFT-423900923GN00109XXXXXXX </v>
          </cell>
          <cell r="CK1273" t="str">
            <v>2024-08-26</v>
          </cell>
          <cell r="CL1273">
            <v>12865.866</v>
          </cell>
          <cell r="CM1273" t="str">
            <v xml:space="preserve">NFT-423901043GN00083XXXXXXX </v>
          </cell>
          <cell r="CN1273" t="str">
            <v>2024-08-26</v>
          </cell>
          <cell r="CO1273">
            <v>1884.24</v>
          </cell>
        </row>
        <row r="1274">
          <cell r="CJ1274" t="str">
            <v xml:space="preserve">NFT-423900923GN00109XXXXXXX </v>
          </cell>
          <cell r="CK1274" t="str">
            <v>2024-08-26</v>
          </cell>
          <cell r="CL1274">
            <v>12950.21</v>
          </cell>
          <cell r="CM1274" t="str">
            <v xml:space="preserve">NFT-423901043GN00083XXXXXXX </v>
          </cell>
          <cell r="CN1274" t="str">
            <v>2024-08-26</v>
          </cell>
          <cell r="CO1274">
            <v>1069.8630000000001</v>
          </cell>
        </row>
        <row r="1275">
          <cell r="CJ1275" t="str">
            <v xml:space="preserve">NFT-423900923GN00109XXXXXXX </v>
          </cell>
          <cell r="CK1275" t="str">
            <v>2024-08-26</v>
          </cell>
          <cell r="CL1275">
            <v>12837.013000000001</v>
          </cell>
          <cell r="CM1275" t="str">
            <v xml:space="preserve">NFT-423901043GN00083XXXXXXX </v>
          </cell>
          <cell r="CN1275" t="str">
            <v>2024-08-26</v>
          </cell>
          <cell r="CO1275">
            <v>1913.0940000000001</v>
          </cell>
        </row>
        <row r="1276">
          <cell r="CJ1276" t="str">
            <v xml:space="preserve">NFT-423900923GN00109XXXXXXX </v>
          </cell>
          <cell r="CK1276" t="str">
            <v>2024-08-26</v>
          </cell>
          <cell r="CL1276">
            <v>14750.107</v>
          </cell>
        </row>
        <row r="1277">
          <cell r="CJ1277" t="str">
            <v xml:space="preserve">NFT-423900923GN00109XXXXXXX </v>
          </cell>
          <cell r="CK1277" t="str">
            <v>2024-08-26</v>
          </cell>
          <cell r="CL1277">
            <v>13547.811</v>
          </cell>
          <cell r="CM1277" t="str">
            <v xml:space="preserve">NFT-423901043GN00083XXXXXXX </v>
          </cell>
          <cell r="CN1277" t="str">
            <v>2024-08-26</v>
          </cell>
          <cell r="CO1277">
            <v>1202.296</v>
          </cell>
        </row>
        <row r="1278">
          <cell r="CJ1278" t="str">
            <v xml:space="preserve">NFT-423900923GN00109XXXXXXX </v>
          </cell>
          <cell r="CK1278" t="str">
            <v>2024-08-26</v>
          </cell>
          <cell r="CL1278">
            <v>13547.811</v>
          </cell>
          <cell r="CM1278" t="str">
            <v xml:space="preserve">NFT-423901043GN00083XXXXXXX </v>
          </cell>
          <cell r="CN1278" t="str">
            <v>2024-08-26</v>
          </cell>
          <cell r="CO1278">
            <v>1202.296</v>
          </cell>
        </row>
        <row r="1279">
          <cell r="CJ1279" t="str">
            <v xml:space="preserve">NFT-423900923GN00109XXXXXXX </v>
          </cell>
          <cell r="CK1279" t="str">
            <v>2024-08-26</v>
          </cell>
          <cell r="CL1279">
            <v>13547.811</v>
          </cell>
          <cell r="CM1279" t="str">
            <v xml:space="preserve">NFT-423901043GN00083XXXXXXX </v>
          </cell>
          <cell r="CN1279" t="str">
            <v>2024-08-26</v>
          </cell>
          <cell r="CO1279">
            <v>1202.296</v>
          </cell>
        </row>
        <row r="1280">
          <cell r="CJ1280" t="str">
            <v xml:space="preserve">NFT-423900923GN00109XXXXXXX </v>
          </cell>
          <cell r="CK1280" t="str">
            <v>2024-08-26</v>
          </cell>
          <cell r="CL1280">
            <v>13547.811</v>
          </cell>
          <cell r="CM1280" t="str">
            <v xml:space="preserve">NFT-423901043GN00083XXXXXXX </v>
          </cell>
          <cell r="CN1280" t="str">
            <v>2024-08-26</v>
          </cell>
          <cell r="CO1280">
            <v>1202.296</v>
          </cell>
        </row>
        <row r="1281">
          <cell r="CJ1281" t="str">
            <v xml:space="preserve">NFT-423900923GN00109XXXXXXX </v>
          </cell>
          <cell r="CK1281" t="str">
            <v>2024-08-26</v>
          </cell>
          <cell r="CL1281">
            <v>13528.931</v>
          </cell>
          <cell r="CM1281" t="str">
            <v xml:space="preserve">NFT-423901043GN00083XXXXXXX </v>
          </cell>
          <cell r="CN1281" t="str">
            <v>2024-08-26</v>
          </cell>
          <cell r="CO1281">
            <v>1202.296</v>
          </cell>
        </row>
        <row r="1282">
          <cell r="CJ1282" t="str">
            <v xml:space="preserve">NFT-423900923GN00109XXXXXXX </v>
          </cell>
          <cell r="CK1282" t="str">
            <v>2024-08-26</v>
          </cell>
          <cell r="CL1282">
            <v>12891.527</v>
          </cell>
          <cell r="CM1282" t="str">
            <v xml:space="preserve">NFT-423901043GN00083XXXXXXX </v>
          </cell>
          <cell r="CN1282" t="str">
            <v>2024-08-26</v>
          </cell>
          <cell r="CO1282">
            <v>1128.546</v>
          </cell>
        </row>
        <row r="1283">
          <cell r="CJ1283" t="str">
            <v xml:space="preserve">NFT-423900923GN00109XXXXXXX </v>
          </cell>
          <cell r="CK1283" t="str">
            <v>2024-08-26</v>
          </cell>
          <cell r="CL1283">
            <v>12891.527</v>
          </cell>
          <cell r="CM1283" t="str">
            <v xml:space="preserve">NFT-423901043GN00083XXXXXXX </v>
          </cell>
          <cell r="CN1283" t="str">
            <v>2024-08-26</v>
          </cell>
          <cell r="CO1283">
            <v>1128.546</v>
          </cell>
        </row>
        <row r="1284">
          <cell r="CJ1284" t="str">
            <v xml:space="preserve">NFT-423900923GN00109XXXXXXX </v>
          </cell>
          <cell r="CK1284" t="str">
            <v>2024-08-26</v>
          </cell>
          <cell r="CL1284">
            <v>6654.6840000000002</v>
          </cell>
          <cell r="CM1284" t="str">
            <v xml:space="preserve">NFT-423901043GN00083XXXXXXX </v>
          </cell>
          <cell r="CN1284" t="str">
            <v>2024-08-26</v>
          </cell>
          <cell r="CO1284">
            <v>872.39099999999996</v>
          </cell>
        </row>
        <row r="1285">
          <cell r="CJ1285" t="str">
            <v xml:space="preserve">NFT-423900923GN00109XXXXXXX </v>
          </cell>
          <cell r="CK1285" t="str">
            <v>2024-08-26</v>
          </cell>
          <cell r="CL1285">
            <v>13528.931</v>
          </cell>
          <cell r="CM1285" t="str">
            <v xml:space="preserve">NFT-423901043GN00083XXXXXXX </v>
          </cell>
          <cell r="CN1285" t="str">
            <v>2024-08-26</v>
          </cell>
          <cell r="CO1285">
            <v>1202.296</v>
          </cell>
        </row>
        <row r="1286">
          <cell r="CJ1286" t="str">
            <v xml:space="preserve">NFT-423900923GN00109XXXXXXX </v>
          </cell>
          <cell r="CK1286" t="str">
            <v>2024-08-26</v>
          </cell>
          <cell r="CL1286">
            <v>8574.1470000000008</v>
          </cell>
          <cell r="CM1286" t="str">
            <v xml:space="preserve">NFT-423901043GN00083XXXXXXX </v>
          </cell>
          <cell r="CN1286" t="str">
            <v>2024-08-26</v>
          </cell>
          <cell r="CO1286">
            <v>962.80200000000002</v>
          </cell>
        </row>
        <row r="1287">
          <cell r="CJ1287" t="str">
            <v xml:space="preserve">NFT-423900923GN00109XXXXXXX </v>
          </cell>
          <cell r="CK1287" t="str">
            <v>2024-08-26</v>
          </cell>
          <cell r="CL1287">
            <v>13547.811</v>
          </cell>
          <cell r="CM1287" t="str">
            <v xml:space="preserve">NFT-423901043GN00083XXXXXXX </v>
          </cell>
          <cell r="CN1287" t="str">
            <v>2024-08-26</v>
          </cell>
          <cell r="CO1287">
            <v>1202.296</v>
          </cell>
        </row>
        <row r="1288">
          <cell r="CJ1288" t="str">
            <v xml:space="preserve">NFT-423900923GN00109XXXXXXX </v>
          </cell>
          <cell r="CK1288" t="str">
            <v>2024-08-26</v>
          </cell>
          <cell r="CL1288">
            <v>13547.811</v>
          </cell>
          <cell r="CM1288" t="str">
            <v xml:space="preserve">NFT-423901043GN00083XXXXXXX </v>
          </cell>
          <cell r="CN1288" t="str">
            <v>2024-08-26</v>
          </cell>
          <cell r="CO1288">
            <v>1202.296</v>
          </cell>
        </row>
        <row r="1289">
          <cell r="CJ1289" t="str">
            <v xml:space="preserve">NFT-423900923GN00109XXXXXXX </v>
          </cell>
          <cell r="CK1289" t="str">
            <v>2024-08-26</v>
          </cell>
          <cell r="CL1289">
            <v>13547.811</v>
          </cell>
          <cell r="CM1289" t="str">
            <v xml:space="preserve">NFT-423901043GN00083XXXXXXX </v>
          </cell>
          <cell r="CN1289" t="str">
            <v>2024-08-26</v>
          </cell>
          <cell r="CO1289">
            <v>1202.296</v>
          </cell>
        </row>
        <row r="1290">
          <cell r="CJ1290" t="str">
            <v xml:space="preserve">NFT-423900923GN00109XXXXXXX </v>
          </cell>
          <cell r="CK1290" t="str">
            <v>2024-08-26</v>
          </cell>
          <cell r="CL1290">
            <v>6764.3329999999996</v>
          </cell>
          <cell r="CM1290" t="str">
            <v xml:space="preserve">NFT-423901043GN00083XXXXXXX </v>
          </cell>
          <cell r="CN1290" t="str">
            <v>2024-08-26</v>
          </cell>
          <cell r="CO1290">
            <v>762.73099999999999</v>
          </cell>
        </row>
        <row r="1291">
          <cell r="CJ1291" t="str">
            <v xml:space="preserve">NFT-423900923GN00109XXXXXXX </v>
          </cell>
          <cell r="CK1291" t="str">
            <v>2024-08-26</v>
          </cell>
          <cell r="CL1291">
            <v>13211.527</v>
          </cell>
          <cell r="CM1291" t="str">
            <v xml:space="preserve">NFT-423901043GN00083XXXXXXX </v>
          </cell>
          <cell r="CN1291" t="str">
            <v>2024-08-26</v>
          </cell>
          <cell r="CO1291">
            <v>1731.306</v>
          </cell>
        </row>
        <row r="1292">
          <cell r="CJ1292" t="str">
            <v xml:space="preserve">NFT-423900923GN00109XXXXXXX </v>
          </cell>
          <cell r="CK1292" t="str">
            <v>2024-08-26</v>
          </cell>
          <cell r="CL1292">
            <v>13007.255999999999</v>
          </cell>
          <cell r="CM1292" t="str">
            <v xml:space="preserve">NFT-423901043GN00083XXXXXXX </v>
          </cell>
          <cell r="CN1292" t="str">
            <v>2024-08-26</v>
          </cell>
          <cell r="CO1292">
            <v>1954.4580000000001</v>
          </cell>
        </row>
        <row r="1293">
          <cell r="CJ1293" t="str">
            <v xml:space="preserve">NFT-423900923GN00109XXXXXXX </v>
          </cell>
          <cell r="CK1293" t="str">
            <v>2024-08-26</v>
          </cell>
          <cell r="CL1293">
            <v>69089.433000000005</v>
          </cell>
          <cell r="CM1293" t="str">
            <v xml:space="preserve">NFT-423901043GN00083XXXXXXX </v>
          </cell>
          <cell r="CN1293" t="str">
            <v>2024-08-26</v>
          </cell>
          <cell r="CO1293">
            <v>4188.7979999999998</v>
          </cell>
        </row>
        <row r="1294">
          <cell r="CJ1294" t="str">
            <v xml:space="preserve">NFT-423900923GN00109XXXXXXX </v>
          </cell>
          <cell r="CK1294" t="str">
            <v>2024-08-26</v>
          </cell>
          <cell r="CL1294">
            <v>14942.833000000001</v>
          </cell>
        </row>
        <row r="1296">
          <cell r="CJ1296" t="str">
            <v xml:space="preserve">NFT-423900923GN00109XXXXXXX </v>
          </cell>
          <cell r="CK1296" t="str">
            <v>2024-08-26</v>
          </cell>
          <cell r="CL1296">
            <v>13144.803</v>
          </cell>
          <cell r="CM1296" t="str">
            <v xml:space="preserve">NFT-423901043GN00083XXXXXXX </v>
          </cell>
          <cell r="CN1296" t="str">
            <v>2024-08-26</v>
          </cell>
          <cell r="CO1296">
            <v>1605.3040000000001</v>
          </cell>
        </row>
        <row r="1297">
          <cell r="CJ1297" t="str">
            <v xml:space="preserve">NFT-423900923GN00109XXXXXXX </v>
          </cell>
          <cell r="CK1297" t="str">
            <v>2024-08-26</v>
          </cell>
          <cell r="CL1297">
            <v>13547.811</v>
          </cell>
          <cell r="CM1297" t="str">
            <v xml:space="preserve">NFT-423901043GN00083XXXXXXX </v>
          </cell>
          <cell r="CN1297" t="str">
            <v>2024-08-26</v>
          </cell>
          <cell r="CO1297">
            <v>1202.296</v>
          </cell>
        </row>
        <row r="1298">
          <cell r="CJ1298" t="str">
            <v xml:space="preserve">NFT-423900923GN00109XXXXXXX </v>
          </cell>
          <cell r="CK1298" t="str">
            <v>2024-08-26</v>
          </cell>
          <cell r="CL1298">
            <v>69671.351999999999</v>
          </cell>
          <cell r="CM1298" t="str">
            <v xml:space="preserve">NFT-423901043GN00083XXXXXXX </v>
          </cell>
          <cell r="CN1298" t="str">
            <v>2024-08-26</v>
          </cell>
          <cell r="CO1298">
            <v>3606.8890000000001</v>
          </cell>
        </row>
        <row r="1299">
          <cell r="CJ1299" t="str">
            <v xml:space="preserve">NFT-423900923GN00109XXXXXXX </v>
          </cell>
          <cell r="CK1299" t="str">
            <v>2024-08-26</v>
          </cell>
          <cell r="CL1299">
            <v>13267.918</v>
          </cell>
          <cell r="CM1299" t="str">
            <v xml:space="preserve">NFT-423901043GN00083XXXXXXX </v>
          </cell>
          <cell r="CN1299" t="str">
            <v>2024-08-26</v>
          </cell>
          <cell r="CO1299">
            <v>1482.1890000000001</v>
          </cell>
        </row>
        <row r="1300">
          <cell r="CJ1300" t="str">
            <v xml:space="preserve">NFT-423900923GN00109XXXXXXX </v>
          </cell>
          <cell r="CK1300" t="str">
            <v>2024-08-26</v>
          </cell>
          <cell r="CL1300">
            <v>13547.811</v>
          </cell>
          <cell r="CM1300" t="str">
            <v xml:space="preserve">NFT-423901043GN00083XXXXXXX </v>
          </cell>
          <cell r="CN1300" t="str">
            <v>2024-08-26</v>
          </cell>
          <cell r="CO1300">
            <v>1202.296</v>
          </cell>
        </row>
        <row r="1301">
          <cell r="CJ1301" t="str">
            <v xml:space="preserve">NFT-424100932GN00157XXXXXXX </v>
          </cell>
          <cell r="CK1301" t="str">
            <v>2024-08-28</v>
          </cell>
          <cell r="CL1301">
            <v>-1202.296</v>
          </cell>
          <cell r="CM1301" t="str">
            <v xml:space="preserve">NFT-424100873GN00159XXXXXXX </v>
          </cell>
          <cell r="CN1301" t="str">
            <v>2024-08-28</v>
          </cell>
          <cell r="CO1301">
            <v>-13528.931</v>
          </cell>
          <cell r="CP1301" t="str">
            <v xml:space="preserve">NFT-423900923GN00109XXXXXXX </v>
          </cell>
          <cell r="CQ1301" t="str">
            <v>2024-08-26</v>
          </cell>
          <cell r="CR1301">
            <v>13528.931</v>
          </cell>
          <cell r="CS1301" t="str">
            <v xml:space="preserve">NFT-423901043GN00083XXXXXXX </v>
          </cell>
          <cell r="CT1301" t="str">
            <v>2024-08-26</v>
          </cell>
          <cell r="CU1301">
            <v>1202.296</v>
          </cell>
        </row>
        <row r="1302">
          <cell r="CJ1302" t="str">
            <v xml:space="preserve">NFT-423900923GN00109XXXXXXX </v>
          </cell>
          <cell r="CK1302" t="str">
            <v>2024-08-26</v>
          </cell>
          <cell r="CL1302">
            <v>14731.227000000001</v>
          </cell>
        </row>
        <row r="1303">
          <cell r="CJ1303" t="str">
            <v xml:space="preserve">NFT-423900923GN00109XXXXXXX </v>
          </cell>
          <cell r="CK1303" t="str">
            <v>2024-08-26</v>
          </cell>
          <cell r="CL1303">
            <v>73278.240000000005</v>
          </cell>
        </row>
        <row r="1304">
          <cell r="CJ1304" t="str">
            <v xml:space="preserve">NFT-423900923GN00109XXXXXXX </v>
          </cell>
          <cell r="CK1304" t="str">
            <v>2024-08-26</v>
          </cell>
          <cell r="CL1304">
            <v>13528.931</v>
          </cell>
          <cell r="CM1304" t="str">
            <v xml:space="preserve">NFT-423901043GN00083XXXXXXX </v>
          </cell>
          <cell r="CN1304" t="str">
            <v>2024-08-26</v>
          </cell>
          <cell r="CO1304">
            <v>1202.296</v>
          </cell>
        </row>
        <row r="1305">
          <cell r="CJ1305" t="str">
            <v xml:space="preserve">NFT-423900923GN00109XXXXXXX </v>
          </cell>
          <cell r="CK1305" t="str">
            <v>2024-08-26</v>
          </cell>
          <cell r="CL1305">
            <v>13547.811</v>
          </cell>
          <cell r="CM1305" t="str">
            <v xml:space="preserve">NFT-423901043GN00083XXXXXXX </v>
          </cell>
          <cell r="CN1305" t="str">
            <v>2024-08-26</v>
          </cell>
          <cell r="CO1305">
            <v>1202.296</v>
          </cell>
        </row>
        <row r="1306">
          <cell r="CJ1306" t="str">
            <v xml:space="preserve">NFT-423900923GN00109XXXXXXX </v>
          </cell>
          <cell r="CK1306" t="str">
            <v>2024-08-26</v>
          </cell>
          <cell r="CL1306">
            <v>37170.879000000001</v>
          </cell>
        </row>
        <row r="1307">
          <cell r="CJ1307" t="str">
            <v xml:space="preserve">NFT-423900923GN00109XXXXXXX </v>
          </cell>
          <cell r="CK1307" t="str">
            <v>2024-08-26</v>
          </cell>
          <cell r="CL1307">
            <v>69729.058999999994</v>
          </cell>
          <cell r="CM1307" t="str">
            <v xml:space="preserve">NFT-423901043GN00083XXXXXXX </v>
          </cell>
          <cell r="CN1307" t="str">
            <v>2024-08-26</v>
          </cell>
          <cell r="CO1307">
            <v>3606.8890000000001</v>
          </cell>
        </row>
        <row r="1308">
          <cell r="CJ1308" t="str">
            <v xml:space="preserve">NFT-423900923GN00109XXXXXXX </v>
          </cell>
          <cell r="CK1308" t="str">
            <v>2024-08-26</v>
          </cell>
          <cell r="CL1308">
            <v>6783.2129999999997</v>
          </cell>
          <cell r="CM1308" t="str">
            <v xml:space="preserve">NFT-423901043GN00083XXXXXXX </v>
          </cell>
          <cell r="CN1308" t="str">
            <v>2024-08-26</v>
          </cell>
          <cell r="CO1308">
            <v>762.73099999999999</v>
          </cell>
        </row>
        <row r="1309">
          <cell r="CJ1309" t="str">
            <v xml:space="preserve">NFT-423900923GN00109XXXXXXX </v>
          </cell>
          <cell r="CK1309" t="str">
            <v>2024-08-26</v>
          </cell>
          <cell r="CL1309">
            <v>13575.102000000001</v>
          </cell>
          <cell r="CM1309" t="str">
            <v xml:space="preserve">NFT-423901043GN00083XXXXXXX </v>
          </cell>
          <cell r="CN1309" t="str">
            <v>2024-08-26</v>
          </cell>
          <cell r="CO1309">
            <v>1156.125</v>
          </cell>
        </row>
        <row r="1310">
          <cell r="CJ1310" t="str">
            <v xml:space="preserve">NFT-424100932GN00157XXXXXXX </v>
          </cell>
          <cell r="CK1310" t="str">
            <v>2024-08-28</v>
          </cell>
          <cell r="CL1310">
            <v>-1202.296</v>
          </cell>
          <cell r="CM1310" t="str">
            <v xml:space="preserve">NFT-424100873GN00159XXXXXXX </v>
          </cell>
          <cell r="CN1310" t="str">
            <v>2024-08-28</v>
          </cell>
          <cell r="CO1310">
            <v>-13528.931</v>
          </cell>
          <cell r="CP1310" t="str">
            <v xml:space="preserve">NFT-423900923GN00109XXXXXXX </v>
          </cell>
          <cell r="CQ1310" t="str">
            <v>2024-08-26</v>
          </cell>
          <cell r="CR1310">
            <v>13528.931</v>
          </cell>
          <cell r="CS1310" t="str">
            <v xml:space="preserve">NFT-423901043GN00083XXXXXXX </v>
          </cell>
          <cell r="CT1310" t="str">
            <v>2024-08-26</v>
          </cell>
          <cell r="CU1310">
            <v>1202.296</v>
          </cell>
        </row>
        <row r="1311">
          <cell r="CJ1311" t="str">
            <v xml:space="preserve">NFT-423900923GN00109XXXXXXX </v>
          </cell>
          <cell r="CK1311" t="str">
            <v>2024-08-26</v>
          </cell>
          <cell r="CL1311">
            <v>13528.931</v>
          </cell>
          <cell r="CM1311" t="str">
            <v xml:space="preserve">NFT-423901043GN00083XXXXXXX </v>
          </cell>
          <cell r="CN1311" t="str">
            <v>2024-08-26</v>
          </cell>
          <cell r="CO1311">
            <v>1202.296</v>
          </cell>
        </row>
        <row r="1312">
          <cell r="CJ1312" t="str">
            <v xml:space="preserve">NFT-423900923GN00109XXXXXXX </v>
          </cell>
          <cell r="CK1312" t="str">
            <v>2024-08-26</v>
          </cell>
          <cell r="CL1312">
            <v>13547.811</v>
          </cell>
          <cell r="CM1312" t="str">
            <v xml:space="preserve">NFT-423901043GN00083XXXXXXX </v>
          </cell>
          <cell r="CN1312" t="str">
            <v>2024-08-26</v>
          </cell>
          <cell r="CO1312">
            <v>1202.296</v>
          </cell>
        </row>
        <row r="1313">
          <cell r="CJ1313" t="str">
            <v xml:space="preserve">NFT-423900923GN00109XXXXXXX </v>
          </cell>
          <cell r="CK1313" t="str">
            <v>2024-08-26</v>
          </cell>
          <cell r="CL1313">
            <v>69671.351999999999</v>
          </cell>
          <cell r="CM1313" t="str">
            <v xml:space="preserve">NFT-423901043GN00083XXXXXXX </v>
          </cell>
          <cell r="CN1313" t="str">
            <v>2024-08-26</v>
          </cell>
          <cell r="CO1313">
            <v>3606.8890000000001</v>
          </cell>
        </row>
        <row r="1314">
          <cell r="CJ1314" t="str">
            <v xml:space="preserve">NFT-423900923GN00109XXXXXXX </v>
          </cell>
          <cell r="CK1314" t="str">
            <v>2024-08-26</v>
          </cell>
          <cell r="CL1314">
            <v>13547.811</v>
          </cell>
          <cell r="CM1314" t="str">
            <v xml:space="preserve">NFT-423901043GN00083XXXXXXX </v>
          </cell>
          <cell r="CN1314" t="str">
            <v>2024-08-26</v>
          </cell>
          <cell r="CO1314">
            <v>1202.296</v>
          </cell>
        </row>
        <row r="1315">
          <cell r="CJ1315" t="str">
            <v xml:space="preserve">NFT-423900923GN00109XXXXXXX </v>
          </cell>
          <cell r="CK1315" t="str">
            <v>2024-08-26</v>
          </cell>
          <cell r="CL1315">
            <v>13547.811</v>
          </cell>
          <cell r="CM1315" t="str">
            <v xml:space="preserve">NFT-423901043GN00083XXXXXXX </v>
          </cell>
          <cell r="CN1315" t="str">
            <v>2024-08-26</v>
          </cell>
          <cell r="CO1315">
            <v>1202.296</v>
          </cell>
        </row>
        <row r="1316">
          <cell r="CJ1316" t="str">
            <v xml:space="preserve">NFT-423900923GN00109XXXXXXX </v>
          </cell>
          <cell r="CK1316" t="str">
            <v>2024-08-26</v>
          </cell>
          <cell r="CL1316">
            <v>13339.09</v>
          </cell>
          <cell r="CM1316" t="str">
            <v xml:space="preserve">NFT-423901043GN00083XXXXXXX </v>
          </cell>
          <cell r="CN1316" t="str">
            <v>2024-08-26</v>
          </cell>
          <cell r="CO1316">
            <v>1411.0150000000001</v>
          </cell>
        </row>
        <row r="1317">
          <cell r="CJ1317" t="str">
            <v xml:space="preserve">NFT-423900923GN00109XXXXXXX </v>
          </cell>
          <cell r="CK1317" t="str">
            <v>2024-08-26</v>
          </cell>
          <cell r="CL1317">
            <v>35350.724999999999</v>
          </cell>
          <cell r="CM1317" t="str">
            <v xml:space="preserve">NFT-423901043GN00083XXXXXXX </v>
          </cell>
          <cell r="CN1317" t="str">
            <v>2024-08-26</v>
          </cell>
          <cell r="CO1317">
            <v>1839.0360000000001</v>
          </cell>
        </row>
        <row r="1318">
          <cell r="CJ1318" t="str">
            <v xml:space="preserve">NFT-423900923GN00109XXXXXXX </v>
          </cell>
          <cell r="CK1318" t="str">
            <v>2024-08-26</v>
          </cell>
          <cell r="CL1318">
            <v>13528.931</v>
          </cell>
          <cell r="CM1318" t="str">
            <v xml:space="preserve">NFT-423901043GN00083XXXXXXX </v>
          </cell>
          <cell r="CN1318" t="str">
            <v>2024-08-26</v>
          </cell>
          <cell r="CO1318">
            <v>1202.296</v>
          </cell>
        </row>
        <row r="1319">
          <cell r="CJ1319" t="str">
            <v xml:space="preserve">NFT-423900923GN00109XXXXXXX </v>
          </cell>
          <cell r="CK1319" t="str">
            <v>2024-08-26</v>
          </cell>
          <cell r="CL1319">
            <v>70753.75</v>
          </cell>
          <cell r="CM1319" t="str">
            <v xml:space="preserve">NFT-423901043GN00083XXXXXXX </v>
          </cell>
          <cell r="CN1319" t="str">
            <v>2024-08-26</v>
          </cell>
          <cell r="CO1319">
            <v>3606.89</v>
          </cell>
        </row>
        <row r="1320">
          <cell r="CJ1320" t="str">
            <v xml:space="preserve">NFT-423900923GN00109XXXXXXX </v>
          </cell>
          <cell r="CK1320" t="str">
            <v>2024-08-26</v>
          </cell>
          <cell r="CL1320">
            <v>6764.3329999999996</v>
          </cell>
          <cell r="CM1320" t="str">
            <v xml:space="preserve">NFT-423901043GN00083XXXXXXX </v>
          </cell>
          <cell r="CN1320" t="str">
            <v>2024-08-26</v>
          </cell>
          <cell r="CO1320">
            <v>762.73099999999999</v>
          </cell>
        </row>
        <row r="1321">
          <cell r="CJ1321" t="str">
            <v xml:space="preserve">NFT-423900923GN00109XXXXXXX </v>
          </cell>
          <cell r="CK1321" t="str">
            <v>2024-08-26</v>
          </cell>
          <cell r="CL1321">
            <v>13547.811</v>
          </cell>
          <cell r="CM1321" t="str">
            <v xml:space="preserve">NFT-423901043GN00083XXXXXXX </v>
          </cell>
          <cell r="CN1321" t="str">
            <v>2024-08-26</v>
          </cell>
          <cell r="CO1321">
            <v>1202.296</v>
          </cell>
        </row>
        <row r="1322">
          <cell r="CJ1322" t="str">
            <v xml:space="preserve">NFT-423900923GN00109XXXXXXX </v>
          </cell>
          <cell r="CK1322" t="str">
            <v>2024-08-26</v>
          </cell>
          <cell r="CL1322">
            <v>13528.931</v>
          </cell>
          <cell r="CM1322" t="str">
            <v xml:space="preserve">NFT-423901043GN00083XXXXXXX </v>
          </cell>
          <cell r="CN1322" t="str">
            <v>2024-08-26</v>
          </cell>
          <cell r="CO1322">
            <v>1202.296</v>
          </cell>
        </row>
        <row r="1323">
          <cell r="CJ1323" t="str">
            <v xml:space="preserve">NFT-423900923GN00109XXXXXXX </v>
          </cell>
          <cell r="CK1323" t="str">
            <v>2024-08-26</v>
          </cell>
          <cell r="CL1323">
            <v>13547.811</v>
          </cell>
          <cell r="CM1323" t="str">
            <v xml:space="preserve">NFT-423901043GN00083XXXXXXX </v>
          </cell>
          <cell r="CN1323" t="str">
            <v>2024-08-26</v>
          </cell>
          <cell r="CO1323">
            <v>1202.296</v>
          </cell>
        </row>
        <row r="1324">
          <cell r="CJ1324" t="str">
            <v xml:space="preserve">NFT-423900923GN00109XXXXXXX </v>
          </cell>
          <cell r="CK1324" t="str">
            <v>2024-08-26</v>
          </cell>
          <cell r="CL1324">
            <v>13528.931</v>
          </cell>
          <cell r="CM1324" t="str">
            <v xml:space="preserve">NFT-423901043GN00083XXXXXXX </v>
          </cell>
          <cell r="CN1324" t="str">
            <v>2024-08-26</v>
          </cell>
          <cell r="CO1324">
            <v>1202.296</v>
          </cell>
          <cell r="CP1324" t="str">
            <v xml:space="preserve">NFT-424800948GN00078XXXXXXX </v>
          </cell>
          <cell r="CQ1324" t="str">
            <v>2024-09-04</v>
          </cell>
          <cell r="CR1324">
            <v>-13528.931</v>
          </cell>
          <cell r="CS1324" t="str">
            <v xml:space="preserve">NFT-424800981GN00017XXXXXXX </v>
          </cell>
          <cell r="CT1324" t="str">
            <v>2024-09-04</v>
          </cell>
          <cell r="CU1324">
            <v>-1202.296</v>
          </cell>
        </row>
        <row r="1325">
          <cell r="CJ1325" t="str">
            <v xml:space="preserve">NFT-423900923GN00109XXXXXXX </v>
          </cell>
          <cell r="CK1325" t="str">
            <v>2024-08-26</v>
          </cell>
          <cell r="CL1325">
            <v>13547.811</v>
          </cell>
          <cell r="CM1325" t="str">
            <v xml:space="preserve">NFT-423901043GN00083XXXXXXX </v>
          </cell>
          <cell r="CN1325" t="str">
            <v>2024-08-26</v>
          </cell>
          <cell r="CO1325">
            <v>1202.296</v>
          </cell>
        </row>
        <row r="1326">
          <cell r="CJ1326" t="str">
            <v xml:space="preserve">NFT-423900923GN00109XXXXXXX </v>
          </cell>
          <cell r="CK1326" t="str">
            <v>2024-08-26</v>
          </cell>
          <cell r="CL1326">
            <v>13547.811</v>
          </cell>
          <cell r="CM1326" t="str">
            <v xml:space="preserve">NFT-423901043GN00083XXXXXXX </v>
          </cell>
          <cell r="CN1326" t="str">
            <v>2024-08-26</v>
          </cell>
          <cell r="CO1326">
            <v>1202.296</v>
          </cell>
        </row>
        <row r="1327">
          <cell r="CJ1327" t="str">
            <v xml:space="preserve">NFT-423900923GN00109XXXXXXX </v>
          </cell>
          <cell r="CK1327" t="str">
            <v>2024-08-26</v>
          </cell>
          <cell r="CL1327">
            <v>70517.407999999996</v>
          </cell>
          <cell r="CM1327" t="str">
            <v xml:space="preserve">NFT-423901043GN00083XXXXXXX </v>
          </cell>
          <cell r="CN1327" t="str">
            <v>2024-08-26</v>
          </cell>
          <cell r="CO1327">
            <v>2837.42</v>
          </cell>
        </row>
        <row r="1328">
          <cell r="CJ1328" t="str">
            <v xml:space="preserve">NFT-423900923GN00109XXXXXXX </v>
          </cell>
          <cell r="CK1328" t="str">
            <v>2024-08-26</v>
          </cell>
          <cell r="CL1328">
            <v>7527.0649999999996</v>
          </cell>
        </row>
        <row r="1329">
          <cell r="CJ1329" t="str">
            <v xml:space="preserve">NFT-423900923GN00109XXXXXXX </v>
          </cell>
          <cell r="CK1329" t="str">
            <v>2024-08-26</v>
          </cell>
          <cell r="CL1329">
            <v>13547.811</v>
          </cell>
          <cell r="CM1329" t="str">
            <v xml:space="preserve">NFT-423901043GN00083XXXXXXX </v>
          </cell>
          <cell r="CN1329" t="str">
            <v>2024-08-26</v>
          </cell>
          <cell r="CO1329">
            <v>1202.296</v>
          </cell>
        </row>
        <row r="1330">
          <cell r="CJ1330" t="str">
            <v xml:space="preserve">NFT-423900923GN00109XXXXXXX </v>
          </cell>
          <cell r="CK1330" t="str">
            <v>2024-08-26</v>
          </cell>
          <cell r="CL1330">
            <v>7545.9449999999997</v>
          </cell>
        </row>
        <row r="1331">
          <cell r="CJ1331" t="str">
            <v xml:space="preserve">NFT-423900923GN00109XXXXXXX </v>
          </cell>
          <cell r="CK1331" t="str">
            <v>2024-08-26</v>
          </cell>
          <cell r="CL1331">
            <v>13547.811</v>
          </cell>
          <cell r="CM1331" t="str">
            <v xml:space="preserve">NFT-423901043GN00083XXXXXXX </v>
          </cell>
          <cell r="CN1331" t="str">
            <v>2024-08-26</v>
          </cell>
          <cell r="CO1331">
            <v>1202.296</v>
          </cell>
        </row>
        <row r="1333">
          <cell r="CJ1333" t="str">
            <v xml:space="preserve">NFT-423900923GN00109XXXXXXX </v>
          </cell>
          <cell r="CK1333" t="str">
            <v>2024-08-26</v>
          </cell>
          <cell r="CL1333">
            <v>12806.228999999999</v>
          </cell>
          <cell r="CM1333" t="str">
            <v xml:space="preserve">NFT-423901043GN00083XXXXXXX </v>
          </cell>
          <cell r="CN1333" t="str">
            <v>2024-08-26</v>
          </cell>
          <cell r="CO1333">
            <v>1943.8679999999999</v>
          </cell>
        </row>
        <row r="1334">
          <cell r="CJ1334" t="str">
            <v xml:space="preserve">NFT-423900923GN00109XXXXXXX </v>
          </cell>
          <cell r="CK1334" t="str">
            <v>2024-08-26</v>
          </cell>
          <cell r="CL1334">
            <v>7527.0649999999996</v>
          </cell>
        </row>
        <row r="1335">
          <cell r="CJ1335" t="str">
            <v xml:space="preserve">NFT-423900923GN00109XXXXXXX </v>
          </cell>
          <cell r="CK1335" t="str">
            <v>2024-08-26</v>
          </cell>
          <cell r="CL1335">
            <v>13547.811</v>
          </cell>
          <cell r="CM1335" t="str">
            <v xml:space="preserve">NFT-423901043GN00083XXXXXXX </v>
          </cell>
          <cell r="CN1335" t="str">
            <v>2024-08-26</v>
          </cell>
          <cell r="CO1335">
            <v>1202.296</v>
          </cell>
        </row>
        <row r="1336">
          <cell r="CJ1336" t="str">
            <v xml:space="preserve">NFT-423900923GN00109XXXXXXX </v>
          </cell>
          <cell r="CK1336" t="str">
            <v>2024-08-26</v>
          </cell>
          <cell r="CL1336">
            <v>13547.811</v>
          </cell>
          <cell r="CM1336" t="str">
            <v xml:space="preserve">NFT-423901043GN00083XXXXXXX </v>
          </cell>
          <cell r="CN1336" t="str">
            <v>2024-08-26</v>
          </cell>
          <cell r="CO1336">
            <v>1202.296</v>
          </cell>
        </row>
        <row r="1337">
          <cell r="CJ1337" t="str">
            <v xml:space="preserve">NFT-423900923GN00109XXXXXXX </v>
          </cell>
          <cell r="CK1337" t="str">
            <v>2024-08-26</v>
          </cell>
          <cell r="CL1337">
            <v>13547.811</v>
          </cell>
          <cell r="CM1337" t="str">
            <v xml:space="preserve">NFT-423901043GN00083XXXXXXX </v>
          </cell>
          <cell r="CN1337" t="str">
            <v>2024-08-26</v>
          </cell>
          <cell r="CO1337">
            <v>1202.296</v>
          </cell>
        </row>
        <row r="1338">
          <cell r="CJ1338" t="str">
            <v xml:space="preserve">NFT-423900923GN00109XXXXXXX </v>
          </cell>
          <cell r="CK1338" t="str">
            <v>2024-08-26</v>
          </cell>
          <cell r="CL1338">
            <v>13528.931</v>
          </cell>
          <cell r="CM1338" t="str">
            <v xml:space="preserve">NFT-423901043GN00083XXXXXXX </v>
          </cell>
          <cell r="CN1338" t="str">
            <v>2024-08-26</v>
          </cell>
          <cell r="CO1338">
            <v>1202.296</v>
          </cell>
        </row>
        <row r="1339">
          <cell r="CJ1339" t="str">
            <v xml:space="preserve">NFT-423900923GN00109XXXXXXX </v>
          </cell>
          <cell r="CK1339" t="str">
            <v>2024-08-26</v>
          </cell>
          <cell r="CL1339">
            <v>4404.3220000000001</v>
          </cell>
          <cell r="CM1339" t="str">
            <v xml:space="preserve">NFT-423901043GN00083XXXXXXX </v>
          </cell>
          <cell r="CN1339" t="str">
            <v>2024-08-26</v>
          </cell>
          <cell r="CO1339">
            <v>242.38</v>
          </cell>
        </row>
        <row r="1340">
          <cell r="CJ1340" t="str">
            <v xml:space="preserve">NFT-423900923GN00109XXXXXXX </v>
          </cell>
          <cell r="CK1340" t="str">
            <v>2024-08-26</v>
          </cell>
          <cell r="CL1340">
            <v>13778.106</v>
          </cell>
          <cell r="CM1340" t="str">
            <v xml:space="preserve">NFT-423901043GN00083XXXXXXX </v>
          </cell>
          <cell r="CN1340" t="str">
            <v>2024-08-26</v>
          </cell>
          <cell r="CO1340">
            <v>350.3</v>
          </cell>
        </row>
        <row r="1341">
          <cell r="CJ1341" t="str">
            <v xml:space="preserve">NFT-423900923GN00109XXXXXXX </v>
          </cell>
          <cell r="CK1341" t="str">
            <v>2024-08-26</v>
          </cell>
          <cell r="CL1341">
            <v>12288.424999999999</v>
          </cell>
          <cell r="CM1341" t="str">
            <v xml:space="preserve">NFT-423901043GN00083XXXXXXX </v>
          </cell>
          <cell r="CN1341" t="str">
            <v>2024-08-26</v>
          </cell>
          <cell r="CO1341">
            <v>1839.981</v>
          </cell>
          <cell r="CP1341" t="str">
            <v xml:space="preserve">NFT-425000928GN00239XXXXXXX </v>
          </cell>
          <cell r="CQ1341" t="str">
            <v>2024-09-06</v>
          </cell>
          <cell r="CR1341">
            <v>-12288.424999999999</v>
          </cell>
          <cell r="CS1341" t="str">
            <v xml:space="preserve">NFT-425000978GN00015XXXXXXX </v>
          </cell>
          <cell r="CT1341" t="str">
            <v>2024-09-06</v>
          </cell>
          <cell r="CU1341">
            <v>-1839.981</v>
          </cell>
        </row>
        <row r="1342">
          <cell r="CJ1342" t="str">
            <v xml:space="preserve">NFT-423900923GN00109XXXXXXX </v>
          </cell>
          <cell r="CK1342" t="str">
            <v>2024-08-26</v>
          </cell>
          <cell r="CL1342">
            <v>33657.288</v>
          </cell>
          <cell r="CM1342" t="str">
            <v xml:space="preserve">NFT-423901043GN00083XXXXXXX </v>
          </cell>
          <cell r="CN1342" t="str">
            <v>2024-08-26</v>
          </cell>
          <cell r="CO1342">
            <v>3523.2060000000001</v>
          </cell>
        </row>
        <row r="1343">
          <cell r="CJ1343" t="str">
            <v xml:space="preserve">NFT-423900923GN00109XXXXXXX </v>
          </cell>
          <cell r="CK1343" t="str">
            <v>2024-08-26</v>
          </cell>
          <cell r="CL1343">
            <v>6382.4849999999997</v>
          </cell>
          <cell r="CM1343" t="str">
            <v xml:space="preserve">NFT-423901043GN00083XXXXXXX </v>
          </cell>
          <cell r="CN1343" t="str">
            <v>2024-08-26</v>
          </cell>
          <cell r="CO1343">
            <v>1144.5899999999999</v>
          </cell>
        </row>
        <row r="1344">
          <cell r="CJ1344" t="str">
            <v xml:space="preserve">NFT-423900923GN00109XXXXXXX </v>
          </cell>
          <cell r="CK1344" t="str">
            <v>2024-08-26</v>
          </cell>
          <cell r="CL1344">
            <v>12307.305</v>
          </cell>
          <cell r="CM1344" t="str">
            <v xml:space="preserve">NFT-423901043GN00083XXXXXXX </v>
          </cell>
          <cell r="CN1344" t="str">
            <v>2024-08-26</v>
          </cell>
          <cell r="CO1344">
            <v>1839.981</v>
          </cell>
        </row>
        <row r="1345">
          <cell r="CJ1345" t="str">
            <v xml:space="preserve">NFT-423900923GN00109XXXXXXX </v>
          </cell>
          <cell r="CK1345" t="str">
            <v>2024-08-26</v>
          </cell>
          <cell r="CL1345">
            <v>28294.58</v>
          </cell>
        </row>
        <row r="1346">
          <cell r="CJ1346" t="str">
            <v xml:space="preserve">NFT-423900923GN00109XXXXXXX </v>
          </cell>
          <cell r="CK1346" t="str">
            <v>2024-08-26</v>
          </cell>
          <cell r="CL1346">
            <v>68420.964999999997</v>
          </cell>
          <cell r="CM1346" t="str">
            <v xml:space="preserve">NFT-423901043GN00083XXXXXXX </v>
          </cell>
          <cell r="CN1346" t="str">
            <v>2024-08-26</v>
          </cell>
          <cell r="CO1346">
            <v>6492.4</v>
          </cell>
        </row>
        <row r="1347">
          <cell r="CJ1347" t="str">
            <v xml:space="preserve">NFT-423900923GN00109XXXXXXX </v>
          </cell>
          <cell r="CK1347" t="str">
            <v>2024-08-26</v>
          </cell>
          <cell r="CL1347">
            <v>12988.376</v>
          </cell>
          <cell r="CM1347" t="str">
            <v xml:space="preserve">NFT-423901043GN00083XXXXXXX </v>
          </cell>
          <cell r="CN1347" t="str">
            <v>2024-08-26</v>
          </cell>
          <cell r="CO1347">
            <v>1954.4580000000001</v>
          </cell>
        </row>
        <row r="1348">
          <cell r="CJ1348" t="str">
            <v xml:space="preserve">NFT-423900923GN00109XXXXXXX </v>
          </cell>
          <cell r="CK1348" t="str">
            <v>2024-08-26</v>
          </cell>
          <cell r="CL1348">
            <v>12307.305</v>
          </cell>
          <cell r="CM1348" t="str">
            <v xml:space="preserve">NFT-423901043GN00083XXXXXXX </v>
          </cell>
          <cell r="CN1348" t="str">
            <v>2024-08-26</v>
          </cell>
          <cell r="CO1348">
            <v>1839.981</v>
          </cell>
        </row>
        <row r="1349">
          <cell r="CJ1349" t="str">
            <v xml:space="preserve">NFT-423900923GN00109XXXXXXX </v>
          </cell>
          <cell r="CK1349" t="str">
            <v>2024-08-26</v>
          </cell>
          <cell r="CL1349">
            <v>12288.424999999999</v>
          </cell>
          <cell r="CM1349" t="str">
            <v xml:space="preserve">NFT-423901043GN00083XXXXXXX </v>
          </cell>
          <cell r="CN1349" t="str">
            <v>2024-08-26</v>
          </cell>
          <cell r="CO1349">
            <v>1839.981</v>
          </cell>
        </row>
        <row r="1351">
          <cell r="CJ1351" t="str">
            <v xml:space="preserve">NFT-423900923GN00109XXXXXXX </v>
          </cell>
          <cell r="CK1351" t="str">
            <v>2024-08-26</v>
          </cell>
          <cell r="CL1351">
            <v>12988.376</v>
          </cell>
          <cell r="CM1351" t="str">
            <v xml:space="preserve">NFT-423901043GN00083XXXXXXX </v>
          </cell>
          <cell r="CN1351" t="str">
            <v>2024-08-26</v>
          </cell>
          <cell r="CO1351">
            <v>1954.4580000000001</v>
          </cell>
        </row>
        <row r="1352">
          <cell r="CJ1352" t="str">
            <v xml:space="preserve">NFT-423900923GN00109XXXXXXX </v>
          </cell>
          <cell r="CK1352" t="str">
            <v>2024-08-26</v>
          </cell>
          <cell r="CL1352">
            <v>33676.167999999998</v>
          </cell>
          <cell r="CM1352" t="str">
            <v xml:space="preserve">NFT-423901043GN00083XXXXXXX </v>
          </cell>
          <cell r="CN1352" t="str">
            <v>2024-08-26</v>
          </cell>
          <cell r="CO1352">
            <v>3523.2049999999999</v>
          </cell>
        </row>
        <row r="1353">
          <cell r="CJ1353" t="str">
            <v xml:space="preserve">NFT-423900923GN00109XXXXXXX </v>
          </cell>
          <cell r="CK1353" t="str">
            <v>2024-08-26</v>
          </cell>
          <cell r="CL1353">
            <v>33657.288</v>
          </cell>
          <cell r="CM1353" t="str">
            <v xml:space="preserve">NFT-423901043GN00083XXXXXXX </v>
          </cell>
          <cell r="CN1353" t="str">
            <v>2024-08-26</v>
          </cell>
          <cell r="CO1353">
            <v>3523.2060000000001</v>
          </cell>
        </row>
        <row r="1354">
          <cell r="CJ1354" t="str">
            <v xml:space="preserve">NFT-423900923GN00109XXXXXXX </v>
          </cell>
          <cell r="CK1354" t="str">
            <v>2024-08-26</v>
          </cell>
          <cell r="CL1354">
            <v>12431.98</v>
          </cell>
          <cell r="CM1354" t="str">
            <v xml:space="preserve">NFT-423901043GN00083XXXXXXX </v>
          </cell>
          <cell r="CN1354" t="str">
            <v>2024-08-26</v>
          </cell>
          <cell r="CO1354">
            <v>1696.4259999999999</v>
          </cell>
        </row>
        <row r="1355">
          <cell r="CJ1355" t="str">
            <v xml:space="preserve">NFT-423900923GN00109XXXXXXX </v>
          </cell>
          <cell r="CK1355" t="str">
            <v>2024-08-26</v>
          </cell>
          <cell r="CL1355">
            <v>12288.424999999999</v>
          </cell>
          <cell r="CM1355" t="str">
            <v xml:space="preserve">NFT-423901043GN00083XXXXXXX </v>
          </cell>
          <cell r="CN1355" t="str">
            <v>2024-08-26</v>
          </cell>
          <cell r="CO1355">
            <v>1839.981</v>
          </cell>
        </row>
        <row r="1356">
          <cell r="CJ1356" t="str">
            <v xml:space="preserve">NFT-423900923GN00109XXXXXXX </v>
          </cell>
          <cell r="CK1356" t="str">
            <v>2024-08-26</v>
          </cell>
          <cell r="CL1356">
            <v>6401.3649999999998</v>
          </cell>
          <cell r="CM1356" t="str">
            <v xml:space="preserve">NFT-423901043GN00083XXXXXXX </v>
          </cell>
          <cell r="CN1356" t="str">
            <v>2024-08-26</v>
          </cell>
          <cell r="CO1356">
            <v>1144.5889999999999</v>
          </cell>
        </row>
        <row r="1357">
          <cell r="CJ1357" t="str">
            <v xml:space="preserve">NFT-423900923GN00109XXXXXXX </v>
          </cell>
          <cell r="CK1357" t="str">
            <v>2024-08-26</v>
          </cell>
          <cell r="CL1357">
            <v>7595.36</v>
          </cell>
          <cell r="CM1357" t="str">
            <v xml:space="preserve">NFT-423901043GN00083XXXXXXX </v>
          </cell>
          <cell r="CN1357" t="str">
            <v>2024-08-26</v>
          </cell>
          <cell r="CO1357">
            <v>1836.1479999999999</v>
          </cell>
        </row>
        <row r="1358">
          <cell r="CJ1358" t="str">
            <v xml:space="preserve">NFT-423900923GN00109XXXXXXX </v>
          </cell>
          <cell r="CK1358" t="str">
            <v>2024-08-26</v>
          </cell>
          <cell r="CL1358">
            <v>13007.255999999999</v>
          </cell>
          <cell r="CM1358" t="str">
            <v xml:space="preserve">NFT-423901043GN00083XXXXXXX </v>
          </cell>
          <cell r="CN1358" t="str">
            <v>2024-08-26</v>
          </cell>
          <cell r="CO1358">
            <v>1954.4580000000001</v>
          </cell>
        </row>
        <row r="1359">
          <cell r="CJ1359" t="str">
            <v xml:space="preserve">NFT-423900923GN00109XXXXXXX </v>
          </cell>
          <cell r="CK1359" t="str">
            <v>2024-08-26</v>
          </cell>
          <cell r="CL1359">
            <v>33657.288</v>
          </cell>
          <cell r="CM1359" t="str">
            <v xml:space="preserve">NFT-423901043GN00083XXXXXXX </v>
          </cell>
          <cell r="CN1359" t="str">
            <v>2024-08-26</v>
          </cell>
          <cell r="CO1359">
            <v>3523.2060000000001</v>
          </cell>
        </row>
        <row r="1360">
          <cell r="CJ1360" t="str">
            <v xml:space="preserve">NFT-423900923GN00109XXXXXXX </v>
          </cell>
          <cell r="CK1360" t="str">
            <v>2024-08-26</v>
          </cell>
          <cell r="CL1360">
            <v>7584.7809999999999</v>
          </cell>
        </row>
        <row r="1361">
          <cell r="CJ1361" t="str">
            <v xml:space="preserve">NFT-423900923GN00109XXXXXXX </v>
          </cell>
          <cell r="CK1361" t="str">
            <v>2024-08-26</v>
          </cell>
          <cell r="CL1361">
            <v>33657.288</v>
          </cell>
          <cell r="CM1361" t="str">
            <v xml:space="preserve">NFT-423901043GN00083XXXXXXX </v>
          </cell>
          <cell r="CN1361" t="str">
            <v>2024-08-26</v>
          </cell>
          <cell r="CO1361">
            <v>3523.2060000000001</v>
          </cell>
        </row>
        <row r="1362">
          <cell r="CJ1362" t="str">
            <v xml:space="preserve">NFT-423900923GN00109XXXXXXX </v>
          </cell>
          <cell r="CK1362" t="str">
            <v>2024-08-26</v>
          </cell>
          <cell r="CL1362">
            <v>8497.2019999999993</v>
          </cell>
          <cell r="CM1362" t="str">
            <v xml:space="preserve">NFT-423901043GN00083XXXXXXX </v>
          </cell>
          <cell r="CN1362" t="str">
            <v>2024-08-26</v>
          </cell>
          <cell r="CO1362">
            <v>953.17899999999997</v>
          </cell>
        </row>
        <row r="1363">
          <cell r="CJ1363" t="str">
            <v xml:space="preserve">NFT-424100932GN00157XXXXXXX </v>
          </cell>
          <cell r="CK1363" t="str">
            <v>2024-08-28</v>
          </cell>
          <cell r="CL1363">
            <v>-3537.6379999999999</v>
          </cell>
          <cell r="CM1363" t="str">
            <v xml:space="preserve">NFT-424100873GN00159XXXXXXX </v>
          </cell>
          <cell r="CN1363" t="str">
            <v>2024-08-28</v>
          </cell>
          <cell r="CO1363">
            <v>-33921.794000000002</v>
          </cell>
          <cell r="CP1363" t="str">
            <v xml:space="preserve">NFT-423900923GN00109XXXXXXX </v>
          </cell>
          <cell r="CQ1363" t="str">
            <v>2024-08-26</v>
          </cell>
          <cell r="CR1363">
            <v>33921.794000000002</v>
          </cell>
          <cell r="CS1363" t="str">
            <v xml:space="preserve">NFT-423901043GN00083XXXXXXX </v>
          </cell>
          <cell r="CT1363" t="str">
            <v>2024-08-26</v>
          </cell>
          <cell r="CU1363">
            <v>3537.6379999999999</v>
          </cell>
        </row>
        <row r="1364">
          <cell r="CJ1364" t="str">
            <v xml:space="preserve">NFT-423900923GN00109XXXXXXX </v>
          </cell>
          <cell r="CK1364" t="str">
            <v>2024-08-26</v>
          </cell>
          <cell r="CL1364">
            <v>6401.3649999999998</v>
          </cell>
          <cell r="CM1364" t="str">
            <v xml:space="preserve">NFT-423901043GN00083XXXXXXX </v>
          </cell>
          <cell r="CN1364" t="str">
            <v>2024-08-26</v>
          </cell>
          <cell r="CO1364">
            <v>1144.5899999999999</v>
          </cell>
        </row>
        <row r="1365">
          <cell r="CJ1365" t="str">
            <v xml:space="preserve">NFT-423900923GN00109XXXXXXX </v>
          </cell>
          <cell r="CK1365" t="str">
            <v>2024-08-26</v>
          </cell>
          <cell r="CL1365">
            <v>6382.4849999999997</v>
          </cell>
          <cell r="CM1365" t="str">
            <v xml:space="preserve">NFT-423901043GN00083XXXXXXX </v>
          </cell>
          <cell r="CN1365" t="str">
            <v>2024-08-26</v>
          </cell>
          <cell r="CO1365">
            <v>1144.5899999999999</v>
          </cell>
        </row>
        <row r="1366">
          <cell r="CJ1366" t="str">
            <v xml:space="preserve">NFT-423900923GN00109XXXXXXX </v>
          </cell>
          <cell r="CK1366" t="str">
            <v>2024-08-26</v>
          </cell>
          <cell r="CL1366">
            <v>2160.0160000000001</v>
          </cell>
        </row>
        <row r="1367">
          <cell r="CJ1367" t="str">
            <v xml:space="preserve">NFT-423900923GN00109XXXXXXX </v>
          </cell>
          <cell r="CK1367" t="str">
            <v>2024-08-26</v>
          </cell>
          <cell r="CL1367">
            <v>13557.424999999999</v>
          </cell>
          <cell r="CM1367" t="str">
            <v xml:space="preserve">NFT-423901043GN00083XXXXXXX </v>
          </cell>
          <cell r="CN1367" t="str">
            <v>2024-08-26</v>
          </cell>
          <cell r="CO1367">
            <v>1202.296</v>
          </cell>
        </row>
        <row r="1368">
          <cell r="CJ1368" t="str">
            <v xml:space="preserve">NFT-423900923GN00109XXXXXXX </v>
          </cell>
          <cell r="CK1368" t="str">
            <v>2024-08-26</v>
          </cell>
          <cell r="CL1368">
            <v>13107.982</v>
          </cell>
          <cell r="CM1368" t="str">
            <v xml:space="preserve">NFT-423901043GN00083XXXXXXX </v>
          </cell>
          <cell r="CN1368" t="str">
            <v>2024-08-26</v>
          </cell>
          <cell r="CO1368">
            <v>1964.0719999999999</v>
          </cell>
        </row>
        <row r="1369">
          <cell r="CJ1369" t="str">
            <v xml:space="preserve">NFT-423900923GN00109XXXXXXX </v>
          </cell>
          <cell r="CK1369" t="str">
            <v>2024-08-26</v>
          </cell>
          <cell r="CL1369">
            <v>13740.537</v>
          </cell>
          <cell r="CM1369" t="str">
            <v xml:space="preserve">NFT-423901043GN00083XXXXXXX </v>
          </cell>
          <cell r="CN1369" t="str">
            <v>2024-08-26</v>
          </cell>
          <cell r="CO1369">
            <v>1202.296</v>
          </cell>
        </row>
        <row r="1370">
          <cell r="CJ1370" t="str">
            <v xml:space="preserve">NFT-423900923GN00109XXXXXXX </v>
          </cell>
          <cell r="CK1370" t="str">
            <v>2024-08-26</v>
          </cell>
          <cell r="CL1370">
            <v>6382.4849999999997</v>
          </cell>
          <cell r="CM1370" t="str">
            <v xml:space="preserve">NFT-423901043GN00083XXXXXXX </v>
          </cell>
          <cell r="CN1370" t="str">
            <v>2024-08-26</v>
          </cell>
          <cell r="CO1370">
            <v>1144.5899999999999</v>
          </cell>
        </row>
        <row r="1371">
          <cell r="CJ1371" t="str">
            <v xml:space="preserve">NFT-423900923GN00109XXXXXXX </v>
          </cell>
          <cell r="CK1371" t="str">
            <v>2024-08-26</v>
          </cell>
          <cell r="CL1371">
            <v>13219.25</v>
          </cell>
          <cell r="CM1371" t="str">
            <v xml:space="preserve">NFT-423901043GN00083XXXXXXX </v>
          </cell>
          <cell r="CN1371" t="str">
            <v>2024-08-26</v>
          </cell>
          <cell r="CO1371">
            <v>909.154</v>
          </cell>
        </row>
        <row r="1372">
          <cell r="CJ1372" t="str">
            <v xml:space="preserve">NFT-423900923GN00109XXXXXXX </v>
          </cell>
          <cell r="CK1372" t="str">
            <v>2024-08-26</v>
          </cell>
          <cell r="CL1372">
            <v>13007.255999999999</v>
          </cell>
          <cell r="CM1372" t="str">
            <v xml:space="preserve">NFT-423901043GN00083XXXXXXX </v>
          </cell>
          <cell r="CN1372" t="str">
            <v>2024-08-26</v>
          </cell>
          <cell r="CO1372">
            <v>1954.4580000000001</v>
          </cell>
        </row>
        <row r="1373">
          <cell r="CJ1373" t="str">
            <v xml:space="preserve">NFT-423900923GN00109XXXXXXX </v>
          </cell>
          <cell r="CK1373" t="str">
            <v>2024-08-26</v>
          </cell>
          <cell r="CL1373">
            <v>12288.424999999999</v>
          </cell>
          <cell r="CM1373" t="str">
            <v xml:space="preserve">NFT-423901043GN00083XXXXXXX </v>
          </cell>
          <cell r="CN1373" t="str">
            <v>2024-08-26</v>
          </cell>
          <cell r="CO1373">
            <v>1839.981</v>
          </cell>
          <cell r="CP1373" t="str">
            <v xml:space="preserve">NFT-424300580GN00067XXXXXXX </v>
          </cell>
          <cell r="CQ1373" t="str">
            <v>2024-08-30</v>
          </cell>
          <cell r="CR1373">
            <v>-12288.424999999999</v>
          </cell>
          <cell r="CS1373" t="str">
            <v xml:space="preserve">NFT-424300980GN00254XXXXXXX </v>
          </cell>
          <cell r="CT1373" t="str">
            <v>2024-08-30</v>
          </cell>
          <cell r="CU1373">
            <v>-1839.981</v>
          </cell>
          <cell r="CV1373" t="str">
            <v xml:space="preserve">NFT-/XUTR/DEUTH024281A0KN4X </v>
          </cell>
          <cell r="CW1373" t="str">
            <v>2024-10-07</v>
          </cell>
          <cell r="CX1373">
            <v>12431.93</v>
          </cell>
        </row>
        <row r="1374">
          <cell r="CJ1374" t="str">
            <v xml:space="preserve">NFT-423900923GN00109XXXXXXX </v>
          </cell>
          <cell r="CK1374" t="str">
            <v>2024-08-26</v>
          </cell>
          <cell r="CL1374">
            <v>12288.424999999999</v>
          </cell>
          <cell r="CM1374" t="str">
            <v xml:space="preserve">NFT-423901043GN00083XXXXXXX </v>
          </cell>
          <cell r="CN1374" t="str">
            <v>2024-08-26</v>
          </cell>
          <cell r="CO1374">
            <v>1839.981</v>
          </cell>
        </row>
        <row r="1375">
          <cell r="CJ1375" t="str">
            <v xml:space="preserve">NFT-423900923GN00109XXXXXXX </v>
          </cell>
          <cell r="CK1375" t="str">
            <v>2024-08-26</v>
          </cell>
          <cell r="CL1375">
            <v>68439.843999999997</v>
          </cell>
          <cell r="CM1375" t="str">
            <v xml:space="preserve">NFT-423901043GN00083XXXXXXX </v>
          </cell>
          <cell r="CN1375" t="str">
            <v>2024-08-26</v>
          </cell>
          <cell r="CO1375">
            <v>6492.3980000000001</v>
          </cell>
        </row>
        <row r="1376">
          <cell r="CJ1376" t="str">
            <v xml:space="preserve">NFT-423900923GN00109XXXXXXX </v>
          </cell>
          <cell r="CK1376" t="str">
            <v>2024-08-26</v>
          </cell>
          <cell r="CL1376">
            <v>6401.3649999999998</v>
          </cell>
          <cell r="CM1376" t="str">
            <v xml:space="preserve">NFT-423901043GN00083XXXXXXX </v>
          </cell>
          <cell r="CN1376" t="str">
            <v>2024-08-26</v>
          </cell>
          <cell r="CO1376">
            <v>1144.5889999999999</v>
          </cell>
        </row>
        <row r="1377">
          <cell r="CJ1377" t="str">
            <v xml:space="preserve">NFT-423900923GN00109XXXXXXX </v>
          </cell>
          <cell r="CK1377" t="str">
            <v>2024-08-26</v>
          </cell>
          <cell r="CL1377">
            <v>68420.964999999997</v>
          </cell>
          <cell r="CM1377" t="str">
            <v xml:space="preserve">NFT-423901043GN00083XXXXXXX </v>
          </cell>
          <cell r="CN1377" t="str">
            <v>2024-08-26</v>
          </cell>
          <cell r="CO1377">
            <v>6492.4</v>
          </cell>
        </row>
        <row r="1378">
          <cell r="CJ1378" t="str">
            <v xml:space="preserve">NFT-423900923GN00109XXXXXXX </v>
          </cell>
          <cell r="CK1378" t="str">
            <v>2024-08-26</v>
          </cell>
          <cell r="CL1378">
            <v>6401.3649999999998</v>
          </cell>
          <cell r="CM1378" t="str">
            <v xml:space="preserve">NFT-423901043GN00083XXXXXXX </v>
          </cell>
          <cell r="CN1378" t="str">
            <v>2024-08-26</v>
          </cell>
          <cell r="CO1378">
            <v>1144.5899999999999</v>
          </cell>
        </row>
        <row r="1379">
          <cell r="CJ1379" t="str">
            <v xml:space="preserve">NFT-423900923GN00109XXXXXXX </v>
          </cell>
          <cell r="CK1379" t="str">
            <v>2024-08-26</v>
          </cell>
          <cell r="CL1379">
            <v>8279.2260000000006</v>
          </cell>
          <cell r="CM1379" t="str">
            <v xml:space="preserve">NFT-423901043GN00083XXXXXXX </v>
          </cell>
          <cell r="CN1379" t="str">
            <v>2024-08-26</v>
          </cell>
          <cell r="CO1379">
            <v>1479.3019999999999</v>
          </cell>
        </row>
        <row r="1380">
          <cell r="CJ1380" t="str">
            <v xml:space="preserve">NFT-423900923GN00109XXXXXXX </v>
          </cell>
          <cell r="CK1380" t="str">
            <v>2024-08-26</v>
          </cell>
          <cell r="CL1380">
            <v>8020.1350000000002</v>
          </cell>
          <cell r="CM1380" t="str">
            <v xml:space="preserve">NFT-423901043GN00083XXXXXXX </v>
          </cell>
          <cell r="CN1380" t="str">
            <v>2024-08-26</v>
          </cell>
          <cell r="CO1380">
            <v>1430.2539999999999</v>
          </cell>
        </row>
        <row r="1381">
          <cell r="CJ1381" t="str">
            <v xml:space="preserve">NFT-423900923GN00109XXXXXXX </v>
          </cell>
          <cell r="CK1381" t="str">
            <v>2024-08-26</v>
          </cell>
          <cell r="CL1381">
            <v>12185.505999999999</v>
          </cell>
          <cell r="CM1381" t="str">
            <v xml:space="preserve">NFT-423901043GN00083XXXXXXX </v>
          </cell>
          <cell r="CN1381" t="str">
            <v>2024-08-26</v>
          </cell>
          <cell r="CO1381">
            <v>1834.568</v>
          </cell>
        </row>
        <row r="1382">
          <cell r="CJ1382" t="str">
            <v xml:space="preserve">NFT-423900923GN00109XXXXXXX </v>
          </cell>
          <cell r="CK1382" t="str">
            <v>2024-08-26</v>
          </cell>
          <cell r="CL1382">
            <v>35316.457000000002</v>
          </cell>
          <cell r="CM1382" t="str">
            <v xml:space="preserve">NFT-423901043GN00083XXXXXXX </v>
          </cell>
          <cell r="CN1382" t="str">
            <v>2024-08-26</v>
          </cell>
          <cell r="CO1382">
            <v>1864.0360000000001</v>
          </cell>
        </row>
        <row r="1383">
          <cell r="CJ1383" t="str">
            <v xml:space="preserve">NFT-424100873GN00159XXXXXXX </v>
          </cell>
          <cell r="CK1383" t="str">
            <v>2024-08-28</v>
          </cell>
          <cell r="CL1383">
            <v>12988.376</v>
          </cell>
          <cell r="CM1383" t="str">
            <v xml:space="preserve">NFT-424100932GN00157XXXXXXX </v>
          </cell>
          <cell r="CN1383" t="str">
            <v>2024-08-28</v>
          </cell>
          <cell r="CO1383">
            <v>1954.4580000000001</v>
          </cell>
        </row>
        <row r="1384">
          <cell r="CJ1384" t="str">
            <v xml:space="preserve">NFT-423900923GN00109XXXXXXX </v>
          </cell>
          <cell r="CK1384" t="str">
            <v>2024-08-26</v>
          </cell>
          <cell r="CL1384">
            <v>12288.424999999999</v>
          </cell>
          <cell r="CM1384" t="str">
            <v xml:space="preserve">NFT-423901043GN00083XXXXXXX </v>
          </cell>
          <cell r="CN1384" t="str">
            <v>2024-08-26</v>
          </cell>
          <cell r="CO1384">
            <v>1839.981</v>
          </cell>
        </row>
        <row r="1385">
          <cell r="CJ1385" t="str">
            <v xml:space="preserve">NFT-423900923GN00109XXXXXXX </v>
          </cell>
          <cell r="CK1385" t="str">
            <v>2024-08-26</v>
          </cell>
          <cell r="CL1385">
            <v>8020.1350000000002</v>
          </cell>
          <cell r="CM1385" t="str">
            <v xml:space="preserve">NFT-423901043GN00083XXXXXXX </v>
          </cell>
          <cell r="CN1385" t="str">
            <v>2024-08-26</v>
          </cell>
          <cell r="CO1385">
            <v>1430.2550000000001</v>
          </cell>
        </row>
        <row r="1386">
          <cell r="CJ1386" t="str">
            <v xml:space="preserve">NFT-423900923GN00109XXXXXXX </v>
          </cell>
          <cell r="CK1386" t="str">
            <v>2024-08-26</v>
          </cell>
          <cell r="CL1386">
            <v>12288.424999999999</v>
          </cell>
          <cell r="CM1386" t="str">
            <v xml:space="preserve">NFT-423901043GN00083XXXXXXX </v>
          </cell>
          <cell r="CN1386" t="str">
            <v>2024-08-26</v>
          </cell>
          <cell r="CO1386">
            <v>1839.981</v>
          </cell>
        </row>
        <row r="1387">
          <cell r="CJ1387" t="str">
            <v xml:space="preserve">NFT-423900923GN00109XXXXXXX </v>
          </cell>
          <cell r="CK1387" t="str">
            <v>2024-08-26</v>
          </cell>
          <cell r="CL1387">
            <v>8520.2829999999994</v>
          </cell>
          <cell r="CM1387" t="str">
            <v xml:space="preserve">NFT-423901043GN00083XXXXXXX </v>
          </cell>
          <cell r="CN1387" t="str">
            <v>2024-08-26</v>
          </cell>
          <cell r="CO1387">
            <v>930.09699999999998</v>
          </cell>
        </row>
        <row r="1388">
          <cell r="CJ1388" t="str">
            <v xml:space="preserve">NFT-423900923GN00109XXXXXXX </v>
          </cell>
          <cell r="CK1388" t="str">
            <v>2024-08-26</v>
          </cell>
          <cell r="CL1388">
            <v>12288.424999999999</v>
          </cell>
          <cell r="CM1388" t="str">
            <v xml:space="preserve">NFT-423901043GN00083XXXXXXX </v>
          </cell>
          <cell r="CN1388" t="str">
            <v>2024-08-26</v>
          </cell>
          <cell r="CO1388">
            <v>1839.981</v>
          </cell>
        </row>
        <row r="1389">
          <cell r="CJ1389" t="str">
            <v xml:space="preserve">NFT-424100873GN00159XXXXXXX </v>
          </cell>
          <cell r="CK1389" t="str">
            <v>2024-08-28</v>
          </cell>
          <cell r="CL1389">
            <v>33940.675000000003</v>
          </cell>
          <cell r="CM1389" t="str">
            <v xml:space="preserve">NFT-424100932GN00157XXXXXXX </v>
          </cell>
          <cell r="CN1389" t="str">
            <v>2024-08-28</v>
          </cell>
          <cell r="CO1389">
            <v>3537.636</v>
          </cell>
        </row>
        <row r="1390">
          <cell r="CJ1390" t="str">
            <v xml:space="preserve">NFT-423900923GN00109XXXXXXX </v>
          </cell>
          <cell r="CK1390" t="str">
            <v>2024-08-26</v>
          </cell>
          <cell r="CL1390">
            <v>12288.424999999999</v>
          </cell>
          <cell r="CM1390" t="str">
            <v xml:space="preserve">NFT-423901043GN00083XXXXXXX </v>
          </cell>
          <cell r="CN1390" t="str">
            <v>2024-08-26</v>
          </cell>
          <cell r="CO1390">
            <v>1839.981</v>
          </cell>
        </row>
        <row r="1391">
          <cell r="CJ1391" t="str">
            <v xml:space="preserve">NFT-423900923GN00109XXXXXXX </v>
          </cell>
          <cell r="CK1391" t="str">
            <v>2024-08-26</v>
          </cell>
          <cell r="CL1391">
            <v>12988.376</v>
          </cell>
          <cell r="CM1391" t="str">
            <v xml:space="preserve">NFT-423901043GN00083XXXXXXX </v>
          </cell>
          <cell r="CN1391" t="str">
            <v>2024-08-26</v>
          </cell>
          <cell r="CO1391">
            <v>1954.4580000000001</v>
          </cell>
        </row>
        <row r="1392">
          <cell r="CJ1392" t="str">
            <v xml:space="preserve">NFT-423900923GN00109XXXXXXX </v>
          </cell>
          <cell r="CK1392" t="str">
            <v>2024-08-26</v>
          </cell>
          <cell r="CL1392">
            <v>12185.505999999999</v>
          </cell>
          <cell r="CM1392" t="str">
            <v xml:space="preserve">NFT-423901043GN00083XXXXXXX </v>
          </cell>
          <cell r="CN1392" t="str">
            <v>2024-08-26</v>
          </cell>
          <cell r="CO1392">
            <v>1834.568</v>
          </cell>
        </row>
        <row r="1393">
          <cell r="CJ1393" t="str">
            <v xml:space="preserve">NFT-423900923GN00109XXXXXXX </v>
          </cell>
          <cell r="CK1393" t="str">
            <v>2024-08-26</v>
          </cell>
          <cell r="CL1393">
            <v>26446.44</v>
          </cell>
          <cell r="CM1393" t="str">
            <v xml:space="preserve">NFT-423901043GN00083XXXXXXX </v>
          </cell>
          <cell r="CN1393" t="str">
            <v>2024-08-26</v>
          </cell>
          <cell r="CO1393">
            <v>3720.3820000000001</v>
          </cell>
        </row>
        <row r="1394">
          <cell r="CJ1394" t="str">
            <v xml:space="preserve">NFT-423900923GN00109XXXXXXX </v>
          </cell>
          <cell r="CK1394" t="str">
            <v>2024-08-26</v>
          </cell>
          <cell r="CL1394">
            <v>26871.712</v>
          </cell>
          <cell r="CM1394" t="str">
            <v xml:space="preserve">NFT-423901043GN00083XXXXXXX </v>
          </cell>
          <cell r="CN1394" t="str">
            <v>2024-08-26</v>
          </cell>
          <cell r="CO1394">
            <v>1422.87</v>
          </cell>
        </row>
        <row r="1395">
          <cell r="CJ1395" t="str">
            <v xml:space="preserve">NFT-423900923GN00109XXXXXXX </v>
          </cell>
          <cell r="CK1395" t="str">
            <v>2024-08-26</v>
          </cell>
          <cell r="CL1395">
            <v>13759.416999999999</v>
          </cell>
          <cell r="CM1395" t="str">
            <v xml:space="preserve">NFT-423901043GN00083XXXXXXX </v>
          </cell>
          <cell r="CN1395" t="str">
            <v>2024-08-26</v>
          </cell>
          <cell r="CO1395">
            <v>1202.296</v>
          </cell>
        </row>
        <row r="1396">
          <cell r="CJ1396" t="str">
            <v xml:space="preserve">NFT-423900923GN00109XXXXXXX </v>
          </cell>
          <cell r="CK1396" t="str">
            <v>2024-08-26</v>
          </cell>
          <cell r="CL1396">
            <v>72027.853000000003</v>
          </cell>
          <cell r="CM1396" t="str">
            <v xml:space="preserve">NFT-423901043GN00083XXXXXXX </v>
          </cell>
          <cell r="CN1396" t="str">
            <v>2024-08-26</v>
          </cell>
          <cell r="CO1396">
            <v>2885.511</v>
          </cell>
        </row>
        <row r="1397">
          <cell r="CJ1397" t="str">
            <v xml:space="preserve">NFT-423900923GN00109XXXXXXX </v>
          </cell>
          <cell r="CK1397" t="str">
            <v>2024-08-26</v>
          </cell>
          <cell r="CL1397">
            <v>6450.4120000000003</v>
          </cell>
          <cell r="CM1397" t="str">
            <v xml:space="preserve">NFT-423901043GN00083XXXXXXX </v>
          </cell>
          <cell r="CN1397" t="str">
            <v>2024-08-26</v>
          </cell>
          <cell r="CO1397">
            <v>1153.2380000000001</v>
          </cell>
        </row>
        <row r="1398">
          <cell r="CJ1398" t="str">
            <v xml:space="preserve">NFT-423900923GN00109XXXXXXX </v>
          </cell>
          <cell r="CK1398" t="str">
            <v>2024-08-26</v>
          </cell>
          <cell r="CL1398">
            <v>6382.4849999999997</v>
          </cell>
          <cell r="CM1398" t="str">
            <v xml:space="preserve">NFT-423901043GN00083XXXXXXX </v>
          </cell>
          <cell r="CN1398" t="str">
            <v>2024-08-26</v>
          </cell>
          <cell r="CO1398">
            <v>1144.5899999999999</v>
          </cell>
        </row>
        <row r="1399">
          <cell r="CJ1399" t="str">
            <v xml:space="preserve">NFT-423900923GN00109XXXXXXX </v>
          </cell>
          <cell r="CK1399" t="str">
            <v>2024-08-26</v>
          </cell>
          <cell r="CL1399">
            <v>6382.4849999999997</v>
          </cell>
          <cell r="CM1399" t="str">
            <v xml:space="preserve">NFT-423901043GN00083XXXXXXX </v>
          </cell>
          <cell r="CN1399" t="str">
            <v>2024-08-26</v>
          </cell>
          <cell r="CO1399">
            <v>1144.5899999999999</v>
          </cell>
        </row>
        <row r="1400">
          <cell r="CJ1400" t="str">
            <v xml:space="preserve">NFT-423900923GN00109XXXXXXX </v>
          </cell>
          <cell r="CK1400" t="str">
            <v>2024-08-26</v>
          </cell>
          <cell r="CL1400">
            <v>12288.424999999999</v>
          </cell>
          <cell r="CM1400" t="str">
            <v xml:space="preserve">NFT-423901043GN00083XXXXXXX </v>
          </cell>
          <cell r="CN1400" t="str">
            <v>2024-08-26</v>
          </cell>
          <cell r="CO1400">
            <v>1839.981</v>
          </cell>
        </row>
        <row r="1401">
          <cell r="CJ1401" t="str">
            <v xml:space="preserve">NFT-423900923GN00109XXXXXXX </v>
          </cell>
          <cell r="CK1401" t="str">
            <v>2024-08-26</v>
          </cell>
          <cell r="CL1401">
            <v>13740.537</v>
          </cell>
          <cell r="CM1401" t="str">
            <v xml:space="preserve">NFT-423901043GN00083XXXXXXX </v>
          </cell>
          <cell r="CN1401" t="str">
            <v>2024-08-26</v>
          </cell>
          <cell r="CO1401">
            <v>1202.296</v>
          </cell>
        </row>
        <row r="1402">
          <cell r="CJ1402" t="str">
            <v xml:space="preserve">NFT-424100873GN00159XXXXXXX </v>
          </cell>
          <cell r="CK1402" t="str">
            <v>2024-08-28</v>
          </cell>
          <cell r="CL1402">
            <v>12288.424999999999</v>
          </cell>
          <cell r="CM1402" t="str">
            <v xml:space="preserve">NFT-424100932GN00157XXXXXXX </v>
          </cell>
          <cell r="CN1402" t="str">
            <v>2024-08-28</v>
          </cell>
          <cell r="CO1402">
            <v>1839.981</v>
          </cell>
        </row>
        <row r="1403">
          <cell r="CJ1403" t="str">
            <v xml:space="preserve">NFT-423900923GN00109XXXXXXX </v>
          </cell>
          <cell r="CK1403" t="str">
            <v>2024-08-26</v>
          </cell>
          <cell r="CL1403">
            <v>12204.386</v>
          </cell>
          <cell r="CM1403" t="str">
            <v xml:space="preserve">NFT-423901043GN00083XXXXXXX </v>
          </cell>
          <cell r="CN1403" t="str">
            <v>2024-08-26</v>
          </cell>
          <cell r="CO1403">
            <v>1834.568</v>
          </cell>
        </row>
        <row r="1404">
          <cell r="CJ1404" t="str">
            <v xml:space="preserve">NFT-423900923GN00109XXXXXXX </v>
          </cell>
          <cell r="CK1404" t="str">
            <v>2024-08-26</v>
          </cell>
          <cell r="CL1404">
            <v>12185.505999999999</v>
          </cell>
          <cell r="CM1404" t="str">
            <v xml:space="preserve">NFT-423901043GN00083XXXXXXX </v>
          </cell>
          <cell r="CN1404" t="str">
            <v>2024-08-26</v>
          </cell>
          <cell r="CO1404">
            <v>1834.568</v>
          </cell>
        </row>
        <row r="1405">
          <cell r="CJ1405" t="str">
            <v xml:space="preserve">NFT-423900923GN00109XXXXXXX </v>
          </cell>
          <cell r="CK1405" t="str">
            <v>2024-08-26</v>
          </cell>
          <cell r="CL1405">
            <v>12185.505999999999</v>
          </cell>
          <cell r="CM1405" t="str">
            <v xml:space="preserve">NFT-423901043GN00083XXXXXXX </v>
          </cell>
          <cell r="CN1405" t="str">
            <v>2024-08-26</v>
          </cell>
          <cell r="CO1405">
            <v>1834.568</v>
          </cell>
        </row>
        <row r="1406">
          <cell r="CJ1406" t="str">
            <v xml:space="preserve">NFT-423900923GN00109XXXXXXX </v>
          </cell>
          <cell r="CK1406" t="str">
            <v>2024-08-26</v>
          </cell>
          <cell r="CL1406">
            <v>12185.505999999999</v>
          </cell>
          <cell r="CM1406" t="str">
            <v xml:space="preserve">NFT-423901043GN00083XXXXXXX </v>
          </cell>
          <cell r="CN1406" t="str">
            <v>2024-08-26</v>
          </cell>
          <cell r="CO1406">
            <v>1834.568</v>
          </cell>
        </row>
        <row r="1407">
          <cell r="CJ1407" t="str">
            <v xml:space="preserve">NFT-423900923GN00109XXXXXXX </v>
          </cell>
          <cell r="CK1407" t="str">
            <v>2024-08-26</v>
          </cell>
          <cell r="CL1407">
            <v>11533.575999999999</v>
          </cell>
          <cell r="CM1407" t="str">
            <v xml:space="preserve">NFT-423901043GN00083XXXXXXX </v>
          </cell>
          <cell r="CN1407" t="str">
            <v>2024-08-26</v>
          </cell>
          <cell r="CO1407">
            <v>2505.377</v>
          </cell>
        </row>
        <row r="1408">
          <cell r="CJ1408" t="str">
            <v xml:space="preserve">NFT-423900923GN00109XXXXXXX </v>
          </cell>
          <cell r="CK1408" t="str">
            <v>2024-08-26</v>
          </cell>
          <cell r="CL1408">
            <v>12288.424999999999</v>
          </cell>
          <cell r="CM1408" t="str">
            <v xml:space="preserve">NFT-423901043GN00083XXXXXXX </v>
          </cell>
          <cell r="CN1408" t="str">
            <v>2024-08-26</v>
          </cell>
          <cell r="CO1408">
            <v>1839.981</v>
          </cell>
        </row>
        <row r="1409">
          <cell r="CJ1409" t="str">
            <v xml:space="preserve">NFT-423900923GN00109XXXXXXX </v>
          </cell>
          <cell r="CK1409" t="str">
            <v>2024-08-26</v>
          </cell>
          <cell r="CL1409">
            <v>12740.749</v>
          </cell>
          <cell r="CM1409" t="str">
            <v xml:space="preserve">NFT-423901043GN00083XXXXXXX </v>
          </cell>
          <cell r="CN1409" t="str">
            <v>2024-08-26</v>
          </cell>
          <cell r="CO1409">
            <v>1387.6569999999999</v>
          </cell>
        </row>
        <row r="1410">
          <cell r="CJ1410" t="str">
            <v xml:space="preserve">NFT-423900923GN00109XXXXXXX </v>
          </cell>
          <cell r="CK1410" t="str">
            <v>2024-08-26</v>
          </cell>
          <cell r="CL1410">
            <v>68439.845000000001</v>
          </cell>
          <cell r="CM1410" t="str">
            <v xml:space="preserve">NFT-423901043GN00083XXXXXXX </v>
          </cell>
          <cell r="CN1410" t="str">
            <v>2024-08-26</v>
          </cell>
          <cell r="CO1410">
            <v>6492.4</v>
          </cell>
        </row>
        <row r="1411">
          <cell r="CJ1411" t="str">
            <v xml:space="preserve">NFT-423900923GN00109XXXXXXX </v>
          </cell>
          <cell r="CK1411" t="str">
            <v>2024-08-26</v>
          </cell>
          <cell r="CL1411">
            <v>12988.376</v>
          </cell>
          <cell r="CM1411" t="str">
            <v xml:space="preserve">NFT-423901043GN00083XXXXXXX </v>
          </cell>
          <cell r="CN1411" t="str">
            <v>2024-08-26</v>
          </cell>
          <cell r="CO1411">
            <v>1954.4580000000001</v>
          </cell>
        </row>
        <row r="1412">
          <cell r="CJ1412" t="str">
            <v xml:space="preserve">NFT-423900923GN00109XXXXXXX </v>
          </cell>
          <cell r="CK1412" t="str">
            <v>2024-08-26</v>
          </cell>
          <cell r="CL1412">
            <v>12304.599</v>
          </cell>
          <cell r="CM1412" t="str">
            <v xml:space="preserve">NFT-423901043GN00083XXXXXXX </v>
          </cell>
          <cell r="CN1412" t="str">
            <v>2024-08-26</v>
          </cell>
          <cell r="CO1412">
            <v>1842.6869999999999</v>
          </cell>
        </row>
        <row r="1413">
          <cell r="CJ1413" t="str">
            <v xml:space="preserve">NFT-423900923GN00109XXXXXXX </v>
          </cell>
          <cell r="CK1413" t="str">
            <v>2024-08-26</v>
          </cell>
          <cell r="CL1413">
            <v>12288.424999999999</v>
          </cell>
          <cell r="CM1413" t="str">
            <v xml:space="preserve">NFT-423901043GN00083XXXXXXX </v>
          </cell>
          <cell r="CN1413" t="str">
            <v>2024-08-26</v>
          </cell>
          <cell r="CO1413">
            <v>1839.981</v>
          </cell>
        </row>
        <row r="1414">
          <cell r="CJ1414" t="str">
            <v xml:space="preserve">NFT-423900923GN00109XXXXXXX </v>
          </cell>
          <cell r="CK1414" t="str">
            <v>2024-08-26</v>
          </cell>
          <cell r="CL1414">
            <v>33940.675000000003</v>
          </cell>
          <cell r="CM1414" t="str">
            <v xml:space="preserve">NFT-423901043GN00083XXXXXXX </v>
          </cell>
          <cell r="CN1414" t="str">
            <v>2024-08-26</v>
          </cell>
          <cell r="CO1414">
            <v>3537.636</v>
          </cell>
        </row>
        <row r="1415">
          <cell r="CJ1415" t="str">
            <v xml:space="preserve">NFT-423900923GN00109XXXXXXX </v>
          </cell>
          <cell r="CK1415" t="str">
            <v>2024-08-26</v>
          </cell>
          <cell r="CL1415">
            <v>33921.794000000002</v>
          </cell>
          <cell r="CM1415" t="str">
            <v xml:space="preserve">NFT-423901043GN00083XXXXXXX </v>
          </cell>
          <cell r="CN1415" t="str">
            <v>2024-08-26</v>
          </cell>
          <cell r="CO1415">
            <v>3537.6379999999999</v>
          </cell>
        </row>
        <row r="1416">
          <cell r="CJ1416" t="str">
            <v xml:space="preserve">NFT-423900923GN00109XXXXXXX </v>
          </cell>
          <cell r="CK1416" t="str">
            <v>2024-08-26</v>
          </cell>
          <cell r="CL1416">
            <v>13547.811</v>
          </cell>
          <cell r="CM1416" t="str">
            <v xml:space="preserve">NFT-423901043GN00083XXXXXXX </v>
          </cell>
          <cell r="CN1416" t="str">
            <v>2024-08-26</v>
          </cell>
          <cell r="CO1416">
            <v>1202.296</v>
          </cell>
        </row>
        <row r="1417">
          <cell r="CJ1417" t="str">
            <v xml:space="preserve">NFT-423900923GN00109XXXXXXX </v>
          </cell>
          <cell r="CK1417" t="str">
            <v>2024-08-26</v>
          </cell>
          <cell r="CL1417">
            <v>6764.3329999999996</v>
          </cell>
          <cell r="CM1417" t="str">
            <v xml:space="preserve">NFT-423901043GN00083XXXXXXX </v>
          </cell>
          <cell r="CN1417" t="str">
            <v>2024-08-26</v>
          </cell>
          <cell r="CO1417">
            <v>762.73099999999999</v>
          </cell>
        </row>
        <row r="1418">
          <cell r="CJ1418" t="str">
            <v xml:space="preserve">NFT-423900923GN00109XXXXXXX </v>
          </cell>
          <cell r="CK1418" t="str">
            <v>2024-08-26</v>
          </cell>
          <cell r="CL1418">
            <v>12988.376</v>
          </cell>
          <cell r="CM1418" t="str">
            <v xml:space="preserve">NFT-423901043GN00083XXXXXXX </v>
          </cell>
          <cell r="CN1418" t="str">
            <v>2024-08-26</v>
          </cell>
          <cell r="CO1418">
            <v>1954.4580000000001</v>
          </cell>
        </row>
        <row r="1419">
          <cell r="CJ1419" t="str">
            <v xml:space="preserve">NFT-423900923GN00109XXXXXXX </v>
          </cell>
          <cell r="CK1419" t="str">
            <v>2024-08-26</v>
          </cell>
          <cell r="CL1419">
            <v>12288.424999999999</v>
          </cell>
          <cell r="CM1419" t="str">
            <v xml:space="preserve">NFT-423901043GN00083XXXXXXX </v>
          </cell>
          <cell r="CN1419" t="str">
            <v>2024-08-26</v>
          </cell>
          <cell r="CO1419">
            <v>1839.981</v>
          </cell>
        </row>
        <row r="1420">
          <cell r="CJ1420" t="str">
            <v xml:space="preserve">NFT-423900923GN00109XXXXXXX </v>
          </cell>
          <cell r="CK1420" t="str">
            <v>2024-08-26</v>
          </cell>
          <cell r="CL1420">
            <v>12307.305</v>
          </cell>
          <cell r="CM1420" t="str">
            <v xml:space="preserve">NFT-423901043GN00083XXXXXXX </v>
          </cell>
          <cell r="CN1420" t="str">
            <v>2024-08-26</v>
          </cell>
          <cell r="CO1420">
            <v>1839.981</v>
          </cell>
        </row>
        <row r="1421">
          <cell r="CJ1421" t="str">
            <v xml:space="preserve">NFT-423900923GN00109XXXXXXX </v>
          </cell>
          <cell r="CK1421" t="str">
            <v>2024-08-26</v>
          </cell>
          <cell r="CL1421">
            <v>13759.416999999999</v>
          </cell>
          <cell r="CM1421" t="str">
            <v xml:space="preserve">NFT-423901043GN00083XXXXXXX </v>
          </cell>
          <cell r="CN1421" t="str">
            <v>2024-08-26</v>
          </cell>
          <cell r="CO1421">
            <v>1202.296</v>
          </cell>
        </row>
        <row r="1422">
          <cell r="CJ1422" t="str">
            <v xml:space="preserve">NFT-423900923GN00109XXXXXXX </v>
          </cell>
          <cell r="CK1422" t="str">
            <v>2024-08-26</v>
          </cell>
          <cell r="CL1422">
            <v>12288.424999999999</v>
          </cell>
          <cell r="CM1422" t="str">
            <v xml:space="preserve">NFT-423901043GN00083XXXXXXX </v>
          </cell>
          <cell r="CN1422" t="str">
            <v>2024-08-26</v>
          </cell>
          <cell r="CO1422">
            <v>1839.981</v>
          </cell>
        </row>
        <row r="1423">
          <cell r="CJ1423" t="str">
            <v xml:space="preserve">NFT-423900923GN00109XXXXXXX </v>
          </cell>
          <cell r="CK1423" t="str">
            <v>2024-08-26</v>
          </cell>
          <cell r="CL1423">
            <v>6382.4849999999997</v>
          </cell>
          <cell r="CM1423" t="str">
            <v xml:space="preserve">NFT-423901043GN00083XXXXXXX </v>
          </cell>
          <cell r="CN1423" t="str">
            <v>2024-08-26</v>
          </cell>
          <cell r="CO1423">
            <v>1144.5899999999999</v>
          </cell>
        </row>
        <row r="1424">
          <cell r="CJ1424" t="str">
            <v xml:space="preserve">NFT-423900923GN00109XXXXXXX </v>
          </cell>
          <cell r="CK1424" t="str">
            <v>2024-08-26</v>
          </cell>
          <cell r="CL1424">
            <v>12307.305</v>
          </cell>
          <cell r="CM1424" t="str">
            <v xml:space="preserve">NFT-423901043GN00083XXXXXXX </v>
          </cell>
          <cell r="CN1424" t="str">
            <v>2024-08-26</v>
          </cell>
          <cell r="CO1424">
            <v>1839.98</v>
          </cell>
        </row>
        <row r="1425">
          <cell r="CJ1425" t="str">
            <v xml:space="preserve">NFT-423900923GN00109XXXXXXX </v>
          </cell>
          <cell r="CK1425" t="str">
            <v>2024-08-26</v>
          </cell>
          <cell r="CL1425">
            <v>33921.794000000002</v>
          </cell>
          <cell r="CM1425" t="str">
            <v xml:space="preserve">NFT-423901043GN00083XXXXXXX </v>
          </cell>
          <cell r="CN1425" t="str">
            <v>2024-08-26</v>
          </cell>
          <cell r="CO1425">
            <v>3537.6379999999999</v>
          </cell>
        </row>
        <row r="1426">
          <cell r="CJ1426" t="str">
            <v xml:space="preserve">NFT-423900923GN00109XXXXXXX </v>
          </cell>
          <cell r="CK1426" t="str">
            <v>2024-08-26</v>
          </cell>
          <cell r="CL1426">
            <v>35599.843000000001</v>
          </cell>
          <cell r="CM1426" t="str">
            <v xml:space="preserve">NFT-423901043GN00083XXXXXXX </v>
          </cell>
          <cell r="CN1426" t="str">
            <v>2024-08-26</v>
          </cell>
          <cell r="CO1426">
            <v>1878.4690000000001</v>
          </cell>
        </row>
        <row r="1427">
          <cell r="CJ1427" t="str">
            <v xml:space="preserve">NFT-423900923GN00109XXXXXXX </v>
          </cell>
          <cell r="CK1427" t="str">
            <v>2024-08-26</v>
          </cell>
          <cell r="CL1427">
            <v>12988.376</v>
          </cell>
          <cell r="CM1427" t="str">
            <v xml:space="preserve">NFT-423901043GN00083XXXXXXX </v>
          </cell>
          <cell r="CN1427" t="str">
            <v>2024-08-26</v>
          </cell>
          <cell r="CO1427">
            <v>1954.4580000000001</v>
          </cell>
        </row>
        <row r="1428">
          <cell r="CJ1428" t="str">
            <v xml:space="preserve">NFT-424100873GN00159XXXXXXX </v>
          </cell>
          <cell r="CK1428" t="str">
            <v>2024-08-28</v>
          </cell>
          <cell r="CL1428">
            <v>6382.4849999999997</v>
          </cell>
          <cell r="CM1428" t="str">
            <v xml:space="preserve">NFT-424100932GN00157XXXXXXX </v>
          </cell>
          <cell r="CN1428" t="str">
            <v>2024-08-28</v>
          </cell>
          <cell r="CO1428">
            <v>1144.5899999999999</v>
          </cell>
        </row>
        <row r="1429">
          <cell r="CJ1429" t="str">
            <v xml:space="preserve">NFT-423900923GN00109XXXXXXX </v>
          </cell>
          <cell r="CK1429" t="str">
            <v>2024-08-26</v>
          </cell>
          <cell r="CL1429">
            <v>13007.255999999999</v>
          </cell>
          <cell r="CM1429" t="str">
            <v xml:space="preserve">NFT-423901043GN00083XXXXXXX </v>
          </cell>
          <cell r="CN1429" t="str">
            <v>2024-08-26</v>
          </cell>
          <cell r="CO1429">
            <v>1954.4580000000001</v>
          </cell>
        </row>
        <row r="1430">
          <cell r="CJ1430" t="str">
            <v xml:space="preserve">NFT-423900923GN00109XXXXXXX </v>
          </cell>
          <cell r="CK1430" t="str">
            <v>2024-08-26</v>
          </cell>
          <cell r="CL1430">
            <v>12288.424999999999</v>
          </cell>
          <cell r="CM1430" t="str">
            <v xml:space="preserve">NFT-423901043GN00083XXXXXXX </v>
          </cell>
          <cell r="CN1430" t="str">
            <v>2024-08-26</v>
          </cell>
          <cell r="CO1430">
            <v>1839.981</v>
          </cell>
        </row>
        <row r="1431">
          <cell r="CJ1431" t="str">
            <v xml:space="preserve">NFT-423900923GN00109XXXXXXX </v>
          </cell>
          <cell r="CK1431" t="str">
            <v>2024-08-26</v>
          </cell>
          <cell r="CL1431">
            <v>12288.424999999999</v>
          </cell>
          <cell r="CM1431" t="str">
            <v xml:space="preserve">NFT-423901043GN00083XXXXXXX </v>
          </cell>
          <cell r="CN1431" t="str">
            <v>2024-08-26</v>
          </cell>
          <cell r="CO1431">
            <v>1839.981</v>
          </cell>
        </row>
        <row r="1432">
          <cell r="CJ1432" t="str">
            <v xml:space="preserve">NFT-423900923GN00109XXXXXXX </v>
          </cell>
          <cell r="CK1432" t="str">
            <v>2024-08-26</v>
          </cell>
          <cell r="CL1432">
            <v>67989.7</v>
          </cell>
          <cell r="CM1432" t="str">
            <v xml:space="preserve">NFT-423901043GN00083XXXXXXX </v>
          </cell>
          <cell r="CN1432" t="str">
            <v>2024-08-26</v>
          </cell>
          <cell r="CO1432">
            <v>6942.5439999999999</v>
          </cell>
        </row>
        <row r="1433">
          <cell r="CJ1433" t="str">
            <v xml:space="preserve">NFT-423900923GN00109XXXXXXX </v>
          </cell>
          <cell r="CK1433" t="str">
            <v>2024-08-26</v>
          </cell>
          <cell r="CL1433">
            <v>13126.861999999999</v>
          </cell>
          <cell r="CM1433" t="str">
            <v xml:space="preserve">NFT-423901043GN00083XXXXXXX </v>
          </cell>
          <cell r="CN1433" t="str">
            <v>2024-08-26</v>
          </cell>
          <cell r="CO1433">
            <v>1965.9939999999999</v>
          </cell>
        </row>
        <row r="1434">
          <cell r="CJ1434" t="str">
            <v xml:space="preserve">NFT-423900923GN00109XXXXXXX </v>
          </cell>
          <cell r="CK1434" t="str">
            <v>2024-08-26</v>
          </cell>
          <cell r="CL1434">
            <v>7527.0649999999996</v>
          </cell>
        </row>
        <row r="1435">
          <cell r="CJ1435" t="str">
            <v xml:space="preserve">NFT-423900923GN00109XXXXXXX </v>
          </cell>
          <cell r="CK1435" t="str">
            <v>2024-08-26</v>
          </cell>
          <cell r="CL1435">
            <v>12288.424999999999</v>
          </cell>
          <cell r="CM1435" t="str">
            <v xml:space="preserve">NFT-423901043GN00083XXXXXXX </v>
          </cell>
          <cell r="CN1435" t="str">
            <v>2024-08-26</v>
          </cell>
          <cell r="CO1435">
            <v>1839.981</v>
          </cell>
        </row>
        <row r="1436">
          <cell r="CJ1436" t="str">
            <v xml:space="preserve">NFT-423900923GN00109XXXXXXX </v>
          </cell>
          <cell r="CK1436" t="str">
            <v>2024-08-26</v>
          </cell>
          <cell r="CL1436">
            <v>72071.11</v>
          </cell>
          <cell r="CM1436" t="str">
            <v xml:space="preserve">NFT-423901043GN00083XXXXXXX </v>
          </cell>
          <cell r="CN1436" t="str">
            <v>2024-08-26</v>
          </cell>
          <cell r="CO1436">
            <v>2885.51</v>
          </cell>
        </row>
        <row r="1437">
          <cell r="CJ1437" t="str">
            <v xml:space="preserve">NFT-423900923GN00109XXXXXXX </v>
          </cell>
          <cell r="CK1437" t="str">
            <v>2024-08-26</v>
          </cell>
          <cell r="CL1437">
            <v>12288.424999999999</v>
          </cell>
          <cell r="CM1437" t="str">
            <v xml:space="preserve">NFT-423901043GN00083XXXXXXX </v>
          </cell>
          <cell r="CN1437" t="str">
            <v>2024-08-26</v>
          </cell>
          <cell r="CO1437">
            <v>1839.981</v>
          </cell>
        </row>
        <row r="1438">
          <cell r="CJ1438" t="str">
            <v xml:space="preserve">NFT-423900923GN00109XXXXXXX </v>
          </cell>
          <cell r="CK1438" t="str">
            <v>2024-08-26</v>
          </cell>
          <cell r="CL1438">
            <v>11975.138999999999</v>
          </cell>
          <cell r="CM1438" t="str">
            <v xml:space="preserve">NFT-423901043GN00083XXXXXXX </v>
          </cell>
          <cell r="CN1438" t="str">
            <v>2024-08-26</v>
          </cell>
          <cell r="CO1438">
            <v>2153.2660000000001</v>
          </cell>
        </row>
        <row r="1439">
          <cell r="CJ1439" t="str">
            <v xml:space="preserve">NFT-423900923GN00109XXXXXXX </v>
          </cell>
          <cell r="CK1439" t="str">
            <v>2024-08-26</v>
          </cell>
          <cell r="CL1439">
            <v>72071.11</v>
          </cell>
          <cell r="CM1439" t="str">
            <v xml:space="preserve">NFT-423901043GN00083XXXXXXX </v>
          </cell>
          <cell r="CN1439" t="str">
            <v>2024-08-26</v>
          </cell>
          <cell r="CO1439">
            <v>2885.51</v>
          </cell>
        </row>
        <row r="1440">
          <cell r="CJ1440" t="str">
            <v xml:space="preserve">NFT-423900923GN00109XXXXXXX </v>
          </cell>
          <cell r="CK1440" t="str">
            <v>2024-08-26</v>
          </cell>
          <cell r="CL1440">
            <v>13416.971</v>
          </cell>
          <cell r="CM1440" t="str">
            <v xml:space="preserve">NFT-423901043GN00083XXXXXXX </v>
          </cell>
          <cell r="CN1440" t="str">
            <v>2024-08-26</v>
          </cell>
          <cell r="CO1440">
            <v>711.43499999999995</v>
          </cell>
        </row>
        <row r="1441">
          <cell r="CJ1441" t="str">
            <v xml:space="preserve">NFT-423900923GN00109XXXXXXX </v>
          </cell>
          <cell r="CK1441" t="str">
            <v>2024-08-26</v>
          </cell>
          <cell r="CL1441">
            <v>6401.3649999999998</v>
          </cell>
          <cell r="CM1441" t="str">
            <v xml:space="preserve">NFT-423901043GN00083XXXXXXX </v>
          </cell>
          <cell r="CN1441" t="str">
            <v>2024-08-26</v>
          </cell>
          <cell r="CO1441">
            <v>1144.5889999999999</v>
          </cell>
        </row>
        <row r="1442">
          <cell r="CJ1442" t="str">
            <v xml:space="preserve">NFT-423900923GN00109XXXXXXX </v>
          </cell>
          <cell r="CK1442" t="str">
            <v>2024-08-26</v>
          </cell>
          <cell r="CL1442">
            <v>13759.416999999999</v>
          </cell>
          <cell r="CM1442" t="str">
            <v xml:space="preserve">NFT-423901043GN00083XXXXXXX </v>
          </cell>
          <cell r="CN1442" t="str">
            <v>2024-08-26</v>
          </cell>
          <cell r="CO1442">
            <v>1202.296</v>
          </cell>
        </row>
        <row r="1443">
          <cell r="CJ1443" t="str">
            <v xml:space="preserve">NFT-423900923GN00109XXXXXXX </v>
          </cell>
          <cell r="CK1443" t="str">
            <v>2024-08-26</v>
          </cell>
          <cell r="CL1443">
            <v>12185.505999999999</v>
          </cell>
          <cell r="CM1443" t="str">
            <v xml:space="preserve">NFT-423901043GN00083XXXXXXX </v>
          </cell>
          <cell r="CN1443" t="str">
            <v>2024-08-26</v>
          </cell>
          <cell r="CO1443">
            <v>1834.568</v>
          </cell>
        </row>
        <row r="1444">
          <cell r="CJ1444" t="str">
            <v xml:space="preserve">NFT-423900923GN00109XXXXXXX </v>
          </cell>
          <cell r="CK1444" t="str">
            <v>2024-08-26</v>
          </cell>
          <cell r="CL1444">
            <v>13007.255999999999</v>
          </cell>
          <cell r="CM1444" t="str">
            <v xml:space="preserve">NFT-423901043GN00083XXXXXXX </v>
          </cell>
          <cell r="CN1444" t="str">
            <v>2024-08-26</v>
          </cell>
          <cell r="CO1444">
            <v>1954.4580000000001</v>
          </cell>
        </row>
        <row r="1446">
          <cell r="CJ1446" t="str">
            <v xml:space="preserve">NFT-424100873GN00159XXXXXXX </v>
          </cell>
          <cell r="CK1446" t="str">
            <v>2024-08-28</v>
          </cell>
          <cell r="CL1446">
            <v>12635.038</v>
          </cell>
          <cell r="CM1446" t="str">
            <v xml:space="preserve">NFT-424100932GN00157XXXXXXX </v>
          </cell>
          <cell r="CN1446" t="str">
            <v>2024-08-28</v>
          </cell>
          <cell r="CO1446">
            <v>1557.3879999999999</v>
          </cell>
        </row>
        <row r="1447">
          <cell r="CJ1447" t="str">
            <v xml:space="preserve">NFT-424100873GN00159XXXXXXX </v>
          </cell>
          <cell r="CK1447" t="str">
            <v>2024-08-28</v>
          </cell>
          <cell r="CL1447">
            <v>12330.86</v>
          </cell>
          <cell r="CM1447" t="str">
            <v xml:space="preserve">NFT-424100932GN00157XXXXXXX </v>
          </cell>
          <cell r="CN1447" t="str">
            <v>2024-08-28</v>
          </cell>
          <cell r="CO1447">
            <v>1842.6859999999999</v>
          </cell>
        </row>
        <row r="1448">
          <cell r="CJ1448" t="str">
            <v xml:space="preserve">NFT-424100873GN00159XXXXXXX </v>
          </cell>
          <cell r="CK1448" t="str">
            <v>2024-08-28</v>
          </cell>
          <cell r="CL1448">
            <v>12439.119000000001</v>
          </cell>
          <cell r="CM1448" t="str">
            <v xml:space="preserve">NFT-424100932GN00157XXXXXXX </v>
          </cell>
          <cell r="CN1448" t="str">
            <v>2024-08-28</v>
          </cell>
          <cell r="CO1448">
            <v>1753.308</v>
          </cell>
        </row>
        <row r="1449">
          <cell r="CJ1449" t="str">
            <v xml:space="preserve">NFT-424100873GN00159XXXXXXX </v>
          </cell>
          <cell r="CK1449" t="str">
            <v>2024-08-28</v>
          </cell>
          <cell r="CL1449">
            <v>13102.705</v>
          </cell>
          <cell r="CM1449" t="str">
            <v xml:space="preserve">NFT-424100932GN00157XXXXXXX </v>
          </cell>
          <cell r="CN1449" t="str">
            <v>2024-08-28</v>
          </cell>
          <cell r="CO1449">
            <v>1089.7239999999999</v>
          </cell>
        </row>
        <row r="1450">
          <cell r="CJ1450" t="str">
            <v xml:space="preserve">NFT-424100873GN00159XXXXXXX </v>
          </cell>
          <cell r="CK1450" t="str">
            <v>2024-08-28</v>
          </cell>
          <cell r="CL1450">
            <v>8671.2950000000001</v>
          </cell>
          <cell r="CM1450" t="str">
            <v xml:space="preserve">NFT-424100932GN00157XXXXXXX </v>
          </cell>
          <cell r="CN1450" t="str">
            <v>2024-08-28</v>
          </cell>
          <cell r="CO1450">
            <v>1308.0940000000001</v>
          </cell>
        </row>
        <row r="1451">
          <cell r="CJ1451" t="str">
            <v xml:space="preserve">NFT-424100873GN00159XXXXXXX </v>
          </cell>
          <cell r="CK1451" t="str">
            <v>2024-08-28</v>
          </cell>
          <cell r="CL1451">
            <v>12330.86</v>
          </cell>
          <cell r="CM1451" t="str">
            <v xml:space="preserve">NFT-424100932GN00157XXXXXXX </v>
          </cell>
          <cell r="CN1451" t="str">
            <v>2024-08-28</v>
          </cell>
          <cell r="CO1451">
            <v>1842.6859999999999</v>
          </cell>
        </row>
        <row r="1452">
          <cell r="CJ1452" t="str">
            <v xml:space="preserve">NFT-424100873GN00159XXXXXXX </v>
          </cell>
          <cell r="CK1452" t="str">
            <v>2024-08-28</v>
          </cell>
          <cell r="CL1452">
            <v>13459.406000000001</v>
          </cell>
          <cell r="CM1452" t="str">
            <v xml:space="preserve">NFT-424100932GN00157XXXXXXX </v>
          </cell>
          <cell r="CN1452" t="str">
            <v>2024-08-28</v>
          </cell>
          <cell r="CO1452">
            <v>714.14</v>
          </cell>
        </row>
        <row r="1453">
          <cell r="CJ1453" t="str">
            <v xml:space="preserve">NFT-424100873GN00159XXXXXXX </v>
          </cell>
          <cell r="CK1453" t="str">
            <v>2024-08-28</v>
          </cell>
          <cell r="CL1453">
            <v>12349.74</v>
          </cell>
          <cell r="CM1453" t="str">
            <v xml:space="preserve">NFT-424100932GN00157XXXXXXX </v>
          </cell>
          <cell r="CN1453" t="str">
            <v>2024-08-28</v>
          </cell>
          <cell r="CO1453">
            <v>1842.6859999999999</v>
          </cell>
        </row>
        <row r="1454">
          <cell r="CJ1454" t="str">
            <v xml:space="preserve">NFT-424100873GN00159XXXXXXX </v>
          </cell>
          <cell r="CK1454" t="str">
            <v>2024-08-28</v>
          </cell>
          <cell r="CL1454">
            <v>12330.86</v>
          </cell>
          <cell r="CM1454" t="str">
            <v xml:space="preserve">NFT-424100932GN00157XXXXXXX </v>
          </cell>
          <cell r="CN1454" t="str">
            <v>2024-08-28</v>
          </cell>
          <cell r="CO1454">
            <v>1842.6859999999999</v>
          </cell>
        </row>
        <row r="1455">
          <cell r="CJ1455" t="str">
            <v xml:space="preserve">NFT-424100873GN00159XXXXXXX </v>
          </cell>
          <cell r="CK1455" t="str">
            <v>2024-08-28</v>
          </cell>
          <cell r="CL1455">
            <v>12330.86</v>
          </cell>
          <cell r="CM1455" t="str">
            <v xml:space="preserve">NFT-424100932GN00157XXXXXXX </v>
          </cell>
          <cell r="CN1455" t="str">
            <v>2024-08-28</v>
          </cell>
          <cell r="CO1455">
            <v>1842.6859999999999</v>
          </cell>
        </row>
        <row r="1456">
          <cell r="CJ1456" t="str">
            <v xml:space="preserve">NFT-424100873GN00159XXXXXXX </v>
          </cell>
          <cell r="CK1456" t="str">
            <v>2024-08-28</v>
          </cell>
          <cell r="CL1456">
            <v>8386.5959999999995</v>
          </cell>
          <cell r="CM1456" t="str">
            <v xml:space="preserve">NFT-424100932GN00157XXXXXXX </v>
          </cell>
          <cell r="CN1456" t="str">
            <v>2024-08-28</v>
          </cell>
          <cell r="CO1456">
            <v>1265.7760000000001</v>
          </cell>
        </row>
        <row r="1457">
          <cell r="CJ1457" t="str">
            <v xml:space="preserve">NFT-424100873GN00159XXXXXXX </v>
          </cell>
          <cell r="CK1457" t="str">
            <v>2024-08-28</v>
          </cell>
          <cell r="CL1457">
            <v>12635.038</v>
          </cell>
          <cell r="CM1457" t="str">
            <v xml:space="preserve">NFT-424100932GN00157XXXXXXX </v>
          </cell>
          <cell r="CN1457" t="str">
            <v>2024-08-28</v>
          </cell>
          <cell r="CO1457">
            <v>1557.3879999999999</v>
          </cell>
        </row>
        <row r="1458">
          <cell r="CJ1458" t="str">
            <v xml:space="preserve">NFT-424100873GN00159XXXXXXX </v>
          </cell>
          <cell r="CK1458" t="str">
            <v>2024-08-28</v>
          </cell>
          <cell r="CL1458">
            <v>8192.2980000000007</v>
          </cell>
          <cell r="CM1458" t="str">
            <v xml:space="preserve">NFT-424100932GN00157XXXXXXX </v>
          </cell>
          <cell r="CN1458" t="str">
            <v>2024-08-28</v>
          </cell>
          <cell r="CO1458">
            <v>1460.0730000000001</v>
          </cell>
        </row>
        <row r="1459">
          <cell r="CJ1459" t="str">
            <v xml:space="preserve">NFT-424100873GN00159XXXXXXX </v>
          </cell>
          <cell r="CK1459" t="str">
            <v>2024-08-28</v>
          </cell>
          <cell r="CL1459">
            <v>8470.27</v>
          </cell>
          <cell r="CM1459" t="str">
            <v xml:space="preserve">NFT-424100932GN00157XXXXXXX </v>
          </cell>
          <cell r="CN1459" t="str">
            <v>2024-08-28</v>
          </cell>
          <cell r="CO1459">
            <v>1509.12</v>
          </cell>
        </row>
        <row r="1460">
          <cell r="CJ1460" t="str">
            <v xml:space="preserve">NFT-424100873GN00159XXXXXXX </v>
          </cell>
          <cell r="CK1460" t="str">
            <v>2024-08-28</v>
          </cell>
          <cell r="CL1460">
            <v>12635.038</v>
          </cell>
          <cell r="CM1460" t="str">
            <v xml:space="preserve">NFT-424100932GN00157XXXXXXX </v>
          </cell>
          <cell r="CN1460" t="str">
            <v>2024-08-28</v>
          </cell>
          <cell r="CO1460">
            <v>1557.3879999999999</v>
          </cell>
        </row>
        <row r="1461">
          <cell r="CJ1461" t="str">
            <v xml:space="preserve">NFT-424100873GN00159XXXXXXX </v>
          </cell>
          <cell r="CK1461" t="str">
            <v>2024-08-28</v>
          </cell>
          <cell r="CL1461">
            <v>13063.880999999999</v>
          </cell>
          <cell r="CM1461" t="str">
            <v xml:space="preserve">NFT-424100932GN00157XXXXXXX </v>
          </cell>
          <cell r="CN1461" t="str">
            <v>2024-08-28</v>
          </cell>
          <cell r="CO1461">
            <v>1128.546</v>
          </cell>
        </row>
        <row r="1462">
          <cell r="CJ1462" t="str">
            <v xml:space="preserve">NFT-424100873GN00159XXXXXXX </v>
          </cell>
          <cell r="CK1462" t="str">
            <v>2024-08-28</v>
          </cell>
          <cell r="CL1462">
            <v>12753.385</v>
          </cell>
          <cell r="CM1462" t="str">
            <v xml:space="preserve">NFT-424100932GN00157XXXXXXX </v>
          </cell>
          <cell r="CN1462" t="str">
            <v>2024-08-28</v>
          </cell>
          <cell r="CO1462">
            <v>1420.163</v>
          </cell>
        </row>
        <row r="1463">
          <cell r="CJ1463" t="str">
            <v xml:space="preserve">NFT-424100873GN00159XXXXXXX </v>
          </cell>
          <cell r="CK1463" t="str">
            <v>2024-08-28</v>
          </cell>
          <cell r="CL1463">
            <v>12330.86</v>
          </cell>
          <cell r="CM1463" t="str">
            <v xml:space="preserve">NFT-424100932GN00157XXXXXXX </v>
          </cell>
          <cell r="CN1463" t="str">
            <v>2024-08-28</v>
          </cell>
          <cell r="CO1463">
            <v>1842.6859999999999</v>
          </cell>
        </row>
        <row r="1464">
          <cell r="CJ1464" t="str">
            <v xml:space="preserve">NFT-424100873GN00159XXXXXXX </v>
          </cell>
          <cell r="CK1464" t="str">
            <v>2024-08-28</v>
          </cell>
          <cell r="CL1464">
            <v>8192.2980000000007</v>
          </cell>
          <cell r="CM1464" t="str">
            <v xml:space="preserve">NFT-424100932GN00157XXXXXXX </v>
          </cell>
          <cell r="CN1464" t="str">
            <v>2024-08-28</v>
          </cell>
          <cell r="CO1464">
            <v>1460.0730000000001</v>
          </cell>
        </row>
        <row r="1465">
          <cell r="CJ1465" t="str">
            <v xml:space="preserve">NFT-424100873GN00159XXXXXXX </v>
          </cell>
          <cell r="CK1465" t="str">
            <v>2024-08-28</v>
          </cell>
          <cell r="CL1465">
            <v>12349.74</v>
          </cell>
          <cell r="CM1465" t="str">
            <v xml:space="preserve">NFT-424100932GN00157XXXXXXX </v>
          </cell>
          <cell r="CN1465" t="str">
            <v>2024-08-28</v>
          </cell>
          <cell r="CO1465">
            <v>1842.6859999999999</v>
          </cell>
        </row>
        <row r="1466">
          <cell r="CJ1466" t="str">
            <v xml:space="preserve">NFT-424100873GN00159XXXXXXX </v>
          </cell>
          <cell r="CK1466" t="str">
            <v>2024-08-28</v>
          </cell>
          <cell r="CL1466">
            <v>12349.74</v>
          </cell>
          <cell r="CM1466" t="str">
            <v xml:space="preserve">NFT-424100932GN00157XXXXXXX </v>
          </cell>
          <cell r="CN1466" t="str">
            <v>2024-08-28</v>
          </cell>
          <cell r="CO1466">
            <v>1842.6859999999999</v>
          </cell>
        </row>
        <row r="1467">
          <cell r="CJ1467" t="str">
            <v xml:space="preserve">NFT-424100873GN00159XXXXXXX </v>
          </cell>
          <cell r="CK1467" t="str">
            <v>2024-08-28</v>
          </cell>
          <cell r="CL1467">
            <v>12349.74</v>
          </cell>
          <cell r="CM1467" t="str">
            <v xml:space="preserve">NFT-424100932GN00157XXXXXXX </v>
          </cell>
          <cell r="CN1467" t="str">
            <v>2024-08-28</v>
          </cell>
          <cell r="CO1467">
            <v>1842.6859999999999</v>
          </cell>
        </row>
        <row r="1468">
          <cell r="CJ1468" t="str">
            <v xml:space="preserve">NFT-424100873GN00159XXXXXXX </v>
          </cell>
          <cell r="CK1468" t="str">
            <v>2024-08-28</v>
          </cell>
          <cell r="CL1468">
            <v>12349.74</v>
          </cell>
          <cell r="CM1468" t="str">
            <v xml:space="preserve">NFT-424100932GN00157XXXXXXX </v>
          </cell>
          <cell r="CN1468" t="str">
            <v>2024-08-28</v>
          </cell>
          <cell r="CO1468">
            <v>1842.6859999999999</v>
          </cell>
        </row>
        <row r="1470">
          <cell r="CJ1470" t="str">
            <v xml:space="preserve">NFT-424100873GN00159XXXXXXX </v>
          </cell>
          <cell r="CK1470" t="str">
            <v>2024-08-28</v>
          </cell>
          <cell r="CL1470">
            <v>8146.4859999999999</v>
          </cell>
          <cell r="CM1470" t="str">
            <v xml:space="preserve">NFT-424100932GN00157XXXXXXX </v>
          </cell>
          <cell r="CN1470" t="str">
            <v>2024-08-28</v>
          </cell>
          <cell r="CO1470">
            <v>1486.9949999999999</v>
          </cell>
        </row>
        <row r="1471">
          <cell r="CJ1471" t="str">
            <v xml:space="preserve">NFT-424100873GN00159XXXXXXX </v>
          </cell>
          <cell r="CK1471" t="str">
            <v>2024-08-28</v>
          </cell>
          <cell r="CL1471">
            <v>4910.866</v>
          </cell>
        </row>
        <row r="1472">
          <cell r="CJ1472" t="str">
            <v xml:space="preserve">NFT-424100873GN00159XXXXXXX </v>
          </cell>
          <cell r="CK1472" t="str">
            <v>2024-08-28</v>
          </cell>
          <cell r="CL1472">
            <v>13030.564</v>
          </cell>
          <cell r="CM1472" t="str">
            <v xml:space="preserve">NFT-424100932GN00157XXXXXXX </v>
          </cell>
          <cell r="CN1472" t="str">
            <v>2024-08-28</v>
          </cell>
          <cell r="CO1472">
            <v>1142.9929999999999</v>
          </cell>
        </row>
        <row r="1473">
          <cell r="CJ1473" t="str">
            <v xml:space="preserve">NFT-424100873GN00159XXXXXXX </v>
          </cell>
          <cell r="CK1473" t="str">
            <v>2024-08-28</v>
          </cell>
          <cell r="CL1473">
            <v>4428.634</v>
          </cell>
          <cell r="CM1473" t="str">
            <v xml:space="preserve">NFT-424100932GN00157XXXXXXX </v>
          </cell>
          <cell r="CN1473" t="str">
            <v>2024-08-28</v>
          </cell>
          <cell r="CO1473">
            <v>501.11200000000002</v>
          </cell>
        </row>
        <row r="1474">
          <cell r="CJ1474" t="str">
            <v xml:space="preserve">NFT-424100873GN00159XXXXXXX </v>
          </cell>
          <cell r="CK1474" t="str">
            <v>2024-08-28</v>
          </cell>
          <cell r="CL1474">
            <v>12616.157999999999</v>
          </cell>
          <cell r="CM1474" t="str">
            <v xml:space="preserve">NFT-424100932GN00157XXXXXXX </v>
          </cell>
          <cell r="CN1474" t="str">
            <v>2024-08-28</v>
          </cell>
          <cell r="CO1474">
            <v>1557.3879999999999</v>
          </cell>
        </row>
        <row r="1475">
          <cell r="CJ1475" t="str">
            <v xml:space="preserve">NFT-424100873GN00159XXXXXXX </v>
          </cell>
          <cell r="CK1475" t="str">
            <v>2024-08-28</v>
          </cell>
          <cell r="CL1475">
            <v>8367.7160000000003</v>
          </cell>
          <cell r="CM1475" t="str">
            <v xml:space="preserve">NFT-424100932GN00157XXXXXXX </v>
          </cell>
          <cell r="CN1475" t="str">
            <v>2024-08-28</v>
          </cell>
          <cell r="CO1475">
            <v>1265.7750000000001</v>
          </cell>
        </row>
        <row r="1476">
          <cell r="CJ1476" t="str">
            <v xml:space="preserve">NFT-424100873GN00159XXXXXXX </v>
          </cell>
          <cell r="CK1476" t="str">
            <v>2024-08-28</v>
          </cell>
          <cell r="CL1476">
            <v>6480.5889999999999</v>
          </cell>
          <cell r="CM1476" t="str">
            <v xml:space="preserve">NFT-424100932GN00157XXXXXXX </v>
          </cell>
          <cell r="CN1476" t="str">
            <v>2024-08-28</v>
          </cell>
          <cell r="CO1476">
            <v>1161.8969999999999</v>
          </cell>
        </row>
        <row r="1478">
          <cell r="CJ1478" t="str">
            <v xml:space="preserve">NFT-424100873GN00159XXXXXXX </v>
          </cell>
          <cell r="CK1478" t="str">
            <v>2024-08-28</v>
          </cell>
          <cell r="CL1478">
            <v>68969.203999999998</v>
          </cell>
          <cell r="CM1478" t="str">
            <v xml:space="preserve">NFT-424100932GN00157XXXXXXX </v>
          </cell>
          <cell r="CN1478" t="str">
            <v>2024-08-28</v>
          </cell>
          <cell r="CO1478">
            <v>6492.4</v>
          </cell>
        </row>
        <row r="1479">
          <cell r="CJ1479" t="str">
            <v xml:space="preserve">NFT-424100873GN00159XXXXXXX </v>
          </cell>
          <cell r="CK1479" t="str">
            <v>2024-08-28</v>
          </cell>
          <cell r="CL1479">
            <v>6499.4690000000001</v>
          </cell>
          <cell r="CM1479" t="str">
            <v xml:space="preserve">NFT-424100932GN00157XXXXXXX </v>
          </cell>
          <cell r="CN1479" t="str">
            <v>2024-08-28</v>
          </cell>
          <cell r="CO1479">
            <v>1161.8969999999999</v>
          </cell>
        </row>
        <row r="1480">
          <cell r="CJ1480" t="str">
            <v xml:space="preserve">NFT-424100873GN00159XXXXXXX </v>
          </cell>
          <cell r="CK1480" t="str">
            <v>2024-08-28</v>
          </cell>
          <cell r="CL1480">
            <v>6818.1880000000001</v>
          </cell>
          <cell r="CM1480" t="str">
            <v xml:space="preserve">NFT-424100932GN00157XXXXXXX </v>
          </cell>
          <cell r="CN1480" t="str">
            <v>2024-08-28</v>
          </cell>
          <cell r="CO1480">
            <v>824.29899999999998</v>
          </cell>
        </row>
        <row r="1481">
          <cell r="CJ1481" t="str">
            <v xml:space="preserve">NFT-424100873GN00159XXXXXXX </v>
          </cell>
          <cell r="CK1481" t="str">
            <v>2024-08-28</v>
          </cell>
          <cell r="CL1481">
            <v>6499.4690000000001</v>
          </cell>
          <cell r="CM1481" t="str">
            <v xml:space="preserve">NFT-424100932GN00157XXXXXXX </v>
          </cell>
          <cell r="CN1481" t="str">
            <v>2024-08-28</v>
          </cell>
          <cell r="CO1481">
            <v>1161.8969999999999</v>
          </cell>
        </row>
        <row r="1482">
          <cell r="CJ1482" t="str">
            <v xml:space="preserve">NFT-424100873GN00159XXXXXXX </v>
          </cell>
          <cell r="CK1482" t="str">
            <v>2024-08-28</v>
          </cell>
          <cell r="CL1482">
            <v>12391.355</v>
          </cell>
          <cell r="CM1482" t="str">
            <v xml:space="preserve">NFT-424100932GN00157XXXXXXX </v>
          </cell>
          <cell r="CN1482" t="str">
            <v>2024-08-28</v>
          </cell>
          <cell r="CO1482">
            <v>1845.403</v>
          </cell>
        </row>
        <row r="1483">
          <cell r="CJ1483" t="str">
            <v xml:space="preserve">NFT-424100873GN00159XXXXXXX </v>
          </cell>
          <cell r="CK1483" t="str">
            <v>2024-08-28</v>
          </cell>
          <cell r="CL1483">
            <v>11728.59</v>
          </cell>
          <cell r="CM1483" t="str">
            <v xml:space="preserve">NFT-424100932GN00157XXXXXXX </v>
          </cell>
          <cell r="CN1483" t="str">
            <v>2024-08-28</v>
          </cell>
          <cell r="CO1483">
            <v>2527.038</v>
          </cell>
        </row>
        <row r="1484">
          <cell r="CJ1484" t="str">
            <v xml:space="preserve">NFT-424100873GN00159XXXXXXX </v>
          </cell>
          <cell r="CK1484" t="str">
            <v>2024-08-28</v>
          </cell>
          <cell r="CL1484">
            <v>6499.4690000000001</v>
          </cell>
          <cell r="CM1484" t="str">
            <v xml:space="preserve">NFT-424100932GN00157XXXXXXX </v>
          </cell>
          <cell r="CN1484" t="str">
            <v>2024-08-28</v>
          </cell>
          <cell r="CO1484">
            <v>1161.8969999999999</v>
          </cell>
        </row>
        <row r="1485">
          <cell r="CJ1485" t="str">
            <v xml:space="preserve">NFT-424100873GN00159XXXXXXX </v>
          </cell>
          <cell r="CK1485" t="str">
            <v>2024-08-28</v>
          </cell>
          <cell r="CL1485">
            <v>7642.4870000000001</v>
          </cell>
        </row>
        <row r="1486">
          <cell r="CJ1486" t="str">
            <v xml:space="preserve">NFT-424100873GN00159XXXXXXX </v>
          </cell>
          <cell r="CK1486" t="str">
            <v>2024-08-28</v>
          </cell>
          <cell r="CL1486">
            <v>6480.5889999999999</v>
          </cell>
          <cell r="CM1486" t="str">
            <v xml:space="preserve">NFT-424100932GN00157XXXXXXX </v>
          </cell>
          <cell r="CN1486" t="str">
            <v>2024-08-28</v>
          </cell>
          <cell r="CO1486">
            <v>1161.8969999999999</v>
          </cell>
        </row>
        <row r="1487">
          <cell r="CJ1487" t="str">
            <v xml:space="preserve">NFT-424100873GN00159XXXXXXX </v>
          </cell>
          <cell r="CK1487" t="str">
            <v>2024-08-28</v>
          </cell>
          <cell r="CL1487">
            <v>6480.5889999999999</v>
          </cell>
          <cell r="CM1487" t="str">
            <v xml:space="preserve">NFT-424100932GN00157XXXXXXX </v>
          </cell>
          <cell r="CN1487" t="str">
            <v>2024-08-28</v>
          </cell>
          <cell r="CO1487">
            <v>1161.8969999999999</v>
          </cell>
        </row>
        <row r="1488">
          <cell r="CJ1488" t="str">
            <v xml:space="preserve">NFT-424100873GN00159XXXXXXX </v>
          </cell>
          <cell r="CK1488" t="str">
            <v>2024-08-28</v>
          </cell>
          <cell r="CL1488">
            <v>9109.2880000000005</v>
          </cell>
          <cell r="CM1488" t="str">
            <v xml:space="preserve">NFT-424100932GN00157XXXXXXX </v>
          </cell>
          <cell r="CN1488" t="str">
            <v>2024-08-28</v>
          </cell>
          <cell r="CO1488">
            <v>485.726</v>
          </cell>
        </row>
        <row r="1489">
          <cell r="CJ1489" t="str">
            <v xml:space="preserve">NFT-424100873GN00159XXXXXXX </v>
          </cell>
          <cell r="CK1489" t="str">
            <v>2024-08-28</v>
          </cell>
          <cell r="CL1489">
            <v>6495.0209999999997</v>
          </cell>
          <cell r="CM1489" t="str">
            <v xml:space="preserve">NFT-424100932GN00157XXXXXXX </v>
          </cell>
          <cell r="CN1489" t="str">
            <v>2024-08-28</v>
          </cell>
          <cell r="CO1489">
            <v>1147.4659999999999</v>
          </cell>
        </row>
        <row r="1490">
          <cell r="CJ1490" t="str">
            <v xml:space="preserve">NFT-424100873GN00159XXXXXXX </v>
          </cell>
          <cell r="CK1490" t="str">
            <v>2024-08-28</v>
          </cell>
          <cell r="CL1490">
            <v>6480.5889999999999</v>
          </cell>
          <cell r="CM1490" t="str">
            <v xml:space="preserve">NFT-424100932GN00157XXXXXXX </v>
          </cell>
          <cell r="CN1490" t="str">
            <v>2024-08-28</v>
          </cell>
          <cell r="CO1490">
            <v>1161.8969999999999</v>
          </cell>
        </row>
        <row r="1491">
          <cell r="CJ1491" t="str">
            <v xml:space="preserve">NFT-424100873GN00159XXXXXXX </v>
          </cell>
          <cell r="CK1491" t="str">
            <v>2024-08-28</v>
          </cell>
          <cell r="CL1491">
            <v>6499.4690000000001</v>
          </cell>
          <cell r="CM1491" t="str">
            <v xml:space="preserve">NFT-424100932GN00157XXXXXXX </v>
          </cell>
          <cell r="CN1491" t="str">
            <v>2024-08-28</v>
          </cell>
          <cell r="CO1491">
            <v>1161.8969999999999</v>
          </cell>
        </row>
        <row r="1492">
          <cell r="CJ1492" t="str">
            <v xml:space="preserve">NFT-424100873GN00159XXXXXXX </v>
          </cell>
          <cell r="CK1492" t="str">
            <v>2024-08-28</v>
          </cell>
          <cell r="CL1492">
            <v>34206.144999999997</v>
          </cell>
          <cell r="CM1492" t="str">
            <v xml:space="preserve">NFT-424100932GN00157XXXXXXX </v>
          </cell>
          <cell r="CN1492" t="str">
            <v>2024-08-28</v>
          </cell>
          <cell r="CO1492">
            <v>3551.1019999999999</v>
          </cell>
        </row>
        <row r="1493">
          <cell r="CJ1493" t="str">
            <v xml:space="preserve">NFT-424100873GN00159XXXXXXX </v>
          </cell>
          <cell r="CK1493" t="str">
            <v>2024-08-28</v>
          </cell>
          <cell r="CL1493">
            <v>6480.5889999999999</v>
          </cell>
          <cell r="CM1493" t="str">
            <v xml:space="preserve">NFT-424100932GN00157XXXXXXX </v>
          </cell>
          <cell r="CN1493" t="str">
            <v>2024-08-28</v>
          </cell>
          <cell r="CO1493">
            <v>1161.8969999999999</v>
          </cell>
        </row>
        <row r="1494">
          <cell r="CJ1494" t="str">
            <v xml:space="preserve">NFT-424100873GN00159XXXXXXX </v>
          </cell>
          <cell r="CK1494" t="str">
            <v>2024-08-28</v>
          </cell>
          <cell r="CL1494">
            <v>6480.5889999999999</v>
          </cell>
          <cell r="CM1494" t="str">
            <v xml:space="preserve">NFT-424100932GN00157XXXXXXX </v>
          </cell>
          <cell r="CN1494" t="str">
            <v>2024-08-28</v>
          </cell>
          <cell r="CO1494">
            <v>1161.8969999999999</v>
          </cell>
        </row>
        <row r="1495">
          <cell r="CJ1495" t="str">
            <v xml:space="preserve">NFT-424100873GN00159XXXXXXX </v>
          </cell>
          <cell r="CK1495" t="str">
            <v>2024-08-28</v>
          </cell>
          <cell r="CL1495">
            <v>6499.4690000000001</v>
          </cell>
          <cell r="CM1495" t="str">
            <v xml:space="preserve">NFT-424100932GN00157XXXXXXX </v>
          </cell>
          <cell r="CN1495" t="str">
            <v>2024-08-28</v>
          </cell>
          <cell r="CO1495">
            <v>1161.8969999999999</v>
          </cell>
        </row>
        <row r="1496">
          <cell r="CJ1496" t="str">
            <v xml:space="preserve">NFT-424300580GN00067XXXXXXX </v>
          </cell>
          <cell r="CK1496" t="str">
            <v>2024-08-30</v>
          </cell>
          <cell r="CL1496">
            <v>1999.03</v>
          </cell>
          <cell r="CS1496" t="str">
            <v xml:space="preserve">NFT-424300980GN00254XXXXXXX </v>
          </cell>
          <cell r="CT1496" t="str">
            <v>2024-08-30</v>
          </cell>
          <cell r="CU1496">
            <v>352.995</v>
          </cell>
        </row>
        <row r="1497">
          <cell r="CJ1497" t="str">
            <v xml:space="preserve">NFT-424100873GN00159XXXXXXX </v>
          </cell>
          <cell r="CK1497" t="str">
            <v>2024-08-28</v>
          </cell>
          <cell r="CL1497">
            <v>6480.5889999999999</v>
          </cell>
          <cell r="CM1497" t="str">
            <v xml:space="preserve">NFT-424100932GN00157XXXXXXX </v>
          </cell>
          <cell r="CN1497" t="str">
            <v>2024-08-28</v>
          </cell>
          <cell r="CO1497">
            <v>1161.8969999999999</v>
          </cell>
        </row>
        <row r="1498">
          <cell r="CJ1498" t="str">
            <v xml:space="preserve">NFT-424100873GN00159XXXXXXX </v>
          </cell>
          <cell r="CK1498" t="str">
            <v>2024-08-28</v>
          </cell>
          <cell r="CL1498">
            <v>35846.432999999997</v>
          </cell>
          <cell r="CM1498" t="str">
            <v xml:space="preserve">NFT-424100932GN00157XXXXXXX </v>
          </cell>
          <cell r="CN1498" t="str">
            <v>2024-08-28</v>
          </cell>
          <cell r="CO1498">
            <v>1891.934</v>
          </cell>
        </row>
        <row r="1499">
          <cell r="CJ1499" t="str">
            <v xml:space="preserve">NFT-424100873GN00159XXXXXXX </v>
          </cell>
          <cell r="CK1499" t="str">
            <v>2024-08-28</v>
          </cell>
          <cell r="CL1499">
            <v>6480.5889999999999</v>
          </cell>
          <cell r="CM1499" t="str">
            <v xml:space="preserve">NFT-424100932GN00157XXXXXXX </v>
          </cell>
          <cell r="CN1499" t="str">
            <v>2024-08-28</v>
          </cell>
          <cell r="CO1499">
            <v>1161.8969999999999</v>
          </cell>
        </row>
        <row r="1500">
          <cell r="CJ1500" t="str">
            <v xml:space="preserve">NFT-424100873GN00159XXXXXXX </v>
          </cell>
          <cell r="CK1500" t="str">
            <v>2024-08-28</v>
          </cell>
          <cell r="CL1500">
            <v>7255.8320000000003</v>
          </cell>
          <cell r="CM1500" t="str">
            <v xml:space="preserve">NFT-424100932GN00157XXXXXXX </v>
          </cell>
          <cell r="CN1500" t="str">
            <v>2024-08-28</v>
          </cell>
          <cell r="CO1500">
            <v>386.65600000000001</v>
          </cell>
        </row>
        <row r="1501">
          <cell r="CJ1501" t="str">
            <v xml:space="preserve">NFT-424100873GN00159XXXXXXX </v>
          </cell>
          <cell r="CK1501" t="str">
            <v>2024-08-28</v>
          </cell>
          <cell r="CL1501">
            <v>6480.5889999999999</v>
          </cell>
          <cell r="CM1501" t="str">
            <v xml:space="preserve">NFT-424100932GN00157XXXXXXX </v>
          </cell>
          <cell r="CN1501" t="str">
            <v>2024-08-28</v>
          </cell>
          <cell r="CO1501">
            <v>1161.8969999999999</v>
          </cell>
        </row>
        <row r="1502">
          <cell r="CJ1502" t="str">
            <v xml:space="preserve">NFT-424100873GN00159XXXXXXX </v>
          </cell>
          <cell r="CK1502" t="str">
            <v>2024-08-28</v>
          </cell>
          <cell r="CL1502">
            <v>6150.674</v>
          </cell>
          <cell r="CM1502" t="str">
            <v xml:space="preserve">NFT-424100932GN00157XXXXXXX </v>
          </cell>
          <cell r="CN1502" t="str">
            <v>2024-08-28</v>
          </cell>
          <cell r="CO1502">
            <v>1491.8130000000001</v>
          </cell>
        </row>
        <row r="1503">
          <cell r="CJ1503" t="str">
            <v xml:space="preserve">NFT-424100873GN00159XXXXXXX </v>
          </cell>
          <cell r="CK1503" t="str">
            <v>2024-08-28</v>
          </cell>
          <cell r="CL1503">
            <v>6480.5889999999999</v>
          </cell>
          <cell r="CM1503" t="str">
            <v xml:space="preserve">NFT-424100932GN00157XXXXXXX </v>
          </cell>
          <cell r="CN1503" t="str">
            <v>2024-08-28</v>
          </cell>
          <cell r="CO1503">
            <v>1161.8969999999999</v>
          </cell>
        </row>
        <row r="1504">
          <cell r="CJ1504" t="str">
            <v xml:space="preserve">NFT-424100873GN00159XXXXXXX </v>
          </cell>
          <cell r="CK1504" t="str">
            <v>2024-08-28</v>
          </cell>
          <cell r="CL1504">
            <v>68988.084000000003</v>
          </cell>
          <cell r="CM1504" t="str">
            <v xml:space="preserve">NFT-424100932GN00157XXXXXXX </v>
          </cell>
          <cell r="CN1504" t="str">
            <v>2024-08-28</v>
          </cell>
          <cell r="CO1504">
            <v>6492.3980000000001</v>
          </cell>
        </row>
        <row r="1505">
          <cell r="CJ1505" t="str">
            <v xml:space="preserve">NFT-424100873GN00159XXXXXXX </v>
          </cell>
          <cell r="CK1505" t="str">
            <v>2024-08-28</v>
          </cell>
          <cell r="CL1505">
            <v>6498.5039999999999</v>
          </cell>
          <cell r="CM1505" t="str">
            <v xml:space="preserve">NFT-424100932GN00157XXXXXXX </v>
          </cell>
          <cell r="CN1505" t="str">
            <v>2024-08-28</v>
          </cell>
          <cell r="CO1505">
            <v>1162.8630000000001</v>
          </cell>
        </row>
        <row r="1506">
          <cell r="CJ1506" t="str">
            <v xml:space="preserve">NFT-424100873GN00159XXXXXXX </v>
          </cell>
          <cell r="CK1506" t="str">
            <v>2024-08-28</v>
          </cell>
          <cell r="CL1506">
            <v>6499.4690000000001</v>
          </cell>
          <cell r="CM1506" t="str">
            <v xml:space="preserve">NFT-424100932GN00157XXXXXXX </v>
          </cell>
          <cell r="CN1506" t="str">
            <v>2024-08-28</v>
          </cell>
          <cell r="CO1506">
            <v>1161.8969999999999</v>
          </cell>
        </row>
        <row r="1507">
          <cell r="CJ1507" t="str">
            <v xml:space="preserve">NFT-424100873GN00159XXXXXXX </v>
          </cell>
          <cell r="CK1507" t="str">
            <v>2024-08-28</v>
          </cell>
          <cell r="CL1507">
            <v>6499.4690000000001</v>
          </cell>
          <cell r="CM1507" t="str">
            <v xml:space="preserve">NFT-424100932GN00157XXXXXXX </v>
          </cell>
          <cell r="CN1507" t="str">
            <v>2024-08-28</v>
          </cell>
          <cell r="CO1507">
            <v>1161.8969999999999</v>
          </cell>
        </row>
        <row r="1508">
          <cell r="CJ1508" t="str">
            <v xml:space="preserve">NFT-424300580GN00067XXXXXXX </v>
          </cell>
          <cell r="CK1508" t="str">
            <v>2024-08-30</v>
          </cell>
          <cell r="CL1508">
            <v>4185.2879999999996</v>
          </cell>
          <cell r="CS1508" t="str">
            <v xml:space="preserve">NFT-424300980GN00254XXXXXXX </v>
          </cell>
          <cell r="CT1508" t="str">
            <v>2024-08-30</v>
          </cell>
          <cell r="CU1508">
            <v>725.23</v>
          </cell>
        </row>
        <row r="1509">
          <cell r="CJ1509" t="str">
            <v xml:space="preserve">NFT-424100873GN00159XXXXXXX </v>
          </cell>
          <cell r="CK1509" t="str">
            <v>2024-08-28</v>
          </cell>
          <cell r="CL1509">
            <v>12391.355</v>
          </cell>
          <cell r="CM1509" t="str">
            <v xml:space="preserve">NFT-424100932GN00157XXXXXXX </v>
          </cell>
          <cell r="CN1509" t="str">
            <v>2024-08-28</v>
          </cell>
          <cell r="CO1509">
            <v>1845.403</v>
          </cell>
        </row>
        <row r="1510">
          <cell r="CJ1510" t="str">
            <v xml:space="preserve">NFT-424100873GN00159XXXXXXX </v>
          </cell>
          <cell r="CK1510" t="str">
            <v>2024-08-28</v>
          </cell>
          <cell r="CL1510">
            <v>13327.28</v>
          </cell>
          <cell r="CM1510" t="str">
            <v xml:space="preserve">NFT-424100932GN00157XXXXXXX </v>
          </cell>
          <cell r="CN1510" t="str">
            <v>2024-08-28</v>
          </cell>
          <cell r="CO1510">
            <v>1977.538</v>
          </cell>
        </row>
        <row r="1511">
          <cell r="CJ1511" t="str">
            <v xml:space="preserve">NFT-424100873GN00159XXXXXXX </v>
          </cell>
          <cell r="CK1511" t="str">
            <v>2024-08-28</v>
          </cell>
          <cell r="CL1511">
            <v>20601.026999999998</v>
          </cell>
          <cell r="CM1511" t="str">
            <v xml:space="preserve">NFT-424100932GN00157XXXXXXX </v>
          </cell>
          <cell r="CN1511" t="str">
            <v>2024-08-28</v>
          </cell>
          <cell r="CO1511">
            <v>2360.3440000000001</v>
          </cell>
        </row>
        <row r="1512">
          <cell r="CJ1512" t="str">
            <v xml:space="preserve">NFT-424100873GN00159XXXXXXX </v>
          </cell>
          <cell r="CK1512" t="str">
            <v>2024-08-28</v>
          </cell>
          <cell r="CL1512">
            <v>6887.09</v>
          </cell>
          <cell r="CM1512" t="str">
            <v xml:space="preserve">NFT-424100932GN00157XXXXXXX </v>
          </cell>
          <cell r="CN1512" t="str">
            <v>2024-08-28</v>
          </cell>
          <cell r="CO1512">
            <v>774.27599999999995</v>
          </cell>
        </row>
        <row r="1513">
          <cell r="CJ1513" t="str">
            <v xml:space="preserve">NFT-424100873GN00159XXXXXXX </v>
          </cell>
          <cell r="CK1513" t="str">
            <v>2024-08-28</v>
          </cell>
          <cell r="CL1513">
            <v>6480.5889999999999</v>
          </cell>
          <cell r="CM1513" t="str">
            <v xml:space="preserve">NFT-424100932GN00157XXXXXXX </v>
          </cell>
          <cell r="CN1513" t="str">
            <v>2024-08-28</v>
          </cell>
          <cell r="CO1513">
            <v>1161.8969999999999</v>
          </cell>
        </row>
        <row r="1514">
          <cell r="CJ1514" t="str">
            <v xml:space="preserve">NFT-424100873GN00159XXXXXXX </v>
          </cell>
          <cell r="CK1514" t="str">
            <v>2024-08-28</v>
          </cell>
          <cell r="CL1514">
            <v>6887.09</v>
          </cell>
          <cell r="CM1514" t="str">
            <v xml:space="preserve">NFT-424100932GN00157XXXXXXX </v>
          </cell>
          <cell r="CN1514" t="str">
            <v>2024-08-28</v>
          </cell>
          <cell r="CO1514">
            <v>774.27599999999995</v>
          </cell>
        </row>
        <row r="1515">
          <cell r="CJ1515" t="str">
            <v xml:space="preserve">NFT-424100873GN00159XXXXXXX </v>
          </cell>
          <cell r="CK1515" t="str">
            <v>2024-08-28</v>
          </cell>
          <cell r="CL1515">
            <v>35865.313000000002</v>
          </cell>
          <cell r="CM1515" t="str">
            <v xml:space="preserve">NFT-424100932GN00157XXXXXXX </v>
          </cell>
          <cell r="CN1515" t="str">
            <v>2024-08-28</v>
          </cell>
          <cell r="CO1515">
            <v>1891.9349999999999</v>
          </cell>
        </row>
        <row r="1516">
          <cell r="CJ1516" t="str">
            <v xml:space="preserve">NFT-424100873GN00159XXXXXXX </v>
          </cell>
          <cell r="CK1516" t="str">
            <v>2024-08-28</v>
          </cell>
          <cell r="CL1516">
            <v>68969.203999999998</v>
          </cell>
          <cell r="CM1516" t="str">
            <v xml:space="preserve">NFT-424100932GN00157XXXXXXX </v>
          </cell>
          <cell r="CN1516" t="str">
            <v>2024-08-28</v>
          </cell>
          <cell r="CO1516">
            <v>6492.4</v>
          </cell>
        </row>
        <row r="1517">
          <cell r="CJ1517" t="str">
            <v xml:space="preserve">NFT-424100873GN00159XXXXXXX </v>
          </cell>
          <cell r="CK1517" t="str">
            <v>2024-08-28</v>
          </cell>
          <cell r="CL1517">
            <v>6480.5889999999999</v>
          </cell>
          <cell r="CM1517" t="str">
            <v xml:space="preserve">NFT-424100932GN00157XXXXXXX </v>
          </cell>
          <cell r="CN1517" t="str">
            <v>2024-08-28</v>
          </cell>
          <cell r="CO1517">
            <v>1161.8969999999999</v>
          </cell>
        </row>
        <row r="1518">
          <cell r="CJ1518" t="str">
            <v xml:space="preserve">NFT-424100873GN00159XXXXXXX </v>
          </cell>
          <cell r="CK1518" t="str">
            <v>2024-08-28</v>
          </cell>
          <cell r="CL1518">
            <v>12410.235000000001</v>
          </cell>
          <cell r="CM1518" t="str">
            <v xml:space="preserve">NFT-424100932GN00157XXXXXXX </v>
          </cell>
          <cell r="CN1518" t="str">
            <v>2024-08-28</v>
          </cell>
          <cell r="CO1518">
            <v>1845.403</v>
          </cell>
        </row>
        <row r="1519">
          <cell r="CJ1519" t="str">
            <v xml:space="preserve">NFT-424100873GN00159XXXXXXX </v>
          </cell>
          <cell r="CK1519" t="str">
            <v>2024-08-28</v>
          </cell>
          <cell r="CL1519">
            <v>6480.5889999999999</v>
          </cell>
          <cell r="CM1519" t="str">
            <v xml:space="preserve">NFT-424100932GN00157XXXXXXX </v>
          </cell>
          <cell r="CN1519" t="str">
            <v>2024-08-28</v>
          </cell>
          <cell r="CO1519">
            <v>1161.8969999999999</v>
          </cell>
        </row>
        <row r="1520">
          <cell r="CJ1520" t="str">
            <v xml:space="preserve">NFT-424100873GN00159XXXXXXX </v>
          </cell>
          <cell r="CK1520" t="str">
            <v>2024-08-28</v>
          </cell>
          <cell r="CL1520">
            <v>9613.8940000000002</v>
          </cell>
        </row>
        <row r="1521">
          <cell r="CJ1521" t="str">
            <v xml:space="preserve">NFT-424100873GN00159XXXXXXX </v>
          </cell>
          <cell r="CK1521" t="str">
            <v>2024-08-28</v>
          </cell>
          <cell r="CL1521">
            <v>6480.5889999999999</v>
          </cell>
          <cell r="CM1521" t="str">
            <v xml:space="preserve">NFT-424100932GN00157XXXXXXX </v>
          </cell>
          <cell r="CN1521" t="str">
            <v>2024-08-28</v>
          </cell>
          <cell r="CO1521">
            <v>1161.8969999999999</v>
          </cell>
        </row>
        <row r="1522">
          <cell r="CJ1522" t="str">
            <v xml:space="preserve">NFT-424100873GN00159XXXXXXX </v>
          </cell>
          <cell r="CK1522" t="str">
            <v>2024-08-28</v>
          </cell>
          <cell r="CL1522">
            <v>6499.4690000000001</v>
          </cell>
          <cell r="CM1522" t="str">
            <v xml:space="preserve">NFT-424100932GN00157XXXXXXX </v>
          </cell>
          <cell r="CN1522" t="str">
            <v>2024-08-28</v>
          </cell>
          <cell r="CO1522">
            <v>1161.8969999999999</v>
          </cell>
        </row>
        <row r="1523">
          <cell r="CJ1523" t="str">
            <v xml:space="preserve">NFT-424100873GN00159XXXXXXX </v>
          </cell>
          <cell r="CK1523" t="str">
            <v>2024-08-28</v>
          </cell>
          <cell r="CL1523">
            <v>12391.355</v>
          </cell>
          <cell r="CM1523" t="str">
            <v xml:space="preserve">NFT-424100932GN00157XXXXXXX </v>
          </cell>
          <cell r="CN1523" t="str">
            <v>2024-08-28</v>
          </cell>
          <cell r="CO1523">
            <v>1845.403</v>
          </cell>
        </row>
        <row r="1524">
          <cell r="CJ1524" t="str">
            <v xml:space="preserve">NFT-424100873GN00159XXXXXXX </v>
          </cell>
          <cell r="CK1524" t="str">
            <v>2024-08-28</v>
          </cell>
          <cell r="CL1524">
            <v>6499.4690000000001</v>
          </cell>
          <cell r="CM1524" t="str">
            <v xml:space="preserve">NFT-424100932GN00157XXXXXXX </v>
          </cell>
          <cell r="CN1524" t="str">
            <v>2024-08-28</v>
          </cell>
          <cell r="CO1524">
            <v>1161.8969999999999</v>
          </cell>
        </row>
        <row r="1525">
          <cell r="CJ1525" t="str">
            <v xml:space="preserve">NFT-424100873GN00159XXXXXXX </v>
          </cell>
          <cell r="CK1525" t="str">
            <v>2024-08-28</v>
          </cell>
          <cell r="CL1525">
            <v>12391.355</v>
          </cell>
          <cell r="CM1525" t="str">
            <v xml:space="preserve">NFT-424100932GN00157XXXXXXX </v>
          </cell>
          <cell r="CN1525" t="str">
            <v>2024-08-28</v>
          </cell>
          <cell r="CO1525">
            <v>1845.403</v>
          </cell>
          <cell r="CP1525" t="str">
            <v xml:space="preserve">NFT-425700941GN00221XXXXXXX </v>
          </cell>
          <cell r="CQ1525" t="str">
            <v>2024-09-13</v>
          </cell>
          <cell r="CR1525">
            <v>-12391.355</v>
          </cell>
          <cell r="CS1525" t="str">
            <v xml:space="preserve">NFT-425701003GN00065XXXXXXX </v>
          </cell>
          <cell r="CT1525" t="str">
            <v>2024-09-13</v>
          </cell>
          <cell r="CU1525">
            <v>-1845.403</v>
          </cell>
        </row>
        <row r="1526">
          <cell r="CJ1526" t="str">
            <v xml:space="preserve">NFT-424100873GN00159XXXXXXX </v>
          </cell>
          <cell r="CK1526" t="str">
            <v>2024-08-28</v>
          </cell>
          <cell r="CL1526">
            <v>7642.4870000000001</v>
          </cell>
        </row>
        <row r="1527">
          <cell r="CJ1527" t="str">
            <v xml:space="preserve">NFT-424100873GN00159XXXXXXX </v>
          </cell>
          <cell r="CK1527" t="str">
            <v>2024-08-28</v>
          </cell>
          <cell r="CL1527">
            <v>6251.317</v>
          </cell>
          <cell r="CM1527" t="str">
            <v xml:space="preserve">NFT-424100932GN00157XXXXXXX </v>
          </cell>
          <cell r="CN1527" t="str">
            <v>2024-08-28</v>
          </cell>
          <cell r="CO1527">
            <v>1410.0509999999999</v>
          </cell>
        </row>
        <row r="1528">
          <cell r="CJ1528" t="str">
            <v xml:space="preserve">NFT-424100873GN00159XXXXXXX </v>
          </cell>
          <cell r="CK1528" t="str">
            <v>2024-08-28</v>
          </cell>
          <cell r="CL1528">
            <v>12391.355</v>
          </cell>
          <cell r="CM1528" t="str">
            <v xml:space="preserve">NFT-424100932GN00157XXXXXXX </v>
          </cell>
          <cell r="CN1528" t="str">
            <v>2024-08-28</v>
          </cell>
          <cell r="CO1528">
            <v>1845.403</v>
          </cell>
        </row>
        <row r="1529">
          <cell r="CJ1529" t="str">
            <v xml:space="preserve">NFT-424100873GN00159XXXXXXX </v>
          </cell>
          <cell r="CK1529" t="str">
            <v>2024-08-28</v>
          </cell>
          <cell r="CL1529">
            <v>6499.4690000000001</v>
          </cell>
          <cell r="CM1529" t="str">
            <v xml:space="preserve">NFT-424100932GN00157XXXXXXX </v>
          </cell>
          <cell r="CN1529" t="str">
            <v>2024-08-28</v>
          </cell>
          <cell r="CO1529">
            <v>1161.8969999999999</v>
          </cell>
        </row>
        <row r="1530">
          <cell r="CJ1530" t="str">
            <v xml:space="preserve">NFT-424100873GN00159XXXXXXX </v>
          </cell>
          <cell r="CK1530" t="str">
            <v>2024-08-28</v>
          </cell>
          <cell r="CL1530">
            <v>35865.313000000002</v>
          </cell>
          <cell r="CM1530" t="str">
            <v xml:space="preserve">NFT-424100932GN00157XXXXXXX </v>
          </cell>
          <cell r="CN1530" t="str">
            <v>2024-08-28</v>
          </cell>
          <cell r="CO1530">
            <v>1891.934</v>
          </cell>
        </row>
        <row r="1531">
          <cell r="CJ1531" t="str">
            <v xml:space="preserve">NFT-424100873GN00159XXXXXXX </v>
          </cell>
          <cell r="CK1531" t="str">
            <v>2024-08-28</v>
          </cell>
          <cell r="CL1531">
            <v>12410.235000000001</v>
          </cell>
          <cell r="CM1531" t="str">
            <v xml:space="preserve">NFT-424100932GN00157XXXXXXX </v>
          </cell>
          <cell r="CN1531" t="str">
            <v>2024-08-28</v>
          </cell>
          <cell r="CO1531">
            <v>1845.403</v>
          </cell>
        </row>
        <row r="1532">
          <cell r="CJ1532" t="str">
            <v xml:space="preserve">NFT-424100873GN00159XXXXXXX </v>
          </cell>
          <cell r="CK1532" t="str">
            <v>2024-08-28</v>
          </cell>
          <cell r="CL1532">
            <v>6480.5889999999999</v>
          </cell>
          <cell r="CM1532" t="str">
            <v xml:space="preserve">NFT-424100932GN00157XXXXXXX </v>
          </cell>
          <cell r="CN1532" t="str">
            <v>2024-08-28</v>
          </cell>
          <cell r="CO1532">
            <v>1161.8969999999999</v>
          </cell>
        </row>
        <row r="1533">
          <cell r="CJ1533" t="str">
            <v xml:space="preserve">NFT-424100873GN00159XXXXXXX </v>
          </cell>
          <cell r="CK1533" t="str">
            <v>2024-08-28</v>
          </cell>
          <cell r="CL1533">
            <v>68988.084000000003</v>
          </cell>
          <cell r="CM1533" t="str">
            <v xml:space="preserve">NFT-424100932GN00157XXXXXXX </v>
          </cell>
          <cell r="CN1533" t="str">
            <v>2024-08-28</v>
          </cell>
          <cell r="CO1533">
            <v>6492.4</v>
          </cell>
        </row>
        <row r="1534">
          <cell r="CJ1534" t="str">
            <v xml:space="preserve">NFT-424100873GN00159XXXXXXX </v>
          </cell>
          <cell r="CK1534" t="str">
            <v>2024-08-28</v>
          </cell>
          <cell r="CL1534">
            <v>6746.6559999999999</v>
          </cell>
          <cell r="CM1534" t="str">
            <v xml:space="preserve">NFT-424100932GN00157XXXXXXX </v>
          </cell>
          <cell r="CN1534" t="str">
            <v>2024-08-28</v>
          </cell>
          <cell r="CO1534">
            <v>914.71100000000001</v>
          </cell>
        </row>
        <row r="1535">
          <cell r="CJ1535" t="str">
            <v xml:space="preserve">NFT-424100873GN00159XXXXXXX </v>
          </cell>
          <cell r="CK1535" t="str">
            <v>2024-08-28</v>
          </cell>
          <cell r="CL1535">
            <v>8159.6040000000003</v>
          </cell>
          <cell r="CM1535" t="str">
            <v xml:space="preserve">NFT-424100932GN00157XXXXXXX </v>
          </cell>
          <cell r="CN1535" t="str">
            <v>2024-08-28</v>
          </cell>
          <cell r="CO1535">
            <v>1454.3009999999999</v>
          </cell>
        </row>
        <row r="1536">
          <cell r="CJ1536" t="str">
            <v xml:space="preserve">NFT-424100873GN00159XXXXXXX </v>
          </cell>
          <cell r="CK1536" t="str">
            <v>2024-08-28</v>
          </cell>
          <cell r="CL1536">
            <v>8140.7240000000002</v>
          </cell>
          <cell r="CM1536" t="str">
            <v xml:space="preserve">NFT-424100932GN00157XXXXXXX </v>
          </cell>
          <cell r="CN1536" t="str">
            <v>2024-08-28</v>
          </cell>
          <cell r="CO1536">
            <v>1454.3009999999999</v>
          </cell>
        </row>
        <row r="1537">
          <cell r="CJ1537" t="str">
            <v xml:space="preserve">NFT-424100873GN00159XXXXXXX </v>
          </cell>
          <cell r="CK1537" t="str">
            <v>2024-08-28</v>
          </cell>
          <cell r="CL1537">
            <v>12410.235000000001</v>
          </cell>
          <cell r="CM1537" t="str">
            <v xml:space="preserve">NFT-424100932GN00157XXXXXXX </v>
          </cell>
          <cell r="CN1537" t="str">
            <v>2024-08-28</v>
          </cell>
          <cell r="CO1537">
            <v>1845.403</v>
          </cell>
        </row>
        <row r="1538">
          <cell r="CJ1538" t="str">
            <v xml:space="preserve">NFT-424100873GN00159XXXXXXX </v>
          </cell>
          <cell r="CK1538" t="str">
            <v>2024-08-28</v>
          </cell>
          <cell r="CL1538">
            <v>34206.144</v>
          </cell>
          <cell r="CM1538" t="str">
            <v xml:space="preserve">NFT-424100932GN00157XXXXXXX </v>
          </cell>
          <cell r="CN1538" t="str">
            <v>2024-08-28</v>
          </cell>
          <cell r="CO1538">
            <v>3551.1039999999998</v>
          </cell>
        </row>
        <row r="1539">
          <cell r="CJ1539" t="str">
            <v xml:space="preserve">NFT-424100873GN00159XXXXXXX </v>
          </cell>
          <cell r="CK1539" t="str">
            <v>2024-08-28</v>
          </cell>
          <cell r="CL1539">
            <v>68988.084000000003</v>
          </cell>
          <cell r="CM1539" t="str">
            <v xml:space="preserve">NFT-424100932GN00157XXXXXXX </v>
          </cell>
          <cell r="CN1539" t="str">
            <v>2024-08-28</v>
          </cell>
          <cell r="CO1539">
            <v>6492.3980000000001</v>
          </cell>
        </row>
        <row r="1540">
          <cell r="CJ1540" t="str">
            <v xml:space="preserve">NFT-424100873GN00159XXXXXXX </v>
          </cell>
          <cell r="CK1540" t="str">
            <v>2024-08-28</v>
          </cell>
          <cell r="CL1540">
            <v>6480.5889999999999</v>
          </cell>
          <cell r="CM1540" t="str">
            <v xml:space="preserve">NFT-424100932GN00157XXXXXXX </v>
          </cell>
          <cell r="CN1540" t="str">
            <v>2024-08-28</v>
          </cell>
          <cell r="CO1540">
            <v>1161.8969999999999</v>
          </cell>
        </row>
        <row r="1541">
          <cell r="CJ1541" t="str">
            <v xml:space="preserve">NFT-424100873GN00159XXXXXXX </v>
          </cell>
          <cell r="CK1541" t="str">
            <v>2024-08-28</v>
          </cell>
          <cell r="CL1541">
            <v>6499.4690000000001</v>
          </cell>
          <cell r="CM1541" t="str">
            <v xml:space="preserve">NFT-424100932GN00157XXXXXXX </v>
          </cell>
          <cell r="CN1541" t="str">
            <v>2024-08-28</v>
          </cell>
          <cell r="CO1541">
            <v>1161.8969999999999</v>
          </cell>
        </row>
        <row r="1542">
          <cell r="CJ1542" t="str">
            <v xml:space="preserve">NFT-424100873GN00159XXXXXXX </v>
          </cell>
          <cell r="CK1542" t="str">
            <v>2024-08-28</v>
          </cell>
          <cell r="CL1542">
            <v>12410.235000000001</v>
          </cell>
          <cell r="CM1542" t="str">
            <v xml:space="preserve">NFT-424100932GN00157XXXXXXX </v>
          </cell>
          <cell r="CN1542" t="str">
            <v>2024-08-28</v>
          </cell>
          <cell r="CO1542">
            <v>1845.403</v>
          </cell>
        </row>
        <row r="1543">
          <cell r="CJ1543" t="str">
            <v xml:space="preserve">NFT-424100873GN00159XXXXXXX </v>
          </cell>
          <cell r="CK1543" t="str">
            <v>2024-08-28</v>
          </cell>
          <cell r="CL1543">
            <v>12391.355</v>
          </cell>
          <cell r="CM1543" t="str">
            <v xml:space="preserve">NFT-424100932GN00157XXXXXXX </v>
          </cell>
          <cell r="CN1543" t="str">
            <v>2024-08-28</v>
          </cell>
          <cell r="CO1543">
            <v>1845.403</v>
          </cell>
        </row>
        <row r="1544">
          <cell r="CJ1544" t="str">
            <v xml:space="preserve">NFT-424100873GN00159XXXXXXX </v>
          </cell>
          <cell r="CK1544" t="str">
            <v>2024-08-28</v>
          </cell>
          <cell r="CL1544">
            <v>8140.7240000000002</v>
          </cell>
          <cell r="CM1544" t="str">
            <v xml:space="preserve">NFT-424100932GN00157XXXXXXX </v>
          </cell>
          <cell r="CN1544" t="str">
            <v>2024-08-28</v>
          </cell>
          <cell r="CO1544">
            <v>1454.3009999999999</v>
          </cell>
        </row>
        <row r="1545">
          <cell r="CJ1545" t="str">
            <v xml:space="preserve">NFT-424100873GN00159XXXXXXX </v>
          </cell>
          <cell r="CK1545" t="str">
            <v>2024-08-28</v>
          </cell>
          <cell r="CL1545">
            <v>6480.5889999999999</v>
          </cell>
          <cell r="CM1545" t="str">
            <v xml:space="preserve">NFT-424100932GN00157XXXXXXX </v>
          </cell>
          <cell r="CN1545" t="str">
            <v>2024-08-28</v>
          </cell>
          <cell r="CO1545">
            <v>1161.8969999999999</v>
          </cell>
        </row>
        <row r="1546">
          <cell r="CJ1546" t="str">
            <v xml:space="preserve">NFT-424100873GN00159XXXXXXX </v>
          </cell>
          <cell r="CK1546" t="str">
            <v>2024-08-28</v>
          </cell>
          <cell r="CL1546">
            <v>12060.915000000001</v>
          </cell>
          <cell r="CM1546" t="str">
            <v xml:space="preserve">NFT-424100932GN00157XXXXXXX </v>
          </cell>
          <cell r="CN1546" t="str">
            <v>2024-08-28</v>
          </cell>
          <cell r="CO1546">
            <v>2175.8330000000001</v>
          </cell>
        </row>
        <row r="1547">
          <cell r="CJ1547" t="str">
            <v xml:space="preserve">NFT-424100873GN00159XXXXXXX </v>
          </cell>
          <cell r="CK1547" t="str">
            <v>2024-08-28</v>
          </cell>
          <cell r="CL1547">
            <v>6499.4690000000001</v>
          </cell>
          <cell r="CM1547" t="str">
            <v xml:space="preserve">NFT-424100932GN00157XXXXXXX </v>
          </cell>
          <cell r="CN1547" t="str">
            <v>2024-08-28</v>
          </cell>
          <cell r="CO1547">
            <v>1161.8969999999999</v>
          </cell>
        </row>
        <row r="1548">
          <cell r="CJ1548" t="str">
            <v xml:space="preserve">NFT-424100873GN00159XXXXXXX </v>
          </cell>
          <cell r="CK1548" t="str">
            <v>2024-08-28</v>
          </cell>
          <cell r="CL1548">
            <v>8159.6040000000003</v>
          </cell>
          <cell r="CM1548" t="str">
            <v xml:space="preserve">NFT-424100932GN00157XXXXXXX </v>
          </cell>
          <cell r="CN1548" t="str">
            <v>2024-08-28</v>
          </cell>
          <cell r="CO1548">
            <v>1454.3009999999999</v>
          </cell>
          <cell r="CP1548" t="str">
            <v xml:space="preserve">NFT-424800948GN00078XXXXXXX </v>
          </cell>
          <cell r="CQ1548" t="str">
            <v>2024-09-04</v>
          </cell>
          <cell r="CR1548">
            <v>-8159.6040000000003</v>
          </cell>
          <cell r="CS1548" t="str">
            <v xml:space="preserve">NFT-424800981GN00017XXXXXXX </v>
          </cell>
          <cell r="CT1548" t="str">
            <v>2024-09-04</v>
          </cell>
          <cell r="CU1548">
            <v>-1454.3009999999999</v>
          </cell>
          <cell r="CV1548" t="str">
            <v xml:space="preserve">NFT-/XUTR/DEUTH02429530992X </v>
          </cell>
          <cell r="CW1548" t="str">
            <v>2024-10-21</v>
          </cell>
          <cell r="CX1548">
            <v>9979.2000000000007</v>
          </cell>
        </row>
        <row r="1549">
          <cell r="CJ1549" t="str">
            <v xml:space="preserve">NFT-424100873GN00159XXXXXXX </v>
          </cell>
          <cell r="CK1549" t="str">
            <v>2024-08-28</v>
          </cell>
          <cell r="CL1549">
            <v>6480.5889999999999</v>
          </cell>
          <cell r="CM1549" t="str">
            <v xml:space="preserve">NFT-424100932GN00157XXXXXXX </v>
          </cell>
          <cell r="CN1549" t="str">
            <v>2024-08-28</v>
          </cell>
          <cell r="CO1549">
            <v>1161.8969999999999</v>
          </cell>
        </row>
        <row r="1550">
          <cell r="CJ1550" t="str">
            <v xml:space="preserve">NFT-424100873GN00159XXXXXXX </v>
          </cell>
          <cell r="CK1550" t="str">
            <v>2024-08-28</v>
          </cell>
          <cell r="CL1550">
            <v>6480.5889999999999</v>
          </cell>
          <cell r="CM1550" t="str">
            <v xml:space="preserve">NFT-424100932GN00157XXXXXXX </v>
          </cell>
          <cell r="CN1550" t="str">
            <v>2024-08-28</v>
          </cell>
          <cell r="CO1550">
            <v>1161.8969999999999</v>
          </cell>
        </row>
        <row r="1551">
          <cell r="CJ1551" t="str">
            <v xml:space="preserve">NFT-424100873GN00159XXXXXXX </v>
          </cell>
          <cell r="CK1551" t="str">
            <v>2024-08-28</v>
          </cell>
          <cell r="CL1551">
            <v>68969.203999999998</v>
          </cell>
          <cell r="CM1551" t="str">
            <v xml:space="preserve">NFT-424100932GN00157XXXXXXX </v>
          </cell>
          <cell r="CN1551" t="str">
            <v>2024-08-28</v>
          </cell>
          <cell r="CO1551">
            <v>6492.4</v>
          </cell>
          <cell r="CP1551" t="str">
            <v xml:space="preserve">NFT-425300932GN00169XXXXXXX </v>
          </cell>
          <cell r="CQ1551" t="str">
            <v>2024-09-09</v>
          </cell>
          <cell r="CR1551">
            <v>-68969.203999999998</v>
          </cell>
          <cell r="CS1551" t="str">
            <v xml:space="preserve">NFT-425701003GN00065XXXXXXX </v>
          </cell>
          <cell r="CT1551" t="str">
            <v>2024-09-13</v>
          </cell>
          <cell r="CU1551">
            <v>-6492.4</v>
          </cell>
        </row>
        <row r="1552">
          <cell r="CJ1552" t="str">
            <v xml:space="preserve">NFT-424100873GN00159XXXXXXX </v>
          </cell>
          <cell r="CK1552" t="str">
            <v>2024-08-28</v>
          </cell>
          <cell r="CL1552">
            <v>6480.5889999999999</v>
          </cell>
          <cell r="CM1552" t="str">
            <v xml:space="preserve">NFT-424100932GN00157XXXXXXX </v>
          </cell>
          <cell r="CN1552" t="str">
            <v>2024-08-28</v>
          </cell>
          <cell r="CO1552">
            <v>1161.8969999999999</v>
          </cell>
        </row>
        <row r="1553">
          <cell r="CJ1553" t="str">
            <v xml:space="preserve">NFT-424100873GN00159XXXXXXX </v>
          </cell>
          <cell r="CK1553" t="str">
            <v>2024-08-28</v>
          </cell>
          <cell r="CL1553">
            <v>35865.313000000002</v>
          </cell>
          <cell r="CM1553" t="str">
            <v xml:space="preserve">NFT-424100932GN00157XXXXXXX </v>
          </cell>
          <cell r="CN1553" t="str">
            <v>2024-08-28</v>
          </cell>
          <cell r="CO1553">
            <v>1891.934</v>
          </cell>
        </row>
        <row r="1554">
          <cell r="CJ1554" t="str">
            <v xml:space="preserve">NFT-424100873GN00159XXXXXXX </v>
          </cell>
          <cell r="CK1554" t="str">
            <v>2024-08-28</v>
          </cell>
          <cell r="CL1554">
            <v>6480.5889999999999</v>
          </cell>
          <cell r="CM1554" t="str">
            <v xml:space="preserve">NFT-424100932GN00157XXXXXXX </v>
          </cell>
          <cell r="CN1554" t="str">
            <v>2024-08-28</v>
          </cell>
          <cell r="CO1554">
            <v>1161.8969999999999</v>
          </cell>
        </row>
        <row r="1555">
          <cell r="CJ1555" t="str">
            <v xml:space="preserve">NFT-424100873GN00159XXXXXXX </v>
          </cell>
          <cell r="CK1555" t="str">
            <v>2024-08-28</v>
          </cell>
          <cell r="CL1555">
            <v>12391.355</v>
          </cell>
          <cell r="CM1555" t="str">
            <v xml:space="preserve">NFT-424100932GN00157XXXXXXX </v>
          </cell>
          <cell r="CN1555" t="str">
            <v>2024-08-28</v>
          </cell>
          <cell r="CO1555">
            <v>1845.403</v>
          </cell>
        </row>
        <row r="1556">
          <cell r="CJ1556" t="str">
            <v xml:space="preserve">NFT-424100873GN00159XXXXXXX </v>
          </cell>
          <cell r="CK1556" t="str">
            <v>2024-08-28</v>
          </cell>
          <cell r="CL1556">
            <v>13870.09</v>
          </cell>
          <cell r="CM1556" t="str">
            <v xml:space="preserve">NFT-424100932GN00157XXXXXXX </v>
          </cell>
          <cell r="CN1556" t="str">
            <v>2024-08-28</v>
          </cell>
          <cell r="CO1556">
            <v>842.57399999999996</v>
          </cell>
        </row>
        <row r="1557">
          <cell r="CJ1557" t="str">
            <v xml:space="preserve">NFT-424100873GN00159XXXXXXX </v>
          </cell>
          <cell r="CK1557" t="str">
            <v>2024-08-28</v>
          </cell>
          <cell r="CL1557">
            <v>12410.235000000001</v>
          </cell>
          <cell r="CM1557" t="str">
            <v xml:space="preserve">NFT-424100932GN00157XXXXXXX </v>
          </cell>
          <cell r="CN1557" t="str">
            <v>2024-08-28</v>
          </cell>
          <cell r="CO1557">
            <v>1845.403</v>
          </cell>
        </row>
        <row r="1558">
          <cell r="CJ1558" t="str">
            <v xml:space="preserve">NFT-424100873GN00159XXXXXXX </v>
          </cell>
          <cell r="CK1558" t="str">
            <v>2024-08-28</v>
          </cell>
          <cell r="CL1558">
            <v>12391.355</v>
          </cell>
          <cell r="CM1558" t="str">
            <v xml:space="preserve">NFT-424100932GN00157XXXXXXX </v>
          </cell>
          <cell r="CN1558" t="str">
            <v>2024-08-28</v>
          </cell>
          <cell r="CO1558">
            <v>1845.403</v>
          </cell>
        </row>
        <row r="1559">
          <cell r="CJ1559" t="str">
            <v xml:space="preserve">NFT-424100873GN00159XXXXXXX </v>
          </cell>
          <cell r="CK1559" t="str">
            <v>2024-08-28</v>
          </cell>
          <cell r="CL1559">
            <v>6479.6239999999998</v>
          </cell>
          <cell r="CM1559" t="str">
            <v xml:space="preserve">NFT-424100932GN00157XXXXXXX </v>
          </cell>
          <cell r="CN1559" t="str">
            <v>2024-08-28</v>
          </cell>
          <cell r="CO1559">
            <v>1162.8630000000001</v>
          </cell>
        </row>
        <row r="1560">
          <cell r="CJ1560" t="str">
            <v xml:space="preserve">NFT-424100873GN00159XXXXXXX </v>
          </cell>
          <cell r="CK1560" t="str">
            <v>2024-08-28</v>
          </cell>
          <cell r="CL1560">
            <v>68970.5</v>
          </cell>
          <cell r="CM1560" t="str">
            <v xml:space="preserve">NFT-424100932GN00157XXXXXXX </v>
          </cell>
          <cell r="CN1560" t="str">
            <v>2024-08-28</v>
          </cell>
          <cell r="CO1560">
            <v>6525.1040000000003</v>
          </cell>
        </row>
        <row r="1561">
          <cell r="CJ1561" t="str">
            <v xml:space="preserve">NFT-424100873GN00159XXXXXXX </v>
          </cell>
          <cell r="CK1561" t="str">
            <v>2024-08-28</v>
          </cell>
          <cell r="CL1561">
            <v>6499.4690000000001</v>
          </cell>
          <cell r="CM1561" t="str">
            <v xml:space="preserve">NFT-424100932GN00157XXXXXXX </v>
          </cell>
          <cell r="CN1561" t="str">
            <v>2024-08-28</v>
          </cell>
          <cell r="CO1561">
            <v>1161.8969999999999</v>
          </cell>
        </row>
        <row r="1562">
          <cell r="CJ1562" t="str">
            <v xml:space="preserve">NFT-424100873GN00159XXXXXXX </v>
          </cell>
          <cell r="CK1562" t="str">
            <v>2024-08-28</v>
          </cell>
          <cell r="CL1562">
            <v>1255.886</v>
          </cell>
        </row>
        <row r="1563">
          <cell r="CJ1563" t="str">
            <v xml:space="preserve">NFT-424100873GN00159XXXXXXX </v>
          </cell>
          <cell r="CK1563" t="str">
            <v>2024-08-28</v>
          </cell>
          <cell r="CL1563">
            <v>6499.4690000000001</v>
          </cell>
          <cell r="CM1563" t="str">
            <v xml:space="preserve">NFT-424100932GN00157XXXXXXX </v>
          </cell>
          <cell r="CN1563" t="str">
            <v>2024-08-28</v>
          </cell>
          <cell r="CO1563">
            <v>1161.8969999999999</v>
          </cell>
        </row>
        <row r="1565">
          <cell r="CJ1565" t="str">
            <v xml:space="preserve">NFT-424100873GN00159XXXXXXX </v>
          </cell>
          <cell r="CK1565" t="str">
            <v>2024-08-28</v>
          </cell>
          <cell r="CL1565">
            <v>6499.4690000000001</v>
          </cell>
          <cell r="CM1565" t="str">
            <v xml:space="preserve">NFT-424100932GN00157XXXXXXX </v>
          </cell>
          <cell r="CN1565" t="str">
            <v>2024-08-28</v>
          </cell>
          <cell r="CO1565">
            <v>1161.8969999999999</v>
          </cell>
        </row>
        <row r="1566">
          <cell r="CJ1566" t="str">
            <v xml:space="preserve">NFT-424100873GN00159XXXXXXX </v>
          </cell>
          <cell r="CK1566" t="str">
            <v>2024-08-28</v>
          </cell>
          <cell r="CL1566">
            <v>6480.5889999999999</v>
          </cell>
          <cell r="CM1566" t="str">
            <v xml:space="preserve">NFT-424100932GN00157XXXXXXX </v>
          </cell>
          <cell r="CN1566" t="str">
            <v>2024-08-28</v>
          </cell>
          <cell r="CO1566">
            <v>1161.8969999999999</v>
          </cell>
        </row>
        <row r="1567">
          <cell r="CJ1567" t="str">
            <v xml:space="preserve">NFT-424100873GN00159XXXXXXX </v>
          </cell>
          <cell r="CK1567" t="str">
            <v>2024-08-28</v>
          </cell>
          <cell r="CL1567">
            <v>6480.5889999999999</v>
          </cell>
          <cell r="CM1567" t="str">
            <v xml:space="preserve">NFT-424100932GN00157XXXXXXX </v>
          </cell>
          <cell r="CN1567" t="str">
            <v>2024-08-28</v>
          </cell>
          <cell r="CO1567">
            <v>1161.8969999999999</v>
          </cell>
        </row>
        <row r="1568">
          <cell r="CJ1568" t="str">
            <v xml:space="preserve">NFT-424100873GN00159XXXXXXX </v>
          </cell>
          <cell r="CK1568" t="str">
            <v>2024-08-28</v>
          </cell>
          <cell r="CL1568">
            <v>6499.4690000000001</v>
          </cell>
          <cell r="CM1568" t="str">
            <v xml:space="preserve">NFT-424100932GN00157XXXXXXX </v>
          </cell>
          <cell r="CN1568" t="str">
            <v>2024-08-28</v>
          </cell>
          <cell r="CO1568">
            <v>1161.8969999999999</v>
          </cell>
        </row>
        <row r="1569">
          <cell r="CJ1569" t="str">
            <v xml:space="preserve">NFT-424100873GN00159XXXXXXX </v>
          </cell>
          <cell r="CK1569" t="str">
            <v>2024-08-28</v>
          </cell>
          <cell r="CL1569">
            <v>12410.235000000001</v>
          </cell>
          <cell r="CM1569" t="str">
            <v xml:space="preserve">NFT-424100932GN00157XXXXXXX </v>
          </cell>
          <cell r="CN1569" t="str">
            <v>2024-08-28</v>
          </cell>
          <cell r="CO1569">
            <v>1845.403</v>
          </cell>
        </row>
        <row r="1570">
          <cell r="CJ1570" t="str">
            <v xml:space="preserve">NFT-424100873GN00159XXXXXXX </v>
          </cell>
          <cell r="CK1570" t="str">
            <v>2024-08-28</v>
          </cell>
          <cell r="CL1570">
            <v>35845.468000000001</v>
          </cell>
          <cell r="CM1570" t="str">
            <v xml:space="preserve">NFT-424100932GN00157XXXXXXX </v>
          </cell>
          <cell r="CN1570" t="str">
            <v>2024-08-28</v>
          </cell>
          <cell r="CO1570">
            <v>1892.9</v>
          </cell>
        </row>
        <row r="1571">
          <cell r="CJ1571" t="str">
            <v xml:space="preserve">NFT-424100873GN00159XXXXXXX </v>
          </cell>
          <cell r="CK1571" t="str">
            <v>2024-08-28</v>
          </cell>
          <cell r="CL1571">
            <v>11859.582</v>
          </cell>
          <cell r="CM1571" t="str">
            <v xml:space="preserve">NFT-424100932GN00157XXXXXXX </v>
          </cell>
          <cell r="CN1571" t="str">
            <v>2024-08-28</v>
          </cell>
          <cell r="CO1571">
            <v>2377.165</v>
          </cell>
        </row>
        <row r="1572">
          <cell r="CJ1572" t="str">
            <v xml:space="preserve">NFT-424100873GN00159XXXXXXX </v>
          </cell>
          <cell r="CK1572" t="str">
            <v>2024-08-28</v>
          </cell>
          <cell r="CL1572">
            <v>12508.638000000001</v>
          </cell>
          <cell r="CM1572" t="str">
            <v xml:space="preserve">NFT-424100932GN00157XXXXXXX </v>
          </cell>
          <cell r="CN1572" t="str">
            <v>2024-08-28</v>
          </cell>
          <cell r="CO1572">
            <v>1746.99</v>
          </cell>
        </row>
        <row r="1573">
          <cell r="CJ1573" t="str">
            <v xml:space="preserve">NFT-424100873GN00159XXXXXXX </v>
          </cell>
          <cell r="CK1573" t="str">
            <v>2024-08-28</v>
          </cell>
          <cell r="CL1573">
            <v>6537.9359999999997</v>
          </cell>
          <cell r="CM1573" t="str">
            <v xml:space="preserve">NFT-424100932GN00157XXXXXXX </v>
          </cell>
          <cell r="CN1573" t="str">
            <v>2024-08-28</v>
          </cell>
          <cell r="CO1573">
            <v>1123.43</v>
          </cell>
        </row>
        <row r="1574">
          <cell r="CJ1574" t="str">
            <v xml:space="preserve">NFT-424100873GN00159XXXXXXX </v>
          </cell>
          <cell r="CK1574" t="str">
            <v>2024-08-28</v>
          </cell>
          <cell r="CL1574">
            <v>12677.548000000001</v>
          </cell>
          <cell r="CM1574" t="str">
            <v xml:space="preserve">NFT-424100932GN00157XXXXXXX </v>
          </cell>
          <cell r="CN1574" t="str">
            <v>2024-08-28</v>
          </cell>
          <cell r="CO1574">
            <v>1559.1990000000001</v>
          </cell>
        </row>
        <row r="1575">
          <cell r="CJ1575" t="str">
            <v xml:space="preserve">NFT-424100873GN00159XXXXXXX </v>
          </cell>
          <cell r="CK1575" t="str">
            <v>2024-08-28</v>
          </cell>
          <cell r="CL1575">
            <v>6480.5889999999999</v>
          </cell>
          <cell r="CM1575" t="str">
            <v xml:space="preserve">NFT-424100932GN00157XXXXXXX </v>
          </cell>
          <cell r="CN1575" t="str">
            <v>2024-08-28</v>
          </cell>
          <cell r="CO1575">
            <v>1161.8969999999999</v>
          </cell>
        </row>
        <row r="1576">
          <cell r="CJ1576" t="str">
            <v xml:space="preserve">NFT-424100873GN00159XXXXXXX </v>
          </cell>
          <cell r="CK1576" t="str">
            <v>2024-08-28</v>
          </cell>
          <cell r="CL1576">
            <v>6480.5889999999999</v>
          </cell>
          <cell r="CM1576" t="str">
            <v xml:space="preserve">NFT-424100932GN00157XXXXXXX </v>
          </cell>
          <cell r="CN1576" t="str">
            <v>2024-08-28</v>
          </cell>
          <cell r="CO1576">
            <v>1161.8969999999999</v>
          </cell>
        </row>
        <row r="1577">
          <cell r="CJ1577" t="str">
            <v xml:space="preserve">NFT-424100873GN00159XXXXXXX </v>
          </cell>
          <cell r="CK1577" t="str">
            <v>2024-08-28</v>
          </cell>
          <cell r="CL1577">
            <v>75461.603000000003</v>
          </cell>
        </row>
        <row r="1578">
          <cell r="CJ1578" t="str">
            <v xml:space="preserve">NFT-424100873GN00159XXXXXXX </v>
          </cell>
          <cell r="CK1578" t="str">
            <v>2024-08-28</v>
          </cell>
          <cell r="CL1578">
            <v>35865.313000000002</v>
          </cell>
          <cell r="CM1578" t="str">
            <v xml:space="preserve">NFT-424100932GN00157XXXXXXX </v>
          </cell>
          <cell r="CN1578" t="str">
            <v>2024-08-28</v>
          </cell>
          <cell r="CO1578">
            <v>1891.9349999999999</v>
          </cell>
        </row>
        <row r="1579">
          <cell r="CJ1579" t="str">
            <v xml:space="preserve">NFT-424100873GN00159XXXXXXX </v>
          </cell>
          <cell r="CK1579" t="str">
            <v>2024-08-28</v>
          </cell>
          <cell r="CL1579">
            <v>12410.234</v>
          </cell>
          <cell r="CM1579" t="str">
            <v xml:space="preserve">NFT-424100932GN00157XXXXXXX </v>
          </cell>
          <cell r="CN1579" t="str">
            <v>2024-08-28</v>
          </cell>
          <cell r="CO1579">
            <v>1845.403</v>
          </cell>
        </row>
        <row r="1580">
          <cell r="CJ1580" t="str">
            <v xml:space="preserve">NFT-424100873GN00159XXXXXXX </v>
          </cell>
          <cell r="CK1580" t="str">
            <v>2024-08-28</v>
          </cell>
          <cell r="CL1580">
            <v>6552.3689999999997</v>
          </cell>
          <cell r="CM1580" t="str">
            <v xml:space="preserve">NFT-424100932GN00157XXXXXXX </v>
          </cell>
          <cell r="CN1580" t="str">
            <v>2024-08-28</v>
          </cell>
          <cell r="CO1580">
            <v>1108.999</v>
          </cell>
        </row>
        <row r="1581">
          <cell r="CJ1581" t="str">
            <v xml:space="preserve">NFT-424100873GN00159XXXXXXX </v>
          </cell>
          <cell r="CK1581" t="str">
            <v>2024-08-28</v>
          </cell>
          <cell r="CL1581">
            <v>12526.781000000001</v>
          </cell>
          <cell r="CM1581" t="str">
            <v xml:space="preserve">NFT-424100932GN00157XXXXXXX </v>
          </cell>
          <cell r="CN1581" t="str">
            <v>2024-08-28</v>
          </cell>
          <cell r="CO1581">
            <v>1709.9780000000001</v>
          </cell>
        </row>
        <row r="1582">
          <cell r="CJ1582" t="str">
            <v xml:space="preserve">NFT-424100873GN00159XXXXXXX </v>
          </cell>
          <cell r="CK1582" t="str">
            <v>2024-08-28</v>
          </cell>
          <cell r="CL1582">
            <v>8140.7240000000002</v>
          </cell>
          <cell r="CM1582" t="str">
            <v xml:space="preserve">NFT-424100932GN00157XXXXXXX </v>
          </cell>
          <cell r="CN1582" t="str">
            <v>2024-08-28</v>
          </cell>
          <cell r="CO1582">
            <v>1454.3009999999999</v>
          </cell>
        </row>
        <row r="1583">
          <cell r="CJ1583" t="str">
            <v xml:space="preserve">NFT-424100873GN00159XXXXXXX </v>
          </cell>
          <cell r="CK1583" t="str">
            <v>2024-08-28</v>
          </cell>
          <cell r="CL1583">
            <v>35865.313000000002</v>
          </cell>
          <cell r="CM1583" t="str">
            <v xml:space="preserve">NFT-424100932GN00157XXXXXXX </v>
          </cell>
          <cell r="CN1583" t="str">
            <v>2024-08-28</v>
          </cell>
          <cell r="CO1583">
            <v>1891.9349999999999</v>
          </cell>
        </row>
        <row r="1584">
          <cell r="CJ1584" t="str">
            <v xml:space="preserve">NFT-424100873GN00159XXXXXXX </v>
          </cell>
          <cell r="CK1584" t="str">
            <v>2024-08-28</v>
          </cell>
          <cell r="CL1584">
            <v>69022.084000000003</v>
          </cell>
          <cell r="CM1584" t="str">
            <v xml:space="preserve">NFT-424100932GN00157XXXXXXX </v>
          </cell>
          <cell r="CN1584" t="str">
            <v>2024-08-28</v>
          </cell>
          <cell r="CO1584">
            <v>6492.3959999999997</v>
          </cell>
        </row>
        <row r="1585">
          <cell r="CJ1585" t="str">
            <v xml:space="preserve">NFT-424100873GN00159XXXXXXX </v>
          </cell>
          <cell r="CK1585" t="str">
            <v>2024-08-28</v>
          </cell>
          <cell r="CL1585">
            <v>6541.7889999999998</v>
          </cell>
          <cell r="CM1585" t="str">
            <v xml:space="preserve">NFT-424100932GN00157XXXXXXX </v>
          </cell>
          <cell r="CN1585" t="str">
            <v>2024-08-28</v>
          </cell>
          <cell r="CO1585">
            <v>1119.579</v>
          </cell>
        </row>
        <row r="1586">
          <cell r="CJ1586" t="str">
            <v xml:space="preserve">NFT-424100873GN00159XXXXXXX </v>
          </cell>
          <cell r="CK1586" t="str">
            <v>2024-08-28</v>
          </cell>
          <cell r="CL1586">
            <v>6480.5889999999999</v>
          </cell>
          <cell r="CM1586" t="str">
            <v xml:space="preserve">NFT-424100932GN00157XXXXXXX </v>
          </cell>
          <cell r="CN1586" t="str">
            <v>2024-08-28</v>
          </cell>
          <cell r="CO1586">
            <v>1161.8969999999999</v>
          </cell>
        </row>
        <row r="1587">
          <cell r="CJ1587" t="str">
            <v xml:space="preserve">NFT-424100873GN00159XXXXXXX </v>
          </cell>
          <cell r="CK1587" t="str">
            <v>2024-08-28</v>
          </cell>
          <cell r="CL1587">
            <v>6480.5889999999999</v>
          </cell>
          <cell r="CM1587" t="str">
            <v xml:space="preserve">NFT-424100932GN00157XXXXXXX </v>
          </cell>
          <cell r="CN1587" t="str">
            <v>2024-08-28</v>
          </cell>
          <cell r="CO1587">
            <v>1161.8969999999999</v>
          </cell>
        </row>
        <row r="1588">
          <cell r="CJ1588" t="str">
            <v xml:space="preserve">NFT-424100873GN00159XXXXXXX </v>
          </cell>
          <cell r="CK1588" t="str">
            <v>2024-08-28</v>
          </cell>
          <cell r="CL1588">
            <v>2236.0859999999998</v>
          </cell>
          <cell r="CM1588" t="str">
            <v xml:space="preserve">NFT-424100932GN00157XXXXXXX </v>
          </cell>
          <cell r="CN1588" t="str">
            <v>2024-08-28</v>
          </cell>
          <cell r="CO1588">
            <v>109.65</v>
          </cell>
        </row>
        <row r="1589">
          <cell r="CJ1589" t="str">
            <v xml:space="preserve">NFT-424100873GN00159XXXXXXX </v>
          </cell>
          <cell r="CK1589" t="str">
            <v>2024-08-28</v>
          </cell>
          <cell r="CL1589">
            <v>12410.235000000001</v>
          </cell>
          <cell r="CM1589" t="str">
            <v xml:space="preserve">NFT-424100932GN00157XXXXXXX </v>
          </cell>
          <cell r="CN1589" t="str">
            <v>2024-08-28</v>
          </cell>
          <cell r="CO1589">
            <v>1845.403</v>
          </cell>
        </row>
        <row r="1590">
          <cell r="CJ1590" t="str">
            <v xml:space="preserve">NFT-424100873GN00159XXXXXXX </v>
          </cell>
          <cell r="CK1590" t="str">
            <v>2024-08-28</v>
          </cell>
          <cell r="CL1590">
            <v>7661.3670000000002</v>
          </cell>
          <cell r="CM1590" t="str">
            <v xml:space="preserve">NFT-424300580GN00067XXXXXXX </v>
          </cell>
          <cell r="CN1590" t="str">
            <v>2024-08-30</v>
          </cell>
          <cell r="CO1590">
            <v>-7661.3670000000002</v>
          </cell>
        </row>
        <row r="1591">
          <cell r="CJ1591" t="str">
            <v xml:space="preserve">NFT-424100873GN00159XXXXXXX </v>
          </cell>
          <cell r="CK1591" t="str">
            <v>2024-08-28</v>
          </cell>
          <cell r="CL1591">
            <v>6499.4690000000001</v>
          </cell>
          <cell r="CM1591" t="str">
            <v xml:space="preserve">NFT-424100932GN00157XXXXXXX </v>
          </cell>
          <cell r="CN1591" t="str">
            <v>2024-08-28</v>
          </cell>
          <cell r="CO1591">
            <v>1161.8969999999999</v>
          </cell>
        </row>
        <row r="1592">
          <cell r="CJ1592" t="str">
            <v xml:space="preserve">NFT-424100873GN00159XXXXXXX </v>
          </cell>
          <cell r="CK1592" t="str">
            <v>2024-08-28</v>
          </cell>
          <cell r="CL1592">
            <v>6499.4690000000001</v>
          </cell>
          <cell r="CM1592" t="str">
            <v xml:space="preserve">NFT-424100932GN00157XXXXXXX </v>
          </cell>
          <cell r="CN1592" t="str">
            <v>2024-08-28</v>
          </cell>
          <cell r="CO1592">
            <v>1161.8969999999999</v>
          </cell>
        </row>
        <row r="1593">
          <cell r="CJ1593" t="str">
            <v xml:space="preserve">NFT-424100873GN00159XXXXXXX </v>
          </cell>
          <cell r="CK1593" t="str">
            <v>2024-08-28</v>
          </cell>
          <cell r="CL1593">
            <v>68988.084000000003</v>
          </cell>
          <cell r="CM1593" t="str">
            <v xml:space="preserve">NFT-424100932GN00157XXXXXXX </v>
          </cell>
          <cell r="CN1593" t="str">
            <v>2024-08-28</v>
          </cell>
          <cell r="CO1593">
            <v>6492.3980000000001</v>
          </cell>
        </row>
        <row r="1594">
          <cell r="CJ1594" t="str">
            <v xml:space="preserve">NFT-424100873GN00159XXXXXXX </v>
          </cell>
          <cell r="CK1594" t="str">
            <v>2024-08-28</v>
          </cell>
          <cell r="CL1594">
            <v>33693.836000000003</v>
          </cell>
          <cell r="CM1594" t="str">
            <v xml:space="preserve">NFT-424100932GN00157XXXXXXX </v>
          </cell>
          <cell r="CN1594" t="str">
            <v>2024-08-28</v>
          </cell>
          <cell r="CO1594">
            <v>4044.5230000000001</v>
          </cell>
        </row>
        <row r="1595">
          <cell r="CJ1595" t="str">
            <v xml:space="preserve">NFT-424300580GN00067XXXXXXX </v>
          </cell>
          <cell r="CK1595" t="str">
            <v>2024-08-30</v>
          </cell>
          <cell r="CL1595">
            <v>12391.355</v>
          </cell>
          <cell r="CS1595" t="str">
            <v xml:space="preserve">NFT-424300980GN00254XXXXXXX </v>
          </cell>
          <cell r="CT1595" t="str">
            <v>2024-08-30</v>
          </cell>
          <cell r="CU1595">
            <v>1845.403</v>
          </cell>
        </row>
        <row r="1596">
          <cell r="CJ1596" t="str">
            <v xml:space="preserve">NFT-424100873GN00159XXXXXXX </v>
          </cell>
          <cell r="CK1596" t="str">
            <v>2024-08-28</v>
          </cell>
          <cell r="CL1596">
            <v>6499.4690000000001</v>
          </cell>
          <cell r="CM1596" t="str">
            <v xml:space="preserve">NFT-424100932GN00157XXXXXXX </v>
          </cell>
          <cell r="CN1596" t="str">
            <v>2024-08-28</v>
          </cell>
          <cell r="CO1596">
            <v>1161.8969999999999</v>
          </cell>
        </row>
        <row r="1597">
          <cell r="CJ1597" t="str">
            <v xml:space="preserve">NFT-424100873GN00159XXXXXXX </v>
          </cell>
          <cell r="CK1597" t="str">
            <v>2024-08-28</v>
          </cell>
          <cell r="CL1597">
            <v>8323.4480000000003</v>
          </cell>
          <cell r="CM1597" t="str">
            <v xml:space="preserve">NFT-424100932GN00157XXXXXXX </v>
          </cell>
          <cell r="CN1597" t="str">
            <v>2024-08-28</v>
          </cell>
          <cell r="CO1597">
            <v>1496.616</v>
          </cell>
        </row>
        <row r="1598">
          <cell r="CJ1598" t="str">
            <v xml:space="preserve">NFT-424100873GN00159XXXXXXX </v>
          </cell>
          <cell r="CK1598" t="str">
            <v>2024-08-28</v>
          </cell>
          <cell r="CL1598">
            <v>12391.355</v>
          </cell>
          <cell r="CM1598" t="str">
            <v xml:space="preserve">NFT-424100932GN00157XXXXXXX </v>
          </cell>
          <cell r="CN1598" t="str">
            <v>2024-08-28</v>
          </cell>
          <cell r="CO1598">
            <v>1845.403</v>
          </cell>
        </row>
        <row r="1599">
          <cell r="CJ1599" t="str">
            <v xml:space="preserve">NFT-424100873GN00159XXXXXXX </v>
          </cell>
          <cell r="CK1599" t="str">
            <v>2024-08-28</v>
          </cell>
          <cell r="CL1599">
            <v>14548.456</v>
          </cell>
          <cell r="CM1599" t="str">
            <v xml:space="preserve">NFT-424100932GN00157XXXXXXX </v>
          </cell>
          <cell r="CN1599" t="str">
            <v>2024-08-28</v>
          </cell>
          <cell r="CO1599">
            <v>773.32</v>
          </cell>
        </row>
        <row r="1600">
          <cell r="CJ1600" t="str">
            <v xml:space="preserve">NFT-424100873GN00159XXXXXXX </v>
          </cell>
          <cell r="CK1600" t="str">
            <v>2024-08-28</v>
          </cell>
          <cell r="CL1600">
            <v>2278.3000000000002</v>
          </cell>
          <cell r="CM1600" t="str">
            <v xml:space="preserve">NFT-424100932GN00157XXXXXXX </v>
          </cell>
          <cell r="CN1600" t="str">
            <v>2024-08-28</v>
          </cell>
          <cell r="CO1600">
            <v>271.23399999999998</v>
          </cell>
        </row>
        <row r="1601">
          <cell r="CJ1601" t="str">
            <v xml:space="preserve">NFT-424100873GN00159XXXXXXX </v>
          </cell>
          <cell r="CK1601" t="str">
            <v>2024-08-28</v>
          </cell>
          <cell r="CL1601">
            <v>6480.5889999999999</v>
          </cell>
          <cell r="CM1601" t="str">
            <v xml:space="preserve">NFT-424100932GN00157XXXXXXX </v>
          </cell>
          <cell r="CN1601" t="str">
            <v>2024-08-28</v>
          </cell>
          <cell r="CO1601">
            <v>1161.8969999999999</v>
          </cell>
        </row>
        <row r="1602">
          <cell r="CJ1602" t="str">
            <v xml:space="preserve">NFT-424100873GN00159XXXXXXX </v>
          </cell>
          <cell r="CK1602" t="str">
            <v>2024-08-28</v>
          </cell>
          <cell r="CL1602">
            <v>68988.084000000003</v>
          </cell>
          <cell r="CM1602" t="str">
            <v xml:space="preserve">NFT-424100932GN00157XXXXXXX </v>
          </cell>
          <cell r="CN1602" t="str">
            <v>2024-08-28</v>
          </cell>
          <cell r="CO1602">
            <v>6492.3980000000001</v>
          </cell>
        </row>
        <row r="1603">
          <cell r="CJ1603" t="str">
            <v xml:space="preserve">NFT-424100873GN00159XXXXXXX </v>
          </cell>
          <cell r="CK1603" t="str">
            <v>2024-08-28</v>
          </cell>
          <cell r="CL1603">
            <v>6480.5889999999999</v>
          </cell>
          <cell r="CM1603" t="str">
            <v xml:space="preserve">NFT-424100932GN00157XXXXXXX </v>
          </cell>
          <cell r="CN1603" t="str">
            <v>2024-08-28</v>
          </cell>
          <cell r="CO1603">
            <v>1161.8969999999999</v>
          </cell>
        </row>
        <row r="1604">
          <cell r="CJ1604" t="str">
            <v xml:space="preserve">NFT-424100873GN00159XXXXXXX </v>
          </cell>
          <cell r="CK1604" t="str">
            <v>2024-08-28</v>
          </cell>
          <cell r="CL1604">
            <v>2413.8359999999998</v>
          </cell>
          <cell r="CM1604" t="str">
            <v xml:space="preserve">NFT-424100932GN00157XXXXXXX </v>
          </cell>
          <cell r="CN1604" t="str">
            <v>2024-08-28</v>
          </cell>
          <cell r="CO1604">
            <v>123.116</v>
          </cell>
        </row>
        <row r="1605">
          <cell r="CJ1605" t="str">
            <v xml:space="preserve">NFT-424100873GN00159XXXXXXX </v>
          </cell>
          <cell r="CK1605" t="str">
            <v>2024-08-28</v>
          </cell>
          <cell r="CL1605">
            <v>6499.4690000000001</v>
          </cell>
          <cell r="CM1605" t="str">
            <v xml:space="preserve">NFT-424100932GN00157XXXXXXX </v>
          </cell>
          <cell r="CN1605" t="str">
            <v>2024-08-28</v>
          </cell>
          <cell r="CO1605">
            <v>1161.8969999999999</v>
          </cell>
        </row>
        <row r="1606">
          <cell r="CJ1606" t="str">
            <v xml:space="preserve">NFT-424100873GN00159XXXXXXX </v>
          </cell>
          <cell r="CK1606" t="str">
            <v>2024-08-28</v>
          </cell>
          <cell r="CL1606">
            <v>6480.5889999999999</v>
          </cell>
          <cell r="CM1606" t="str">
            <v xml:space="preserve">NFT-424100932GN00157XXXXXXX </v>
          </cell>
          <cell r="CN1606" t="str">
            <v>2024-08-28</v>
          </cell>
          <cell r="CO1606">
            <v>1161.8969999999999</v>
          </cell>
        </row>
        <row r="1607">
          <cell r="CJ1607" t="str">
            <v xml:space="preserve">NFT-424100873GN00159XXXXXXX </v>
          </cell>
          <cell r="CK1607" t="str">
            <v>2024-08-28</v>
          </cell>
          <cell r="CL1607">
            <v>34206.144999999997</v>
          </cell>
          <cell r="CM1607" t="str">
            <v xml:space="preserve">NFT-424100932GN00157XXXXXXX </v>
          </cell>
          <cell r="CN1607" t="str">
            <v>2024-08-28</v>
          </cell>
          <cell r="CO1607">
            <v>3551.1019999999999</v>
          </cell>
        </row>
        <row r="1608">
          <cell r="CJ1608" t="str">
            <v xml:space="preserve">NFT-424100873GN00159XXXXXXX </v>
          </cell>
          <cell r="CK1608" t="str">
            <v>2024-08-28</v>
          </cell>
          <cell r="CL1608">
            <v>8323.4480000000003</v>
          </cell>
          <cell r="CM1608" t="str">
            <v xml:space="preserve">NFT-424100932GN00157XXXXXXX </v>
          </cell>
          <cell r="CN1608" t="str">
            <v>2024-08-28</v>
          </cell>
          <cell r="CO1608">
            <v>1496.616</v>
          </cell>
        </row>
        <row r="1609">
          <cell r="CJ1609" t="str">
            <v xml:space="preserve">NFT-424100873GN00159XXXXXXX </v>
          </cell>
          <cell r="CK1609" t="str">
            <v>2024-08-28</v>
          </cell>
          <cell r="CL1609">
            <v>6868.21</v>
          </cell>
          <cell r="CM1609" t="str">
            <v xml:space="preserve">NFT-424100932GN00157XXXXXXX </v>
          </cell>
          <cell r="CN1609" t="str">
            <v>2024-08-28</v>
          </cell>
          <cell r="CO1609">
            <v>774.27599999999995</v>
          </cell>
        </row>
        <row r="1610">
          <cell r="CJ1610" t="str">
            <v xml:space="preserve">NFT-424100873GN00159XXXXXXX </v>
          </cell>
          <cell r="CK1610" t="str">
            <v>2024-08-28</v>
          </cell>
          <cell r="CL1610">
            <v>12391.355</v>
          </cell>
          <cell r="CM1610" t="str">
            <v xml:space="preserve">NFT-424100932GN00157XXXXXXX </v>
          </cell>
          <cell r="CN1610" t="str">
            <v>2024-08-28</v>
          </cell>
          <cell r="CO1610">
            <v>1845.403</v>
          </cell>
        </row>
        <row r="1611">
          <cell r="CJ1611" t="str">
            <v xml:space="preserve">NFT-424100873GN00159XXXXXXX </v>
          </cell>
          <cell r="CK1611" t="str">
            <v>2024-08-28</v>
          </cell>
          <cell r="CL1611">
            <v>34206.144</v>
          </cell>
          <cell r="CM1611" t="str">
            <v xml:space="preserve">NFT-424100932GN00157XXXXXXX </v>
          </cell>
          <cell r="CN1611" t="str">
            <v>2024-08-28</v>
          </cell>
          <cell r="CO1611">
            <v>3551.1039999999998</v>
          </cell>
        </row>
        <row r="1612">
          <cell r="CJ1612" t="str">
            <v xml:space="preserve">NFT-424100873GN00159XXXXXXX </v>
          </cell>
          <cell r="CK1612" t="str">
            <v>2024-08-28</v>
          </cell>
          <cell r="CL1612">
            <v>6480.5889999999999</v>
          </cell>
          <cell r="CM1612" t="str">
            <v xml:space="preserve">NFT-424100932GN00157XXXXXXX </v>
          </cell>
          <cell r="CN1612" t="str">
            <v>2024-08-28</v>
          </cell>
          <cell r="CO1612">
            <v>1161.8969999999999</v>
          </cell>
        </row>
        <row r="1613">
          <cell r="CJ1613" t="str">
            <v xml:space="preserve">NFT-424100873GN00159XXXXXXX </v>
          </cell>
          <cell r="CK1613" t="str">
            <v>2024-08-28</v>
          </cell>
          <cell r="CL1613">
            <v>13327.28</v>
          </cell>
          <cell r="CM1613" t="str">
            <v xml:space="preserve">NFT-424100932GN00157XXXXXXX </v>
          </cell>
          <cell r="CN1613" t="str">
            <v>2024-08-28</v>
          </cell>
          <cell r="CO1613">
            <v>1977.538</v>
          </cell>
        </row>
        <row r="1614">
          <cell r="CJ1614" t="str">
            <v xml:space="preserve">NFT-424100873GN00159XXXXXXX </v>
          </cell>
          <cell r="CK1614" t="str">
            <v>2024-08-28</v>
          </cell>
          <cell r="CL1614">
            <v>6480.5889999999999</v>
          </cell>
          <cell r="CM1614" t="str">
            <v xml:space="preserve">NFT-424100932GN00157XXXXXXX </v>
          </cell>
          <cell r="CN1614" t="str">
            <v>2024-08-28</v>
          </cell>
          <cell r="CO1614">
            <v>1161.8969999999999</v>
          </cell>
        </row>
        <row r="1615">
          <cell r="CJ1615" t="str">
            <v xml:space="preserve">NFT-424100873GN00159XXXXXXX </v>
          </cell>
          <cell r="CK1615" t="str">
            <v>2024-08-28</v>
          </cell>
          <cell r="CL1615">
            <v>6480.5889999999999</v>
          </cell>
          <cell r="CM1615" t="str">
            <v xml:space="preserve">NFT-424100932GN00157XXXXXXX </v>
          </cell>
          <cell r="CN1615" t="str">
            <v>2024-08-28</v>
          </cell>
          <cell r="CO1615">
            <v>1161.8969999999999</v>
          </cell>
        </row>
        <row r="1616">
          <cell r="CJ1616" t="str">
            <v xml:space="preserve">NFT-424100873GN00159XXXXXXX </v>
          </cell>
          <cell r="CK1616" t="str">
            <v>2024-08-28</v>
          </cell>
          <cell r="CL1616">
            <v>6479.6239999999998</v>
          </cell>
          <cell r="CM1616" t="str">
            <v xml:space="preserve">NFT-424100932GN00157XXXXXXX </v>
          </cell>
          <cell r="CN1616" t="str">
            <v>2024-08-28</v>
          </cell>
          <cell r="CO1616">
            <v>1162.8630000000001</v>
          </cell>
        </row>
        <row r="1617">
          <cell r="CJ1617" t="str">
            <v xml:space="preserve">NFT-424100873GN00159XXXXXXX </v>
          </cell>
          <cell r="CK1617" t="str">
            <v>2024-08-28</v>
          </cell>
          <cell r="CL1617">
            <v>6480.5889999999999</v>
          </cell>
          <cell r="CM1617" t="str">
            <v xml:space="preserve">NFT-424100932GN00157XXXXXXX </v>
          </cell>
          <cell r="CN1617" t="str">
            <v>2024-08-28</v>
          </cell>
          <cell r="CO1617">
            <v>1161.8969999999999</v>
          </cell>
        </row>
        <row r="1618">
          <cell r="CJ1618" t="str">
            <v xml:space="preserve">NFT-424100873GN00159XXXXXXX </v>
          </cell>
          <cell r="CK1618" t="str">
            <v>2024-08-28</v>
          </cell>
          <cell r="CL1618">
            <v>7642.4870000000001</v>
          </cell>
        </row>
        <row r="1619">
          <cell r="CJ1619" t="str">
            <v xml:space="preserve">NFT-424100873GN00159XXXXXXX </v>
          </cell>
          <cell r="CK1619" t="str">
            <v>2024-08-28</v>
          </cell>
          <cell r="CL1619">
            <v>68988.084000000003</v>
          </cell>
          <cell r="CM1619" t="str">
            <v xml:space="preserve">NFT-424100932GN00157XXXXXXX </v>
          </cell>
          <cell r="CN1619" t="str">
            <v>2024-08-28</v>
          </cell>
          <cell r="CO1619">
            <v>6492.4</v>
          </cell>
        </row>
        <row r="1620">
          <cell r="CJ1620" t="str">
            <v xml:space="preserve">NFT-424100873GN00159XXXXXXX </v>
          </cell>
          <cell r="CK1620" t="str">
            <v>2024-08-28</v>
          </cell>
          <cell r="CL1620">
            <v>2278.3000000000002</v>
          </cell>
          <cell r="CM1620" t="str">
            <v xml:space="preserve">NFT-424100932GN00157XXXXXXX </v>
          </cell>
          <cell r="CN1620" t="str">
            <v>2024-08-28</v>
          </cell>
          <cell r="CO1620">
            <v>271.23399999999998</v>
          </cell>
        </row>
        <row r="1621">
          <cell r="CJ1621" t="str">
            <v xml:space="preserve">NFT-424100873GN00159XXXXXXX </v>
          </cell>
          <cell r="CK1621" t="str">
            <v>2024-08-28</v>
          </cell>
          <cell r="CL1621">
            <v>68969.203999999998</v>
          </cell>
          <cell r="CM1621" t="str">
            <v xml:space="preserve">NFT-424100932GN00157XXXXXXX </v>
          </cell>
          <cell r="CN1621" t="str">
            <v>2024-08-28</v>
          </cell>
          <cell r="CO1621">
            <v>6492.4</v>
          </cell>
        </row>
        <row r="1622">
          <cell r="CJ1622" t="str">
            <v xml:space="preserve">NFT-424100873GN00159XXXXXXX </v>
          </cell>
          <cell r="CK1622" t="str">
            <v>2024-08-28</v>
          </cell>
          <cell r="CL1622">
            <v>6608.1540000000005</v>
          </cell>
          <cell r="CM1622" t="str">
            <v xml:space="preserve">NFT-424100932GN00157XXXXXXX </v>
          </cell>
          <cell r="CN1622" t="str">
            <v>2024-08-28</v>
          </cell>
          <cell r="CO1622">
            <v>1053.213</v>
          </cell>
        </row>
        <row r="1623">
          <cell r="CJ1623" t="str">
            <v xml:space="preserve">NFT-424100873GN00159XXXXXXX </v>
          </cell>
          <cell r="CK1623" t="str">
            <v>2024-08-28</v>
          </cell>
          <cell r="CL1623">
            <v>12391.355</v>
          </cell>
          <cell r="CM1623" t="str">
            <v xml:space="preserve">NFT-424100932GN00157XXXXXXX </v>
          </cell>
          <cell r="CN1623" t="str">
            <v>2024-08-28</v>
          </cell>
          <cell r="CO1623">
            <v>1845.403</v>
          </cell>
        </row>
        <row r="1624">
          <cell r="CJ1624" t="str">
            <v xml:space="preserve">NFT-424100873GN00159XXXXXXX </v>
          </cell>
          <cell r="CK1624" t="str">
            <v>2024-08-28</v>
          </cell>
          <cell r="CL1624">
            <v>6499.4690000000001</v>
          </cell>
          <cell r="CM1624" t="str">
            <v xml:space="preserve">NFT-424100932GN00157XXXXXXX </v>
          </cell>
          <cell r="CN1624" t="str">
            <v>2024-08-28</v>
          </cell>
          <cell r="CO1624">
            <v>1161.8969999999999</v>
          </cell>
        </row>
        <row r="1625">
          <cell r="CJ1625" t="str">
            <v xml:space="preserve">NFT-424100873GN00159XXXXXXX </v>
          </cell>
          <cell r="CK1625" t="str">
            <v>2024-08-28</v>
          </cell>
          <cell r="CL1625">
            <v>6480.5889999999999</v>
          </cell>
          <cell r="CM1625" t="str">
            <v xml:space="preserve">NFT-424100932GN00157XXXXXXX </v>
          </cell>
          <cell r="CN1625" t="str">
            <v>2024-08-28</v>
          </cell>
          <cell r="CO1625">
            <v>1161.8969999999999</v>
          </cell>
        </row>
        <row r="1626">
          <cell r="CJ1626" t="str">
            <v xml:space="preserve">NFT-424100873GN00159XXXXXXX </v>
          </cell>
          <cell r="CK1626" t="str">
            <v>2024-08-28</v>
          </cell>
          <cell r="CL1626">
            <v>4421.299</v>
          </cell>
          <cell r="CM1626" t="str">
            <v xml:space="preserve">NFT-424100932GN00157XXXXXXX </v>
          </cell>
          <cell r="CN1626" t="str">
            <v>2024-08-28</v>
          </cell>
          <cell r="CO1626">
            <v>470.33800000000002</v>
          </cell>
        </row>
        <row r="1627">
          <cell r="CJ1627" t="str">
            <v xml:space="preserve">NFT-424100873GN00159XXXXXXX </v>
          </cell>
          <cell r="CK1627" t="str">
            <v>2024-08-28</v>
          </cell>
          <cell r="CL1627">
            <v>14101.558000000001</v>
          </cell>
          <cell r="CM1627" t="str">
            <v xml:space="preserve">NFT-424100932GN00157XXXXXXX </v>
          </cell>
          <cell r="CN1627" t="str">
            <v>2024-08-28</v>
          </cell>
          <cell r="CO1627">
            <v>1202.296</v>
          </cell>
        </row>
        <row r="1628">
          <cell r="CJ1628" t="str">
            <v xml:space="preserve">NFT-424100873GN00159XXXXXXX </v>
          </cell>
          <cell r="CK1628" t="str">
            <v>2024-08-28</v>
          </cell>
          <cell r="CL1628">
            <v>6480.5889999999999</v>
          </cell>
          <cell r="CM1628" t="str">
            <v xml:space="preserve">NFT-424100932GN00157XXXXXXX </v>
          </cell>
          <cell r="CN1628" t="str">
            <v>2024-08-28</v>
          </cell>
          <cell r="CO1628">
            <v>1161.8969999999999</v>
          </cell>
        </row>
        <row r="1629">
          <cell r="CJ1629" t="str">
            <v xml:space="preserve">NFT-424100873GN00159XXXXXXX </v>
          </cell>
          <cell r="CK1629" t="str">
            <v>2024-08-28</v>
          </cell>
          <cell r="CL1629">
            <v>6480.5889999999999</v>
          </cell>
          <cell r="CM1629" t="str">
            <v xml:space="preserve">NFT-424100932GN00157XXXXXXX </v>
          </cell>
          <cell r="CN1629" t="str">
            <v>2024-08-28</v>
          </cell>
          <cell r="CO1629">
            <v>1161.8969999999999</v>
          </cell>
        </row>
        <row r="1630">
          <cell r="CJ1630" t="str">
            <v xml:space="preserve">NFT-424100873GN00159XXXXXXX </v>
          </cell>
          <cell r="CK1630" t="str">
            <v>2024-08-28</v>
          </cell>
          <cell r="CL1630">
            <v>6480.5889999999999</v>
          </cell>
          <cell r="CM1630" t="str">
            <v xml:space="preserve">NFT-424100932GN00157XXXXXXX </v>
          </cell>
          <cell r="CN1630" t="str">
            <v>2024-08-28</v>
          </cell>
          <cell r="CO1630">
            <v>1161.8969999999999</v>
          </cell>
        </row>
        <row r="1631">
          <cell r="CJ1631" t="str">
            <v xml:space="preserve">NFT-424100873GN00159XXXXXXX </v>
          </cell>
          <cell r="CK1631" t="str">
            <v>2024-08-28</v>
          </cell>
          <cell r="CL1631">
            <v>6533.4880000000003</v>
          </cell>
          <cell r="CM1631" t="str">
            <v xml:space="preserve">NFT-424100932GN00157XXXXXXX </v>
          </cell>
          <cell r="CN1631" t="str">
            <v>2024-08-28</v>
          </cell>
          <cell r="CO1631">
            <v>1108.998</v>
          </cell>
        </row>
        <row r="1632">
          <cell r="CJ1632" t="str">
            <v xml:space="preserve">NFT-424100873GN00159XXXXXXX </v>
          </cell>
          <cell r="CK1632" t="str">
            <v>2024-08-28</v>
          </cell>
          <cell r="CL1632">
            <v>6498.5039999999999</v>
          </cell>
          <cell r="CM1632" t="str">
            <v xml:space="preserve">NFT-424100932GN00157XXXXXXX </v>
          </cell>
          <cell r="CN1632" t="str">
            <v>2024-08-28</v>
          </cell>
          <cell r="CO1632">
            <v>1162.8630000000001</v>
          </cell>
        </row>
        <row r="1633">
          <cell r="CJ1633" t="str">
            <v xml:space="preserve">NFT-424100873GN00159XXXXXXX </v>
          </cell>
          <cell r="CK1633" t="str">
            <v>2024-08-28</v>
          </cell>
          <cell r="CL1633">
            <v>35846.432999999997</v>
          </cell>
          <cell r="CM1633" t="str">
            <v xml:space="preserve">NFT-424100932GN00157XXXXXXX </v>
          </cell>
          <cell r="CN1633" t="str">
            <v>2024-08-28</v>
          </cell>
          <cell r="CO1633">
            <v>1891.934</v>
          </cell>
        </row>
        <row r="1634">
          <cell r="CJ1634" t="str">
            <v xml:space="preserve">NFT-424100873GN00159XXXXXXX </v>
          </cell>
          <cell r="CK1634" t="str">
            <v>2024-08-28</v>
          </cell>
          <cell r="CL1634">
            <v>8159.6040000000003</v>
          </cell>
          <cell r="CM1634" t="str">
            <v xml:space="preserve">NFT-424100932GN00157XXXXXXX </v>
          </cell>
          <cell r="CN1634" t="str">
            <v>2024-08-28</v>
          </cell>
          <cell r="CO1634">
            <v>1454.3009999999999</v>
          </cell>
        </row>
        <row r="1635">
          <cell r="CJ1635" t="str">
            <v xml:space="preserve">NFT-424100873GN00159XXXXXXX </v>
          </cell>
          <cell r="CK1635" t="str">
            <v>2024-08-28</v>
          </cell>
          <cell r="CL1635">
            <v>35865.313000000002</v>
          </cell>
          <cell r="CM1635" t="str">
            <v xml:space="preserve">NFT-424100932GN00157XXXXXXX </v>
          </cell>
          <cell r="CN1635" t="str">
            <v>2024-08-28</v>
          </cell>
          <cell r="CO1635">
            <v>1891.934</v>
          </cell>
          <cell r="CP1635" t="str">
            <v xml:space="preserve">NFT-424300580GN00067XXXXXXX </v>
          </cell>
          <cell r="CQ1635" t="str">
            <v>2024-08-30</v>
          </cell>
          <cell r="CR1635">
            <v>-35865.313000000002</v>
          </cell>
          <cell r="CS1635" t="str">
            <v xml:space="preserve">NFT-424300980GN00254XXXXXXX </v>
          </cell>
          <cell r="CT1635" t="str">
            <v>2024-08-30</v>
          </cell>
          <cell r="CU1635">
            <v>-1891.934</v>
          </cell>
        </row>
        <row r="1636">
          <cell r="CJ1636" t="str">
            <v xml:space="preserve">NFT-424100873GN00159XXXXXXX </v>
          </cell>
          <cell r="CK1636" t="str">
            <v>2024-08-28</v>
          </cell>
          <cell r="CL1636">
            <v>11728.59</v>
          </cell>
          <cell r="CM1636" t="str">
            <v xml:space="preserve">NFT-424100932GN00157XXXXXXX </v>
          </cell>
          <cell r="CN1636" t="str">
            <v>2024-08-28</v>
          </cell>
          <cell r="CO1636">
            <v>2527.038</v>
          </cell>
        </row>
        <row r="1637">
          <cell r="CJ1637" t="str">
            <v xml:space="preserve">NFT-424100873GN00159XXXXXXX </v>
          </cell>
          <cell r="CK1637" t="str">
            <v>2024-08-28</v>
          </cell>
          <cell r="CL1637">
            <v>6499.4690000000001</v>
          </cell>
          <cell r="CM1637" t="str">
            <v xml:space="preserve">NFT-424100932GN00157XXXXXXX </v>
          </cell>
          <cell r="CN1637" t="str">
            <v>2024-08-28</v>
          </cell>
          <cell r="CO1637">
            <v>1161.8969999999999</v>
          </cell>
        </row>
        <row r="1638">
          <cell r="CJ1638" t="str">
            <v xml:space="preserve">NFT-424100873GN00159XXXXXXX </v>
          </cell>
          <cell r="CK1638" t="str">
            <v>2024-08-28</v>
          </cell>
          <cell r="CL1638">
            <v>6684.143</v>
          </cell>
          <cell r="CM1638" t="str">
            <v xml:space="preserve">NFT-424100932GN00157XXXXXXX </v>
          </cell>
          <cell r="CN1638" t="str">
            <v>2024-08-28</v>
          </cell>
          <cell r="CO1638">
            <v>977.22400000000005</v>
          </cell>
        </row>
        <row r="1639">
          <cell r="CJ1639" t="str">
            <v xml:space="preserve">NFT-424100873GN00159XXXXXXX </v>
          </cell>
          <cell r="CK1639" t="str">
            <v>2024-08-28</v>
          </cell>
          <cell r="CL1639">
            <v>36351.396999999997</v>
          </cell>
          <cell r="CM1639" t="str">
            <v xml:space="preserve">NFT-424100932GN00157XXXXXXX </v>
          </cell>
          <cell r="CN1639" t="str">
            <v>2024-08-28</v>
          </cell>
          <cell r="CO1639">
            <v>1386.97</v>
          </cell>
        </row>
        <row r="1640">
          <cell r="CJ1640" t="str">
            <v xml:space="preserve">NFT-424100873GN00159XXXXXXX </v>
          </cell>
          <cell r="CK1640" t="str">
            <v>2024-08-28</v>
          </cell>
          <cell r="CL1640">
            <v>6480.5889999999999</v>
          </cell>
          <cell r="CM1640" t="str">
            <v xml:space="preserve">NFT-424100932GN00157XXXXXXX </v>
          </cell>
          <cell r="CN1640" t="str">
            <v>2024-08-28</v>
          </cell>
          <cell r="CO1640">
            <v>1161.8969999999999</v>
          </cell>
        </row>
        <row r="1641">
          <cell r="CJ1641" t="str">
            <v xml:space="preserve">NFT-424100873GN00159XXXXXXX </v>
          </cell>
          <cell r="CK1641" t="str">
            <v>2024-08-28</v>
          </cell>
          <cell r="CL1641">
            <v>12391.355</v>
          </cell>
          <cell r="CM1641" t="str">
            <v xml:space="preserve">NFT-424100932GN00157XXXXXXX </v>
          </cell>
          <cell r="CN1641" t="str">
            <v>2024-08-28</v>
          </cell>
          <cell r="CO1641">
            <v>1845.403</v>
          </cell>
        </row>
        <row r="1642">
          <cell r="CJ1642" t="str">
            <v xml:space="preserve">NFT-424100873GN00159XXXXXXX </v>
          </cell>
          <cell r="CK1642" t="str">
            <v>2024-08-28</v>
          </cell>
          <cell r="CL1642">
            <v>12410.235000000001</v>
          </cell>
          <cell r="CM1642" t="str">
            <v xml:space="preserve">NFT-424100932GN00157XXXXXXX </v>
          </cell>
          <cell r="CN1642" t="str">
            <v>2024-08-28</v>
          </cell>
          <cell r="CO1642">
            <v>1845.403</v>
          </cell>
        </row>
        <row r="1643">
          <cell r="CJ1643" t="str">
            <v xml:space="preserve">NFT-424100873GN00159XXXXXXX </v>
          </cell>
          <cell r="CK1643" t="str">
            <v>2024-08-28</v>
          </cell>
          <cell r="CL1643">
            <v>13108.201999999999</v>
          </cell>
          <cell r="CM1643" t="str">
            <v xml:space="preserve">NFT-424100932GN00157XXXXXXX </v>
          </cell>
          <cell r="CN1643" t="str">
            <v>2024-08-28</v>
          </cell>
          <cell r="CO1643">
            <v>1128.546</v>
          </cell>
        </row>
        <row r="1644">
          <cell r="CJ1644" t="str">
            <v xml:space="preserve">NFT-424100873GN00159XXXXXXX </v>
          </cell>
          <cell r="CK1644" t="str">
            <v>2024-08-28</v>
          </cell>
          <cell r="CL1644">
            <v>6499.4690000000001</v>
          </cell>
          <cell r="CM1644" t="str">
            <v xml:space="preserve">NFT-424100932GN00157XXXXXXX </v>
          </cell>
          <cell r="CN1644" t="str">
            <v>2024-08-28</v>
          </cell>
          <cell r="CO1644">
            <v>1161.8969999999999</v>
          </cell>
        </row>
        <row r="1645">
          <cell r="CJ1645" t="str">
            <v xml:space="preserve">NFT-424100873GN00159XXXXXXX </v>
          </cell>
          <cell r="CK1645" t="str">
            <v>2024-08-28</v>
          </cell>
          <cell r="CL1645">
            <v>6480.5889999999999</v>
          </cell>
          <cell r="CM1645" t="str">
            <v xml:space="preserve">NFT-424100932GN00157XXXXXXX </v>
          </cell>
          <cell r="CN1645" t="str">
            <v>2024-08-28</v>
          </cell>
          <cell r="CO1645">
            <v>1161.8969999999999</v>
          </cell>
        </row>
        <row r="1646">
          <cell r="CJ1646" t="str">
            <v xml:space="preserve">NFT-424100873GN00159XXXXXXX </v>
          </cell>
          <cell r="CK1646" t="str">
            <v>2024-08-28</v>
          </cell>
          <cell r="CL1646">
            <v>6910.53</v>
          </cell>
          <cell r="CM1646" t="str">
            <v xml:space="preserve">NFT-424100932GN00157XXXXXXX </v>
          </cell>
          <cell r="CN1646" t="str">
            <v>2024-08-28</v>
          </cell>
          <cell r="CO1646">
            <v>731.95799999999997</v>
          </cell>
        </row>
        <row r="1647">
          <cell r="CJ1647" t="str">
            <v xml:space="preserve">NFT-424100873GN00159XXXXXXX </v>
          </cell>
          <cell r="CK1647" t="str">
            <v>2024-08-28</v>
          </cell>
          <cell r="CL1647">
            <v>6499.4690000000001</v>
          </cell>
          <cell r="CM1647" t="str">
            <v xml:space="preserve">NFT-424100932GN00157XXXXXXX </v>
          </cell>
          <cell r="CN1647" t="str">
            <v>2024-08-28</v>
          </cell>
          <cell r="CO1647">
            <v>1161.8969999999999</v>
          </cell>
        </row>
        <row r="1648">
          <cell r="CJ1648" t="str">
            <v xml:space="preserve">NFT-424100873GN00159XXXXXXX </v>
          </cell>
          <cell r="CK1648" t="str">
            <v>2024-08-28</v>
          </cell>
          <cell r="CL1648">
            <v>12391.355</v>
          </cell>
          <cell r="CM1648" t="str">
            <v xml:space="preserve">NFT-424100932GN00157XXXXXXX </v>
          </cell>
          <cell r="CN1648" t="str">
            <v>2024-08-28</v>
          </cell>
          <cell r="CO1648">
            <v>1845.403</v>
          </cell>
        </row>
        <row r="1649">
          <cell r="CJ1649" t="str">
            <v xml:space="preserve">NFT-424100873GN00159XXXXXXX </v>
          </cell>
          <cell r="CK1649" t="str">
            <v>2024-08-28</v>
          </cell>
          <cell r="CL1649">
            <v>6887.09</v>
          </cell>
          <cell r="CM1649" t="str">
            <v xml:space="preserve">NFT-424100932GN00157XXXXXXX </v>
          </cell>
          <cell r="CN1649" t="str">
            <v>2024-08-28</v>
          </cell>
          <cell r="CO1649">
            <v>774.27599999999995</v>
          </cell>
        </row>
        <row r="1650">
          <cell r="CJ1650" t="str">
            <v xml:space="preserve">NFT-424100873GN00159XXXXXXX </v>
          </cell>
          <cell r="CK1650" t="str">
            <v>2024-08-28</v>
          </cell>
          <cell r="CL1650">
            <v>12410.235000000001</v>
          </cell>
          <cell r="CM1650" t="str">
            <v xml:space="preserve">NFT-424100932GN00157XXXXXXX </v>
          </cell>
          <cell r="CN1650" t="str">
            <v>2024-08-28</v>
          </cell>
          <cell r="CO1650">
            <v>1845.403</v>
          </cell>
        </row>
        <row r="1651">
          <cell r="CJ1651" t="str">
            <v xml:space="preserve">NFT-424100873GN00159XXXXXXX </v>
          </cell>
          <cell r="CK1651" t="str">
            <v>2024-08-28</v>
          </cell>
          <cell r="CL1651">
            <v>12391.355</v>
          </cell>
          <cell r="CM1651" t="str">
            <v xml:space="preserve">NFT-424100932GN00157XXXXXXX </v>
          </cell>
          <cell r="CN1651" t="str">
            <v>2024-08-28</v>
          </cell>
          <cell r="CO1651">
            <v>1845.403</v>
          </cell>
        </row>
        <row r="1652">
          <cell r="CJ1652" t="str">
            <v xml:space="preserve">NFT-424100873GN00159XXXXXXX </v>
          </cell>
          <cell r="CK1652" t="str">
            <v>2024-08-28</v>
          </cell>
          <cell r="CL1652">
            <v>6480.5889999999999</v>
          </cell>
          <cell r="CM1652" t="str">
            <v xml:space="preserve">NFT-424100932GN00157XXXXXXX </v>
          </cell>
          <cell r="CN1652" t="str">
            <v>2024-08-28</v>
          </cell>
          <cell r="CO1652">
            <v>1161.8969999999999</v>
          </cell>
        </row>
        <row r="1653">
          <cell r="CJ1653" t="str">
            <v xml:space="preserve">NFT-424100873GN00159XXXXXXX </v>
          </cell>
          <cell r="CK1653" t="str">
            <v>2024-08-28</v>
          </cell>
          <cell r="CL1653">
            <v>6499.4690000000001</v>
          </cell>
          <cell r="CM1653" t="str">
            <v xml:space="preserve">NFT-424100932GN00157XXXXXXX </v>
          </cell>
          <cell r="CN1653" t="str">
            <v>2024-08-28</v>
          </cell>
          <cell r="CO1653">
            <v>1161.8969999999999</v>
          </cell>
        </row>
        <row r="1654">
          <cell r="CJ1654" t="str">
            <v xml:space="preserve">NFT-424100873GN00159XXXXXXX </v>
          </cell>
          <cell r="CK1654" t="str">
            <v>2024-08-28</v>
          </cell>
          <cell r="CL1654">
            <v>6480.5889999999999</v>
          </cell>
          <cell r="CM1654" t="str">
            <v xml:space="preserve">NFT-424100932GN00157XXXXXXX </v>
          </cell>
          <cell r="CN1654" t="str">
            <v>2024-08-28</v>
          </cell>
          <cell r="CO1654">
            <v>1161.8969999999999</v>
          </cell>
        </row>
        <row r="1655">
          <cell r="CJ1655" t="str">
            <v xml:space="preserve">NFT-424100873GN00159XXXXXXX </v>
          </cell>
          <cell r="CK1655" t="str">
            <v>2024-08-28</v>
          </cell>
          <cell r="CL1655">
            <v>6480.5889999999999</v>
          </cell>
          <cell r="CM1655" t="str">
            <v xml:space="preserve">NFT-424100932GN00157XXXXXXX </v>
          </cell>
          <cell r="CN1655" t="str">
            <v>2024-08-28</v>
          </cell>
          <cell r="CO1655">
            <v>1161.8969999999999</v>
          </cell>
        </row>
        <row r="1656">
          <cell r="CJ1656" t="str">
            <v xml:space="preserve">NFT-424100873GN00159XXXXXXX </v>
          </cell>
          <cell r="CK1656" t="str">
            <v>2024-08-28</v>
          </cell>
          <cell r="CL1656">
            <v>12391.355</v>
          </cell>
          <cell r="CM1656" t="str">
            <v xml:space="preserve">NFT-424100932GN00157XXXXXXX </v>
          </cell>
          <cell r="CN1656" t="str">
            <v>2024-08-28</v>
          </cell>
          <cell r="CO1656">
            <v>1845.403</v>
          </cell>
          <cell r="CP1656" t="str">
            <v xml:space="preserve">NFT-424300580GN00067XXXXXXX </v>
          </cell>
          <cell r="CQ1656" t="str">
            <v>2024-08-30</v>
          </cell>
          <cell r="CR1656">
            <v>-12391.355</v>
          </cell>
          <cell r="CS1656" t="str">
            <v xml:space="preserve">NFT-424300980GN00254XXXXXXX </v>
          </cell>
          <cell r="CT1656" t="str">
            <v>2024-08-30</v>
          </cell>
          <cell r="CU1656">
            <v>-1845.403</v>
          </cell>
        </row>
        <row r="1657">
          <cell r="CJ1657" t="str">
            <v xml:space="preserve">NFT-424100873GN00159XXXXXXX </v>
          </cell>
          <cell r="CK1657" t="str">
            <v>2024-08-28</v>
          </cell>
          <cell r="CL1657">
            <v>12391.355</v>
          </cell>
          <cell r="CM1657" t="str">
            <v xml:space="preserve">NFT-424100932GN00157XXXXXXX </v>
          </cell>
          <cell r="CN1657" t="str">
            <v>2024-08-28</v>
          </cell>
          <cell r="CO1657">
            <v>1845.403</v>
          </cell>
        </row>
        <row r="1658">
          <cell r="CJ1658" t="str">
            <v xml:space="preserve">NFT-424100873GN00159XXXXXXX </v>
          </cell>
          <cell r="CK1658" t="str">
            <v>2024-08-28</v>
          </cell>
          <cell r="CL1658">
            <v>2217.3739999999998</v>
          </cell>
        </row>
        <row r="1659">
          <cell r="CJ1659" t="str">
            <v xml:space="preserve">NFT-424100873GN00159XXXXXXX </v>
          </cell>
          <cell r="CK1659" t="str">
            <v>2024-08-28</v>
          </cell>
          <cell r="CL1659">
            <v>13346.16</v>
          </cell>
          <cell r="CM1659" t="str">
            <v xml:space="preserve">NFT-424100932GN00157XXXXXXX </v>
          </cell>
          <cell r="CN1659" t="str">
            <v>2024-08-28</v>
          </cell>
          <cell r="CO1659">
            <v>1975.6179999999999</v>
          </cell>
        </row>
        <row r="1660">
          <cell r="CJ1660" t="str">
            <v xml:space="preserve">NFT-424100873GN00159XXXXXXX </v>
          </cell>
          <cell r="CK1660" t="str">
            <v>2024-08-28</v>
          </cell>
          <cell r="CL1660">
            <v>12391.355</v>
          </cell>
          <cell r="CM1660" t="str">
            <v xml:space="preserve">NFT-424100932GN00157XXXXXXX </v>
          </cell>
          <cell r="CN1660" t="str">
            <v>2024-08-28</v>
          </cell>
          <cell r="CO1660">
            <v>1845.403</v>
          </cell>
        </row>
        <row r="1662">
          <cell r="CJ1662" t="str">
            <v xml:space="preserve">NFT-424100873GN00159XXXXXXX </v>
          </cell>
          <cell r="CK1662" t="str">
            <v>2024-08-28</v>
          </cell>
          <cell r="CL1662">
            <v>68988.084000000003</v>
          </cell>
          <cell r="CM1662" t="str">
            <v xml:space="preserve">NFT-424100932GN00157XXXXXXX </v>
          </cell>
          <cell r="CN1662" t="str">
            <v>2024-08-28</v>
          </cell>
          <cell r="CO1662">
            <v>6492.4</v>
          </cell>
        </row>
        <row r="1663">
          <cell r="CJ1663" t="str">
            <v xml:space="preserve">NFT-424100873GN00159XXXXXXX </v>
          </cell>
          <cell r="CK1663" t="str">
            <v>2024-08-28</v>
          </cell>
          <cell r="CL1663">
            <v>12391.355</v>
          </cell>
          <cell r="CM1663" t="str">
            <v xml:space="preserve">NFT-424100932GN00157XXXXXXX </v>
          </cell>
          <cell r="CN1663" t="str">
            <v>2024-08-28</v>
          </cell>
          <cell r="CO1663">
            <v>1845.403</v>
          </cell>
        </row>
        <row r="1664">
          <cell r="CJ1664" t="str">
            <v xml:space="preserve">NFT-424100873GN00159XXXXXXX </v>
          </cell>
          <cell r="CK1664" t="str">
            <v>2024-08-28</v>
          </cell>
          <cell r="CL1664">
            <v>34006.432000000001</v>
          </cell>
          <cell r="CM1664" t="str">
            <v xml:space="preserve">NFT-424100932GN00157XXXXXXX </v>
          </cell>
          <cell r="CN1664" t="str">
            <v>2024-08-28</v>
          </cell>
          <cell r="CO1664">
            <v>3731.924</v>
          </cell>
        </row>
        <row r="1665">
          <cell r="CJ1665" t="str">
            <v xml:space="preserve">NFT-424100873GN00159XXXXXXX </v>
          </cell>
          <cell r="CK1665" t="str">
            <v>2024-08-28</v>
          </cell>
          <cell r="CL1665">
            <v>12391.355</v>
          </cell>
          <cell r="CM1665" t="str">
            <v xml:space="preserve">NFT-424100932GN00157XXXXXXX </v>
          </cell>
          <cell r="CN1665" t="str">
            <v>2024-08-28</v>
          </cell>
          <cell r="CO1665">
            <v>1845.403</v>
          </cell>
        </row>
        <row r="1666">
          <cell r="CJ1666" t="str">
            <v xml:space="preserve">NFT-424100873GN00159XXXXXXX </v>
          </cell>
          <cell r="CK1666" t="str">
            <v>2024-08-28</v>
          </cell>
          <cell r="CL1666">
            <v>12391.355</v>
          </cell>
          <cell r="CM1666" t="str">
            <v xml:space="preserve">NFT-424100932GN00157XXXXXXX </v>
          </cell>
          <cell r="CN1666" t="str">
            <v>2024-08-28</v>
          </cell>
          <cell r="CO1666">
            <v>1845.403</v>
          </cell>
        </row>
        <row r="1667">
          <cell r="CJ1667" t="str">
            <v xml:space="preserve">NFT-424100873GN00159XXXXXXX </v>
          </cell>
          <cell r="CK1667" t="str">
            <v>2024-08-28</v>
          </cell>
          <cell r="CL1667">
            <v>6480.5889999999999</v>
          </cell>
          <cell r="CM1667" t="str">
            <v xml:space="preserve">NFT-424100932GN00157XXXXXXX </v>
          </cell>
          <cell r="CN1667" t="str">
            <v>2024-08-28</v>
          </cell>
          <cell r="CO1667">
            <v>1161.8969999999999</v>
          </cell>
          <cell r="CP1667" t="str">
            <v xml:space="preserve">NFT-424800948GN00078XXXXXXX </v>
          </cell>
          <cell r="CQ1667" t="str">
            <v>2024-09-04</v>
          </cell>
          <cell r="CR1667">
            <v>-6480.5889999999999</v>
          </cell>
          <cell r="CS1667" t="str">
            <v xml:space="preserve">NFT-424800981GN00017XXXXXXX </v>
          </cell>
          <cell r="CT1667" t="str">
            <v>2024-09-04</v>
          </cell>
          <cell r="CU1667">
            <v>-1161.8969999999999</v>
          </cell>
        </row>
        <row r="1668">
          <cell r="CJ1668" t="str">
            <v xml:space="preserve">NFT-424100873GN00159XXXXXXX </v>
          </cell>
          <cell r="CK1668" t="str">
            <v>2024-08-28</v>
          </cell>
          <cell r="CL1668">
            <v>6499.4690000000001</v>
          </cell>
          <cell r="CM1668" t="str">
            <v xml:space="preserve">NFT-424100932GN00157XXXXXXX </v>
          </cell>
          <cell r="CN1668" t="str">
            <v>2024-08-28</v>
          </cell>
          <cell r="CO1668">
            <v>1161.8969999999999</v>
          </cell>
        </row>
        <row r="1669">
          <cell r="CJ1669" t="str">
            <v xml:space="preserve">NFT-424100873GN00159XXXXXXX </v>
          </cell>
          <cell r="CK1669" t="str">
            <v>2024-08-28</v>
          </cell>
          <cell r="CL1669">
            <v>6499.4690000000001</v>
          </cell>
          <cell r="CM1669" t="str">
            <v xml:space="preserve">NFT-424100932GN00157XXXXXXX </v>
          </cell>
          <cell r="CN1669" t="str">
            <v>2024-08-28</v>
          </cell>
          <cell r="CO1669">
            <v>1161.8969999999999</v>
          </cell>
        </row>
        <row r="1670">
          <cell r="CJ1670" t="str">
            <v xml:space="preserve">NFT-424100873GN00159XXXXXXX </v>
          </cell>
          <cell r="CK1670" t="str">
            <v>2024-08-28</v>
          </cell>
          <cell r="CL1670">
            <v>27058.671999999999</v>
          </cell>
          <cell r="CM1670" t="str">
            <v xml:space="preserve">NFT-424100932GN00157XXXXXXX </v>
          </cell>
          <cell r="CN1670" t="str">
            <v>2024-08-28</v>
          </cell>
          <cell r="CO1670">
            <v>1433.704</v>
          </cell>
        </row>
        <row r="1671">
          <cell r="CJ1671" t="str">
            <v xml:space="preserve">NFT-424100873GN00159XXXXXXX </v>
          </cell>
          <cell r="CK1671" t="str">
            <v>2024-08-28</v>
          </cell>
          <cell r="CL1671">
            <v>6480.5889999999999</v>
          </cell>
          <cell r="CM1671" t="str">
            <v xml:space="preserve">NFT-424100932GN00157XXXXXXX </v>
          </cell>
          <cell r="CN1671" t="str">
            <v>2024-08-28</v>
          </cell>
          <cell r="CO1671">
            <v>1161.8969999999999</v>
          </cell>
        </row>
        <row r="1672">
          <cell r="CJ1672" t="str">
            <v xml:space="preserve">NFT-424100873GN00159XXXXXXX </v>
          </cell>
          <cell r="CK1672" t="str">
            <v>2024-08-28</v>
          </cell>
          <cell r="CL1672">
            <v>6495.0209999999997</v>
          </cell>
          <cell r="CM1672" t="str">
            <v xml:space="preserve">NFT-424100932GN00157XXXXXXX </v>
          </cell>
          <cell r="CN1672" t="str">
            <v>2024-08-28</v>
          </cell>
          <cell r="CO1672">
            <v>1147.4659999999999</v>
          </cell>
        </row>
        <row r="1673">
          <cell r="CJ1673" t="str">
            <v xml:space="preserve">NFT-424100873GN00159XXXXXXX </v>
          </cell>
          <cell r="CK1673" t="str">
            <v>2024-08-28</v>
          </cell>
          <cell r="CL1673">
            <v>6480.5889999999999</v>
          </cell>
          <cell r="CM1673" t="str">
            <v xml:space="preserve">NFT-424100932GN00157XXXXXXX </v>
          </cell>
          <cell r="CN1673" t="str">
            <v>2024-08-28</v>
          </cell>
          <cell r="CO1673">
            <v>1161.8969999999999</v>
          </cell>
        </row>
        <row r="1674">
          <cell r="CJ1674" t="str">
            <v xml:space="preserve">NFT-424100873GN00159XXXXXXX </v>
          </cell>
          <cell r="CK1674" t="str">
            <v>2024-08-28</v>
          </cell>
          <cell r="CL1674">
            <v>6480.5889999999999</v>
          </cell>
          <cell r="CM1674" t="str">
            <v xml:space="preserve">NFT-424100932GN00157XXXXXXX </v>
          </cell>
          <cell r="CN1674" t="str">
            <v>2024-08-28</v>
          </cell>
          <cell r="CO1674">
            <v>1161.8969999999999</v>
          </cell>
        </row>
        <row r="1675">
          <cell r="CJ1675" t="str">
            <v xml:space="preserve">NFT-424100873GN00159XXXXXXX </v>
          </cell>
          <cell r="CK1675" t="str">
            <v>2024-08-28</v>
          </cell>
          <cell r="CL1675">
            <v>12391.355</v>
          </cell>
          <cell r="CM1675" t="str">
            <v xml:space="preserve">NFT-424100932GN00157XXXXXXX </v>
          </cell>
          <cell r="CN1675" t="str">
            <v>2024-08-28</v>
          </cell>
          <cell r="CO1675">
            <v>1845.403</v>
          </cell>
        </row>
        <row r="1676">
          <cell r="CJ1676" t="str">
            <v xml:space="preserve">NFT-424100873GN00159XXXXXXX </v>
          </cell>
          <cell r="CK1676" t="str">
            <v>2024-08-28</v>
          </cell>
          <cell r="CL1676">
            <v>6233.3919999999998</v>
          </cell>
          <cell r="CM1676" t="str">
            <v xml:space="preserve">NFT-424100932GN00157XXXXXXX </v>
          </cell>
          <cell r="CN1676" t="str">
            <v>2024-08-28</v>
          </cell>
          <cell r="CO1676">
            <v>1409.096</v>
          </cell>
        </row>
        <row r="1677">
          <cell r="CJ1677" t="str">
            <v xml:space="preserve">NFT-424100873GN00159XXXXXXX </v>
          </cell>
          <cell r="CK1677" t="str">
            <v>2024-08-28</v>
          </cell>
          <cell r="CL1677">
            <v>6499.4690000000001</v>
          </cell>
          <cell r="CM1677" t="str">
            <v xml:space="preserve">NFT-424100932GN00157XXXXXXX </v>
          </cell>
          <cell r="CN1677" t="str">
            <v>2024-08-28</v>
          </cell>
          <cell r="CO1677">
            <v>1161.8969999999999</v>
          </cell>
        </row>
        <row r="1678">
          <cell r="CJ1678" t="str">
            <v xml:space="preserve">NFT-424100873GN00159XXXXXXX </v>
          </cell>
          <cell r="CK1678" t="str">
            <v>2024-08-28</v>
          </cell>
          <cell r="CL1678">
            <v>6480.5889999999999</v>
          </cell>
          <cell r="CM1678" t="str">
            <v xml:space="preserve">NFT-424100932GN00157XXXXXXX </v>
          </cell>
          <cell r="CN1678" t="str">
            <v>2024-08-28</v>
          </cell>
          <cell r="CO1678">
            <v>1161.8969999999999</v>
          </cell>
        </row>
        <row r="1679">
          <cell r="CJ1679" t="str">
            <v xml:space="preserve">NFT-424100873GN00159XXXXXXX </v>
          </cell>
          <cell r="CK1679" t="str">
            <v>2024-08-28</v>
          </cell>
          <cell r="CL1679">
            <v>6480.5889999999999</v>
          </cell>
          <cell r="CM1679" t="str">
            <v xml:space="preserve">NFT-424100932GN00157XXXXXXX </v>
          </cell>
          <cell r="CN1679" t="str">
            <v>2024-08-28</v>
          </cell>
          <cell r="CO1679">
            <v>1161.8969999999999</v>
          </cell>
        </row>
        <row r="1680">
          <cell r="CJ1680" t="str">
            <v xml:space="preserve">NFT-424100873GN00159XXXXXXX </v>
          </cell>
          <cell r="CK1680" t="str">
            <v>2024-08-28</v>
          </cell>
          <cell r="CL1680">
            <v>6480.5889999999999</v>
          </cell>
          <cell r="CM1680" t="str">
            <v xml:space="preserve">NFT-424100932GN00157XXXXXXX </v>
          </cell>
          <cell r="CN1680" t="str">
            <v>2024-08-28</v>
          </cell>
          <cell r="CO1680">
            <v>1161.8969999999999</v>
          </cell>
        </row>
        <row r="1681">
          <cell r="CJ1681" t="str">
            <v xml:space="preserve">NFT-424100873GN00159XXXXXXX </v>
          </cell>
          <cell r="CK1681" t="str">
            <v>2024-08-28</v>
          </cell>
          <cell r="CL1681">
            <v>6480.5889999999999</v>
          </cell>
          <cell r="CM1681" t="str">
            <v xml:space="preserve">NFT-424100932GN00157XXXXXXX </v>
          </cell>
          <cell r="CN1681" t="str">
            <v>2024-08-28</v>
          </cell>
          <cell r="CO1681">
            <v>1161.8969999999999</v>
          </cell>
        </row>
        <row r="1682">
          <cell r="CJ1682" t="str">
            <v xml:space="preserve">NFT-424100873GN00159XXXXXXX </v>
          </cell>
          <cell r="CK1682" t="str">
            <v>2024-08-28</v>
          </cell>
          <cell r="CL1682">
            <v>12391.355</v>
          </cell>
          <cell r="CM1682" t="str">
            <v xml:space="preserve">NFT-424100932GN00157XXXXXXX </v>
          </cell>
          <cell r="CN1682" t="str">
            <v>2024-08-28</v>
          </cell>
          <cell r="CO1682">
            <v>1845.403</v>
          </cell>
        </row>
        <row r="1683">
          <cell r="CJ1683" t="str">
            <v xml:space="preserve">NFT-424100873GN00159XXXXXXX </v>
          </cell>
          <cell r="CK1683" t="str">
            <v>2024-08-28</v>
          </cell>
          <cell r="CL1683">
            <v>12410.235000000001</v>
          </cell>
          <cell r="CM1683" t="str">
            <v xml:space="preserve">NFT-424100932GN00157XXXXXXX </v>
          </cell>
          <cell r="CN1683" t="str">
            <v>2024-08-28</v>
          </cell>
          <cell r="CO1683">
            <v>1845.403</v>
          </cell>
        </row>
        <row r="1684">
          <cell r="CJ1684" t="str">
            <v xml:space="preserve">NFT-424100873GN00159XXXXXXX </v>
          </cell>
          <cell r="CK1684" t="str">
            <v>2024-08-28</v>
          </cell>
          <cell r="CL1684">
            <v>6499.4690000000001</v>
          </cell>
          <cell r="CM1684" t="str">
            <v xml:space="preserve">NFT-424100932GN00157XXXXXXX </v>
          </cell>
          <cell r="CN1684" t="str">
            <v>2024-08-28</v>
          </cell>
          <cell r="CO1684">
            <v>1161.8969999999999</v>
          </cell>
        </row>
        <row r="1685">
          <cell r="CJ1685" t="str">
            <v xml:space="preserve">NFT-424100873GN00159XXXXXXX </v>
          </cell>
          <cell r="CK1685" t="str">
            <v>2024-08-28</v>
          </cell>
          <cell r="CL1685">
            <v>34206.144</v>
          </cell>
          <cell r="CM1685" t="str">
            <v xml:space="preserve">NFT-424100932GN00157XXXXXXX </v>
          </cell>
          <cell r="CN1685" t="str">
            <v>2024-08-28</v>
          </cell>
          <cell r="CO1685">
            <v>3551.1039999999998</v>
          </cell>
        </row>
        <row r="1686">
          <cell r="CJ1686" t="str">
            <v xml:space="preserve">NFT-424100873GN00159XXXXXXX </v>
          </cell>
          <cell r="CK1686" t="str">
            <v>2024-08-28</v>
          </cell>
          <cell r="CL1686">
            <v>6480.5889999999999</v>
          </cell>
          <cell r="CM1686" t="str">
            <v xml:space="preserve">NFT-424100932GN00157XXXXXXX </v>
          </cell>
          <cell r="CN1686" t="str">
            <v>2024-08-28</v>
          </cell>
          <cell r="CO1686">
            <v>1161.8969999999999</v>
          </cell>
        </row>
        <row r="1687">
          <cell r="CJ1687" t="str">
            <v xml:space="preserve">NFT-424100873GN00159XXXXXXX </v>
          </cell>
          <cell r="CK1687" t="str">
            <v>2024-08-28</v>
          </cell>
          <cell r="CL1687">
            <v>6480.5889999999999</v>
          </cell>
          <cell r="CM1687" t="str">
            <v xml:space="preserve">NFT-424100932GN00157XXXXXXX </v>
          </cell>
          <cell r="CN1687" t="str">
            <v>2024-08-28</v>
          </cell>
          <cell r="CO1687">
            <v>1161.8969999999999</v>
          </cell>
        </row>
        <row r="1688">
          <cell r="CJ1688" t="str">
            <v xml:space="preserve">NFT-424100873GN00159XXXXXXX </v>
          </cell>
          <cell r="CK1688" t="str">
            <v>2024-08-28</v>
          </cell>
          <cell r="CL1688">
            <v>6480.5889999999999</v>
          </cell>
          <cell r="CM1688" t="str">
            <v xml:space="preserve">NFT-424100932GN00157XXXXXXX </v>
          </cell>
          <cell r="CN1688" t="str">
            <v>2024-08-28</v>
          </cell>
          <cell r="CO1688">
            <v>1161.8969999999999</v>
          </cell>
        </row>
        <row r="1689">
          <cell r="CJ1689" t="str">
            <v xml:space="preserve">NFT-424100873GN00159XXXXXXX </v>
          </cell>
          <cell r="CK1689" t="str">
            <v>2024-08-28</v>
          </cell>
          <cell r="CL1689">
            <v>6482.51</v>
          </cell>
          <cell r="CM1689" t="str">
            <v xml:space="preserve">NFT-424100932GN00157XXXXXXX </v>
          </cell>
          <cell r="CN1689" t="str">
            <v>2024-08-28</v>
          </cell>
          <cell r="CO1689">
            <v>1159.9770000000001</v>
          </cell>
        </row>
        <row r="1690">
          <cell r="CJ1690" t="str">
            <v xml:space="preserve">NFT-424100873GN00159XXXXXXX </v>
          </cell>
          <cell r="CK1690" t="str">
            <v>2024-08-28</v>
          </cell>
          <cell r="CL1690">
            <v>34206.144</v>
          </cell>
          <cell r="CM1690" t="str">
            <v xml:space="preserve">NFT-424100932GN00157XXXXXXX </v>
          </cell>
          <cell r="CN1690" t="str">
            <v>2024-08-28</v>
          </cell>
          <cell r="CO1690">
            <v>3551.1039999999998</v>
          </cell>
        </row>
        <row r="1691">
          <cell r="CJ1691" t="str">
            <v xml:space="preserve">NFT-424100873GN00159XXXXXXX </v>
          </cell>
          <cell r="CK1691" t="str">
            <v>2024-08-28</v>
          </cell>
          <cell r="CL1691">
            <v>6499.4690000000001</v>
          </cell>
          <cell r="CM1691" t="str">
            <v xml:space="preserve">NFT-424100932GN00157XXXXXXX </v>
          </cell>
          <cell r="CN1691" t="str">
            <v>2024-08-28</v>
          </cell>
          <cell r="CO1691">
            <v>1161.8969999999999</v>
          </cell>
        </row>
        <row r="1692">
          <cell r="CJ1692" t="str">
            <v xml:space="preserve">NFT-424100873GN00159XXXXXXX </v>
          </cell>
          <cell r="CK1692" t="str">
            <v>2024-08-28</v>
          </cell>
          <cell r="CL1692">
            <v>6480.5889999999999</v>
          </cell>
          <cell r="CM1692" t="str">
            <v xml:space="preserve">NFT-424100932GN00157XXXXXXX </v>
          </cell>
          <cell r="CN1692" t="str">
            <v>2024-08-28</v>
          </cell>
          <cell r="CO1692">
            <v>1161.8969999999999</v>
          </cell>
        </row>
        <row r="1693">
          <cell r="CJ1693" t="str">
            <v xml:space="preserve">NFT-424100873GN00159XXXXXXX </v>
          </cell>
          <cell r="CK1693" t="str">
            <v>2024-08-28</v>
          </cell>
          <cell r="CL1693">
            <v>6499.4690000000001</v>
          </cell>
          <cell r="CM1693" t="str">
            <v xml:space="preserve">NFT-424100932GN00157XXXXXXX </v>
          </cell>
          <cell r="CN1693" t="str">
            <v>2024-08-28</v>
          </cell>
          <cell r="CO1693">
            <v>1161.8969999999999</v>
          </cell>
        </row>
        <row r="1694">
          <cell r="CJ1694" t="str">
            <v xml:space="preserve">NFT-424100873GN00159XXXXXXX </v>
          </cell>
          <cell r="CK1694" t="str">
            <v>2024-08-28</v>
          </cell>
          <cell r="CL1694">
            <v>6480.5889999999999</v>
          </cell>
          <cell r="CM1694" t="str">
            <v xml:space="preserve">NFT-424100932GN00157XXXXXXX </v>
          </cell>
          <cell r="CN1694" t="str">
            <v>2024-08-28</v>
          </cell>
          <cell r="CO1694">
            <v>1161.8969999999999</v>
          </cell>
        </row>
        <row r="1695">
          <cell r="CJ1695" t="str">
            <v xml:space="preserve">NFT-424100873GN00159XXXXXXX </v>
          </cell>
          <cell r="CK1695" t="str">
            <v>2024-08-28</v>
          </cell>
          <cell r="CL1695">
            <v>6480.5889999999999</v>
          </cell>
          <cell r="CM1695" t="str">
            <v xml:space="preserve">NFT-424100932GN00157XXXXXXX </v>
          </cell>
          <cell r="CN1695" t="str">
            <v>2024-08-28</v>
          </cell>
          <cell r="CO1695">
            <v>1161.8969999999999</v>
          </cell>
          <cell r="CP1695" t="str">
            <v xml:space="preserve">NFT-425700941GN00221XXXXXXX </v>
          </cell>
          <cell r="CQ1695" t="str">
            <v>2024-09-13</v>
          </cell>
          <cell r="CR1695">
            <v>-6480.5889999999999</v>
          </cell>
          <cell r="CS1695" t="str">
            <v xml:space="preserve">NFT-425701003GN00065XXXXXXX </v>
          </cell>
          <cell r="CT1695" t="str">
            <v>2024-09-13</v>
          </cell>
          <cell r="CU1695">
            <v>-1161.8969999999999</v>
          </cell>
        </row>
        <row r="1696">
          <cell r="CJ1696" t="str">
            <v xml:space="preserve">NFT-424100873GN00159XXXXXXX </v>
          </cell>
          <cell r="CK1696" t="str">
            <v>2024-08-28</v>
          </cell>
          <cell r="CL1696">
            <v>6499.4690000000001</v>
          </cell>
          <cell r="CM1696" t="str">
            <v xml:space="preserve">NFT-424100932GN00157XXXXXXX </v>
          </cell>
          <cell r="CN1696" t="str">
            <v>2024-08-28</v>
          </cell>
          <cell r="CO1696">
            <v>1161.8969999999999</v>
          </cell>
        </row>
        <row r="1697">
          <cell r="CJ1697" t="str">
            <v xml:space="preserve">NFT-424100873GN00159XXXXXXX </v>
          </cell>
          <cell r="CK1697" t="str">
            <v>2024-08-28</v>
          </cell>
          <cell r="CL1697">
            <v>6480.5889999999999</v>
          </cell>
          <cell r="CM1697" t="str">
            <v xml:space="preserve">NFT-424100932GN00157XXXXXXX </v>
          </cell>
          <cell r="CN1697" t="str">
            <v>2024-08-28</v>
          </cell>
          <cell r="CO1697">
            <v>1161.8969999999999</v>
          </cell>
        </row>
        <row r="1698">
          <cell r="CJ1698" t="str">
            <v xml:space="preserve">NFT-424100873GN00159XXXXXXX </v>
          </cell>
          <cell r="CK1698" t="str">
            <v>2024-08-28</v>
          </cell>
          <cell r="CL1698">
            <v>6499.4690000000001</v>
          </cell>
          <cell r="CM1698" t="str">
            <v xml:space="preserve">NFT-424100932GN00157XXXXXXX </v>
          </cell>
          <cell r="CN1698" t="str">
            <v>2024-08-28</v>
          </cell>
          <cell r="CO1698">
            <v>1161.8969999999999</v>
          </cell>
        </row>
        <row r="1699">
          <cell r="CJ1699" t="str">
            <v xml:space="preserve">NFT-424100873GN00159XXXXXXX </v>
          </cell>
          <cell r="CK1699" t="str">
            <v>2024-08-28</v>
          </cell>
          <cell r="CL1699">
            <v>34159.366000000002</v>
          </cell>
          <cell r="CM1699" t="str">
            <v xml:space="preserve">NFT-424100932GN00157XXXXXXX </v>
          </cell>
          <cell r="CN1699" t="str">
            <v>2024-08-28</v>
          </cell>
          <cell r="CO1699">
            <v>3578.991</v>
          </cell>
        </row>
        <row r="1700">
          <cell r="CJ1700" t="str">
            <v xml:space="preserve">NFT-424100873GN00159XXXXXXX </v>
          </cell>
          <cell r="CK1700" t="str">
            <v>2024-08-28</v>
          </cell>
          <cell r="CL1700">
            <v>6480.5889999999999</v>
          </cell>
          <cell r="CM1700" t="str">
            <v xml:space="preserve">NFT-424100932GN00157XXXXXXX </v>
          </cell>
          <cell r="CN1700" t="str">
            <v>2024-08-28</v>
          </cell>
          <cell r="CO1700">
            <v>1161.8969999999999</v>
          </cell>
        </row>
        <row r="1701">
          <cell r="CJ1701" t="str">
            <v xml:space="preserve">NFT-424100873GN00159XXXXXXX </v>
          </cell>
          <cell r="CK1701" t="str">
            <v>2024-08-28</v>
          </cell>
          <cell r="CL1701">
            <v>6868.21</v>
          </cell>
          <cell r="CM1701" t="str">
            <v xml:space="preserve">NFT-424100932GN00157XXXXXXX </v>
          </cell>
          <cell r="CN1701" t="str">
            <v>2024-08-28</v>
          </cell>
          <cell r="CO1701">
            <v>774.27599999999995</v>
          </cell>
        </row>
        <row r="1703">
          <cell r="CJ1703" t="str">
            <v xml:space="preserve">NFT-424100873GN00159XXXXXXX </v>
          </cell>
          <cell r="CK1703" t="str">
            <v>2024-08-28</v>
          </cell>
          <cell r="CL1703">
            <v>6499.4690000000001</v>
          </cell>
          <cell r="CM1703" t="str">
            <v xml:space="preserve">NFT-424100932GN00157XXXXXXX </v>
          </cell>
          <cell r="CN1703" t="str">
            <v>2024-08-28</v>
          </cell>
          <cell r="CO1703">
            <v>1161.8969999999999</v>
          </cell>
        </row>
        <row r="1704">
          <cell r="CJ1704" t="str">
            <v xml:space="preserve">NFT-424100873GN00159XXXXXXX </v>
          </cell>
          <cell r="CK1704" t="str">
            <v>2024-08-28</v>
          </cell>
          <cell r="CL1704">
            <v>33273.519</v>
          </cell>
          <cell r="CM1704" t="str">
            <v xml:space="preserve">NFT-424100932GN00157XXXXXXX </v>
          </cell>
          <cell r="CN1704" t="str">
            <v>2024-08-28</v>
          </cell>
          <cell r="CO1704">
            <v>4464.8490000000002</v>
          </cell>
        </row>
        <row r="1705">
          <cell r="CJ1705" t="str">
            <v xml:space="preserve">NFT-424100873GN00159XXXXXXX </v>
          </cell>
          <cell r="CK1705" t="str">
            <v>2024-08-28</v>
          </cell>
          <cell r="CL1705">
            <v>68969.203999999998</v>
          </cell>
          <cell r="CM1705" t="str">
            <v xml:space="preserve">NFT-424100932GN00157XXXXXXX </v>
          </cell>
          <cell r="CN1705" t="str">
            <v>2024-08-28</v>
          </cell>
          <cell r="CO1705">
            <v>6492.4</v>
          </cell>
        </row>
        <row r="1706">
          <cell r="CJ1706" t="str">
            <v xml:space="preserve">NFT-424100873GN00159XXXXXXX </v>
          </cell>
          <cell r="CK1706" t="str">
            <v>2024-08-28</v>
          </cell>
          <cell r="CL1706">
            <v>6438.8760000000002</v>
          </cell>
          <cell r="CM1706" t="str">
            <v xml:space="preserve">NFT-424100932GN00157XXXXXXX </v>
          </cell>
          <cell r="CN1706" t="str">
            <v>2024-08-28</v>
          </cell>
          <cell r="CO1706">
            <v>1222.49</v>
          </cell>
        </row>
        <row r="1707">
          <cell r="CJ1707" t="str">
            <v xml:space="preserve">NFT-424100873GN00159XXXXXXX </v>
          </cell>
          <cell r="CK1707" t="str">
            <v>2024-08-28</v>
          </cell>
          <cell r="CL1707">
            <v>4704.05</v>
          </cell>
        </row>
        <row r="1708">
          <cell r="CJ1708" t="str">
            <v xml:space="preserve">NFT-424100873GN00159XXXXXXX </v>
          </cell>
          <cell r="CK1708" t="str">
            <v>2024-08-28</v>
          </cell>
          <cell r="CL1708">
            <v>13519.901</v>
          </cell>
          <cell r="CM1708" t="str">
            <v xml:space="preserve">NFT-424100932GN00157XXXXXXX </v>
          </cell>
          <cell r="CN1708" t="str">
            <v>2024-08-28</v>
          </cell>
          <cell r="CO1708">
            <v>716.85699999999997</v>
          </cell>
        </row>
        <row r="1709">
          <cell r="CJ1709" t="str">
            <v xml:space="preserve">NFT-424100873GN00159XXXXXXX </v>
          </cell>
          <cell r="CK1709" t="str">
            <v>2024-08-28</v>
          </cell>
          <cell r="CL1709">
            <v>6480.5889999999999</v>
          </cell>
          <cell r="CM1709" t="str">
            <v xml:space="preserve">NFT-424100932GN00157XXXXXXX </v>
          </cell>
          <cell r="CN1709" t="str">
            <v>2024-08-28</v>
          </cell>
          <cell r="CO1709">
            <v>1161.8969999999999</v>
          </cell>
        </row>
        <row r="1710">
          <cell r="CJ1710" t="str">
            <v xml:space="preserve">NFT-424100873GN00159XXXXXXX </v>
          </cell>
          <cell r="CK1710" t="str">
            <v>2024-08-28</v>
          </cell>
          <cell r="CL1710">
            <v>11728.59</v>
          </cell>
          <cell r="CM1710" t="str">
            <v xml:space="preserve">NFT-424100932GN00157XXXXXXX </v>
          </cell>
          <cell r="CN1710" t="str">
            <v>2024-08-28</v>
          </cell>
          <cell r="CO1710">
            <v>2527.038</v>
          </cell>
        </row>
        <row r="1711">
          <cell r="CJ1711" t="str">
            <v xml:space="preserve">NFT-424100873GN00159XXXXXXX </v>
          </cell>
          <cell r="CK1711" t="str">
            <v>2024-08-28</v>
          </cell>
          <cell r="CL1711">
            <v>6480.5889999999999</v>
          </cell>
          <cell r="CM1711" t="str">
            <v xml:space="preserve">NFT-424100932GN00157XXXXXXX </v>
          </cell>
          <cell r="CN1711" t="str">
            <v>2024-08-28</v>
          </cell>
          <cell r="CO1711">
            <v>1161.8969999999999</v>
          </cell>
        </row>
        <row r="1712">
          <cell r="CJ1712" t="str">
            <v xml:space="preserve">NFT-424100873GN00159XXXXXXX </v>
          </cell>
          <cell r="CK1712" t="str">
            <v>2024-08-28</v>
          </cell>
          <cell r="CL1712">
            <v>6513.9009999999998</v>
          </cell>
          <cell r="CM1712" t="str">
            <v xml:space="preserve">NFT-424100932GN00157XXXXXXX </v>
          </cell>
          <cell r="CN1712" t="str">
            <v>2024-08-28</v>
          </cell>
          <cell r="CO1712">
            <v>1147.4659999999999</v>
          </cell>
        </row>
        <row r="1713">
          <cell r="CJ1713" t="str">
            <v xml:space="preserve">NFT-424100873GN00159XXXXXXX </v>
          </cell>
          <cell r="CK1713" t="str">
            <v>2024-08-28</v>
          </cell>
          <cell r="CL1713">
            <v>6868.21</v>
          </cell>
          <cell r="CM1713" t="str">
            <v xml:space="preserve">NFT-424100932GN00157XXXXXXX </v>
          </cell>
          <cell r="CN1713" t="str">
            <v>2024-08-28</v>
          </cell>
          <cell r="CO1713">
            <v>774.27599999999995</v>
          </cell>
        </row>
        <row r="1714">
          <cell r="CJ1714" t="str">
            <v xml:space="preserve">NFT-424100873GN00159XXXXXXX </v>
          </cell>
          <cell r="CK1714" t="str">
            <v>2024-08-28</v>
          </cell>
          <cell r="CL1714">
            <v>6480.5889999999999</v>
          </cell>
          <cell r="CM1714" t="str">
            <v xml:space="preserve">NFT-424100932GN00157XXXXXXX </v>
          </cell>
          <cell r="CN1714" t="str">
            <v>2024-08-28</v>
          </cell>
          <cell r="CO1714">
            <v>1161.8969999999999</v>
          </cell>
        </row>
        <row r="1715">
          <cell r="CJ1715" t="str">
            <v xml:space="preserve">NFT-424100873GN00159XXXXXXX </v>
          </cell>
          <cell r="CK1715" t="str">
            <v>2024-08-28</v>
          </cell>
          <cell r="CL1715">
            <v>6499.4690000000001</v>
          </cell>
          <cell r="CM1715" t="str">
            <v xml:space="preserve">NFT-424100932GN00157XXXXXXX </v>
          </cell>
          <cell r="CN1715" t="str">
            <v>2024-08-28</v>
          </cell>
          <cell r="CO1715">
            <v>1161.8969999999999</v>
          </cell>
        </row>
        <row r="1716">
          <cell r="CJ1716" t="str">
            <v xml:space="preserve">NFT-424100873GN00159XXXXXXX </v>
          </cell>
          <cell r="CK1716" t="str">
            <v>2024-08-28</v>
          </cell>
          <cell r="CL1716">
            <v>4191.0609999999997</v>
          </cell>
          <cell r="CM1716" t="str">
            <v xml:space="preserve">NFT-424100932GN00157XXXXXXX </v>
          </cell>
          <cell r="CN1716" t="str">
            <v>2024-08-28</v>
          </cell>
          <cell r="CO1716">
            <v>719.45600000000002</v>
          </cell>
        </row>
        <row r="1717">
          <cell r="CJ1717" t="str">
            <v xml:space="preserve">NFT-424100873GN00159XXXXXXX </v>
          </cell>
          <cell r="CK1717" t="str">
            <v>2024-08-28</v>
          </cell>
          <cell r="CL1717">
            <v>6499.4690000000001</v>
          </cell>
          <cell r="CM1717" t="str">
            <v xml:space="preserve">NFT-424100932GN00157XXXXXXX </v>
          </cell>
          <cell r="CN1717" t="str">
            <v>2024-08-28</v>
          </cell>
          <cell r="CO1717">
            <v>1161.8969999999999</v>
          </cell>
        </row>
        <row r="1718">
          <cell r="CJ1718" t="str">
            <v xml:space="preserve">NFT-424100873GN00159XXXXXXX </v>
          </cell>
          <cell r="CK1718" t="str">
            <v>2024-08-28</v>
          </cell>
          <cell r="CL1718">
            <v>12391.355</v>
          </cell>
          <cell r="CM1718" t="str">
            <v xml:space="preserve">NFT-424100932GN00157XXXXXXX </v>
          </cell>
          <cell r="CN1718" t="str">
            <v>2024-08-28</v>
          </cell>
          <cell r="CO1718">
            <v>1845.403</v>
          </cell>
        </row>
        <row r="1719">
          <cell r="CJ1719" t="str">
            <v xml:space="preserve">NFT-424100873GN00159XXXXXXX </v>
          </cell>
          <cell r="CK1719" t="str">
            <v>2024-08-28</v>
          </cell>
          <cell r="CL1719">
            <v>13275.946</v>
          </cell>
          <cell r="CM1719" t="str">
            <v xml:space="preserve">NFT-424100932GN00157XXXXXXX </v>
          </cell>
          <cell r="CN1719" t="str">
            <v>2024-08-28</v>
          </cell>
          <cell r="CO1719">
            <v>2046.7919999999999</v>
          </cell>
        </row>
        <row r="1720">
          <cell r="CJ1720" t="str">
            <v xml:space="preserve">NFT-424100873GN00159XXXXXXX </v>
          </cell>
          <cell r="CK1720" t="str">
            <v>2024-08-28</v>
          </cell>
          <cell r="CL1720">
            <v>6499.4690000000001</v>
          </cell>
          <cell r="CM1720" t="str">
            <v xml:space="preserve">NFT-424100932GN00157XXXXXXX </v>
          </cell>
          <cell r="CN1720" t="str">
            <v>2024-08-28</v>
          </cell>
          <cell r="CO1720">
            <v>1161.8969999999999</v>
          </cell>
        </row>
        <row r="1721">
          <cell r="CJ1721" t="str">
            <v xml:space="preserve">NFT-424100873GN00159XXXXXXX </v>
          </cell>
          <cell r="CK1721" t="str">
            <v>2024-08-28</v>
          </cell>
          <cell r="CL1721">
            <v>6499.4690000000001</v>
          </cell>
          <cell r="CM1721" t="str">
            <v xml:space="preserve">NFT-424100932GN00157XXXXXXX </v>
          </cell>
          <cell r="CN1721" t="str">
            <v>2024-08-28</v>
          </cell>
          <cell r="CO1721">
            <v>1161.8969999999999</v>
          </cell>
        </row>
        <row r="1722">
          <cell r="CJ1722" t="str">
            <v xml:space="preserve">NFT-424100873GN00159XXXXXXX </v>
          </cell>
          <cell r="CK1722" t="str">
            <v>2024-08-28</v>
          </cell>
          <cell r="CL1722">
            <v>68007.365999999995</v>
          </cell>
          <cell r="CM1722" t="str">
            <v xml:space="preserve">NFT-424100932GN00157XXXXXXX </v>
          </cell>
          <cell r="CN1722" t="str">
            <v>2024-08-28</v>
          </cell>
          <cell r="CO1722">
            <v>7454.2370000000001</v>
          </cell>
        </row>
        <row r="1723">
          <cell r="CJ1723" t="str">
            <v xml:space="preserve">NFT-424100873GN00159XXXXXXX </v>
          </cell>
          <cell r="CK1723" t="str">
            <v>2024-08-28</v>
          </cell>
          <cell r="CL1723">
            <v>20985.760999999999</v>
          </cell>
          <cell r="CM1723" t="str">
            <v xml:space="preserve">NFT-424100932GN00157XXXXXXX </v>
          </cell>
          <cell r="CN1723" t="str">
            <v>2024-08-28</v>
          </cell>
          <cell r="CO1723">
            <v>1976.5719999999999</v>
          </cell>
        </row>
        <row r="1724">
          <cell r="CJ1724" t="str">
            <v xml:space="preserve">NFT-424100873GN00159XXXXXXX </v>
          </cell>
          <cell r="CK1724" t="str">
            <v>2024-08-28</v>
          </cell>
          <cell r="CL1724">
            <v>12391.355</v>
          </cell>
          <cell r="CM1724" t="str">
            <v xml:space="preserve">NFT-424100932GN00157XXXXXXX </v>
          </cell>
          <cell r="CN1724" t="str">
            <v>2024-08-28</v>
          </cell>
          <cell r="CO1724">
            <v>1845.403</v>
          </cell>
        </row>
        <row r="1725">
          <cell r="CJ1725" t="str">
            <v xml:space="preserve">NFT-424100873GN00159XXXXXXX </v>
          </cell>
          <cell r="CK1725" t="str">
            <v>2024-08-28</v>
          </cell>
          <cell r="CL1725">
            <v>34006.432000000001</v>
          </cell>
          <cell r="CM1725" t="str">
            <v xml:space="preserve">NFT-424100932GN00157XXXXXXX </v>
          </cell>
          <cell r="CN1725" t="str">
            <v>2024-08-28</v>
          </cell>
          <cell r="CO1725">
            <v>3731.924</v>
          </cell>
        </row>
        <row r="1726">
          <cell r="CJ1726" t="str">
            <v xml:space="preserve">NFT-424100873GN00159XXXXXXX </v>
          </cell>
          <cell r="CK1726" t="str">
            <v>2024-08-28</v>
          </cell>
          <cell r="CL1726">
            <v>6499.4690000000001</v>
          </cell>
          <cell r="CM1726" t="str">
            <v xml:space="preserve">NFT-424100932GN00157XXXXXXX </v>
          </cell>
          <cell r="CN1726" t="str">
            <v>2024-08-28</v>
          </cell>
          <cell r="CO1726">
            <v>1161.8969999999999</v>
          </cell>
        </row>
        <row r="1727">
          <cell r="CJ1727" t="str">
            <v xml:space="preserve">NFT-424100873GN00159XXXXXXX </v>
          </cell>
          <cell r="CK1727" t="str">
            <v>2024-08-28</v>
          </cell>
          <cell r="CL1727">
            <v>6480.5889999999999</v>
          </cell>
          <cell r="CM1727" t="str">
            <v xml:space="preserve">NFT-424100932GN00157XXXXXXX </v>
          </cell>
          <cell r="CN1727" t="str">
            <v>2024-08-28</v>
          </cell>
          <cell r="CO1727">
            <v>1161.8969999999999</v>
          </cell>
        </row>
        <row r="1728">
          <cell r="CJ1728" t="str">
            <v xml:space="preserve">NFT-424100873GN00159XXXXXXX </v>
          </cell>
          <cell r="CK1728" t="str">
            <v>2024-08-28</v>
          </cell>
          <cell r="CL1728">
            <v>6480.5889999999999</v>
          </cell>
          <cell r="CM1728" t="str">
            <v xml:space="preserve">NFT-424100932GN00157XXXXXXX </v>
          </cell>
          <cell r="CN1728" t="str">
            <v>2024-08-28</v>
          </cell>
          <cell r="CO1728">
            <v>1161.8969999999999</v>
          </cell>
        </row>
        <row r="1729">
          <cell r="CJ1729" t="str">
            <v xml:space="preserve">NFT-424100873GN00159XXXXXXX </v>
          </cell>
          <cell r="CK1729" t="str">
            <v>2024-08-28</v>
          </cell>
          <cell r="CL1729">
            <v>6254.2030000000004</v>
          </cell>
          <cell r="CM1729" t="str">
            <v xml:space="preserve">NFT-424100932GN00157XXXXXXX </v>
          </cell>
          <cell r="CN1729" t="str">
            <v>2024-08-28</v>
          </cell>
          <cell r="CO1729">
            <v>1407.165</v>
          </cell>
        </row>
        <row r="1730">
          <cell r="CJ1730" t="str">
            <v xml:space="preserve">NFT-424100873GN00159XXXXXXX </v>
          </cell>
          <cell r="CK1730" t="str">
            <v>2024-08-28</v>
          </cell>
          <cell r="CL1730">
            <v>34187.264000000003</v>
          </cell>
          <cell r="CM1730" t="str">
            <v xml:space="preserve">NFT-424100932GN00157XXXXXXX </v>
          </cell>
          <cell r="CN1730" t="str">
            <v>2024-08-28</v>
          </cell>
          <cell r="CO1730">
            <v>3551.1039999999998</v>
          </cell>
        </row>
        <row r="1731">
          <cell r="CJ1731" t="str">
            <v xml:space="preserve">NFT-424100873GN00159XXXXXXX </v>
          </cell>
          <cell r="CK1731" t="str">
            <v>2024-08-28</v>
          </cell>
          <cell r="CL1731">
            <v>12391.355</v>
          </cell>
          <cell r="CM1731" t="str">
            <v xml:space="preserve">NFT-424100932GN00157XXXXXXX </v>
          </cell>
          <cell r="CN1731" t="str">
            <v>2024-08-28</v>
          </cell>
          <cell r="CO1731">
            <v>1845.403</v>
          </cell>
        </row>
        <row r="1732">
          <cell r="CJ1732" t="str">
            <v xml:space="preserve">NFT-424100873GN00159XXXXXXX </v>
          </cell>
          <cell r="CK1732" t="str">
            <v>2024-08-28</v>
          </cell>
          <cell r="CL1732">
            <v>8159.6040000000003</v>
          </cell>
          <cell r="CM1732" t="str">
            <v xml:space="preserve">NFT-424100932GN00157XXXXXXX </v>
          </cell>
          <cell r="CN1732" t="str">
            <v>2024-08-28</v>
          </cell>
          <cell r="CO1732">
            <v>1454.3009999999999</v>
          </cell>
        </row>
        <row r="1733">
          <cell r="CJ1733" t="str">
            <v xml:space="preserve">NFT-422900441GN00081XXXXXXX </v>
          </cell>
          <cell r="CK1733" t="str">
            <v>2024-08-16</v>
          </cell>
          <cell r="CL1733">
            <v>7536.6890000000003</v>
          </cell>
        </row>
        <row r="1734">
          <cell r="CJ1734" t="str">
            <v xml:space="preserve">NFT-422900441GN00081XXXXXXX </v>
          </cell>
          <cell r="CK1734" t="str">
            <v>2024-08-16</v>
          </cell>
          <cell r="CL1734">
            <v>7546.1289999999999</v>
          </cell>
          <cell r="CM1734" t="str">
            <v xml:space="preserve">NFT-423600944GN00087XXXXXXX </v>
          </cell>
          <cell r="CN1734" t="str">
            <v>2024-08-23</v>
          </cell>
          <cell r="CO1734">
            <v>-7546.1289999999999</v>
          </cell>
        </row>
        <row r="1735">
          <cell r="CJ1735" t="str">
            <v xml:space="preserve">NFT-422900441GN00081XXXXXXX </v>
          </cell>
          <cell r="CK1735" t="str">
            <v>2024-08-16</v>
          </cell>
          <cell r="CL1735">
            <v>73316.707999999999</v>
          </cell>
        </row>
        <row r="1736">
          <cell r="CJ1736" t="str">
            <v xml:space="preserve">NFT-422900441GN00081XXXXXXX </v>
          </cell>
          <cell r="CK1736" t="str">
            <v>2024-08-16</v>
          </cell>
          <cell r="CL1736">
            <v>14961.887000000001</v>
          </cell>
          <cell r="CM1736" t="str">
            <v xml:space="preserve">NFT-423600944GN00087XXXXXXX </v>
          </cell>
          <cell r="CN1736" t="str">
            <v>2024-08-23</v>
          </cell>
          <cell r="CO1736">
            <v>-14961.887000000001</v>
          </cell>
        </row>
        <row r="1737">
          <cell r="CJ1737" t="str">
            <v xml:space="preserve">NFT-422900441GN00081XXXXXXX </v>
          </cell>
          <cell r="CK1737" t="str">
            <v>2024-08-16</v>
          </cell>
          <cell r="CL1737">
            <v>7536.6890000000003</v>
          </cell>
        </row>
        <row r="1738">
          <cell r="CJ1738" t="str">
            <v xml:space="preserve">NFT-423200864GN00138XXXXXXX </v>
          </cell>
          <cell r="CK1738" t="str">
            <v>2024-08-19</v>
          </cell>
          <cell r="CL1738">
            <v>73903.434999999998</v>
          </cell>
        </row>
        <row r="1739">
          <cell r="CJ1739" t="str">
            <v xml:space="preserve">NFT-423200864GN00138XXXXXXX </v>
          </cell>
          <cell r="CK1739" t="str">
            <v>2024-08-19</v>
          </cell>
          <cell r="CL1739">
            <v>19862.606</v>
          </cell>
          <cell r="CM1739" t="str">
            <v xml:space="preserve">NFT-423400974GN00225XXXXXXX </v>
          </cell>
          <cell r="CN1739" t="str">
            <v>2024-08-21</v>
          </cell>
          <cell r="CO1739">
            <v>-19862.606</v>
          </cell>
        </row>
        <row r="1740">
          <cell r="CJ1740" t="str">
            <v xml:space="preserve">NFT-423200864GN00138XXXXXXX </v>
          </cell>
          <cell r="CK1740" t="str">
            <v>2024-08-19</v>
          </cell>
          <cell r="CL1740">
            <v>73922.313999999998</v>
          </cell>
        </row>
        <row r="1741">
          <cell r="CJ1741" t="str">
            <v xml:space="preserve">NFT-423200864GN00138XXXXXXX </v>
          </cell>
          <cell r="CK1741" t="str">
            <v>2024-08-19</v>
          </cell>
          <cell r="CL1741">
            <v>73903.434999999998</v>
          </cell>
        </row>
        <row r="1742">
          <cell r="CJ1742" t="str">
            <v xml:space="preserve">NFT-423200864GN00138XXXXXXX </v>
          </cell>
          <cell r="CK1742" t="str">
            <v>2024-08-19</v>
          </cell>
          <cell r="CL1742">
            <v>15086.749</v>
          </cell>
        </row>
        <row r="1743">
          <cell r="CJ1743" t="str">
            <v xml:space="preserve">NFT-423200864GN00138XXXXXXX </v>
          </cell>
          <cell r="CK1743" t="str">
            <v>2024-08-19</v>
          </cell>
          <cell r="CL1743">
            <v>15086.749</v>
          </cell>
        </row>
        <row r="1744">
          <cell r="CJ1744" t="str">
            <v xml:space="preserve">NFT-423200864GN00138XXXXXXX </v>
          </cell>
          <cell r="CK1744" t="str">
            <v>2024-08-19</v>
          </cell>
          <cell r="CL1744">
            <v>10229.832</v>
          </cell>
        </row>
        <row r="1745">
          <cell r="CJ1745" t="str">
            <v xml:space="preserve">NFT-424300580GN00067XXXXXXX </v>
          </cell>
          <cell r="CK1745" t="str">
            <v>2024-08-30</v>
          </cell>
          <cell r="CL1745">
            <v>4685.17</v>
          </cell>
        </row>
        <row r="1746">
          <cell r="CJ1746" t="str">
            <v xml:space="preserve">NFT-424300580GN00067XXXXXXX </v>
          </cell>
          <cell r="CK1746" t="str">
            <v>2024-08-30</v>
          </cell>
          <cell r="CL1746">
            <v>12391.355</v>
          </cell>
          <cell r="CS1746" t="str">
            <v xml:space="preserve">NFT-424300980GN00254XXXXXXX </v>
          </cell>
          <cell r="CT1746" t="str">
            <v>2024-08-30</v>
          </cell>
          <cell r="CU1746">
            <v>1845.403</v>
          </cell>
        </row>
        <row r="1747">
          <cell r="CJ1747" t="str">
            <v xml:space="preserve">NFT-424300580GN00067XXXXXXX </v>
          </cell>
          <cell r="CK1747" t="str">
            <v>2024-08-30</v>
          </cell>
          <cell r="CL1747">
            <v>68969.203999999998</v>
          </cell>
          <cell r="CS1747" t="str">
            <v xml:space="preserve">NFT-424300980GN00254XXXXXXX </v>
          </cell>
          <cell r="CT1747" t="str">
            <v>2024-08-30</v>
          </cell>
          <cell r="CU1747">
            <v>6492.4</v>
          </cell>
        </row>
        <row r="1748">
          <cell r="CJ1748" t="str">
            <v xml:space="preserve">NFT-424300580GN00067XXXXXXX </v>
          </cell>
          <cell r="CK1748" t="str">
            <v>2024-08-30</v>
          </cell>
          <cell r="CL1748">
            <v>34187.264000000003</v>
          </cell>
          <cell r="CS1748" t="str">
            <v xml:space="preserve">NFT-424300980GN00254XXXXXXX </v>
          </cell>
          <cell r="CT1748" t="str">
            <v>2024-08-30</v>
          </cell>
          <cell r="CU1748">
            <v>3551.1039999999998</v>
          </cell>
        </row>
        <row r="1749">
          <cell r="CJ1749" t="str">
            <v xml:space="preserve">NFT-424300580GN00067XXXXXXX </v>
          </cell>
          <cell r="CK1749" t="str">
            <v>2024-08-30</v>
          </cell>
          <cell r="CL1749">
            <v>12352.531000000001</v>
          </cell>
          <cell r="CS1749" t="str">
            <v xml:space="preserve">NFT-424300980GN00254XXXXXXX </v>
          </cell>
          <cell r="CT1749" t="str">
            <v>2024-08-30</v>
          </cell>
          <cell r="CU1749">
            <v>1884.2170000000001</v>
          </cell>
        </row>
        <row r="1750">
          <cell r="CJ1750" t="str">
            <v xml:space="preserve">NFT-424300580GN00067XXXXXXX </v>
          </cell>
          <cell r="CK1750" t="str">
            <v>2024-08-30</v>
          </cell>
          <cell r="CL1750">
            <v>12391.355</v>
          </cell>
          <cell r="CS1750" t="str">
            <v xml:space="preserve">NFT-424300980GN00254XXXXXXX </v>
          </cell>
          <cell r="CT1750" t="str">
            <v>2024-08-30</v>
          </cell>
          <cell r="CU1750">
            <v>1845.403</v>
          </cell>
        </row>
        <row r="1751">
          <cell r="CJ1751" t="str">
            <v xml:space="preserve">NFT-424300580GN00067XXXXXXX </v>
          </cell>
          <cell r="CK1751" t="str">
            <v>2024-08-30</v>
          </cell>
          <cell r="CL1751">
            <v>12391.355</v>
          </cell>
          <cell r="CS1751" t="str">
            <v xml:space="preserve">NFT-424300980GN00254XXXXXXX </v>
          </cell>
          <cell r="CT1751" t="str">
            <v>2024-08-30</v>
          </cell>
          <cell r="CU1751">
            <v>1845.403</v>
          </cell>
        </row>
        <row r="1752">
          <cell r="CJ1752" t="str">
            <v xml:space="preserve">NFT-424300580GN00067XXXXXXX </v>
          </cell>
          <cell r="CK1752" t="str">
            <v>2024-08-30</v>
          </cell>
          <cell r="CL1752">
            <v>34206.144</v>
          </cell>
          <cell r="CS1752" t="str">
            <v xml:space="preserve">NFT-424300980GN00254XXXXXXX </v>
          </cell>
          <cell r="CT1752" t="str">
            <v>2024-08-30</v>
          </cell>
          <cell r="CU1752">
            <v>3551.1039999999998</v>
          </cell>
        </row>
        <row r="1753">
          <cell r="CJ1753" t="str">
            <v xml:space="preserve">NFT-424300580GN00067XXXXXXX </v>
          </cell>
          <cell r="CK1753" t="str">
            <v>2024-08-30</v>
          </cell>
          <cell r="CL1753">
            <v>17037.081999999999</v>
          </cell>
          <cell r="CS1753" t="str">
            <v xml:space="preserve">NFT-424300980GN00254XXXXXXX </v>
          </cell>
          <cell r="CT1753" t="str">
            <v>2024-08-30</v>
          </cell>
          <cell r="CU1753">
            <v>2171.826</v>
          </cell>
        </row>
        <row r="1754">
          <cell r="CJ1754" t="str">
            <v xml:space="preserve">NFT-424300580GN00067XXXXXXX </v>
          </cell>
          <cell r="CK1754" t="str">
            <v>2024-08-30</v>
          </cell>
          <cell r="CL1754">
            <v>12391.355</v>
          </cell>
          <cell r="CS1754" t="str">
            <v xml:space="preserve">NFT-424300980GN00254XXXXXXX </v>
          </cell>
          <cell r="CT1754" t="str">
            <v>2024-08-30</v>
          </cell>
          <cell r="CU1754">
            <v>1845.403</v>
          </cell>
        </row>
        <row r="1755">
          <cell r="CJ1755" t="str">
            <v xml:space="preserve">NFT-424300580GN00067XXXXXXX </v>
          </cell>
          <cell r="CK1755" t="str">
            <v>2024-08-30</v>
          </cell>
          <cell r="CL1755">
            <v>35865.313000000002</v>
          </cell>
          <cell r="CS1755" t="str">
            <v xml:space="preserve">NFT-424300980GN00254XXXXXXX </v>
          </cell>
          <cell r="CT1755" t="str">
            <v>2024-08-30</v>
          </cell>
          <cell r="CU1755">
            <v>1891.934</v>
          </cell>
        </row>
        <row r="1756">
          <cell r="CJ1756" t="str">
            <v xml:space="preserve">NFT-424300580GN00067XXXXXXX </v>
          </cell>
          <cell r="CK1756" t="str">
            <v>2024-08-30</v>
          </cell>
          <cell r="CL1756">
            <v>12391.355</v>
          </cell>
          <cell r="CS1756" t="str">
            <v xml:space="preserve">NFT-424300980GN00254XXXXXXX </v>
          </cell>
          <cell r="CT1756" t="str">
            <v>2024-08-30</v>
          </cell>
          <cell r="CU1756">
            <v>1845.403</v>
          </cell>
        </row>
        <row r="1757">
          <cell r="CJ1757" t="str">
            <v xml:space="preserve">NFT-424300580GN00067XXXXXXX </v>
          </cell>
          <cell r="CK1757" t="str">
            <v>2024-08-30</v>
          </cell>
          <cell r="CL1757">
            <v>39053.595999999998</v>
          </cell>
          <cell r="CS1757" t="str">
            <v xml:space="preserve">NFT-424300980GN00254XXXXXXX </v>
          </cell>
          <cell r="CT1757" t="str">
            <v>2024-08-30</v>
          </cell>
          <cell r="CU1757">
            <v>3694.4079999999999</v>
          </cell>
        </row>
        <row r="1758">
          <cell r="CJ1758" t="str">
            <v xml:space="preserve">NFT-424300580GN00067XXXXXXX </v>
          </cell>
          <cell r="CK1758" t="str">
            <v>2024-08-30</v>
          </cell>
          <cell r="CL1758">
            <v>35865.313000000002</v>
          </cell>
          <cell r="CS1758" t="str">
            <v xml:space="preserve">NFT-424300980GN00254XXXXXXX </v>
          </cell>
          <cell r="CT1758" t="str">
            <v>2024-08-30</v>
          </cell>
          <cell r="CU1758">
            <v>1891.9349999999999</v>
          </cell>
        </row>
        <row r="1759">
          <cell r="CJ1759" t="str">
            <v xml:space="preserve">NFT-424300580GN00067XXXXXXX </v>
          </cell>
          <cell r="CK1759" t="str">
            <v>2024-08-30</v>
          </cell>
          <cell r="CL1759">
            <v>34187.264000000003</v>
          </cell>
          <cell r="CS1759" t="str">
            <v xml:space="preserve">NFT-424300980GN00254XXXXXXX </v>
          </cell>
          <cell r="CT1759" t="str">
            <v>2024-08-30</v>
          </cell>
          <cell r="CU1759">
            <v>3551.1039999999998</v>
          </cell>
        </row>
        <row r="1760">
          <cell r="CJ1760" t="str">
            <v xml:space="preserve">NFT-424300580GN00067XXXXXXX </v>
          </cell>
          <cell r="CK1760" t="str">
            <v>2024-08-30</v>
          </cell>
          <cell r="CL1760">
            <v>11709.71</v>
          </cell>
          <cell r="CS1760" t="str">
            <v xml:space="preserve">NFT-424300980GN00254XXXXXXX </v>
          </cell>
          <cell r="CT1760" t="str">
            <v>2024-08-30</v>
          </cell>
          <cell r="CU1760">
            <v>2527.038</v>
          </cell>
        </row>
        <row r="1761">
          <cell r="CJ1761" t="str">
            <v xml:space="preserve">NFT-424300580GN00067XXXXXXX </v>
          </cell>
          <cell r="CK1761" t="str">
            <v>2024-08-30</v>
          </cell>
          <cell r="CL1761">
            <v>14255.628000000001</v>
          </cell>
        </row>
        <row r="1762">
          <cell r="CJ1762" t="str">
            <v xml:space="preserve">NFT-424300580GN00067XXXXXXX </v>
          </cell>
          <cell r="CK1762" t="str">
            <v>2024-08-30</v>
          </cell>
          <cell r="CL1762">
            <v>33976.624000000003</v>
          </cell>
          <cell r="CM1762" t="str">
            <v xml:space="preserve">NFT-425300932GN00169XXXXXXX </v>
          </cell>
          <cell r="CN1762" t="str">
            <v>2024-09-09</v>
          </cell>
          <cell r="CO1762">
            <v>-33976.624000000003</v>
          </cell>
          <cell r="CP1762" t="str">
            <v xml:space="preserve">NFT-425701003GN00065XXXXXXX </v>
          </cell>
          <cell r="CQ1762" t="str">
            <v>2024-09-13</v>
          </cell>
          <cell r="CR1762">
            <v>-3704.038</v>
          </cell>
          <cell r="CS1762" t="str">
            <v xml:space="preserve">NFT-424300980GN00254XXXXXXX </v>
          </cell>
          <cell r="CT1762" t="str">
            <v>2024-08-30</v>
          </cell>
          <cell r="CU1762">
            <v>3704.038</v>
          </cell>
        </row>
        <row r="1763">
          <cell r="CJ1763" t="str">
            <v xml:space="preserve">NFT-424300580GN00067XXXXXXX </v>
          </cell>
          <cell r="CK1763" t="str">
            <v>2024-08-30</v>
          </cell>
          <cell r="CL1763">
            <v>34132.434000000001</v>
          </cell>
          <cell r="CS1763" t="str">
            <v xml:space="preserve">NFT-424300980GN00254XXXXXXX </v>
          </cell>
          <cell r="CT1763" t="str">
            <v>2024-08-30</v>
          </cell>
          <cell r="CU1763">
            <v>3548.2170000000001</v>
          </cell>
        </row>
        <row r="1764">
          <cell r="CJ1764" t="str">
            <v xml:space="preserve">NFT-424300580GN00067XXXXXXX </v>
          </cell>
          <cell r="CK1764" t="str">
            <v>2024-08-30</v>
          </cell>
          <cell r="CL1764">
            <v>9357.7819999999992</v>
          </cell>
          <cell r="CS1764" t="str">
            <v xml:space="preserve">NFT-424300980GN00254XXXXXXX </v>
          </cell>
          <cell r="CT1764" t="str">
            <v>2024-08-30</v>
          </cell>
          <cell r="CU1764">
            <v>1059.94</v>
          </cell>
        </row>
        <row r="1765">
          <cell r="CJ1765" t="str">
            <v xml:space="preserve">NFT-424300580GN00067XXXXXXX </v>
          </cell>
          <cell r="CK1765" t="str">
            <v>2024-08-30</v>
          </cell>
          <cell r="CL1765">
            <v>12374.200999999999</v>
          </cell>
          <cell r="CS1765" t="str">
            <v xml:space="preserve">NFT-424300980GN00254XXXXXXX </v>
          </cell>
          <cell r="CT1765" t="str">
            <v>2024-08-30</v>
          </cell>
          <cell r="CU1765">
            <v>1844.4970000000001</v>
          </cell>
        </row>
        <row r="1766">
          <cell r="CJ1766" t="str">
            <v xml:space="preserve">NFT-424300580GN00067XXXXXXX </v>
          </cell>
          <cell r="CK1766" t="str">
            <v>2024-08-30</v>
          </cell>
          <cell r="CL1766">
            <v>37699.531000000003</v>
          </cell>
        </row>
        <row r="1767">
          <cell r="CJ1767" t="str">
            <v xml:space="preserve">NFT-424300580GN00067XXXXXXX </v>
          </cell>
          <cell r="CK1767" t="str">
            <v>2024-08-30</v>
          </cell>
          <cell r="CL1767">
            <v>12679.275</v>
          </cell>
          <cell r="CS1767" t="str">
            <v xml:space="preserve">NFT-424300980GN00254XXXXXXX </v>
          </cell>
          <cell r="CT1767" t="str">
            <v>2024-08-30</v>
          </cell>
          <cell r="CU1767">
            <v>1558.2950000000001</v>
          </cell>
        </row>
        <row r="1768">
          <cell r="CJ1768" t="str">
            <v xml:space="preserve">NFT-424300580GN00067XXXXXXX </v>
          </cell>
          <cell r="CK1768" t="str">
            <v>2024-08-30</v>
          </cell>
          <cell r="CL1768">
            <v>13109.022999999999</v>
          </cell>
          <cell r="CM1768" t="str">
            <v xml:space="preserve">NFT-424800948GN00078XXXXXXX </v>
          </cell>
          <cell r="CN1768" t="str">
            <v>2024-09-04</v>
          </cell>
          <cell r="CO1768">
            <v>-13109.022999999999</v>
          </cell>
          <cell r="CP1768" t="str">
            <v xml:space="preserve">NFT-424800981GN00017XXXXXXX </v>
          </cell>
          <cell r="CQ1768" t="str">
            <v>2024-09-04</v>
          </cell>
          <cell r="CR1768">
            <v>-1128.546</v>
          </cell>
          <cell r="CS1768" t="str">
            <v xml:space="preserve">NFT-424300980GN00254XXXXXXX </v>
          </cell>
          <cell r="CT1768" t="str">
            <v>2024-08-30</v>
          </cell>
          <cell r="CU1768">
            <v>1128.546</v>
          </cell>
        </row>
        <row r="1769">
          <cell r="CJ1769" t="str">
            <v xml:space="preserve">NFT-424300580GN00067XXXXXXX </v>
          </cell>
          <cell r="CK1769" t="str">
            <v>2024-08-30</v>
          </cell>
          <cell r="CL1769">
            <v>11712.343000000001</v>
          </cell>
          <cell r="CS1769" t="str">
            <v xml:space="preserve">NFT-424300980GN00254XXXXXXX </v>
          </cell>
          <cell r="CT1769" t="str">
            <v>2024-08-30</v>
          </cell>
          <cell r="CU1769">
            <v>2525.2370000000001</v>
          </cell>
        </row>
        <row r="1770">
          <cell r="CJ1770" t="str">
            <v xml:space="preserve">NFT-424300580GN00067XXXXXXX </v>
          </cell>
          <cell r="CK1770" t="str">
            <v>2024-08-30</v>
          </cell>
          <cell r="CL1770">
            <v>35791.603000000003</v>
          </cell>
          <cell r="CS1770" t="str">
            <v xml:space="preserve">NFT-424300980GN00254XXXXXXX </v>
          </cell>
          <cell r="CT1770" t="str">
            <v>2024-08-30</v>
          </cell>
          <cell r="CU1770">
            <v>1889.048</v>
          </cell>
        </row>
        <row r="1771">
          <cell r="CJ1771" t="str">
            <v xml:space="preserve">NFT-424300580GN00067XXXXXXX </v>
          </cell>
          <cell r="CK1771" t="str">
            <v>2024-08-30</v>
          </cell>
          <cell r="CL1771">
            <v>68863.406000000003</v>
          </cell>
          <cell r="CS1771" t="str">
            <v xml:space="preserve">NFT-424300980GN00254XXXXXXX </v>
          </cell>
          <cell r="CT1771" t="str">
            <v>2024-08-30</v>
          </cell>
          <cell r="CU1771">
            <v>6492.4</v>
          </cell>
        </row>
        <row r="1772">
          <cell r="CJ1772" t="str">
            <v xml:space="preserve">NFT-424300580GN00067XXXXXXX </v>
          </cell>
          <cell r="CK1772" t="str">
            <v>2024-08-30</v>
          </cell>
          <cell r="CL1772">
            <v>34132.434000000001</v>
          </cell>
          <cell r="CS1772" t="str">
            <v xml:space="preserve">NFT-424300980GN00254XXXXXXX </v>
          </cell>
          <cell r="CT1772" t="str">
            <v>2024-08-30</v>
          </cell>
          <cell r="CU1772">
            <v>3548.2170000000001</v>
          </cell>
        </row>
        <row r="1773">
          <cell r="CJ1773" t="str">
            <v xml:space="preserve">NFT-424300580GN00067XXXXXXX </v>
          </cell>
          <cell r="CK1773" t="str">
            <v>2024-08-30</v>
          </cell>
          <cell r="CL1773">
            <v>68882.285999999993</v>
          </cell>
          <cell r="CS1773" t="str">
            <v xml:space="preserve">NFT-424300980GN00254XXXXXXX </v>
          </cell>
          <cell r="CT1773" t="str">
            <v>2024-08-30</v>
          </cell>
          <cell r="CU1773">
            <v>6492.3980000000001</v>
          </cell>
        </row>
        <row r="1774">
          <cell r="CJ1774" t="str">
            <v xml:space="preserve">NFT-424300580GN00067XXXXXXX </v>
          </cell>
          <cell r="CK1774" t="str">
            <v>2024-08-30</v>
          </cell>
          <cell r="CL1774">
            <v>13109.022999999999</v>
          </cell>
          <cell r="CM1774" t="str">
            <v xml:space="preserve">NFT-424800948GN00078XXXXXXX </v>
          </cell>
          <cell r="CN1774" t="str">
            <v>2024-09-04</v>
          </cell>
          <cell r="CO1774">
            <v>-13109.022999999999</v>
          </cell>
          <cell r="CP1774" t="str">
            <v xml:space="preserve">NFT-424800981GN00017XXXXXXX </v>
          </cell>
          <cell r="CQ1774" t="str">
            <v>2024-09-04</v>
          </cell>
          <cell r="CR1774">
            <v>-1128.546</v>
          </cell>
          <cell r="CS1774" t="str">
            <v xml:space="preserve">NFT-424300980GN00254XXXXXXX </v>
          </cell>
          <cell r="CT1774" t="str">
            <v>2024-08-30</v>
          </cell>
          <cell r="CU1774">
            <v>1128.546</v>
          </cell>
        </row>
        <row r="1775">
          <cell r="CJ1775" t="str">
            <v xml:space="preserve">NFT-424300580GN00067XXXXXXX </v>
          </cell>
          <cell r="CK1775" t="str">
            <v>2024-08-30</v>
          </cell>
          <cell r="CL1775">
            <v>68882.285999999993</v>
          </cell>
          <cell r="CS1775" t="str">
            <v xml:space="preserve">NFT-424300980GN00254XXXXXXX </v>
          </cell>
          <cell r="CT1775" t="str">
            <v>2024-08-30</v>
          </cell>
          <cell r="CU1775">
            <v>6492.4</v>
          </cell>
        </row>
        <row r="1776">
          <cell r="CJ1776" t="str">
            <v xml:space="preserve">NFT-424300580GN00067XXXXXXX </v>
          </cell>
          <cell r="CK1776" t="str">
            <v>2024-08-30</v>
          </cell>
          <cell r="CL1776">
            <v>71767.794999999998</v>
          </cell>
          <cell r="CS1776" t="str">
            <v xml:space="preserve">NFT-424300980GN00254XXXXXXX </v>
          </cell>
          <cell r="CT1776" t="str">
            <v>2024-08-30</v>
          </cell>
          <cell r="CU1776">
            <v>3606.8879999999999</v>
          </cell>
        </row>
        <row r="1777">
          <cell r="CJ1777" t="str">
            <v xml:space="preserve">NFT-424300580GN00067XXXXXXX </v>
          </cell>
          <cell r="CK1777" t="str">
            <v>2024-08-30</v>
          </cell>
          <cell r="CL1777">
            <v>68863.406000000003</v>
          </cell>
          <cell r="CS1777" t="str">
            <v xml:space="preserve">NFT-424300980GN00254XXXXXXX </v>
          </cell>
          <cell r="CT1777" t="str">
            <v>2024-08-30</v>
          </cell>
          <cell r="CU1777">
            <v>6492.4</v>
          </cell>
        </row>
        <row r="1778">
          <cell r="CJ1778" t="str">
            <v xml:space="preserve">NFT-424300580GN00067XXXXXXX </v>
          </cell>
          <cell r="CK1778" t="str">
            <v>2024-08-30</v>
          </cell>
          <cell r="CL1778">
            <v>35810.483</v>
          </cell>
          <cell r="CS1778" t="str">
            <v xml:space="preserve">NFT-424300980GN00254XXXXXXX </v>
          </cell>
          <cell r="CT1778" t="str">
            <v>2024-08-30</v>
          </cell>
          <cell r="CU1778">
            <v>1889.048</v>
          </cell>
        </row>
        <row r="1779">
          <cell r="CJ1779" t="str">
            <v xml:space="preserve">NFT-424300580GN00067XXXXXXX </v>
          </cell>
          <cell r="CK1779" t="str">
            <v>2024-08-30</v>
          </cell>
          <cell r="CL1779">
            <v>35791.603000000003</v>
          </cell>
          <cell r="CS1779" t="str">
            <v xml:space="preserve">NFT-424300980GN00254XXXXXXX </v>
          </cell>
          <cell r="CT1779" t="str">
            <v>2024-08-30</v>
          </cell>
          <cell r="CU1779">
            <v>1889.048</v>
          </cell>
        </row>
        <row r="1780">
          <cell r="CJ1780" t="str">
            <v xml:space="preserve">NFT-424300580GN00067XXXXXXX </v>
          </cell>
          <cell r="CK1780" t="str">
            <v>2024-08-30</v>
          </cell>
          <cell r="CL1780">
            <v>72489.173999999999</v>
          </cell>
          <cell r="CS1780" t="str">
            <v xml:space="preserve">NFT-424300980GN00254XXXXXXX </v>
          </cell>
          <cell r="CT1780" t="str">
            <v>2024-08-30</v>
          </cell>
          <cell r="CU1780">
            <v>2885.51</v>
          </cell>
        </row>
        <row r="1781">
          <cell r="CJ1781" t="str">
            <v xml:space="preserve">NFT-424300580GN00067XXXXXXX </v>
          </cell>
          <cell r="CK1781" t="str">
            <v>2024-08-30</v>
          </cell>
          <cell r="CL1781">
            <v>8290.7440000000006</v>
          </cell>
          <cell r="CS1781" t="str">
            <v xml:space="preserve">NFT-424300980GN00254XXXXXXX </v>
          </cell>
          <cell r="CT1781" t="str">
            <v>2024-08-30</v>
          </cell>
          <cell r="CU1781">
            <v>1490.848</v>
          </cell>
        </row>
        <row r="1782">
          <cell r="CJ1782" t="str">
            <v xml:space="preserve">NFT-424300580GN00067XXXXXXX </v>
          </cell>
          <cell r="CK1782" t="str">
            <v>2024-08-30</v>
          </cell>
          <cell r="CL1782">
            <v>68882.285999999993</v>
          </cell>
          <cell r="CS1782" t="str">
            <v xml:space="preserve">NFT-424300980GN00254XXXXXXX </v>
          </cell>
          <cell r="CT1782" t="str">
            <v>2024-08-30</v>
          </cell>
          <cell r="CU1782">
            <v>6492.3980000000001</v>
          </cell>
        </row>
        <row r="1783">
          <cell r="CJ1783" t="str">
            <v xml:space="preserve">NFT-424300580GN00067XXXXXXX </v>
          </cell>
          <cell r="CK1783" t="str">
            <v>2024-08-30</v>
          </cell>
          <cell r="CL1783">
            <v>35810.483</v>
          </cell>
          <cell r="CS1783" t="str">
            <v xml:space="preserve">NFT-424300980GN00254XXXXXXX </v>
          </cell>
          <cell r="CT1783" t="str">
            <v>2024-08-30</v>
          </cell>
          <cell r="CU1783">
            <v>1889.048</v>
          </cell>
        </row>
        <row r="1784">
          <cell r="CJ1784" t="str">
            <v xml:space="preserve">NFT-424300580GN00067XXXXXXX </v>
          </cell>
          <cell r="CK1784" t="str">
            <v>2024-08-30</v>
          </cell>
          <cell r="CL1784">
            <v>70090.080000000002</v>
          </cell>
          <cell r="CS1784" t="str">
            <v xml:space="preserve">NFT-424300980GN00254XXXXXXX </v>
          </cell>
          <cell r="CT1784" t="str">
            <v>2024-08-30</v>
          </cell>
          <cell r="CU1784">
            <v>5290.1040000000003</v>
          </cell>
        </row>
        <row r="1785">
          <cell r="CJ1785" t="str">
            <v xml:space="preserve">NFT-424300580GN00067XXXXXXX </v>
          </cell>
          <cell r="CK1785" t="str">
            <v>2024-08-30</v>
          </cell>
          <cell r="CL1785">
            <v>23212.73</v>
          </cell>
          <cell r="CS1785" t="str">
            <v xml:space="preserve">NFT-424300980GN00254XXXXXXX </v>
          </cell>
          <cell r="CT1785" t="str">
            <v>2024-08-30</v>
          </cell>
          <cell r="CU1785">
            <v>1245.575</v>
          </cell>
        </row>
        <row r="1786">
          <cell r="CJ1786" t="str">
            <v xml:space="preserve">NFT-424300580GN00067XXXXXXX </v>
          </cell>
          <cell r="CK1786" t="str">
            <v>2024-08-30</v>
          </cell>
          <cell r="CL1786">
            <v>72470.293999999994</v>
          </cell>
          <cell r="CS1786" t="str">
            <v xml:space="preserve">NFT-424300980GN00254XXXXXXX </v>
          </cell>
          <cell r="CT1786" t="str">
            <v>2024-08-30</v>
          </cell>
          <cell r="CU1786">
            <v>2885.511</v>
          </cell>
        </row>
        <row r="1787">
          <cell r="CJ1787" t="str">
            <v xml:space="preserve">NFT-424300580GN00067XXXXXXX </v>
          </cell>
          <cell r="CK1787" t="str">
            <v>2024-08-30</v>
          </cell>
          <cell r="CL1787">
            <v>72470.293999999994</v>
          </cell>
          <cell r="CS1787" t="str">
            <v xml:space="preserve">NFT-424300980GN00254XXXXXXX </v>
          </cell>
          <cell r="CT1787" t="str">
            <v>2024-08-30</v>
          </cell>
          <cell r="CU1787">
            <v>2885.511</v>
          </cell>
        </row>
        <row r="1788">
          <cell r="CJ1788" t="str">
            <v xml:space="preserve">NFT-424300580GN00067XXXXXXX </v>
          </cell>
          <cell r="CK1788" t="str">
            <v>2024-08-30</v>
          </cell>
          <cell r="CL1788">
            <v>68906.664000000004</v>
          </cell>
          <cell r="CS1788" t="str">
            <v xml:space="preserve">NFT-424300980GN00254XXXXXXX </v>
          </cell>
          <cell r="CT1788" t="str">
            <v>2024-08-30</v>
          </cell>
          <cell r="CU1788">
            <v>6492.3959999999997</v>
          </cell>
        </row>
        <row r="1789">
          <cell r="CJ1789" t="str">
            <v xml:space="preserve">NFT-424300580GN00067XXXXXXX </v>
          </cell>
          <cell r="CK1789" t="str">
            <v>2024-08-30</v>
          </cell>
          <cell r="CL1789">
            <v>68863.406000000003</v>
          </cell>
          <cell r="CS1789" t="str">
            <v xml:space="preserve">NFT-424300980GN00254XXXXXXX </v>
          </cell>
          <cell r="CT1789" t="str">
            <v>2024-08-30</v>
          </cell>
          <cell r="CU1789">
            <v>6492.4</v>
          </cell>
        </row>
        <row r="1790">
          <cell r="CJ1790" t="str">
            <v xml:space="preserve">NFT-424300580GN00067XXXXXXX </v>
          </cell>
          <cell r="CK1790" t="str">
            <v>2024-08-30</v>
          </cell>
          <cell r="CL1790">
            <v>12622.402</v>
          </cell>
          <cell r="CS1790" t="str">
            <v xml:space="preserve">NFT-424300980GN00254XXXXXXX </v>
          </cell>
          <cell r="CT1790" t="str">
            <v>2024-08-30</v>
          </cell>
          <cell r="CU1790">
            <v>1615.1769999999999</v>
          </cell>
        </row>
        <row r="1791">
          <cell r="CJ1791" t="str">
            <v xml:space="preserve">NFT-424300580GN00067XXXXXXX </v>
          </cell>
          <cell r="CK1791" t="str">
            <v>2024-08-30</v>
          </cell>
          <cell r="CL1791">
            <v>68887.784</v>
          </cell>
          <cell r="CS1791" t="str">
            <v xml:space="preserve">NFT-424300980GN00254XXXXXXX </v>
          </cell>
          <cell r="CT1791" t="str">
            <v>2024-08-30</v>
          </cell>
          <cell r="CU1791">
            <v>6492.4</v>
          </cell>
        </row>
        <row r="1792">
          <cell r="CJ1792" t="str">
            <v xml:space="preserve">NFT-424300580GN00067XXXXXXX </v>
          </cell>
          <cell r="CK1792" t="str">
            <v>2024-08-30</v>
          </cell>
          <cell r="CL1792">
            <v>12374.200999999999</v>
          </cell>
          <cell r="CS1792" t="str">
            <v xml:space="preserve">NFT-424300980GN00254XXXXXXX </v>
          </cell>
          <cell r="CT1792" t="str">
            <v>2024-08-30</v>
          </cell>
          <cell r="CU1792">
            <v>1844.4970000000001</v>
          </cell>
        </row>
        <row r="1793">
          <cell r="CJ1793" t="str">
            <v xml:space="preserve">NFT-424300580GN00067XXXXXXX </v>
          </cell>
          <cell r="CK1793" t="str">
            <v>2024-08-30</v>
          </cell>
          <cell r="CL1793">
            <v>34151.313999999998</v>
          </cell>
          <cell r="CS1793" t="str">
            <v xml:space="preserve">NFT-424300980GN00254XXXXXXX </v>
          </cell>
          <cell r="CT1793" t="str">
            <v>2024-08-30</v>
          </cell>
          <cell r="CU1793">
            <v>3548.2170000000001</v>
          </cell>
        </row>
        <row r="1794">
          <cell r="CJ1794" t="str">
            <v xml:space="preserve">NFT-424300580GN00067XXXXXXX </v>
          </cell>
          <cell r="CK1794" t="str">
            <v>2024-08-30</v>
          </cell>
          <cell r="CL1794">
            <v>12374.200999999999</v>
          </cell>
          <cell r="CS1794" t="str">
            <v xml:space="preserve">NFT-424300980GN00254XXXXXXX </v>
          </cell>
          <cell r="CT1794" t="str">
            <v>2024-08-30</v>
          </cell>
          <cell r="CU1794">
            <v>1844.4970000000001</v>
          </cell>
        </row>
        <row r="1795">
          <cell r="CJ1795" t="str">
            <v xml:space="preserve">NFT-424300580GN00067XXXXXXX </v>
          </cell>
          <cell r="CK1795" t="str">
            <v>2024-08-30</v>
          </cell>
          <cell r="CL1795">
            <v>33988.766000000003</v>
          </cell>
          <cell r="CS1795" t="str">
            <v xml:space="preserve">NFT-424300980GN00254XXXXXXX </v>
          </cell>
          <cell r="CT1795" t="str">
            <v>2024-08-30</v>
          </cell>
          <cell r="CU1795">
            <v>3710.7660000000001</v>
          </cell>
        </row>
        <row r="1796">
          <cell r="CJ1796" t="str">
            <v xml:space="preserve">NFT-424300580GN00067XXXXXXX </v>
          </cell>
          <cell r="CK1796" t="str">
            <v>2024-08-30</v>
          </cell>
          <cell r="CL1796">
            <v>72470.293999999994</v>
          </cell>
          <cell r="CS1796" t="str">
            <v xml:space="preserve">NFT-424300980GN00254XXXXXXX </v>
          </cell>
          <cell r="CT1796" t="str">
            <v>2024-08-30</v>
          </cell>
          <cell r="CU1796">
            <v>2885.511</v>
          </cell>
        </row>
        <row r="1797">
          <cell r="CJ1797" t="str">
            <v xml:space="preserve">NFT-424300580GN00067XXXXXXX </v>
          </cell>
          <cell r="CK1797" t="str">
            <v>2024-08-30</v>
          </cell>
          <cell r="CL1797">
            <v>68882.285999999993</v>
          </cell>
          <cell r="CS1797" t="str">
            <v xml:space="preserve">NFT-424300980GN00254XXXXXXX </v>
          </cell>
          <cell r="CT1797" t="str">
            <v>2024-08-30</v>
          </cell>
          <cell r="CU1797">
            <v>6492.3980000000001</v>
          </cell>
        </row>
        <row r="1798">
          <cell r="CJ1798" t="str">
            <v xml:space="preserve">NFT-424300580GN00067XXXXXXX </v>
          </cell>
          <cell r="CK1798" t="str">
            <v>2024-08-30</v>
          </cell>
          <cell r="CL1798">
            <v>69969.517000000007</v>
          </cell>
          <cell r="CS1798" t="str">
            <v xml:space="preserve">NFT-424300980GN00254XXXXXXX </v>
          </cell>
          <cell r="CT1798" t="str">
            <v>2024-08-30</v>
          </cell>
          <cell r="CU1798">
            <v>5386.2879999999996</v>
          </cell>
        </row>
        <row r="1799">
          <cell r="CJ1799" t="str">
            <v xml:space="preserve">NFT-424300580GN00067XXXXXXX </v>
          </cell>
          <cell r="CK1799" t="str">
            <v>2024-08-30</v>
          </cell>
          <cell r="CL1799">
            <v>35561.724000000002</v>
          </cell>
          <cell r="CS1799" t="str">
            <v xml:space="preserve">NFT-424300980GN00254XXXXXXX </v>
          </cell>
          <cell r="CT1799" t="str">
            <v>2024-08-30</v>
          </cell>
          <cell r="CU1799">
            <v>2118.9279999999999</v>
          </cell>
        </row>
        <row r="1800">
          <cell r="CJ1800" t="str">
            <v xml:space="preserve">NFT-424300580GN00067XXXXXXX </v>
          </cell>
          <cell r="CK1800" t="str">
            <v>2024-08-30</v>
          </cell>
          <cell r="CL1800">
            <v>11712.343000000001</v>
          </cell>
          <cell r="CS1800" t="str">
            <v xml:space="preserve">NFT-424300980GN00254XXXXXXX </v>
          </cell>
          <cell r="CT1800" t="str">
            <v>2024-08-30</v>
          </cell>
          <cell r="CU1800">
            <v>2525.2370000000001</v>
          </cell>
        </row>
        <row r="1801">
          <cell r="CJ1801" t="str">
            <v xml:space="preserve">NFT-424300580GN00067XXXXXXX </v>
          </cell>
          <cell r="CK1801" t="str">
            <v>2024-08-30</v>
          </cell>
          <cell r="CL1801">
            <v>68882.285999999993</v>
          </cell>
          <cell r="CS1801" t="str">
            <v xml:space="preserve">NFT-424300980GN00254XXXXXXX </v>
          </cell>
          <cell r="CT1801" t="str">
            <v>2024-08-30</v>
          </cell>
          <cell r="CU1801">
            <v>6492.4</v>
          </cell>
        </row>
        <row r="1802">
          <cell r="CJ1802" t="str">
            <v xml:space="preserve">NFT-424300580GN00067XXXXXXX </v>
          </cell>
          <cell r="CK1802" t="str">
            <v>2024-08-30</v>
          </cell>
          <cell r="CL1802">
            <v>68882.285999999993</v>
          </cell>
          <cell r="CM1802" t="str">
            <v xml:space="preserve">NFT-425000928GN00239XXXXXXX </v>
          </cell>
          <cell r="CN1802" t="str">
            <v>2024-09-06</v>
          </cell>
          <cell r="CO1802">
            <v>-68882.285999999993</v>
          </cell>
          <cell r="CP1802" t="str">
            <v xml:space="preserve">NFT-425000978GN00015XXXXXXX </v>
          </cell>
          <cell r="CQ1802" t="str">
            <v>2024-09-06</v>
          </cell>
          <cell r="CR1802">
            <v>-6492.3980000000001</v>
          </cell>
          <cell r="CS1802" t="str">
            <v xml:space="preserve">NFT-424300980GN00254XXXXXXX </v>
          </cell>
          <cell r="CT1802" t="str">
            <v>2024-08-30</v>
          </cell>
          <cell r="CU1802">
            <v>6492.3980000000001</v>
          </cell>
        </row>
        <row r="1803">
          <cell r="CJ1803" t="str">
            <v xml:space="preserve">NFT-424300580GN00067XXXXXXX </v>
          </cell>
          <cell r="CK1803" t="str">
            <v>2024-08-30</v>
          </cell>
          <cell r="CL1803">
            <v>23212.73</v>
          </cell>
          <cell r="CS1803" t="str">
            <v xml:space="preserve">NFT-424300980GN00254XXXXXXX </v>
          </cell>
          <cell r="CT1803" t="str">
            <v>2024-08-30</v>
          </cell>
          <cell r="CU1803">
            <v>1240.7750000000001</v>
          </cell>
        </row>
        <row r="1804">
          <cell r="CJ1804" t="str">
            <v xml:space="preserve">NFT-424300580GN00067XXXXXXX </v>
          </cell>
          <cell r="CK1804" t="str">
            <v>2024-08-30</v>
          </cell>
          <cell r="CL1804">
            <v>68863.406000000003</v>
          </cell>
          <cell r="CS1804" t="str">
            <v xml:space="preserve">NFT-424300980GN00254XXXXXXX </v>
          </cell>
          <cell r="CT1804" t="str">
            <v>2024-08-30</v>
          </cell>
          <cell r="CU1804">
            <v>6492.4</v>
          </cell>
        </row>
        <row r="1805">
          <cell r="CJ1805" t="str">
            <v xml:space="preserve">NFT-424300580GN00067XXXXXXX </v>
          </cell>
          <cell r="CK1805" t="str">
            <v>2024-08-30</v>
          </cell>
          <cell r="CL1805">
            <v>67920.448000000004</v>
          </cell>
          <cell r="CM1805" t="str">
            <v xml:space="preserve">NFT-425700941GN00221XXXXXXX </v>
          </cell>
          <cell r="CN1805" t="str">
            <v>2024-09-13</v>
          </cell>
          <cell r="CO1805">
            <v>-67920.448000000004</v>
          </cell>
          <cell r="CP1805" t="str">
            <v xml:space="preserve">NFT-425701003GN00065XXXXXXX </v>
          </cell>
          <cell r="CQ1805" t="str">
            <v>2024-09-13</v>
          </cell>
          <cell r="CR1805">
            <v>-7454.2349999999997</v>
          </cell>
          <cell r="CS1805" t="str">
            <v xml:space="preserve">NFT-424300980GN00254XXXXXXX </v>
          </cell>
          <cell r="CT1805" t="str">
            <v>2024-08-30</v>
          </cell>
          <cell r="CU1805">
            <v>7454.2349999999997</v>
          </cell>
        </row>
        <row r="1806">
          <cell r="CJ1806" t="str">
            <v xml:space="preserve">NFT-424300580GN00067XXXXXXX </v>
          </cell>
          <cell r="CK1806" t="str">
            <v>2024-08-30</v>
          </cell>
          <cell r="CL1806">
            <v>23212.73</v>
          </cell>
          <cell r="CS1806" t="str">
            <v xml:space="preserve">NFT-424300980GN00254XXXXXXX </v>
          </cell>
          <cell r="CT1806" t="str">
            <v>2024-08-30</v>
          </cell>
          <cell r="CU1806">
            <v>1245.575</v>
          </cell>
        </row>
        <row r="1807">
          <cell r="CJ1807" t="str">
            <v xml:space="preserve">NFT-424300580GN00067XXXXXXX </v>
          </cell>
          <cell r="CK1807" t="str">
            <v>2024-08-30</v>
          </cell>
          <cell r="CL1807">
            <v>68882.285999999993</v>
          </cell>
          <cell r="CS1807" t="str">
            <v xml:space="preserve">NFT-424300980GN00254XXXXXXX </v>
          </cell>
          <cell r="CT1807" t="str">
            <v>2024-08-30</v>
          </cell>
          <cell r="CU1807">
            <v>6492.3980000000001</v>
          </cell>
        </row>
        <row r="1808">
          <cell r="CJ1808" t="str">
            <v xml:space="preserve">NFT-424300580GN00067XXXXXXX </v>
          </cell>
          <cell r="CK1808" t="str">
            <v>2024-08-30</v>
          </cell>
          <cell r="CL1808">
            <v>8290.7440000000006</v>
          </cell>
          <cell r="CS1808" t="str">
            <v xml:space="preserve">NFT-424300980GN00254XXXXXXX </v>
          </cell>
          <cell r="CT1808" t="str">
            <v>2024-08-30</v>
          </cell>
          <cell r="CU1808">
            <v>1492.768</v>
          </cell>
        </row>
        <row r="1809">
          <cell r="CJ1809" t="str">
            <v xml:space="preserve">NFT-424300580GN00067XXXXXXX </v>
          </cell>
          <cell r="CK1809" t="str">
            <v>2024-08-30</v>
          </cell>
          <cell r="CL1809">
            <v>23212.73</v>
          </cell>
          <cell r="CS1809" t="str">
            <v xml:space="preserve">NFT-424300980GN00254XXXXXXX </v>
          </cell>
          <cell r="CT1809" t="str">
            <v>2024-08-30</v>
          </cell>
          <cell r="CU1809">
            <v>1245.575</v>
          </cell>
        </row>
        <row r="1810">
          <cell r="CJ1810" t="str">
            <v xml:space="preserve">NFT-424300580GN00067XXXXXXX </v>
          </cell>
          <cell r="CK1810" t="str">
            <v>2024-08-30</v>
          </cell>
          <cell r="CL1810">
            <v>23212.73</v>
          </cell>
          <cell r="CS1810" t="str">
            <v xml:space="preserve">NFT-424300980GN00254XXXXXXX </v>
          </cell>
          <cell r="CT1810" t="str">
            <v>2024-08-30</v>
          </cell>
          <cell r="CU1810">
            <v>1245.575</v>
          </cell>
        </row>
        <row r="1811">
          <cell r="CJ1811" t="str">
            <v xml:space="preserve">NFT-424300580GN00067XXXXXXX </v>
          </cell>
          <cell r="CK1811" t="str">
            <v>2024-08-30</v>
          </cell>
          <cell r="CL1811">
            <v>10466.465</v>
          </cell>
          <cell r="CS1811" t="str">
            <v xml:space="preserve">NFT-424300980GN00254XXXXXXX </v>
          </cell>
          <cell r="CT1811" t="str">
            <v>2024-08-30</v>
          </cell>
          <cell r="CU1811">
            <v>572.29499999999996</v>
          </cell>
        </row>
        <row r="1812">
          <cell r="CJ1812" t="str">
            <v xml:space="preserve">NFT-424300580GN00067XXXXXXX </v>
          </cell>
          <cell r="CK1812" t="str">
            <v>2024-08-30</v>
          </cell>
          <cell r="CL1812">
            <v>12374.200999999999</v>
          </cell>
          <cell r="CS1812" t="str">
            <v xml:space="preserve">NFT-424300980GN00254XXXXXXX </v>
          </cell>
          <cell r="CT1812" t="str">
            <v>2024-08-30</v>
          </cell>
          <cell r="CU1812">
            <v>1844.4970000000001</v>
          </cell>
        </row>
        <row r="1813">
          <cell r="CJ1813" t="str">
            <v xml:space="preserve">NFT-424300580GN00067XXXXXXX </v>
          </cell>
          <cell r="CK1813" t="str">
            <v>2024-08-30</v>
          </cell>
          <cell r="CL1813">
            <v>34132.434000000001</v>
          </cell>
          <cell r="CS1813" t="str">
            <v xml:space="preserve">NFT-424300980GN00254XXXXXXX </v>
          </cell>
          <cell r="CT1813" t="str">
            <v>2024-08-30</v>
          </cell>
          <cell r="CU1813">
            <v>3548.2170000000001</v>
          </cell>
        </row>
        <row r="1814">
          <cell r="CJ1814" t="str">
            <v xml:space="preserve">NFT-424300580GN00067XXXXXXX </v>
          </cell>
          <cell r="CK1814" t="str">
            <v>2024-08-30</v>
          </cell>
          <cell r="CL1814">
            <v>2323.5309999999999</v>
          </cell>
        </row>
        <row r="1815">
          <cell r="CJ1815" t="str">
            <v xml:space="preserve">NFT-424300580GN00067XXXXXXX </v>
          </cell>
          <cell r="CK1815" t="str">
            <v>2024-08-30</v>
          </cell>
          <cell r="CL1815">
            <v>68882.285999999993</v>
          </cell>
          <cell r="CS1815" t="str">
            <v xml:space="preserve">NFT-424300980GN00254XXXXXXX </v>
          </cell>
          <cell r="CT1815" t="str">
            <v>2024-08-30</v>
          </cell>
          <cell r="CU1815">
            <v>6492.3980000000001</v>
          </cell>
        </row>
        <row r="1816">
          <cell r="CJ1816" t="str">
            <v xml:space="preserve">NFT-424300580GN00067XXXXXXX </v>
          </cell>
          <cell r="CK1816" t="str">
            <v>2024-08-30</v>
          </cell>
          <cell r="CL1816">
            <v>12609.84</v>
          </cell>
          <cell r="CS1816" t="str">
            <v xml:space="preserve">NFT-424300980GN00254XXXXXXX </v>
          </cell>
          <cell r="CT1816" t="str">
            <v>2024-08-30</v>
          </cell>
          <cell r="CU1816">
            <v>1789.425</v>
          </cell>
        </row>
        <row r="1817">
          <cell r="CJ1817" t="str">
            <v xml:space="preserve">NFT-424300580GN00067XXXXXXX </v>
          </cell>
          <cell r="CK1817" t="str">
            <v>2024-08-30</v>
          </cell>
          <cell r="CL1817">
            <v>12587.264999999999</v>
          </cell>
          <cell r="CS1817" t="str">
            <v xml:space="preserve">NFT-424300980GN00254XXXXXXX </v>
          </cell>
          <cell r="CT1817" t="str">
            <v>2024-08-30</v>
          </cell>
          <cell r="CU1817">
            <v>1811.992</v>
          </cell>
        </row>
        <row r="1818">
          <cell r="CJ1818" t="str">
            <v xml:space="preserve">NFT-424300580GN00067XXXXXXX </v>
          </cell>
          <cell r="CK1818" t="str">
            <v>2024-08-30</v>
          </cell>
          <cell r="CL1818">
            <v>75374.683999999994</v>
          </cell>
        </row>
        <row r="1819">
          <cell r="CJ1819" t="str">
            <v xml:space="preserve">NFT-424300580GN00067XXXXXXX </v>
          </cell>
          <cell r="CK1819" t="str">
            <v>2024-08-30</v>
          </cell>
          <cell r="CL1819">
            <v>8687.6479999999992</v>
          </cell>
          <cell r="CS1819" t="str">
            <v xml:space="preserve">NFT-424300980GN00254XXXXXXX </v>
          </cell>
          <cell r="CT1819" t="str">
            <v>2024-08-30</v>
          </cell>
          <cell r="CU1819">
            <v>974.33799999999997</v>
          </cell>
        </row>
        <row r="1820">
          <cell r="CJ1820" t="str">
            <v xml:space="preserve">NFT-424300580GN00067XXXXXXX </v>
          </cell>
          <cell r="CK1820" t="str">
            <v>2024-08-30</v>
          </cell>
          <cell r="CL1820">
            <v>12609.84</v>
          </cell>
          <cell r="CS1820" t="str">
            <v xml:space="preserve">NFT-424300980GN00254XXXXXXX </v>
          </cell>
          <cell r="CT1820" t="str">
            <v>2024-08-30</v>
          </cell>
          <cell r="CU1820">
            <v>1789.425</v>
          </cell>
        </row>
        <row r="1821">
          <cell r="CJ1821" t="str">
            <v xml:space="preserve">NFT-424300580GN00067XXXXXXX </v>
          </cell>
          <cell r="CK1821" t="str">
            <v>2024-08-30</v>
          </cell>
          <cell r="CL1821">
            <v>6729.348</v>
          </cell>
          <cell r="CS1821" t="str">
            <v xml:space="preserve">NFT-424300980GN00254XXXXXXX </v>
          </cell>
          <cell r="CT1821" t="str">
            <v>2024-08-30</v>
          </cell>
          <cell r="CU1821">
            <v>1018.586</v>
          </cell>
        </row>
        <row r="1822">
          <cell r="CJ1822" t="str">
            <v xml:space="preserve">NFT-424300580GN00067XXXXXXX </v>
          </cell>
          <cell r="CK1822" t="str">
            <v>2024-08-30</v>
          </cell>
          <cell r="CL1822">
            <v>12609.84</v>
          </cell>
          <cell r="CS1822" t="str">
            <v xml:space="preserve">NFT-424300980GN00254XXXXXXX </v>
          </cell>
          <cell r="CT1822" t="str">
            <v>2024-08-30</v>
          </cell>
          <cell r="CU1822">
            <v>1789.425</v>
          </cell>
        </row>
        <row r="1823">
          <cell r="CJ1823" t="str">
            <v xml:space="preserve">NFT-424300580GN00067XXXXXXX </v>
          </cell>
          <cell r="CK1823" t="str">
            <v>2024-08-30</v>
          </cell>
          <cell r="CL1823">
            <v>6710.4679999999998</v>
          </cell>
          <cell r="CS1823" t="str">
            <v xml:space="preserve">NFT-424300980GN00254XXXXXXX </v>
          </cell>
          <cell r="CT1823" t="str">
            <v>2024-08-30</v>
          </cell>
          <cell r="CU1823">
            <v>1018.588</v>
          </cell>
        </row>
        <row r="1824">
          <cell r="CJ1824" t="str">
            <v xml:space="preserve">NFT-424300580GN00067XXXXXXX </v>
          </cell>
          <cell r="CK1824" t="str">
            <v>2024-08-30</v>
          </cell>
          <cell r="CL1824">
            <v>8376.3649999999998</v>
          </cell>
          <cell r="CS1824" t="str">
            <v xml:space="preserve">NFT-424300980GN00254XXXXXXX </v>
          </cell>
          <cell r="CT1824" t="str">
            <v>2024-08-30</v>
          </cell>
          <cell r="CU1824">
            <v>1266.741</v>
          </cell>
        </row>
        <row r="1825">
          <cell r="CJ1825" t="str">
            <v xml:space="preserve">NFT-424300580GN00067XXXXXXX </v>
          </cell>
          <cell r="CK1825" t="str">
            <v>2024-08-30</v>
          </cell>
          <cell r="CL1825">
            <v>35123.124000000003</v>
          </cell>
          <cell r="CS1825" t="str">
            <v xml:space="preserve">NFT-424300980GN00254XXXXXXX </v>
          </cell>
          <cell r="CT1825" t="str">
            <v>2024-08-30</v>
          </cell>
          <cell r="CU1825">
            <v>3057.6840000000002</v>
          </cell>
        </row>
        <row r="1826">
          <cell r="CJ1826" t="str">
            <v xml:space="preserve">NFT-424300580GN00067XXXXXXX </v>
          </cell>
          <cell r="CK1826" t="str">
            <v>2024-08-30</v>
          </cell>
          <cell r="CL1826">
            <v>13234.607</v>
          </cell>
          <cell r="CS1826" t="str">
            <v xml:space="preserve">NFT-424300980GN00254XXXXXXX </v>
          </cell>
          <cell r="CT1826" t="str">
            <v>2024-08-30</v>
          </cell>
          <cell r="CU1826">
            <v>1900.5930000000001</v>
          </cell>
        </row>
        <row r="1827">
          <cell r="CJ1827" t="str">
            <v xml:space="preserve">NFT-424300580GN00067XXXXXXX </v>
          </cell>
          <cell r="CK1827" t="str">
            <v>2024-08-30</v>
          </cell>
          <cell r="CL1827">
            <v>13440.44</v>
          </cell>
          <cell r="CS1827" t="str">
            <v xml:space="preserve">NFT-424300980GN00254XXXXXXX </v>
          </cell>
          <cell r="CT1827" t="str">
            <v>2024-08-30</v>
          </cell>
          <cell r="CU1827">
            <v>1906.355</v>
          </cell>
        </row>
        <row r="1828">
          <cell r="CJ1828" t="str">
            <v xml:space="preserve">NFT-424300580GN00067XXXXXXX </v>
          </cell>
          <cell r="CK1828" t="str">
            <v>2024-08-30</v>
          </cell>
          <cell r="CL1828">
            <v>13253.487999999999</v>
          </cell>
          <cell r="CS1828" t="str">
            <v xml:space="preserve">NFT-424300980GN00254XXXXXXX </v>
          </cell>
          <cell r="CT1828" t="str">
            <v>2024-08-30</v>
          </cell>
          <cell r="CU1828">
            <v>1900.5940000000001</v>
          </cell>
        </row>
        <row r="1829">
          <cell r="CJ1829" t="str">
            <v xml:space="preserve">NFT-424300580GN00067XXXXXXX </v>
          </cell>
          <cell r="CK1829" t="str">
            <v>2024-08-30</v>
          </cell>
          <cell r="CL1829">
            <v>6710.4679999999998</v>
          </cell>
          <cell r="CS1829" t="str">
            <v xml:space="preserve">NFT-424300980GN00254XXXXXXX </v>
          </cell>
          <cell r="CT1829" t="str">
            <v>2024-08-30</v>
          </cell>
          <cell r="CU1829">
            <v>1018.588</v>
          </cell>
        </row>
        <row r="1830">
          <cell r="CJ1830" t="str">
            <v xml:space="preserve">NFT-424300580GN00067XXXXXXX </v>
          </cell>
          <cell r="CK1830" t="str">
            <v>2024-08-30</v>
          </cell>
          <cell r="CL1830">
            <v>6584.107</v>
          </cell>
          <cell r="CS1830" t="str">
            <v xml:space="preserve">NFT-424300980GN00254XXXXXXX </v>
          </cell>
          <cell r="CT1830" t="str">
            <v>2024-08-30</v>
          </cell>
          <cell r="CU1830">
            <v>1163.818</v>
          </cell>
        </row>
        <row r="1831">
          <cell r="CJ1831" t="str">
            <v xml:space="preserve">NFT-424300580GN00067XXXXXXX </v>
          </cell>
          <cell r="CK1831" t="str">
            <v>2024-08-30</v>
          </cell>
          <cell r="CL1831">
            <v>70161.884999999995</v>
          </cell>
          <cell r="CS1831" t="str">
            <v xml:space="preserve">NFT-424300980GN00254XXXXXXX </v>
          </cell>
          <cell r="CT1831" t="str">
            <v>2024-08-30</v>
          </cell>
          <cell r="CU1831">
            <v>6184.61</v>
          </cell>
        </row>
        <row r="1832">
          <cell r="CJ1832" t="str">
            <v xml:space="preserve">NFT-424300580GN00067XXXXXXX </v>
          </cell>
          <cell r="CK1832" t="str">
            <v>2024-08-30</v>
          </cell>
          <cell r="CL1832">
            <v>7186.58</v>
          </cell>
          <cell r="CS1832" t="str">
            <v xml:space="preserve">NFT-424300980GN00254XXXXXXX </v>
          </cell>
          <cell r="CT1832" t="str">
            <v>2024-08-30</v>
          </cell>
          <cell r="CU1832">
            <v>542.476</v>
          </cell>
        </row>
        <row r="1833">
          <cell r="CJ1833" t="str">
            <v xml:space="preserve">NFT-424300580GN00067XXXXXXX </v>
          </cell>
          <cell r="CK1833" t="str">
            <v>2024-08-30</v>
          </cell>
          <cell r="CL1833">
            <v>12609.84</v>
          </cell>
          <cell r="CS1833" t="str">
            <v xml:space="preserve">NFT-424300980GN00254XXXXXXX </v>
          </cell>
          <cell r="CT1833" t="str">
            <v>2024-08-30</v>
          </cell>
          <cell r="CU1833">
            <v>1789.425</v>
          </cell>
        </row>
        <row r="1834">
          <cell r="CJ1834" t="str">
            <v xml:space="preserve">NFT-424300580GN00067XXXXXXX </v>
          </cell>
          <cell r="CK1834" t="str">
            <v>2024-08-30</v>
          </cell>
          <cell r="CL1834">
            <v>8407.7559999999994</v>
          </cell>
          <cell r="CS1834" t="str">
            <v xml:space="preserve">NFT-424300980GN00254XXXXXXX </v>
          </cell>
          <cell r="CT1834" t="str">
            <v>2024-08-30</v>
          </cell>
          <cell r="CU1834">
            <v>1254.24</v>
          </cell>
        </row>
        <row r="1835">
          <cell r="CJ1835" t="str">
            <v xml:space="preserve">NFT-424300580GN00067XXXXXXX </v>
          </cell>
          <cell r="CK1835" t="str">
            <v>2024-08-30</v>
          </cell>
          <cell r="CL1835">
            <v>1284.3910000000001</v>
          </cell>
        </row>
        <row r="1836">
          <cell r="CJ1836" t="str">
            <v xml:space="preserve">NFT-424300580GN00067XXXXXXX </v>
          </cell>
          <cell r="CK1836" t="str">
            <v>2024-08-30</v>
          </cell>
          <cell r="CL1836">
            <v>35123.124000000003</v>
          </cell>
          <cell r="CS1836" t="str">
            <v xml:space="preserve">NFT-424300980GN00254XXXXXXX </v>
          </cell>
          <cell r="CT1836" t="str">
            <v>2024-08-30</v>
          </cell>
          <cell r="CU1836">
            <v>3057.6840000000002</v>
          </cell>
        </row>
        <row r="1837">
          <cell r="CJ1837" t="str">
            <v xml:space="preserve">NFT-424300580GN00067XXXXXXX </v>
          </cell>
          <cell r="CK1837" t="str">
            <v>2024-08-30</v>
          </cell>
          <cell r="CL1837">
            <v>12609.84</v>
          </cell>
          <cell r="CS1837" t="str">
            <v xml:space="preserve">NFT-424300980GN00254XXXXXXX </v>
          </cell>
          <cell r="CT1837" t="str">
            <v>2024-08-30</v>
          </cell>
          <cell r="CU1837">
            <v>1789.425</v>
          </cell>
        </row>
        <row r="1838">
          <cell r="CJ1838" t="str">
            <v xml:space="preserve">NFT-424300580GN00067XXXXXXX </v>
          </cell>
          <cell r="CK1838" t="str">
            <v>2024-08-30</v>
          </cell>
          <cell r="CL1838">
            <v>12609.84</v>
          </cell>
          <cell r="CM1838" t="str">
            <v xml:space="preserve">NFT-/XUTR/DEUTH02426264294X </v>
          </cell>
          <cell r="CN1838" t="str">
            <v>2024-09-18</v>
          </cell>
          <cell r="CO1838">
            <v>-12609.84</v>
          </cell>
          <cell r="CP1838" t="str">
            <v xml:space="preserve">NFT-/XUTR/DEUTH02426778649X </v>
          </cell>
          <cell r="CQ1838" t="str">
            <v>2024-09-23</v>
          </cell>
          <cell r="CR1838">
            <v>-1789.425</v>
          </cell>
          <cell r="CS1838" t="str">
            <v xml:space="preserve">NFT-424300980GN00254XXXXXXX </v>
          </cell>
          <cell r="CT1838" t="str">
            <v>2024-08-30</v>
          </cell>
          <cell r="CU1838">
            <v>1789.425</v>
          </cell>
        </row>
        <row r="1839">
          <cell r="CJ1839" t="str">
            <v xml:space="preserve">NFT-424300580GN00067XXXXXXX </v>
          </cell>
          <cell r="CK1839" t="str">
            <v>2024-08-30</v>
          </cell>
          <cell r="CL1839">
            <v>6729.348</v>
          </cell>
          <cell r="CS1839" t="str">
            <v xml:space="preserve">NFT-424300980GN00254XXXXXXX </v>
          </cell>
          <cell r="CT1839" t="str">
            <v>2024-08-30</v>
          </cell>
          <cell r="CU1839">
            <v>1018.586</v>
          </cell>
        </row>
        <row r="1840">
          <cell r="CJ1840" t="str">
            <v xml:space="preserve">NFT-424300580GN00067XXXXXXX </v>
          </cell>
          <cell r="CK1840" t="str">
            <v>2024-08-30</v>
          </cell>
          <cell r="CL1840">
            <v>6691.8370000000004</v>
          </cell>
          <cell r="CS1840" t="str">
            <v xml:space="preserve">NFT-424300980GN00254XXXXXXX </v>
          </cell>
          <cell r="CT1840" t="str">
            <v>2024-08-30</v>
          </cell>
          <cell r="CU1840">
            <v>1056.0999999999999</v>
          </cell>
        </row>
        <row r="1842">
          <cell r="CJ1842" t="str">
            <v xml:space="preserve">NFT-424300580GN00067XXXXXXX </v>
          </cell>
          <cell r="CK1842" t="str">
            <v>2024-08-30</v>
          </cell>
          <cell r="CL1842">
            <v>13253.487999999999</v>
          </cell>
          <cell r="CS1842" t="str">
            <v xml:space="preserve">NFT-424300980GN00254XXXXXXX </v>
          </cell>
          <cell r="CT1842" t="str">
            <v>2024-08-30</v>
          </cell>
          <cell r="CU1842">
            <v>1900.5940000000001</v>
          </cell>
        </row>
        <row r="1843">
          <cell r="CJ1843" t="str">
            <v xml:space="preserve">NFT-424300580GN00067XXXXXXX </v>
          </cell>
          <cell r="CK1843" t="str">
            <v>2024-08-30</v>
          </cell>
          <cell r="CL1843">
            <v>13234.607</v>
          </cell>
          <cell r="CS1843" t="str">
            <v xml:space="preserve">NFT-424300980GN00254XXXXXXX </v>
          </cell>
          <cell r="CT1843" t="str">
            <v>2024-08-30</v>
          </cell>
          <cell r="CU1843">
            <v>1900.5930000000001</v>
          </cell>
        </row>
        <row r="1844">
          <cell r="CJ1844" t="str">
            <v xml:space="preserve">NFT-424300580GN00067XXXXXXX </v>
          </cell>
          <cell r="CK1844" t="str">
            <v>2024-08-30</v>
          </cell>
          <cell r="CL1844">
            <v>7261.2460000000001</v>
          </cell>
          <cell r="CS1844" t="str">
            <v xml:space="preserve">NFT-424300980GN00254XXXXXXX </v>
          </cell>
          <cell r="CT1844" t="str">
            <v>2024-08-30</v>
          </cell>
          <cell r="CU1844">
            <v>486.69099999999997</v>
          </cell>
        </row>
        <row r="1845">
          <cell r="CJ1845" t="str">
            <v xml:space="preserve">NFT-424300580GN00067XXXXXXX </v>
          </cell>
          <cell r="CK1845" t="str">
            <v>2024-08-30</v>
          </cell>
          <cell r="CL1845">
            <v>13234.607</v>
          </cell>
          <cell r="CS1845" t="str">
            <v xml:space="preserve">NFT-424300980GN00254XXXXXXX </v>
          </cell>
          <cell r="CT1845" t="str">
            <v>2024-08-30</v>
          </cell>
          <cell r="CU1845">
            <v>1900.5930000000001</v>
          </cell>
        </row>
        <row r="1846">
          <cell r="CJ1846" t="str">
            <v xml:space="preserve">NFT-424300580GN00067XXXXXXX </v>
          </cell>
          <cell r="CK1846" t="str">
            <v>2024-08-30</v>
          </cell>
          <cell r="CL1846">
            <v>6729.348</v>
          </cell>
          <cell r="CS1846" t="str">
            <v xml:space="preserve">NFT-424300980GN00254XXXXXXX </v>
          </cell>
          <cell r="CT1846" t="str">
            <v>2024-08-30</v>
          </cell>
          <cell r="CU1846">
            <v>1018.586</v>
          </cell>
        </row>
        <row r="1847">
          <cell r="CJ1847" t="str">
            <v xml:space="preserve">NFT-424300580GN00067XXXXXXX </v>
          </cell>
          <cell r="CK1847" t="str">
            <v>2024-08-30</v>
          </cell>
          <cell r="CL1847">
            <v>35267.4</v>
          </cell>
          <cell r="CM1847" t="str">
            <v xml:space="preserve">NFT-424800948GN00078XXXXXXX </v>
          </cell>
          <cell r="CN1847" t="str">
            <v>2024-09-04</v>
          </cell>
          <cell r="CO1847">
            <v>-35267.4</v>
          </cell>
          <cell r="CP1847" t="str">
            <v xml:space="preserve">NFT-424800981GN00017XXXXXXX </v>
          </cell>
          <cell r="CQ1847" t="str">
            <v>2024-09-04</v>
          </cell>
          <cell r="CR1847">
            <v>-2913.4079999999999</v>
          </cell>
          <cell r="CS1847" t="str">
            <v xml:space="preserve">NFT-424300980GN00254XXXXXXX </v>
          </cell>
          <cell r="CT1847" t="str">
            <v>2024-08-30</v>
          </cell>
          <cell r="CU1847">
            <v>2913.4079999999999</v>
          </cell>
        </row>
        <row r="1848">
          <cell r="CJ1848" t="str">
            <v xml:space="preserve">NFT-424300580GN00067XXXXXXX </v>
          </cell>
          <cell r="CK1848" t="str">
            <v>2024-08-30</v>
          </cell>
          <cell r="CL1848">
            <v>6710.4679999999998</v>
          </cell>
          <cell r="CS1848" t="str">
            <v xml:space="preserve">NFT-424300980GN00254XXXXXXX </v>
          </cell>
          <cell r="CT1848" t="str">
            <v>2024-08-30</v>
          </cell>
          <cell r="CU1848">
            <v>1018.588</v>
          </cell>
        </row>
        <row r="1849">
          <cell r="CJ1849" t="str">
            <v xml:space="preserve">NFT-424300580GN00067XXXXXXX </v>
          </cell>
          <cell r="CK1849" t="str">
            <v>2024-08-30</v>
          </cell>
          <cell r="CL1849">
            <v>6710.4679999999998</v>
          </cell>
          <cell r="CS1849" t="str">
            <v xml:space="preserve">NFT-424300980GN00254XXXXXXX </v>
          </cell>
          <cell r="CT1849" t="str">
            <v>2024-08-30</v>
          </cell>
          <cell r="CU1849">
            <v>1018.588</v>
          </cell>
        </row>
        <row r="1850">
          <cell r="CJ1850" t="str">
            <v xml:space="preserve">NFT-424300580GN00067XXXXXXX </v>
          </cell>
          <cell r="CK1850" t="str">
            <v>2024-08-30</v>
          </cell>
          <cell r="CL1850">
            <v>12609.84</v>
          </cell>
          <cell r="CS1850" t="str">
            <v xml:space="preserve">NFT-424300980GN00254XXXXXXX </v>
          </cell>
          <cell r="CT1850" t="str">
            <v>2024-08-30</v>
          </cell>
          <cell r="CU1850">
            <v>1789.425</v>
          </cell>
        </row>
        <row r="1851">
          <cell r="CJ1851" t="str">
            <v xml:space="preserve">NFT-424300580GN00067XXXXXXX </v>
          </cell>
          <cell r="CK1851" t="str">
            <v>2024-08-30</v>
          </cell>
          <cell r="CL1851">
            <v>12609.84</v>
          </cell>
          <cell r="CS1851" t="str">
            <v xml:space="preserve">NFT-424300980GN00254XXXXXXX </v>
          </cell>
          <cell r="CT1851" t="str">
            <v>2024-08-30</v>
          </cell>
          <cell r="CU1851">
            <v>1789.425</v>
          </cell>
        </row>
        <row r="1852">
          <cell r="CJ1852" t="str">
            <v xml:space="preserve">NFT-424300580GN00067XXXXXXX </v>
          </cell>
          <cell r="CK1852" t="str">
            <v>2024-08-30</v>
          </cell>
          <cell r="CL1852">
            <v>6710.4679999999998</v>
          </cell>
          <cell r="CS1852" t="str">
            <v xml:space="preserve">NFT-424300980GN00254XXXXXXX </v>
          </cell>
          <cell r="CT1852" t="str">
            <v>2024-08-30</v>
          </cell>
          <cell r="CU1852">
            <v>1018.588</v>
          </cell>
        </row>
        <row r="1853">
          <cell r="CJ1853" t="str">
            <v xml:space="preserve">NFT-424300580GN00067XXXXXXX </v>
          </cell>
          <cell r="CK1853" t="str">
            <v>2024-08-30</v>
          </cell>
          <cell r="CL1853">
            <v>37051.256000000001</v>
          </cell>
          <cell r="CS1853" t="str">
            <v xml:space="preserve">NFT-424300980GN00254XXXXXXX </v>
          </cell>
          <cell r="CT1853" t="str">
            <v>2024-08-30</v>
          </cell>
          <cell r="CU1853">
            <v>1148.432</v>
          </cell>
        </row>
        <row r="1854">
          <cell r="CJ1854" t="str">
            <v xml:space="preserve">NFT-424300580GN00067XXXXXXX </v>
          </cell>
          <cell r="CK1854" t="str">
            <v>2024-08-30</v>
          </cell>
          <cell r="CL1854">
            <v>13234.607</v>
          </cell>
          <cell r="CS1854" t="str">
            <v xml:space="preserve">NFT-424300980GN00254XXXXXXX </v>
          </cell>
          <cell r="CT1854" t="str">
            <v>2024-08-30</v>
          </cell>
          <cell r="CU1854">
            <v>1900.5930000000001</v>
          </cell>
        </row>
        <row r="1855">
          <cell r="CJ1855" t="str">
            <v xml:space="preserve">NFT-424300580GN00067XXXXXXX </v>
          </cell>
          <cell r="CK1855" t="str">
            <v>2024-08-30</v>
          </cell>
          <cell r="CL1855">
            <v>12609.84</v>
          </cell>
          <cell r="CS1855" t="str">
            <v xml:space="preserve">NFT-424300980GN00254XXXXXXX </v>
          </cell>
          <cell r="CT1855" t="str">
            <v>2024-08-30</v>
          </cell>
          <cell r="CU1855">
            <v>1789.425</v>
          </cell>
        </row>
        <row r="1856">
          <cell r="CJ1856" t="str">
            <v xml:space="preserve">NFT-424300580GN00067XXXXXXX </v>
          </cell>
          <cell r="CK1856" t="str">
            <v>2024-08-30</v>
          </cell>
          <cell r="CL1856">
            <v>6963.4290000000001</v>
          </cell>
          <cell r="CS1856" t="str">
            <v xml:space="preserve">NFT-424300980GN00254XXXXXXX </v>
          </cell>
          <cell r="CT1856" t="str">
            <v>2024-08-30</v>
          </cell>
          <cell r="CU1856">
            <v>765.61800000000005</v>
          </cell>
        </row>
        <row r="1857">
          <cell r="CJ1857" t="str">
            <v xml:space="preserve">NFT-424300580GN00067XXXXXXX </v>
          </cell>
          <cell r="CK1857" t="str">
            <v>2024-08-30</v>
          </cell>
          <cell r="CL1857">
            <v>6729.348</v>
          </cell>
          <cell r="CS1857" t="str">
            <v xml:space="preserve">NFT-424300980GN00254XXXXXXX </v>
          </cell>
          <cell r="CT1857" t="str">
            <v>2024-08-30</v>
          </cell>
          <cell r="CU1857">
            <v>1018.586</v>
          </cell>
        </row>
        <row r="1858">
          <cell r="CJ1858" t="str">
            <v xml:space="preserve">NFT-424300580GN00067XXXXXXX </v>
          </cell>
          <cell r="CK1858" t="str">
            <v>2024-08-30</v>
          </cell>
          <cell r="CL1858">
            <v>70296.187999999995</v>
          </cell>
          <cell r="CS1858" t="str">
            <v xml:space="preserve">NFT-424300980GN00254XXXXXXX </v>
          </cell>
          <cell r="CT1858" t="str">
            <v>2024-08-30</v>
          </cell>
          <cell r="CU1858">
            <v>6069.1869999999999</v>
          </cell>
        </row>
        <row r="1859">
          <cell r="CJ1859" t="str">
            <v xml:space="preserve">NFT-424300580GN00067XXXXXXX </v>
          </cell>
          <cell r="CK1859" t="str">
            <v>2024-08-30</v>
          </cell>
          <cell r="CL1859">
            <v>6593.732</v>
          </cell>
          <cell r="CS1859" t="str">
            <v xml:space="preserve">NFT-424300980GN00254XXXXXXX </v>
          </cell>
          <cell r="CT1859" t="str">
            <v>2024-08-30</v>
          </cell>
          <cell r="CU1859">
            <v>1154.204</v>
          </cell>
        </row>
        <row r="1860">
          <cell r="CJ1860" t="str">
            <v xml:space="preserve">NFT-424300580GN00067XXXXXXX </v>
          </cell>
          <cell r="CK1860" t="str">
            <v>2024-08-30</v>
          </cell>
          <cell r="CL1860">
            <v>6729.348</v>
          </cell>
          <cell r="CS1860" t="str">
            <v xml:space="preserve">NFT-424300980GN00254XXXXXXX </v>
          </cell>
          <cell r="CT1860" t="str">
            <v>2024-08-30</v>
          </cell>
          <cell r="CU1860">
            <v>1018.586</v>
          </cell>
        </row>
        <row r="1861">
          <cell r="CJ1861" t="str">
            <v xml:space="preserve">NFT-424300580GN00067XXXXXXX </v>
          </cell>
          <cell r="CK1861" t="str">
            <v>2024-08-30</v>
          </cell>
          <cell r="CL1861">
            <v>13046.091</v>
          </cell>
          <cell r="CS1861" t="str">
            <v xml:space="preserve">NFT-424300980GN00254XXXXXXX </v>
          </cell>
          <cell r="CT1861" t="str">
            <v>2024-08-30</v>
          </cell>
          <cell r="CU1861">
            <v>2089.1080000000002</v>
          </cell>
        </row>
        <row r="1862">
          <cell r="CJ1862" t="str">
            <v xml:space="preserve">NFT-424300580GN00067XXXXXXX </v>
          </cell>
          <cell r="CK1862" t="str">
            <v>2024-08-30</v>
          </cell>
          <cell r="CL1862">
            <v>13234.607</v>
          </cell>
          <cell r="CS1862" t="str">
            <v xml:space="preserve">NFT-424300980GN00254XXXXXXX </v>
          </cell>
          <cell r="CT1862" t="str">
            <v>2024-08-30</v>
          </cell>
          <cell r="CU1862">
            <v>1900.5930000000001</v>
          </cell>
        </row>
        <row r="1863">
          <cell r="CJ1863" t="str">
            <v xml:space="preserve">NFT-424300580GN00067XXXXXXX </v>
          </cell>
          <cell r="CK1863" t="str">
            <v>2024-08-30</v>
          </cell>
          <cell r="CL1863">
            <v>13234.607</v>
          </cell>
          <cell r="CS1863" t="str">
            <v xml:space="preserve">NFT-424300980GN00254XXXXXXX </v>
          </cell>
          <cell r="CT1863" t="str">
            <v>2024-08-30</v>
          </cell>
          <cell r="CU1863">
            <v>1900.5930000000001</v>
          </cell>
        </row>
        <row r="1864">
          <cell r="CJ1864" t="str">
            <v xml:space="preserve">NFT-424300580GN00067XXXXXXX </v>
          </cell>
          <cell r="CK1864" t="str">
            <v>2024-08-30</v>
          </cell>
          <cell r="CL1864">
            <v>70277.308000000005</v>
          </cell>
          <cell r="CS1864" t="str">
            <v xml:space="preserve">NFT-424300980GN00254XXXXXXX </v>
          </cell>
          <cell r="CT1864" t="str">
            <v>2024-08-30</v>
          </cell>
          <cell r="CU1864">
            <v>6069.1869999999999</v>
          </cell>
        </row>
        <row r="1865">
          <cell r="CJ1865" t="str">
            <v xml:space="preserve">NFT-424300580GN00067XXXXXXX </v>
          </cell>
          <cell r="CK1865" t="str">
            <v>2024-08-30</v>
          </cell>
          <cell r="CL1865">
            <v>12521.284</v>
          </cell>
          <cell r="CS1865" t="str">
            <v xml:space="preserve">NFT-424300980GN00254XXXXXXX </v>
          </cell>
          <cell r="CT1865" t="str">
            <v>2024-08-30</v>
          </cell>
          <cell r="CU1865">
            <v>1896.8630000000001</v>
          </cell>
        </row>
        <row r="1866">
          <cell r="CJ1866" t="str">
            <v xml:space="preserve">NFT-424300580GN00067XXXXXXX </v>
          </cell>
          <cell r="CK1866" t="str">
            <v>2024-08-30</v>
          </cell>
          <cell r="CL1866">
            <v>12628.72</v>
          </cell>
          <cell r="CS1866" t="str">
            <v xml:space="preserve">NFT-424300980GN00254XXXXXXX </v>
          </cell>
          <cell r="CT1866" t="str">
            <v>2024-08-30</v>
          </cell>
          <cell r="CU1866">
            <v>1789.425</v>
          </cell>
        </row>
        <row r="1867">
          <cell r="CJ1867" t="str">
            <v xml:space="preserve">NFT-424300580GN00067XXXXXXX </v>
          </cell>
          <cell r="CK1867" t="str">
            <v>2024-08-30</v>
          </cell>
          <cell r="CL1867">
            <v>8395.2450000000008</v>
          </cell>
          <cell r="CS1867" t="str">
            <v xml:space="preserve">NFT-424300980GN00254XXXXXXX </v>
          </cell>
          <cell r="CT1867" t="str">
            <v>2024-08-30</v>
          </cell>
          <cell r="CU1867">
            <v>1266.74</v>
          </cell>
        </row>
        <row r="1868">
          <cell r="CJ1868" t="str">
            <v xml:space="preserve">NFT-424300580GN00067XXXXXXX </v>
          </cell>
          <cell r="CK1868" t="str">
            <v>2024-08-30</v>
          </cell>
          <cell r="CL1868">
            <v>35142.004000000001</v>
          </cell>
          <cell r="CS1868" t="str">
            <v xml:space="preserve">NFT-424300980GN00254XXXXXXX </v>
          </cell>
          <cell r="CT1868" t="str">
            <v>2024-08-30</v>
          </cell>
          <cell r="CU1868">
            <v>3057.6840000000002</v>
          </cell>
        </row>
        <row r="1869">
          <cell r="CJ1869" t="str">
            <v xml:space="preserve">NFT-424300580GN00067XXXXXXX </v>
          </cell>
          <cell r="CK1869" t="str">
            <v>2024-08-30</v>
          </cell>
          <cell r="CL1869">
            <v>12609.84</v>
          </cell>
          <cell r="CS1869" t="str">
            <v xml:space="preserve">NFT-424300980GN00254XXXXXXX </v>
          </cell>
          <cell r="CT1869" t="str">
            <v>2024-08-30</v>
          </cell>
          <cell r="CU1869">
            <v>1789.425</v>
          </cell>
        </row>
        <row r="1870">
          <cell r="CJ1870" t="str">
            <v xml:space="preserve">NFT-424300580GN00067XXXXXXX </v>
          </cell>
          <cell r="CK1870" t="str">
            <v>2024-08-30</v>
          </cell>
          <cell r="CL1870">
            <v>6729.348</v>
          </cell>
          <cell r="CS1870" t="str">
            <v xml:space="preserve">NFT-424300980GN00254XXXXXXX </v>
          </cell>
          <cell r="CT1870" t="str">
            <v>2024-08-30</v>
          </cell>
          <cell r="CU1870">
            <v>1018.586</v>
          </cell>
        </row>
        <row r="1871">
          <cell r="CJ1871" t="str">
            <v xml:space="preserve">NFT-424300580GN00067XXXXXXX </v>
          </cell>
          <cell r="CK1871" t="str">
            <v>2024-08-30</v>
          </cell>
          <cell r="CL1871">
            <v>13234.607</v>
          </cell>
          <cell r="CS1871" t="str">
            <v xml:space="preserve">NFT-424300980GN00254XXXXXXX </v>
          </cell>
          <cell r="CT1871" t="str">
            <v>2024-08-30</v>
          </cell>
          <cell r="CU1871">
            <v>1900.5930000000001</v>
          </cell>
        </row>
        <row r="1872">
          <cell r="CJ1872" t="str">
            <v xml:space="preserve">NFT-424300580GN00067XXXXXXX </v>
          </cell>
          <cell r="CK1872" t="str">
            <v>2024-08-30</v>
          </cell>
          <cell r="CL1872">
            <v>70296.187999999995</v>
          </cell>
          <cell r="CS1872" t="str">
            <v xml:space="preserve">NFT-424300980GN00254XXXXXXX </v>
          </cell>
          <cell r="CT1872" t="str">
            <v>2024-08-30</v>
          </cell>
          <cell r="CU1872">
            <v>6069.1869999999999</v>
          </cell>
        </row>
        <row r="1873">
          <cell r="CJ1873" t="str">
            <v xml:space="preserve">NFT-424300580GN00067XXXXXXX </v>
          </cell>
          <cell r="CK1873" t="str">
            <v>2024-08-30</v>
          </cell>
          <cell r="CL1873">
            <v>13234.607</v>
          </cell>
          <cell r="CS1873" t="str">
            <v xml:space="preserve">NFT-424300980GN00254XXXXXXX </v>
          </cell>
          <cell r="CT1873" t="str">
            <v>2024-08-30</v>
          </cell>
          <cell r="CU1873">
            <v>1900.5930000000001</v>
          </cell>
        </row>
        <row r="1874">
          <cell r="CJ1874" t="str">
            <v xml:space="preserve">NFT-424300580GN00067XXXXXXX </v>
          </cell>
          <cell r="CK1874" t="str">
            <v>2024-08-30</v>
          </cell>
          <cell r="CL1874">
            <v>12823.878000000001</v>
          </cell>
          <cell r="CS1874" t="str">
            <v xml:space="preserve">NFT-424300980GN00254XXXXXXX </v>
          </cell>
          <cell r="CT1874" t="str">
            <v>2024-08-30</v>
          </cell>
          <cell r="CU1874">
            <v>2671.9839999999999</v>
          </cell>
        </row>
        <row r="1875">
          <cell r="CJ1875" t="str">
            <v xml:space="preserve">NFT-424300580GN00067XXXXXXX </v>
          </cell>
          <cell r="CK1875" t="str">
            <v>2024-08-30</v>
          </cell>
          <cell r="CL1875">
            <v>6710.4679999999998</v>
          </cell>
          <cell r="CS1875" t="str">
            <v xml:space="preserve">NFT-424300980GN00254XXXXXXX </v>
          </cell>
          <cell r="CT1875" t="str">
            <v>2024-08-30</v>
          </cell>
          <cell r="CU1875">
            <v>1018.588</v>
          </cell>
        </row>
        <row r="1876">
          <cell r="CJ1876" t="str">
            <v xml:space="preserve">NFT-424300580GN00067XXXXXXX </v>
          </cell>
          <cell r="CK1876" t="str">
            <v>2024-08-30</v>
          </cell>
          <cell r="CL1876">
            <v>13440.44</v>
          </cell>
          <cell r="CS1876" t="str">
            <v xml:space="preserve">NFT-424300980GN00254XXXXXXX </v>
          </cell>
          <cell r="CT1876" t="str">
            <v>2024-08-30</v>
          </cell>
          <cell r="CU1876">
            <v>1906.355</v>
          </cell>
        </row>
        <row r="1877">
          <cell r="CJ1877" t="str">
            <v xml:space="preserve">NFT-424300580GN00067XXXXXXX </v>
          </cell>
          <cell r="CK1877" t="str">
            <v>2024-08-30</v>
          </cell>
          <cell r="CL1877">
            <v>6729.348</v>
          </cell>
          <cell r="CS1877" t="str">
            <v xml:space="preserve">NFT-424300980GN00254XXXXXXX </v>
          </cell>
          <cell r="CT1877" t="str">
            <v>2024-08-30</v>
          </cell>
          <cell r="CU1877">
            <v>1018.586</v>
          </cell>
        </row>
        <row r="1878">
          <cell r="CJ1878" t="str">
            <v xml:space="preserve">NFT-424300580GN00067XXXXXXX </v>
          </cell>
          <cell r="CK1878" t="str">
            <v>2024-08-30</v>
          </cell>
          <cell r="CL1878">
            <v>13234.607</v>
          </cell>
          <cell r="CS1878" t="str">
            <v xml:space="preserve">NFT-424300980GN00254XXXXXXX </v>
          </cell>
          <cell r="CT1878" t="str">
            <v>2024-08-30</v>
          </cell>
          <cell r="CU1878">
            <v>1900.5930000000001</v>
          </cell>
        </row>
        <row r="1879">
          <cell r="CJ1879" t="str">
            <v xml:space="preserve">NFT-424300580GN00067XXXXXXX </v>
          </cell>
          <cell r="CK1879" t="str">
            <v>2024-08-30</v>
          </cell>
          <cell r="CL1879">
            <v>6729.348</v>
          </cell>
          <cell r="CS1879" t="str">
            <v xml:space="preserve">NFT-424300980GN00254XXXXXXX </v>
          </cell>
          <cell r="CT1879" t="str">
            <v>2024-08-30</v>
          </cell>
          <cell r="CU1879">
            <v>1018.586</v>
          </cell>
        </row>
        <row r="1880">
          <cell r="CJ1880" t="str">
            <v xml:space="preserve">NFT-424300580GN00067XXXXXXX </v>
          </cell>
          <cell r="CK1880" t="str">
            <v>2024-08-30</v>
          </cell>
          <cell r="CL1880">
            <v>12609.84</v>
          </cell>
          <cell r="CS1880" t="str">
            <v xml:space="preserve">NFT-424300980GN00254XXXXXXX </v>
          </cell>
          <cell r="CT1880" t="str">
            <v>2024-08-30</v>
          </cell>
          <cell r="CU1880">
            <v>1789.425</v>
          </cell>
        </row>
        <row r="1881">
          <cell r="CJ1881" t="str">
            <v xml:space="preserve">NFT-424300580GN00067XXXXXXX </v>
          </cell>
          <cell r="CK1881" t="str">
            <v>2024-08-30</v>
          </cell>
          <cell r="CL1881">
            <v>9369.5930000000008</v>
          </cell>
          <cell r="CS1881" t="str">
            <v xml:space="preserve">NFT-424300980GN00254XXXXXXX </v>
          </cell>
          <cell r="CT1881" t="str">
            <v>2024-08-30</v>
          </cell>
          <cell r="CU1881">
            <v>292.40300000000002</v>
          </cell>
        </row>
        <row r="1882">
          <cell r="CJ1882" t="str">
            <v xml:space="preserve">NFT-424300580GN00067XXXXXXX </v>
          </cell>
          <cell r="CK1882" t="str">
            <v>2024-08-30</v>
          </cell>
          <cell r="CL1882">
            <v>12609.84</v>
          </cell>
          <cell r="CS1882" t="str">
            <v xml:space="preserve">NFT-424300980GN00254XXXXXXX </v>
          </cell>
          <cell r="CT1882" t="str">
            <v>2024-08-30</v>
          </cell>
          <cell r="CU1882">
            <v>1789.425</v>
          </cell>
        </row>
        <row r="1883">
          <cell r="CJ1883" t="str">
            <v xml:space="preserve">NFT-424300580GN00067XXXXXXX </v>
          </cell>
          <cell r="CK1883" t="str">
            <v>2024-08-30</v>
          </cell>
          <cell r="CL1883">
            <v>12609.84</v>
          </cell>
          <cell r="CM1883" t="str">
            <v xml:space="preserve">NFT-424800948GN00078XXXXXXX </v>
          </cell>
          <cell r="CN1883" t="str">
            <v>2024-09-04</v>
          </cell>
          <cell r="CO1883">
            <v>-12609.84</v>
          </cell>
          <cell r="CP1883" t="str">
            <v xml:space="preserve">NFT-424800981GN00017XXXXXXX </v>
          </cell>
          <cell r="CQ1883" t="str">
            <v>2024-09-04</v>
          </cell>
          <cell r="CR1883">
            <v>-1789.425</v>
          </cell>
          <cell r="CS1883" t="str">
            <v xml:space="preserve">NFT-424300980GN00254XXXXXXX </v>
          </cell>
          <cell r="CT1883" t="str">
            <v>2024-08-30</v>
          </cell>
          <cell r="CU1883">
            <v>1789.425</v>
          </cell>
        </row>
        <row r="1884">
          <cell r="CJ1884" t="str">
            <v xml:space="preserve">NFT-424300580GN00067XXXXXXX </v>
          </cell>
          <cell r="CK1884" t="str">
            <v>2024-08-30</v>
          </cell>
          <cell r="CL1884">
            <v>6833.585</v>
          </cell>
          <cell r="CS1884" t="str">
            <v xml:space="preserve">NFT-424300980GN00254XXXXXXX </v>
          </cell>
          <cell r="CT1884" t="str">
            <v>2024-08-30</v>
          </cell>
          <cell r="CU1884">
            <v>895.47199999999998</v>
          </cell>
        </row>
        <row r="1885">
          <cell r="CJ1885" t="str">
            <v xml:space="preserve">NFT-424300580GN00067XXXXXXX </v>
          </cell>
          <cell r="CK1885" t="str">
            <v>2024-08-30</v>
          </cell>
          <cell r="CL1885">
            <v>70277.308000000005</v>
          </cell>
          <cell r="CS1885" t="str">
            <v xml:space="preserve">NFT-424300980GN00254XXXXXXX </v>
          </cell>
          <cell r="CT1885" t="str">
            <v>2024-08-30</v>
          </cell>
          <cell r="CU1885">
            <v>6069.1869999999999</v>
          </cell>
        </row>
        <row r="1886">
          <cell r="CJ1886" t="str">
            <v xml:space="preserve">NFT-424300580GN00067XXXXXXX </v>
          </cell>
          <cell r="CK1886" t="str">
            <v>2024-08-30</v>
          </cell>
          <cell r="CL1886">
            <v>70168.596000000005</v>
          </cell>
          <cell r="CS1886" t="str">
            <v xml:space="preserve">NFT-424300980GN00254XXXXXXX </v>
          </cell>
          <cell r="CT1886" t="str">
            <v>2024-08-30</v>
          </cell>
          <cell r="CU1886">
            <v>6230.78</v>
          </cell>
        </row>
        <row r="1887">
          <cell r="CJ1887" t="str">
            <v xml:space="preserve">NFT-424300580GN00067XXXXXXX </v>
          </cell>
          <cell r="CK1887" t="str">
            <v>2024-08-30</v>
          </cell>
          <cell r="CL1887">
            <v>13582.768</v>
          </cell>
          <cell r="CS1887" t="str">
            <v xml:space="preserve">NFT-424300980GN00254XXXXXXX </v>
          </cell>
          <cell r="CT1887" t="str">
            <v>2024-08-30</v>
          </cell>
          <cell r="CU1887">
            <v>1914.058</v>
          </cell>
        </row>
        <row r="1888">
          <cell r="CJ1888" t="str">
            <v xml:space="preserve">NFT-424300580GN00067XXXXXXX </v>
          </cell>
          <cell r="CK1888" t="str">
            <v>2024-08-30</v>
          </cell>
          <cell r="CL1888">
            <v>12628.72</v>
          </cell>
          <cell r="CS1888" t="str">
            <v xml:space="preserve">NFT-424300980GN00254XXXXXXX </v>
          </cell>
          <cell r="CT1888" t="str">
            <v>2024-08-30</v>
          </cell>
          <cell r="CU1888">
            <v>1789.425</v>
          </cell>
        </row>
        <row r="1889">
          <cell r="CJ1889" t="str">
            <v xml:space="preserve">NFT-424300580GN00067XXXXXXX </v>
          </cell>
          <cell r="CK1889" t="str">
            <v>2024-08-30</v>
          </cell>
          <cell r="CL1889">
            <v>13253.487999999999</v>
          </cell>
          <cell r="CM1889" t="str">
            <v xml:space="preserve">NFT-425300932GN00169XXXXXXX </v>
          </cell>
          <cell r="CN1889" t="str">
            <v>2024-09-09</v>
          </cell>
          <cell r="CO1889">
            <v>-13253.487999999999</v>
          </cell>
          <cell r="CP1889" t="str">
            <v xml:space="preserve">NFT-425701003GN00065XXXXXXX </v>
          </cell>
          <cell r="CQ1889" t="str">
            <v>2024-09-13</v>
          </cell>
          <cell r="CR1889">
            <v>-1900.5940000000001</v>
          </cell>
          <cell r="CS1889" t="str">
            <v xml:space="preserve">NFT-424300980GN00254XXXXXXX </v>
          </cell>
          <cell r="CT1889" t="str">
            <v>2024-08-30</v>
          </cell>
          <cell r="CU1889">
            <v>1900.5940000000001</v>
          </cell>
        </row>
        <row r="1890">
          <cell r="CJ1890" t="str">
            <v xml:space="preserve">NFT-424300580GN00067XXXXXXX </v>
          </cell>
          <cell r="CK1890" t="str">
            <v>2024-08-30</v>
          </cell>
          <cell r="CL1890">
            <v>6729.348</v>
          </cell>
          <cell r="CS1890" t="str">
            <v xml:space="preserve">NFT-424300980GN00254XXXXXXX </v>
          </cell>
          <cell r="CT1890" t="str">
            <v>2024-08-30</v>
          </cell>
          <cell r="CU1890">
            <v>1018.588</v>
          </cell>
        </row>
        <row r="1891">
          <cell r="CJ1891" t="str">
            <v xml:space="preserve">NFT-424300580GN00067XXXXXXX </v>
          </cell>
          <cell r="CK1891" t="str">
            <v>2024-08-30</v>
          </cell>
          <cell r="CL1891">
            <v>6710.4679999999998</v>
          </cell>
          <cell r="CM1891" t="str">
            <v xml:space="preserve">NFT-424601014GN00169XXXXXXX </v>
          </cell>
          <cell r="CN1891" t="str">
            <v>2024-09-02</v>
          </cell>
          <cell r="CO1891">
            <v>-1018.588</v>
          </cell>
          <cell r="CP1891" t="str">
            <v xml:space="preserve">NFT-424700447GN00055XXXXXXX </v>
          </cell>
          <cell r="CQ1891" t="str">
            <v>2024-09-03</v>
          </cell>
          <cell r="CR1891">
            <v>-6710.4679999999998</v>
          </cell>
          <cell r="CS1891" t="str">
            <v xml:space="preserve">NFT-424300980GN00254XXXXXXX </v>
          </cell>
          <cell r="CT1891" t="str">
            <v>2024-08-30</v>
          </cell>
          <cell r="CU1891">
            <v>1018.588</v>
          </cell>
        </row>
        <row r="1892">
          <cell r="CJ1892" t="str">
            <v xml:space="preserve">NFT-424300580GN00067XXXXXXX </v>
          </cell>
          <cell r="CK1892" t="str">
            <v>2024-08-30</v>
          </cell>
          <cell r="CL1892">
            <v>13582.768</v>
          </cell>
          <cell r="CS1892" t="str">
            <v xml:space="preserve">NFT-424300980GN00254XXXXXXX </v>
          </cell>
          <cell r="CT1892" t="str">
            <v>2024-08-30</v>
          </cell>
          <cell r="CU1892">
            <v>1912.1279999999999</v>
          </cell>
        </row>
        <row r="1893">
          <cell r="CJ1893" t="str">
            <v xml:space="preserve">NFT-424300580GN00067XXXXXXX </v>
          </cell>
          <cell r="CK1893" t="str">
            <v>2024-08-30</v>
          </cell>
          <cell r="CL1893">
            <v>6729.348</v>
          </cell>
          <cell r="CS1893" t="str">
            <v xml:space="preserve">NFT-424300980GN00254XXXXXXX </v>
          </cell>
          <cell r="CT1893" t="str">
            <v>2024-08-30</v>
          </cell>
          <cell r="CU1893">
            <v>1018.586</v>
          </cell>
        </row>
        <row r="1894">
          <cell r="CJ1894" t="str">
            <v xml:space="preserve">NFT-424300580GN00067XXXXXXX </v>
          </cell>
          <cell r="CK1894" t="str">
            <v>2024-08-30</v>
          </cell>
          <cell r="CL1894">
            <v>6729.348</v>
          </cell>
          <cell r="CM1894" t="str">
            <v xml:space="preserve">NFT-425300932GN00169XXXXXXX </v>
          </cell>
          <cell r="CN1894" t="str">
            <v>2024-09-09</v>
          </cell>
          <cell r="CO1894">
            <v>-6729.348</v>
          </cell>
          <cell r="CP1894" t="str">
            <v xml:space="preserve">NFT-425701003GN00065XXXXXXX </v>
          </cell>
          <cell r="CQ1894" t="str">
            <v>2024-09-13</v>
          </cell>
          <cell r="CR1894">
            <v>-1018.588</v>
          </cell>
          <cell r="CS1894" t="str">
            <v xml:space="preserve">NFT-424300980GN00254XXXXXXX </v>
          </cell>
          <cell r="CT1894" t="str">
            <v>2024-08-30</v>
          </cell>
          <cell r="CU1894">
            <v>1018.588</v>
          </cell>
        </row>
        <row r="1896">
          <cell r="CJ1896" t="str">
            <v xml:space="preserve">NFT-424300580GN00067XXXXXXX </v>
          </cell>
          <cell r="CK1896" t="str">
            <v>2024-08-30</v>
          </cell>
          <cell r="CL1896">
            <v>70296.187999999995</v>
          </cell>
          <cell r="CS1896" t="str">
            <v xml:space="preserve">NFT-424300980GN00254XXXXXXX </v>
          </cell>
          <cell r="CT1896" t="str">
            <v>2024-08-30</v>
          </cell>
          <cell r="CU1896">
            <v>6069.1869999999999</v>
          </cell>
        </row>
        <row r="1897">
          <cell r="CJ1897" t="str">
            <v xml:space="preserve">NFT-424300580GN00067XXXXXXX </v>
          </cell>
          <cell r="CK1897" t="str">
            <v>2024-08-30</v>
          </cell>
          <cell r="CL1897">
            <v>6729.348</v>
          </cell>
          <cell r="CS1897" t="str">
            <v xml:space="preserve">NFT-424300980GN00254XXXXXXX </v>
          </cell>
          <cell r="CT1897" t="str">
            <v>2024-08-30</v>
          </cell>
          <cell r="CU1897">
            <v>1018.586</v>
          </cell>
        </row>
        <row r="1898">
          <cell r="CJ1898" t="str">
            <v xml:space="preserve">NFT-424300580GN00067XXXXXXX </v>
          </cell>
          <cell r="CK1898" t="str">
            <v>2024-08-30</v>
          </cell>
          <cell r="CL1898">
            <v>12609.84</v>
          </cell>
          <cell r="CS1898" t="str">
            <v xml:space="preserve">NFT-424300980GN00254XXXXXXX </v>
          </cell>
          <cell r="CT1898" t="str">
            <v>2024-08-30</v>
          </cell>
          <cell r="CU1898">
            <v>1789.425</v>
          </cell>
        </row>
        <row r="1899">
          <cell r="CJ1899" t="str">
            <v xml:space="preserve">NFT-424300580GN00067XXXXXXX </v>
          </cell>
          <cell r="CK1899" t="str">
            <v>2024-08-30</v>
          </cell>
          <cell r="CL1899">
            <v>6710.4679999999998</v>
          </cell>
          <cell r="CS1899" t="str">
            <v xml:space="preserve">NFT-424300980GN00254XXXXXXX </v>
          </cell>
          <cell r="CT1899" t="str">
            <v>2024-08-30</v>
          </cell>
          <cell r="CU1899">
            <v>1018.588</v>
          </cell>
        </row>
        <row r="1900">
          <cell r="CJ1900" t="str">
            <v xml:space="preserve">NFT-424300580GN00067XXXXXXX </v>
          </cell>
          <cell r="CK1900" t="str">
            <v>2024-08-30</v>
          </cell>
          <cell r="CL1900">
            <v>6639.893</v>
          </cell>
          <cell r="CS1900" t="str">
            <v xml:space="preserve">NFT-424300980GN00254XXXXXXX </v>
          </cell>
          <cell r="CT1900" t="str">
            <v>2024-08-30</v>
          </cell>
          <cell r="CU1900">
            <v>1108.0329999999999</v>
          </cell>
        </row>
        <row r="1901">
          <cell r="CJ1901" t="str">
            <v xml:space="preserve">NFT-424300580GN00067XXXXXXX </v>
          </cell>
          <cell r="CK1901" t="str">
            <v>2024-08-30</v>
          </cell>
          <cell r="CL1901">
            <v>6388.8540000000003</v>
          </cell>
          <cell r="CS1901" t="str">
            <v xml:space="preserve">NFT-424300980GN00254XXXXXXX </v>
          </cell>
          <cell r="CT1901" t="str">
            <v>2024-08-30</v>
          </cell>
          <cell r="CU1901">
            <v>1359.0730000000001</v>
          </cell>
        </row>
        <row r="1902">
          <cell r="CJ1902" t="str">
            <v xml:space="preserve">NFT-424300580GN00067XXXXXXX </v>
          </cell>
          <cell r="CK1902" t="str">
            <v>2024-08-30</v>
          </cell>
          <cell r="CL1902">
            <v>6745.0940000000001</v>
          </cell>
          <cell r="CS1902" t="str">
            <v xml:space="preserve">NFT-424300980GN00254XXXXXXX </v>
          </cell>
          <cell r="CT1902" t="str">
            <v>2024-08-30</v>
          </cell>
          <cell r="CU1902">
            <v>983.96199999999999</v>
          </cell>
        </row>
        <row r="1903">
          <cell r="CJ1903" t="str">
            <v xml:space="preserve">NFT-424300580GN00067XXXXXXX </v>
          </cell>
          <cell r="CK1903" t="str">
            <v>2024-08-30</v>
          </cell>
          <cell r="CL1903">
            <v>13582.768</v>
          </cell>
          <cell r="CS1903" t="str">
            <v xml:space="preserve">NFT-424300980GN00254XXXXXXX </v>
          </cell>
          <cell r="CT1903" t="str">
            <v>2024-08-30</v>
          </cell>
          <cell r="CU1903">
            <v>1914.058</v>
          </cell>
        </row>
        <row r="1904">
          <cell r="CJ1904" t="str">
            <v xml:space="preserve">NFT-424300580GN00067XXXXXXX </v>
          </cell>
          <cell r="CK1904" t="str">
            <v>2024-08-30</v>
          </cell>
          <cell r="CL1904">
            <v>70758.225999999995</v>
          </cell>
          <cell r="CS1904" t="str">
            <v xml:space="preserve">NFT-424300980GN00254XXXXXXX </v>
          </cell>
          <cell r="CT1904" t="str">
            <v>2024-08-30</v>
          </cell>
          <cell r="CU1904">
            <v>5588.2690000000002</v>
          </cell>
        </row>
        <row r="1905">
          <cell r="CJ1905" t="str">
            <v xml:space="preserve">NFT-424300580GN00067XXXXXXX </v>
          </cell>
          <cell r="CK1905" t="str">
            <v>2024-08-30</v>
          </cell>
          <cell r="CL1905">
            <v>13234.607</v>
          </cell>
          <cell r="CS1905" t="str">
            <v xml:space="preserve">NFT-424300980GN00254XXXXXXX </v>
          </cell>
          <cell r="CT1905" t="str">
            <v>2024-08-30</v>
          </cell>
          <cell r="CU1905">
            <v>1900.5930000000001</v>
          </cell>
        </row>
        <row r="1906">
          <cell r="CJ1906" t="str">
            <v xml:space="preserve">NFT-424300580GN00067XXXXXXX </v>
          </cell>
          <cell r="CK1906" t="str">
            <v>2024-08-30</v>
          </cell>
          <cell r="CL1906">
            <v>6729.348</v>
          </cell>
          <cell r="CM1906" t="str">
            <v xml:space="preserve">NFT-425000928GN00239XXXXXXX </v>
          </cell>
          <cell r="CN1906" t="str">
            <v>2024-09-06</v>
          </cell>
          <cell r="CO1906">
            <v>-6729.348</v>
          </cell>
          <cell r="CP1906" t="str">
            <v xml:space="preserve">NFT-425000978GN00015XXXXXXX </v>
          </cell>
          <cell r="CQ1906" t="str">
            <v>2024-09-06</v>
          </cell>
          <cell r="CR1906">
            <v>-1018.586</v>
          </cell>
          <cell r="CS1906" t="str">
            <v xml:space="preserve">NFT-424300980GN00254XXXXXXX </v>
          </cell>
          <cell r="CT1906" t="str">
            <v>2024-08-30</v>
          </cell>
          <cell r="CU1906">
            <v>1018.586</v>
          </cell>
        </row>
        <row r="1907">
          <cell r="CJ1907" t="str">
            <v xml:space="preserve">NFT-424300580GN00067XXXXXXX </v>
          </cell>
          <cell r="CK1907" t="str">
            <v>2024-08-30</v>
          </cell>
          <cell r="CL1907">
            <v>8687.6479999999992</v>
          </cell>
          <cell r="CS1907" t="str">
            <v xml:space="preserve">NFT-424300980GN00254XXXXXXX </v>
          </cell>
          <cell r="CT1907" t="str">
            <v>2024-08-30</v>
          </cell>
          <cell r="CU1907">
            <v>974.33799999999997</v>
          </cell>
        </row>
        <row r="1908">
          <cell r="CJ1908" t="str">
            <v xml:space="preserve">NFT-424300580GN00067XXXXXXX </v>
          </cell>
          <cell r="CK1908" t="str">
            <v>2024-08-30</v>
          </cell>
          <cell r="CL1908">
            <v>12609.84</v>
          </cell>
          <cell r="CS1908" t="str">
            <v xml:space="preserve">NFT-424300980GN00254XXXXXXX </v>
          </cell>
          <cell r="CT1908" t="str">
            <v>2024-08-30</v>
          </cell>
          <cell r="CU1908">
            <v>1789.425</v>
          </cell>
        </row>
        <row r="1909">
          <cell r="CJ1909" t="str">
            <v xml:space="preserve">NFT-424300580GN00067XXXXXXX </v>
          </cell>
          <cell r="CK1909" t="str">
            <v>2024-08-30</v>
          </cell>
          <cell r="CL1909">
            <v>6729.348</v>
          </cell>
          <cell r="CS1909" t="str">
            <v xml:space="preserve">NFT-424300980GN00254XXXXXXX </v>
          </cell>
          <cell r="CT1909" t="str">
            <v>2024-08-30</v>
          </cell>
          <cell r="CU1909">
            <v>1018.586</v>
          </cell>
        </row>
        <row r="1910">
          <cell r="CJ1910" t="str">
            <v xml:space="preserve">NFT-424300580GN00067XXXXXXX </v>
          </cell>
          <cell r="CK1910" t="str">
            <v>2024-08-30</v>
          </cell>
          <cell r="CL1910">
            <v>12609.84</v>
          </cell>
          <cell r="CS1910" t="str">
            <v xml:space="preserve">NFT-424300980GN00254XXXXXXX </v>
          </cell>
          <cell r="CT1910" t="str">
            <v>2024-08-30</v>
          </cell>
          <cell r="CU1910">
            <v>1789.425</v>
          </cell>
        </row>
        <row r="1911">
          <cell r="CJ1911" t="str">
            <v xml:space="preserve">NFT-424300580GN00067XXXXXXX </v>
          </cell>
          <cell r="CK1911" t="str">
            <v>2024-08-30</v>
          </cell>
          <cell r="CL1911">
            <v>6710.4679999999998</v>
          </cell>
          <cell r="CS1911" t="str">
            <v xml:space="preserve">NFT-424300980GN00254XXXXXXX </v>
          </cell>
          <cell r="CT1911" t="str">
            <v>2024-08-30</v>
          </cell>
          <cell r="CU1911">
            <v>1018.588</v>
          </cell>
        </row>
        <row r="1912">
          <cell r="CJ1912" t="str">
            <v xml:space="preserve">NFT-424300580GN00067XXXXXXX </v>
          </cell>
          <cell r="CK1912" t="str">
            <v>2024-08-30</v>
          </cell>
          <cell r="CL1912">
            <v>12609.84</v>
          </cell>
          <cell r="CS1912" t="str">
            <v xml:space="preserve">NFT-424300980GN00254XXXXXXX </v>
          </cell>
          <cell r="CT1912" t="str">
            <v>2024-08-30</v>
          </cell>
          <cell r="CU1912">
            <v>1789.425</v>
          </cell>
        </row>
        <row r="1913">
          <cell r="CJ1913" t="str">
            <v xml:space="preserve">NFT-424300580GN00067XXXXXXX </v>
          </cell>
          <cell r="CK1913" t="str">
            <v>2024-08-30</v>
          </cell>
          <cell r="CL1913">
            <v>8687.6479999999992</v>
          </cell>
          <cell r="CS1913" t="str">
            <v xml:space="preserve">NFT-424300980GN00254XXXXXXX </v>
          </cell>
          <cell r="CT1913" t="str">
            <v>2024-08-30</v>
          </cell>
          <cell r="CU1913">
            <v>974.33799999999997</v>
          </cell>
        </row>
        <row r="1914">
          <cell r="CJ1914" t="str">
            <v xml:space="preserve">NFT-424300580GN00067XXXXXXX </v>
          </cell>
          <cell r="CK1914" t="str">
            <v>2024-08-30</v>
          </cell>
          <cell r="CL1914">
            <v>13440.44</v>
          </cell>
          <cell r="CS1914" t="str">
            <v xml:space="preserve">NFT-424300980GN00254XXXXXXX </v>
          </cell>
          <cell r="CT1914" t="str">
            <v>2024-08-30</v>
          </cell>
          <cell r="CU1914">
            <v>1906.355</v>
          </cell>
        </row>
        <row r="1915">
          <cell r="CJ1915" t="str">
            <v xml:space="preserve">NFT-424300580GN00067XXXXXXX </v>
          </cell>
          <cell r="CK1915" t="str">
            <v>2024-08-30</v>
          </cell>
          <cell r="CL1915">
            <v>13234.607</v>
          </cell>
          <cell r="CS1915" t="str">
            <v xml:space="preserve">NFT-424300980GN00254XXXXXXX </v>
          </cell>
          <cell r="CT1915" t="str">
            <v>2024-08-30</v>
          </cell>
          <cell r="CU1915">
            <v>1900.5930000000001</v>
          </cell>
        </row>
        <row r="1916">
          <cell r="CJ1916" t="str">
            <v xml:space="preserve">NFT-424300580GN00067XXXXXXX </v>
          </cell>
          <cell r="CK1916" t="str">
            <v>2024-08-30</v>
          </cell>
          <cell r="CL1916">
            <v>13253.486999999999</v>
          </cell>
          <cell r="CS1916" t="str">
            <v xml:space="preserve">NFT-424300980GN00254XXXXXXX </v>
          </cell>
          <cell r="CT1916" t="str">
            <v>2024-08-30</v>
          </cell>
          <cell r="CU1916">
            <v>1900.5930000000001</v>
          </cell>
        </row>
        <row r="1917">
          <cell r="CJ1917" t="str">
            <v xml:space="preserve">NFT-424300580GN00067XXXXXXX </v>
          </cell>
          <cell r="CK1917" t="str">
            <v>2024-08-30</v>
          </cell>
          <cell r="CL1917">
            <v>6729.348</v>
          </cell>
          <cell r="CS1917" t="str">
            <v xml:space="preserve">NFT-424300980GN00254XXXXXXX </v>
          </cell>
          <cell r="CT1917" t="str">
            <v>2024-08-30</v>
          </cell>
          <cell r="CU1917">
            <v>1018.588</v>
          </cell>
        </row>
        <row r="1918">
          <cell r="CJ1918" t="str">
            <v xml:space="preserve">NFT-424300580GN00067XXXXXXX </v>
          </cell>
          <cell r="CK1918" t="str">
            <v>2024-08-30</v>
          </cell>
          <cell r="CL1918">
            <v>13234.607</v>
          </cell>
          <cell r="CS1918" t="str">
            <v xml:space="preserve">NFT-424300980GN00254XXXXXXX </v>
          </cell>
          <cell r="CT1918" t="str">
            <v>2024-08-30</v>
          </cell>
          <cell r="CU1918">
            <v>1900.5930000000001</v>
          </cell>
        </row>
        <row r="1919">
          <cell r="CJ1919" t="str">
            <v xml:space="preserve">NFT-424300580GN00067XXXXXXX </v>
          </cell>
          <cell r="CK1919" t="str">
            <v>2024-08-30</v>
          </cell>
          <cell r="CL1919">
            <v>6710.4679999999998</v>
          </cell>
          <cell r="CS1919" t="str">
            <v xml:space="preserve">NFT-424300980GN00254XXXXXXX </v>
          </cell>
          <cell r="CT1919" t="str">
            <v>2024-08-30</v>
          </cell>
          <cell r="CU1919">
            <v>1018.588</v>
          </cell>
        </row>
        <row r="1920">
          <cell r="CJ1920" t="str">
            <v xml:space="preserve">NFT-424300580GN00067XXXXXXX </v>
          </cell>
          <cell r="CK1920" t="str">
            <v>2024-08-30</v>
          </cell>
          <cell r="CL1920">
            <v>13440.44</v>
          </cell>
          <cell r="CS1920" t="str">
            <v xml:space="preserve">NFT-424300980GN00254XXXXXXX </v>
          </cell>
          <cell r="CT1920" t="str">
            <v>2024-08-30</v>
          </cell>
          <cell r="CU1920">
            <v>1906.355</v>
          </cell>
        </row>
        <row r="1921">
          <cell r="CJ1921" t="str">
            <v xml:space="preserve">NFT-424300580GN00067XXXXXXX </v>
          </cell>
          <cell r="CK1921" t="str">
            <v>2024-08-30</v>
          </cell>
          <cell r="CL1921">
            <v>6729.348</v>
          </cell>
          <cell r="CS1921" t="str">
            <v xml:space="preserve">NFT-424300980GN00254XXXXXXX </v>
          </cell>
          <cell r="CT1921" t="str">
            <v>2024-08-30</v>
          </cell>
          <cell r="CU1921">
            <v>1018.586</v>
          </cell>
        </row>
        <row r="1922">
          <cell r="CJ1922" t="str">
            <v xml:space="preserve">NFT-424300580GN00067XXXXXXX </v>
          </cell>
          <cell r="CK1922" t="str">
            <v>2024-08-30</v>
          </cell>
          <cell r="CL1922">
            <v>6729.348</v>
          </cell>
          <cell r="CS1922" t="str">
            <v xml:space="preserve">NFT-424300980GN00254XXXXXXX </v>
          </cell>
          <cell r="CT1922" t="str">
            <v>2024-08-30</v>
          </cell>
          <cell r="CU1922">
            <v>1018.586</v>
          </cell>
        </row>
        <row r="1923">
          <cell r="CJ1923" t="str">
            <v xml:space="preserve">NFT-424300580GN00067XXXXXXX </v>
          </cell>
          <cell r="CK1923" t="str">
            <v>2024-08-30</v>
          </cell>
          <cell r="CL1923">
            <v>12609.84</v>
          </cell>
          <cell r="CS1923" t="str">
            <v xml:space="preserve">NFT-424300980GN00254XXXXXXX </v>
          </cell>
          <cell r="CT1923" t="str">
            <v>2024-08-30</v>
          </cell>
          <cell r="CU1923">
            <v>1789.425</v>
          </cell>
        </row>
        <row r="1924">
          <cell r="CJ1924" t="str">
            <v xml:space="preserve">NFT-424300580GN00067XXXXXXX </v>
          </cell>
          <cell r="CK1924" t="str">
            <v>2024-08-30</v>
          </cell>
          <cell r="CL1924">
            <v>13300.956</v>
          </cell>
          <cell r="CS1924" t="str">
            <v xml:space="preserve">NFT-424300980GN00254XXXXXXX </v>
          </cell>
          <cell r="CT1924" t="str">
            <v>2024-08-30</v>
          </cell>
          <cell r="CU1924">
            <v>2194.904</v>
          </cell>
        </row>
        <row r="1925">
          <cell r="CJ1925" t="str">
            <v xml:space="preserve">NFT-424300580GN00067XXXXXXX </v>
          </cell>
          <cell r="CK1925" t="str">
            <v>2024-08-30</v>
          </cell>
          <cell r="CL1925">
            <v>1265.511</v>
          </cell>
        </row>
        <row r="1926">
          <cell r="CJ1926" t="str">
            <v xml:space="preserve">NFT-424300580GN00067XXXXXXX </v>
          </cell>
          <cell r="CK1926" t="str">
            <v>2024-08-30</v>
          </cell>
          <cell r="CL1926">
            <v>6710.4679999999998</v>
          </cell>
          <cell r="CS1926" t="str">
            <v xml:space="preserve">NFT-424300980GN00254XXXXXXX </v>
          </cell>
          <cell r="CT1926" t="str">
            <v>2024-08-30</v>
          </cell>
          <cell r="CU1926">
            <v>1018.588</v>
          </cell>
        </row>
        <row r="1927">
          <cell r="CJ1927" t="str">
            <v xml:space="preserve">NFT-424300580GN00067XXXXXXX </v>
          </cell>
          <cell r="CK1927" t="str">
            <v>2024-08-30</v>
          </cell>
          <cell r="CL1927">
            <v>70296.187999999995</v>
          </cell>
          <cell r="CS1927" t="str">
            <v xml:space="preserve">NFT-424300980GN00254XXXXXXX </v>
          </cell>
          <cell r="CT1927" t="str">
            <v>2024-08-30</v>
          </cell>
          <cell r="CU1927">
            <v>6069.1869999999999</v>
          </cell>
        </row>
        <row r="1928">
          <cell r="CJ1928" t="str">
            <v xml:space="preserve">NFT-424300580GN00067XXXXXXX </v>
          </cell>
          <cell r="CK1928" t="str">
            <v>2024-08-30</v>
          </cell>
          <cell r="CL1928">
            <v>6710.4679999999998</v>
          </cell>
          <cell r="CS1928" t="str">
            <v xml:space="preserve">NFT-424300980GN00254XXXXXXX </v>
          </cell>
          <cell r="CT1928" t="str">
            <v>2024-08-30</v>
          </cell>
          <cell r="CU1928">
            <v>1018.588</v>
          </cell>
        </row>
        <row r="1929">
          <cell r="CJ1929" t="str">
            <v xml:space="preserve">NFT-424300580GN00067XXXXXXX </v>
          </cell>
          <cell r="CK1929" t="str">
            <v>2024-08-30</v>
          </cell>
          <cell r="CL1929">
            <v>6729.348</v>
          </cell>
          <cell r="CS1929" t="str">
            <v xml:space="preserve">NFT-424300980GN00254XXXXXXX </v>
          </cell>
          <cell r="CT1929" t="str">
            <v>2024-08-30</v>
          </cell>
          <cell r="CU1929">
            <v>1018.588</v>
          </cell>
        </row>
        <row r="1930">
          <cell r="CJ1930" t="str">
            <v xml:space="preserve">NFT-424300580GN00067XXXXXXX </v>
          </cell>
          <cell r="CK1930" t="str">
            <v>2024-08-30</v>
          </cell>
          <cell r="CL1930">
            <v>35123.124000000003</v>
          </cell>
          <cell r="CS1930" t="str">
            <v xml:space="preserve">NFT-424300980GN00254XXXXXXX </v>
          </cell>
          <cell r="CT1930" t="str">
            <v>2024-08-30</v>
          </cell>
          <cell r="CU1930">
            <v>3057.6840000000002</v>
          </cell>
        </row>
        <row r="1931">
          <cell r="CJ1931" t="str">
            <v xml:space="preserve">NFT-424601014GN00169XXXXXXX </v>
          </cell>
          <cell r="CK1931" t="str">
            <v>2024-09-02</v>
          </cell>
          <cell r="CL1931">
            <v>3057.6840000000002</v>
          </cell>
          <cell r="CM1931" t="str">
            <v xml:space="preserve">NFT-424700447GN00055XXXXXXX </v>
          </cell>
          <cell r="CN1931" t="str">
            <v>2024-09-03</v>
          </cell>
          <cell r="CO1931">
            <v>35123.124000000003</v>
          </cell>
        </row>
        <row r="1932">
          <cell r="CJ1932" t="str">
            <v xml:space="preserve">NFT-424300580GN00067XXXXXXX </v>
          </cell>
          <cell r="CK1932" t="str">
            <v>2024-08-30</v>
          </cell>
          <cell r="CL1932">
            <v>12609.84</v>
          </cell>
          <cell r="CS1932" t="str">
            <v xml:space="preserve">NFT-424300980GN00254XXXXXXX </v>
          </cell>
          <cell r="CT1932" t="str">
            <v>2024-08-30</v>
          </cell>
          <cell r="CU1932">
            <v>1789.425</v>
          </cell>
        </row>
        <row r="1933">
          <cell r="CJ1933" t="str">
            <v xml:space="preserve">NFT-424300580GN00067XXXXXXX </v>
          </cell>
          <cell r="CK1933" t="str">
            <v>2024-08-30</v>
          </cell>
          <cell r="CL1933">
            <v>6729.348</v>
          </cell>
          <cell r="CS1933" t="str">
            <v xml:space="preserve">NFT-424300980GN00254XXXXXXX </v>
          </cell>
          <cell r="CT1933" t="str">
            <v>2024-08-30</v>
          </cell>
          <cell r="CU1933">
            <v>1018.588</v>
          </cell>
        </row>
        <row r="1934">
          <cell r="CJ1934" t="str">
            <v xml:space="preserve">NFT-424300580GN00067XXXXXXX </v>
          </cell>
          <cell r="CK1934" t="str">
            <v>2024-08-30</v>
          </cell>
          <cell r="CL1934">
            <v>6710.4679999999998</v>
          </cell>
          <cell r="CS1934" t="str">
            <v xml:space="preserve">NFT-424300980GN00254XXXXXXX </v>
          </cell>
          <cell r="CT1934" t="str">
            <v>2024-08-30</v>
          </cell>
          <cell r="CU1934">
            <v>1018.588</v>
          </cell>
        </row>
        <row r="1935">
          <cell r="CJ1935" t="str">
            <v xml:space="preserve">NFT-424300580GN00067XXXXXXX </v>
          </cell>
          <cell r="CK1935" t="str">
            <v>2024-08-30</v>
          </cell>
          <cell r="CL1935">
            <v>13440.44</v>
          </cell>
          <cell r="CS1935" t="str">
            <v xml:space="preserve">NFT-424300980GN00254XXXXXXX </v>
          </cell>
          <cell r="CT1935" t="str">
            <v>2024-08-30</v>
          </cell>
          <cell r="CU1935">
            <v>1906.355</v>
          </cell>
        </row>
        <row r="1936">
          <cell r="CJ1936" t="str">
            <v xml:space="preserve">NFT-424300580GN00067XXXXXXX </v>
          </cell>
          <cell r="CK1936" t="str">
            <v>2024-08-30</v>
          </cell>
          <cell r="CL1936">
            <v>6729.348</v>
          </cell>
          <cell r="CS1936" t="str">
            <v xml:space="preserve">NFT-424300980GN00254XXXXXXX </v>
          </cell>
          <cell r="CT1936" t="str">
            <v>2024-08-30</v>
          </cell>
          <cell r="CU1936">
            <v>1018.586</v>
          </cell>
        </row>
        <row r="1937">
          <cell r="CJ1937" t="str">
            <v xml:space="preserve">NFT-424300580GN00067XXXXXXX </v>
          </cell>
          <cell r="CK1937" t="str">
            <v>2024-08-30</v>
          </cell>
          <cell r="CL1937">
            <v>6818.1880000000001</v>
          </cell>
          <cell r="CS1937" t="str">
            <v xml:space="preserve">NFT-424300980GN00254XXXXXXX </v>
          </cell>
          <cell r="CT1937" t="str">
            <v>2024-08-30</v>
          </cell>
          <cell r="CU1937">
            <v>910.85900000000004</v>
          </cell>
        </row>
        <row r="1938">
          <cell r="CJ1938" t="str">
            <v xml:space="preserve">NFT-424300580GN00067XXXXXXX </v>
          </cell>
          <cell r="CK1938" t="str">
            <v>2024-08-30</v>
          </cell>
          <cell r="CL1938">
            <v>13234.607</v>
          </cell>
          <cell r="CS1938" t="str">
            <v xml:space="preserve">NFT-424300980GN00254XXXXXXX </v>
          </cell>
          <cell r="CT1938" t="str">
            <v>2024-08-30</v>
          </cell>
          <cell r="CU1938">
            <v>1900.5930000000001</v>
          </cell>
        </row>
        <row r="1939">
          <cell r="CJ1939" t="str">
            <v xml:space="preserve">NFT-424300580GN00067XXXXXXX </v>
          </cell>
          <cell r="CK1939" t="str">
            <v>2024-08-30</v>
          </cell>
          <cell r="CL1939">
            <v>8687.6470000000008</v>
          </cell>
          <cell r="CS1939" t="str">
            <v xml:space="preserve">NFT-424300980GN00254XXXXXXX </v>
          </cell>
          <cell r="CT1939" t="str">
            <v>2024-08-30</v>
          </cell>
          <cell r="CU1939">
            <v>974.33699999999999</v>
          </cell>
        </row>
        <row r="1940">
          <cell r="CJ1940" t="str">
            <v xml:space="preserve">NFT-424300580GN00067XXXXXXX </v>
          </cell>
          <cell r="CK1940" t="str">
            <v>2024-08-30</v>
          </cell>
          <cell r="CL1940">
            <v>13437.538</v>
          </cell>
          <cell r="CS1940" t="str">
            <v xml:space="preserve">NFT-424300980GN00254XXXXXXX </v>
          </cell>
          <cell r="CT1940" t="str">
            <v>2024-08-30</v>
          </cell>
          <cell r="CU1940">
            <v>2058.3339999999998</v>
          </cell>
        </row>
        <row r="1941">
          <cell r="CJ1941" t="str">
            <v xml:space="preserve">NFT-424300580GN00067XXXXXXX </v>
          </cell>
          <cell r="CK1941" t="str">
            <v>2024-08-30</v>
          </cell>
          <cell r="CL1941">
            <v>13045.001</v>
          </cell>
          <cell r="CS1941" t="str">
            <v xml:space="preserve">NFT-424300980GN00254XXXXXXX </v>
          </cell>
          <cell r="CT1941" t="str">
            <v>2024-08-30</v>
          </cell>
          <cell r="CU1941">
            <v>1354.2550000000001</v>
          </cell>
        </row>
        <row r="1942">
          <cell r="CJ1942" t="str">
            <v xml:space="preserve">NFT-424300580GN00067XXXXXXX </v>
          </cell>
          <cell r="CK1942" t="str">
            <v>2024-08-30</v>
          </cell>
          <cell r="CL1942">
            <v>7729.0559999999996</v>
          </cell>
        </row>
        <row r="1943">
          <cell r="CJ1943" t="str">
            <v xml:space="preserve">NFT-424300580GN00067XXXXXXX </v>
          </cell>
          <cell r="CK1943" t="str">
            <v>2024-08-30</v>
          </cell>
          <cell r="CL1943">
            <v>13045.001</v>
          </cell>
          <cell r="CS1943" t="str">
            <v xml:space="preserve">NFT-424300980GN00254XXXXXXX </v>
          </cell>
          <cell r="CT1943" t="str">
            <v>2024-08-30</v>
          </cell>
          <cell r="CU1943">
            <v>1354.2550000000001</v>
          </cell>
        </row>
        <row r="1944">
          <cell r="CJ1944" t="str">
            <v xml:space="preserve">NFT-424300580GN00067XXXXXXX </v>
          </cell>
          <cell r="CK1944" t="str">
            <v>2024-08-30</v>
          </cell>
          <cell r="CL1944">
            <v>6707.2240000000002</v>
          </cell>
          <cell r="CS1944" t="str">
            <v xml:space="preserve">NFT-424300980GN00254XXXXXXX </v>
          </cell>
          <cell r="CT1944" t="str">
            <v>2024-08-30</v>
          </cell>
          <cell r="CU1944">
            <v>1040.703</v>
          </cell>
        </row>
        <row r="1945">
          <cell r="CJ1945" t="str">
            <v xml:space="preserve">NFT-424300580GN00067XXXXXXX </v>
          </cell>
          <cell r="CK1945" t="str">
            <v>2024-08-30</v>
          </cell>
          <cell r="CL1945">
            <v>72518.025999999998</v>
          </cell>
          <cell r="CS1945" t="str">
            <v xml:space="preserve">NFT-424300980GN00254XXXXXXX </v>
          </cell>
          <cell r="CT1945" t="str">
            <v>2024-08-30</v>
          </cell>
          <cell r="CU1945">
            <v>3847.3470000000002</v>
          </cell>
        </row>
        <row r="1946">
          <cell r="CJ1946" t="str">
            <v xml:space="preserve">NFT-424300580GN00067XXXXXXX </v>
          </cell>
          <cell r="CK1946" t="str">
            <v>2024-08-30</v>
          </cell>
          <cell r="CL1946">
            <v>4393.0420000000004</v>
          </cell>
          <cell r="CM1946" t="str">
            <v xml:space="preserve">NFT-425700941GN00221XXXXXXX </v>
          </cell>
          <cell r="CN1946" t="str">
            <v>2024-09-13</v>
          </cell>
          <cell r="CO1946">
            <v>-4393.0420000000004</v>
          </cell>
          <cell r="CP1946" t="str">
            <v xml:space="preserve">NFT-425701003GN00065XXXXXXX </v>
          </cell>
          <cell r="CQ1946" t="str">
            <v>2024-09-13</v>
          </cell>
          <cell r="CR1946">
            <v>-546.32799999999997</v>
          </cell>
          <cell r="CS1946" t="str">
            <v xml:space="preserve">NFT-424300980GN00254XXXXXXX </v>
          </cell>
          <cell r="CT1946" t="str">
            <v>2024-08-30</v>
          </cell>
          <cell r="CU1946">
            <v>546.32799999999997</v>
          </cell>
        </row>
        <row r="1947">
          <cell r="CJ1947" t="str">
            <v xml:space="preserve">NFT-424601014GN00169XXXXXXX </v>
          </cell>
          <cell r="CK1947" t="str">
            <v>2024-09-02</v>
          </cell>
          <cell r="CL1947">
            <v>6069.1869999999999</v>
          </cell>
          <cell r="CM1947" t="str">
            <v xml:space="preserve">NFT-424700447GN00055XXXXXXX </v>
          </cell>
          <cell r="CN1947" t="str">
            <v>2024-09-03</v>
          </cell>
          <cell r="CO1947">
            <v>70277.308000000005</v>
          </cell>
        </row>
        <row r="1948">
          <cell r="CJ1948" t="str">
            <v xml:space="preserve">NFT-424601014GN00169XXXXXXX </v>
          </cell>
          <cell r="CK1948" t="str">
            <v>2024-09-02</v>
          </cell>
          <cell r="CL1948">
            <v>1018.588</v>
          </cell>
          <cell r="CM1948" t="str">
            <v xml:space="preserve">NFT-424700447GN00055XXXXXXX </v>
          </cell>
          <cell r="CN1948" t="str">
            <v>2024-09-03</v>
          </cell>
          <cell r="CO1948">
            <v>6710.4679999999998</v>
          </cell>
        </row>
        <row r="1949">
          <cell r="CJ1949" t="str">
            <v xml:space="preserve">NFT-424800948GN00078XXXXXXX </v>
          </cell>
          <cell r="CK1949" t="str">
            <v>2024-09-04</v>
          </cell>
          <cell r="CL1949">
            <v>7088.1170000000002</v>
          </cell>
          <cell r="CM1949" t="str">
            <v xml:space="preserve">NFT-424800981GN00017XXXXXXX </v>
          </cell>
          <cell r="CN1949" t="str">
            <v>2024-09-04</v>
          </cell>
          <cell r="CO1949">
            <v>659.82</v>
          </cell>
        </row>
        <row r="1950">
          <cell r="CJ1950" t="str">
            <v xml:space="preserve">NFT-424800948GN00078XXXXXXX </v>
          </cell>
          <cell r="CK1950" t="str">
            <v>2024-09-04</v>
          </cell>
          <cell r="CL1950">
            <v>70296.187999999995</v>
          </cell>
          <cell r="CM1950" t="str">
            <v xml:space="preserve">NFT-424800981GN00017XXXXXXX </v>
          </cell>
          <cell r="CN1950" t="str">
            <v>2024-09-04</v>
          </cell>
          <cell r="CO1950">
            <v>6069.1869999999999</v>
          </cell>
        </row>
        <row r="1951">
          <cell r="CJ1951" t="str">
            <v xml:space="preserve">NFT-424601014GN00169XXXXXXX </v>
          </cell>
          <cell r="CK1951" t="str">
            <v>2024-09-02</v>
          </cell>
          <cell r="CL1951">
            <v>1018.586</v>
          </cell>
          <cell r="CM1951" t="str">
            <v xml:space="preserve">NFT-424700447GN00055XXXXXXX </v>
          </cell>
          <cell r="CN1951" t="str">
            <v>2024-09-03</v>
          </cell>
          <cell r="CO1951">
            <v>6729.348</v>
          </cell>
        </row>
        <row r="1952">
          <cell r="CJ1952" t="str">
            <v xml:space="preserve">NFT-424601014GN00169XXXXXXX </v>
          </cell>
          <cell r="CK1952" t="str">
            <v>2024-09-02</v>
          </cell>
          <cell r="CL1952">
            <v>1018.588</v>
          </cell>
          <cell r="CM1952" t="str">
            <v xml:space="preserve">NFT-424700447GN00055XXXXXXX </v>
          </cell>
          <cell r="CN1952" t="str">
            <v>2024-09-03</v>
          </cell>
          <cell r="CO1952">
            <v>6710.4679999999998</v>
          </cell>
        </row>
        <row r="1953">
          <cell r="CJ1953" t="str">
            <v xml:space="preserve">NFT-424800948GN00078XXXXXXX </v>
          </cell>
          <cell r="CK1953" t="str">
            <v>2024-09-04</v>
          </cell>
          <cell r="CL1953">
            <v>70733.820999999996</v>
          </cell>
          <cell r="CM1953" t="str">
            <v xml:space="preserve">NFT-424800981GN00017XXXXXXX </v>
          </cell>
          <cell r="CN1953" t="str">
            <v>2024-09-04</v>
          </cell>
          <cell r="CO1953">
            <v>5631.5519999999997</v>
          </cell>
        </row>
        <row r="1954">
          <cell r="CJ1954" t="str">
            <v xml:space="preserve">NFT-424601014GN00169XXXXXXX </v>
          </cell>
          <cell r="CK1954" t="str">
            <v>2024-09-02</v>
          </cell>
          <cell r="CL1954">
            <v>1018.588</v>
          </cell>
          <cell r="CM1954" t="str">
            <v xml:space="preserve">NFT-424700447GN00055XXXXXXX </v>
          </cell>
          <cell r="CN1954" t="str">
            <v>2024-09-03</v>
          </cell>
          <cell r="CO1954">
            <v>6710.4679999999998</v>
          </cell>
        </row>
        <row r="1955">
          <cell r="CJ1955" t="str">
            <v xml:space="preserve">NFT-424601014GN00169XXXXXXX </v>
          </cell>
          <cell r="CK1955" t="str">
            <v>2024-09-02</v>
          </cell>
          <cell r="CL1955">
            <v>1789.425</v>
          </cell>
          <cell r="CM1955" t="str">
            <v xml:space="preserve">NFT-424700447GN00055XXXXXXX </v>
          </cell>
          <cell r="CN1955" t="str">
            <v>2024-09-03</v>
          </cell>
          <cell r="CO1955">
            <v>12609.84</v>
          </cell>
        </row>
        <row r="1956">
          <cell r="CJ1956" t="str">
            <v xml:space="preserve">NFT-424601014GN00169XXXXXXX </v>
          </cell>
          <cell r="CK1956" t="str">
            <v>2024-09-02</v>
          </cell>
          <cell r="CL1956">
            <v>1018.588</v>
          </cell>
          <cell r="CM1956" t="str">
            <v xml:space="preserve">NFT-424700447GN00055XXXXXXX </v>
          </cell>
          <cell r="CN1956" t="str">
            <v>2024-09-03</v>
          </cell>
          <cell r="CO1956">
            <v>6710.4679999999998</v>
          </cell>
        </row>
        <row r="1957">
          <cell r="CJ1957" t="str">
            <v xml:space="preserve">NFT-424800948GN00078XXXXXXX </v>
          </cell>
          <cell r="CK1957" t="str">
            <v>2024-09-04</v>
          </cell>
          <cell r="CL1957">
            <v>12609.84</v>
          </cell>
          <cell r="CM1957" t="str">
            <v xml:space="preserve">NFT-424800981GN00017XXXXXXX </v>
          </cell>
          <cell r="CN1957" t="str">
            <v>2024-09-04</v>
          </cell>
          <cell r="CO1957">
            <v>1789.425</v>
          </cell>
        </row>
        <row r="1958">
          <cell r="CJ1958" t="str">
            <v xml:space="preserve">NFT-424601014GN00169XXXXXXX </v>
          </cell>
          <cell r="CK1958" t="str">
            <v>2024-09-02</v>
          </cell>
          <cell r="CL1958">
            <v>1018.588</v>
          </cell>
          <cell r="CM1958" t="str">
            <v xml:space="preserve">NFT-424700447GN00055XXXXXXX </v>
          </cell>
          <cell r="CN1958" t="str">
            <v>2024-09-03</v>
          </cell>
          <cell r="CO1958">
            <v>6729.348</v>
          </cell>
        </row>
        <row r="1959">
          <cell r="CJ1959" t="str">
            <v xml:space="preserve">NFT-424601014GN00169XXXXXXX </v>
          </cell>
          <cell r="CK1959" t="str">
            <v>2024-09-02</v>
          </cell>
          <cell r="CL1959">
            <v>1018.586</v>
          </cell>
          <cell r="CM1959" t="str">
            <v xml:space="preserve">NFT-424700447GN00055XXXXXXX </v>
          </cell>
          <cell r="CN1959" t="str">
            <v>2024-09-03</v>
          </cell>
          <cell r="CO1959">
            <v>6729.348</v>
          </cell>
        </row>
        <row r="1960">
          <cell r="CJ1960" t="str">
            <v xml:space="preserve">NFT-424601014GN00169XXXXXXX </v>
          </cell>
          <cell r="CK1960" t="str">
            <v>2024-09-02</v>
          </cell>
          <cell r="CL1960">
            <v>739.65099999999995</v>
          </cell>
          <cell r="CM1960" t="str">
            <v xml:space="preserve">NFT-424700447GN00055XXXXXXX </v>
          </cell>
          <cell r="CN1960" t="str">
            <v>2024-09-03</v>
          </cell>
          <cell r="CO1960">
            <v>9239.7389999999996</v>
          </cell>
        </row>
        <row r="1961">
          <cell r="CJ1961" t="str">
            <v xml:space="preserve">NFT-424601014GN00169XXXXXXX </v>
          </cell>
          <cell r="CK1961" t="str">
            <v>2024-09-02</v>
          </cell>
          <cell r="CL1961">
            <v>1789.425</v>
          </cell>
          <cell r="CM1961" t="str">
            <v xml:space="preserve">NFT-424700447GN00055XXXXXXX </v>
          </cell>
          <cell r="CN1961" t="str">
            <v>2024-09-03</v>
          </cell>
          <cell r="CO1961">
            <v>12609.84</v>
          </cell>
        </row>
        <row r="1962">
          <cell r="CJ1962" t="str">
            <v xml:space="preserve">NFT-424601014GN00169XXXXXXX </v>
          </cell>
          <cell r="CK1962" t="str">
            <v>2024-09-02</v>
          </cell>
          <cell r="CL1962">
            <v>1018.586</v>
          </cell>
          <cell r="CM1962" t="str">
            <v xml:space="preserve">NFT-424700447GN00055XXXXXXX </v>
          </cell>
          <cell r="CN1962" t="str">
            <v>2024-09-03</v>
          </cell>
          <cell r="CO1962">
            <v>6729.348</v>
          </cell>
        </row>
        <row r="1963">
          <cell r="CJ1963" t="str">
            <v xml:space="preserve">NFT-424601014GN00169XXXXXXX </v>
          </cell>
          <cell r="CK1963" t="str">
            <v>2024-09-02</v>
          </cell>
          <cell r="CL1963">
            <v>1018.588</v>
          </cell>
          <cell r="CM1963" t="str">
            <v xml:space="preserve">NFT-424700447GN00055XXXXXXX </v>
          </cell>
          <cell r="CN1963" t="str">
            <v>2024-09-03</v>
          </cell>
          <cell r="CO1963">
            <v>6729.348</v>
          </cell>
        </row>
        <row r="1964">
          <cell r="CJ1964" t="str">
            <v xml:space="preserve">NFT-424601014GN00169XXXXXXX </v>
          </cell>
          <cell r="CK1964" t="str">
            <v>2024-09-02</v>
          </cell>
          <cell r="CL1964">
            <v>1789.425</v>
          </cell>
          <cell r="CM1964" t="str">
            <v xml:space="preserve">NFT-424700447GN00055XXXXXXX </v>
          </cell>
          <cell r="CN1964" t="str">
            <v>2024-09-03</v>
          </cell>
          <cell r="CO1964">
            <v>12628.72</v>
          </cell>
        </row>
        <row r="1966">
          <cell r="CJ1966" t="str">
            <v xml:space="preserve">NFT-424601014GN00169XXXXXXX </v>
          </cell>
          <cell r="CK1966" t="str">
            <v>2024-09-02</v>
          </cell>
          <cell r="CL1966">
            <v>1018.586</v>
          </cell>
          <cell r="CM1966" t="str">
            <v xml:space="preserve">NFT-424700447GN00055XXXXXXX </v>
          </cell>
          <cell r="CN1966" t="str">
            <v>2024-09-03</v>
          </cell>
          <cell r="CO1966">
            <v>6729.348</v>
          </cell>
        </row>
        <row r="1967">
          <cell r="CJ1967" t="str">
            <v xml:space="preserve">NFT-424601014GN00169XXXXXXX </v>
          </cell>
          <cell r="CK1967" t="str">
            <v>2024-09-02</v>
          </cell>
          <cell r="CL1967">
            <v>2492.7310000000002</v>
          </cell>
          <cell r="CM1967" t="str">
            <v xml:space="preserve">NFT-424700447GN00055XXXXXXX </v>
          </cell>
          <cell r="CN1967" t="str">
            <v>2024-09-03</v>
          </cell>
          <cell r="CO1967">
            <v>11925.406000000001</v>
          </cell>
        </row>
        <row r="1968">
          <cell r="CJ1968" t="str">
            <v xml:space="preserve">NFT-424601014GN00169XXXXXXX </v>
          </cell>
          <cell r="CK1968" t="str">
            <v>2024-09-02</v>
          </cell>
          <cell r="CL1968">
            <v>1018.586</v>
          </cell>
          <cell r="CM1968" t="str">
            <v xml:space="preserve">NFT-424700447GN00055XXXXXXX </v>
          </cell>
          <cell r="CN1968" t="str">
            <v>2024-09-03</v>
          </cell>
          <cell r="CO1968">
            <v>6729.348</v>
          </cell>
        </row>
        <row r="1969">
          <cell r="CJ1969" t="str">
            <v xml:space="preserve">NFT-424601014GN00169XXXXXXX </v>
          </cell>
          <cell r="CK1969" t="str">
            <v>2024-09-02</v>
          </cell>
          <cell r="CL1969">
            <v>782.93600000000004</v>
          </cell>
          <cell r="CM1969" t="str">
            <v xml:space="preserve">NFT-424700447GN00055XXXXXXX </v>
          </cell>
          <cell r="CN1969" t="str">
            <v>2024-09-03</v>
          </cell>
          <cell r="CO1969">
            <v>6946.1210000000001</v>
          </cell>
        </row>
        <row r="1970">
          <cell r="CJ1970" t="str">
            <v xml:space="preserve">NFT-424601014GN00169XXXXXXX </v>
          </cell>
          <cell r="CK1970" t="str">
            <v>2024-09-02</v>
          </cell>
          <cell r="CL1970">
            <v>1266.741</v>
          </cell>
          <cell r="CM1970" t="str">
            <v xml:space="preserve">NFT-424700447GN00055XXXXXXX </v>
          </cell>
          <cell r="CN1970" t="str">
            <v>2024-09-03</v>
          </cell>
          <cell r="CO1970">
            <v>8376.3649999999998</v>
          </cell>
        </row>
        <row r="1971">
          <cell r="CJ1971" t="str">
            <v xml:space="preserve">NFT-424601014GN00169XXXXXXX </v>
          </cell>
          <cell r="CK1971" t="str">
            <v>2024-09-02</v>
          </cell>
          <cell r="CL1971">
            <v>1057.0550000000001</v>
          </cell>
          <cell r="CM1971" t="str">
            <v xml:space="preserve">NFT-424700447GN00055XXXXXXX </v>
          </cell>
          <cell r="CN1971" t="str">
            <v>2024-09-03</v>
          </cell>
          <cell r="CO1971">
            <v>6690.8710000000001</v>
          </cell>
        </row>
        <row r="1972">
          <cell r="CJ1972" t="str">
            <v xml:space="preserve">NFT-424601014GN00169XXXXXXX </v>
          </cell>
          <cell r="CK1972" t="str">
            <v>2024-09-02</v>
          </cell>
          <cell r="CL1972">
            <v>5588.2690000000002</v>
          </cell>
          <cell r="CM1972" t="str">
            <v xml:space="preserve">NFT-424700447GN00055XXXXXXX </v>
          </cell>
          <cell r="CN1972" t="str">
            <v>2024-09-03</v>
          </cell>
          <cell r="CO1972">
            <v>70777.106</v>
          </cell>
          <cell r="CP1972" t="str">
            <v xml:space="preserve">NFT-425000928GN00239XXXXXXX </v>
          </cell>
          <cell r="CQ1972" t="str">
            <v>2024-09-06</v>
          </cell>
          <cell r="CR1972">
            <v>-70777.106</v>
          </cell>
          <cell r="CS1972" t="str">
            <v xml:space="preserve">NFT-425000978GN00015XXXXXXX </v>
          </cell>
          <cell r="CT1972" t="str">
            <v>2024-09-06</v>
          </cell>
          <cell r="CU1972">
            <v>-5588.2690000000002</v>
          </cell>
        </row>
        <row r="1973">
          <cell r="CJ1973" t="str">
            <v xml:space="preserve">NFT-424601014GN00169XXXXXXX </v>
          </cell>
          <cell r="CK1973" t="str">
            <v>2024-09-02</v>
          </cell>
          <cell r="CL1973">
            <v>1266.74</v>
          </cell>
          <cell r="CM1973" t="str">
            <v xml:space="preserve">NFT-424700447GN00055XXXXXXX </v>
          </cell>
          <cell r="CN1973" t="str">
            <v>2024-09-03</v>
          </cell>
          <cell r="CO1973">
            <v>8395.2450000000008</v>
          </cell>
        </row>
        <row r="1974">
          <cell r="CJ1974" t="str">
            <v xml:space="preserve">NFT-424601014GN00169XXXXXXX </v>
          </cell>
          <cell r="CK1974" t="str">
            <v>2024-09-02</v>
          </cell>
          <cell r="CL1974">
            <v>6069.1869999999999</v>
          </cell>
          <cell r="CM1974" t="str">
            <v xml:space="preserve">NFT-424700447GN00055XXXXXXX </v>
          </cell>
          <cell r="CN1974" t="str">
            <v>2024-09-03</v>
          </cell>
          <cell r="CO1974">
            <v>70296.187999999995</v>
          </cell>
        </row>
        <row r="1975">
          <cell r="CJ1975" t="str">
            <v xml:space="preserve">NFT-424601014GN00169XXXXXXX </v>
          </cell>
          <cell r="CK1975" t="str">
            <v>2024-09-02</v>
          </cell>
          <cell r="CL1975">
            <v>2256.4760000000001</v>
          </cell>
          <cell r="CM1975" t="str">
            <v xml:space="preserve">NFT-424700447GN00055XXXXXXX </v>
          </cell>
          <cell r="CN1975" t="str">
            <v>2024-09-03</v>
          </cell>
          <cell r="CO1975">
            <v>13220.518</v>
          </cell>
        </row>
        <row r="1976">
          <cell r="CJ1976" t="str">
            <v xml:space="preserve">NFT-424601014GN00169XXXXXXX </v>
          </cell>
          <cell r="CK1976" t="str">
            <v>2024-09-02</v>
          </cell>
          <cell r="CL1976">
            <v>1254.24</v>
          </cell>
          <cell r="CM1976" t="str">
            <v xml:space="preserve">NFT-424700447GN00055XXXXXXX </v>
          </cell>
          <cell r="CN1976" t="str">
            <v>2024-09-03</v>
          </cell>
          <cell r="CO1976">
            <v>8388.8760000000002</v>
          </cell>
        </row>
        <row r="1977">
          <cell r="CJ1977" t="str">
            <v xml:space="preserve">NFT-424601014GN00169XXXXXXX </v>
          </cell>
          <cell r="CK1977" t="str">
            <v>2024-09-02</v>
          </cell>
          <cell r="CL1977">
            <v>1319.64</v>
          </cell>
          <cell r="CM1977" t="str">
            <v xml:space="preserve">NFT-424700447GN00055XXXXXXX </v>
          </cell>
          <cell r="CN1977" t="str">
            <v>2024-09-03</v>
          </cell>
          <cell r="CO1977">
            <v>6428.2969999999996</v>
          </cell>
        </row>
        <row r="1978">
          <cell r="CJ1978" t="str">
            <v xml:space="preserve">NFT-424601014GN00169XXXXXXX </v>
          </cell>
          <cell r="CK1978" t="str">
            <v>2024-09-02</v>
          </cell>
          <cell r="CL1978">
            <v>1018.586</v>
          </cell>
          <cell r="CM1978" t="str">
            <v xml:space="preserve">NFT-424700447GN00055XXXXXXX </v>
          </cell>
          <cell r="CN1978" t="str">
            <v>2024-09-03</v>
          </cell>
          <cell r="CO1978">
            <v>6729.348</v>
          </cell>
        </row>
        <row r="1979">
          <cell r="CJ1979" t="str">
            <v xml:space="preserve">NFT-424601014GN00169XXXXXXX </v>
          </cell>
          <cell r="CK1979" t="str">
            <v>2024-09-02</v>
          </cell>
          <cell r="CL1979">
            <v>1254.24</v>
          </cell>
          <cell r="CM1979" t="str">
            <v xml:space="preserve">NFT-424700447GN00055XXXXXXX </v>
          </cell>
          <cell r="CN1979" t="str">
            <v>2024-09-03</v>
          </cell>
          <cell r="CO1979">
            <v>8388.8760000000002</v>
          </cell>
        </row>
        <row r="1980">
          <cell r="CJ1980" t="str">
            <v xml:space="preserve">NFT-424601014GN00169XXXXXXX </v>
          </cell>
          <cell r="CK1980" t="str">
            <v>2024-09-02</v>
          </cell>
          <cell r="CL1980">
            <v>1016.667</v>
          </cell>
          <cell r="CM1980" t="str">
            <v xml:space="preserve">NFT-424700447GN00055XXXXXXX </v>
          </cell>
          <cell r="CN1980" t="str">
            <v>2024-09-03</v>
          </cell>
          <cell r="CO1980">
            <v>6721.6549999999997</v>
          </cell>
        </row>
        <row r="1981">
          <cell r="CJ1981" t="str">
            <v xml:space="preserve">NFT-424601014GN00169XXXXXXX </v>
          </cell>
          <cell r="CK1981" t="str">
            <v>2024-09-02</v>
          </cell>
          <cell r="CL1981">
            <v>781.97</v>
          </cell>
          <cell r="CM1981" t="str">
            <v xml:space="preserve">NFT-424700447GN00055XXXXXXX </v>
          </cell>
          <cell r="CN1981" t="str">
            <v>2024-09-03</v>
          </cell>
          <cell r="CO1981">
            <v>6956.3419999999996</v>
          </cell>
        </row>
        <row r="1982">
          <cell r="CJ1982" t="str">
            <v xml:space="preserve">NFT-424601014GN00169XXXXXXX </v>
          </cell>
          <cell r="CK1982" t="str">
            <v>2024-09-02</v>
          </cell>
          <cell r="CL1982">
            <v>1912.1279999999999</v>
          </cell>
          <cell r="CM1982" t="str">
            <v xml:space="preserve">NFT-424700447GN00055XXXXXXX </v>
          </cell>
          <cell r="CN1982" t="str">
            <v>2024-09-03</v>
          </cell>
          <cell r="CO1982">
            <v>13545.614</v>
          </cell>
        </row>
        <row r="1983">
          <cell r="CJ1983" t="str">
            <v xml:space="preserve">NFT-424601014GN00169XXXXXXX </v>
          </cell>
          <cell r="CK1983" t="str">
            <v>2024-09-02</v>
          </cell>
          <cell r="CL1983">
            <v>781.97</v>
          </cell>
          <cell r="CM1983" t="str">
            <v xml:space="preserve">NFT-424700447GN00055XXXXXXX </v>
          </cell>
          <cell r="CN1983" t="str">
            <v>2024-09-03</v>
          </cell>
          <cell r="CO1983">
            <v>6956.3419999999996</v>
          </cell>
        </row>
        <row r="1984">
          <cell r="CJ1984" t="str">
            <v xml:space="preserve">NFT-424601014GN00169XXXXXXX </v>
          </cell>
          <cell r="CK1984" t="str">
            <v>2024-09-02</v>
          </cell>
          <cell r="CL1984">
            <v>502.07799999999997</v>
          </cell>
          <cell r="CM1984" t="str">
            <v xml:space="preserve">NFT-424700447GN00055XXXXXXX </v>
          </cell>
          <cell r="CN1984" t="str">
            <v>2024-09-03</v>
          </cell>
          <cell r="CO1984">
            <v>4437.2920000000004</v>
          </cell>
        </row>
        <row r="1985">
          <cell r="CJ1985" t="str">
            <v xml:space="preserve">NFT-424601014GN00169XXXXXXX </v>
          </cell>
          <cell r="CK1985" t="str">
            <v>2024-09-02</v>
          </cell>
          <cell r="CL1985">
            <v>1789.425</v>
          </cell>
          <cell r="CM1985" t="str">
            <v xml:space="preserve">NFT-424700447GN00055XXXXXXX </v>
          </cell>
          <cell r="CN1985" t="str">
            <v>2024-09-03</v>
          </cell>
          <cell r="CO1985">
            <v>12591.781999999999</v>
          </cell>
        </row>
        <row r="1986">
          <cell r="CJ1986" t="str">
            <v xml:space="preserve">NFT-424601014GN00169XXXXXXX </v>
          </cell>
          <cell r="CK1986" t="str">
            <v>2024-09-02</v>
          </cell>
          <cell r="CL1986">
            <v>6486.6270000000004</v>
          </cell>
          <cell r="CM1986" t="str">
            <v xml:space="preserve">NFT-424700447GN00055XXXXXXX </v>
          </cell>
          <cell r="CN1986" t="str">
            <v>2024-09-03</v>
          </cell>
          <cell r="CO1986">
            <v>69782.563999999998</v>
          </cell>
        </row>
        <row r="1988">
          <cell r="CM1988" t="str">
            <v xml:space="preserve">NFT-424700447GN00055XXXXXXX </v>
          </cell>
          <cell r="CN1988" t="str">
            <v>2024-09-03</v>
          </cell>
          <cell r="CO1988">
            <v>14400.088</v>
          </cell>
        </row>
        <row r="1989">
          <cell r="CJ1989" t="str">
            <v xml:space="preserve">NFT-424601014GN00169XXXXXXX </v>
          </cell>
          <cell r="CK1989" t="str">
            <v>2024-09-02</v>
          </cell>
          <cell r="CL1989">
            <v>732.92</v>
          </cell>
          <cell r="CM1989" t="str">
            <v xml:space="preserve">NFT-424700447GN00055XXXXXXX </v>
          </cell>
          <cell r="CN1989" t="str">
            <v>2024-09-03</v>
          </cell>
          <cell r="CO1989">
            <v>6352.0140000000001</v>
          </cell>
          <cell r="CP1989" t="str">
            <v xml:space="preserve">NFT-424800948GN00078XXXXXXX </v>
          </cell>
          <cell r="CQ1989" t="str">
            <v>2024-09-04</v>
          </cell>
          <cell r="CR1989">
            <v>-6352.0140000000001</v>
          </cell>
          <cell r="CS1989" t="str">
            <v xml:space="preserve">NFT-424800981GN00017XXXXXXX </v>
          </cell>
          <cell r="CT1989" t="str">
            <v>2024-09-04</v>
          </cell>
          <cell r="CU1989">
            <v>-732.92</v>
          </cell>
        </row>
        <row r="1990">
          <cell r="CJ1990" t="str">
            <v xml:space="preserve">NFT-424601014GN00169XXXXXXX </v>
          </cell>
          <cell r="CK1990" t="str">
            <v>2024-09-02</v>
          </cell>
          <cell r="CL1990">
            <v>1016.668</v>
          </cell>
          <cell r="CM1990" t="str">
            <v xml:space="preserve">NFT-424700447GN00055XXXXXXX </v>
          </cell>
          <cell r="CN1990" t="str">
            <v>2024-09-03</v>
          </cell>
          <cell r="CO1990">
            <v>6721.6559999999999</v>
          </cell>
        </row>
        <row r="1991">
          <cell r="CJ1991" t="str">
            <v xml:space="preserve">NFT-424601014GN00169XXXXXXX </v>
          </cell>
          <cell r="CK1991" t="str">
            <v>2024-09-02</v>
          </cell>
          <cell r="CL1991">
            <v>782.93600000000004</v>
          </cell>
          <cell r="CM1991" t="str">
            <v xml:space="preserve">NFT-424700447GN00055XXXXXXX </v>
          </cell>
          <cell r="CN1991" t="str">
            <v>2024-09-03</v>
          </cell>
          <cell r="CO1991">
            <v>6946.1210000000001</v>
          </cell>
        </row>
        <row r="1992">
          <cell r="CJ1992" t="str">
            <v xml:space="preserve">NFT-424601014GN00169XXXXXXX </v>
          </cell>
          <cell r="CK1992" t="str">
            <v>2024-09-02</v>
          </cell>
          <cell r="CL1992">
            <v>782.93600000000004</v>
          </cell>
          <cell r="CM1992" t="str">
            <v xml:space="preserve">NFT-424700447GN00055XXXXXXX </v>
          </cell>
          <cell r="CN1992" t="str">
            <v>2024-09-03</v>
          </cell>
          <cell r="CO1992">
            <v>6946.1210000000001</v>
          </cell>
        </row>
        <row r="1993">
          <cell r="CJ1993" t="str">
            <v xml:space="preserve">NFT-424601014GN00169XXXXXXX </v>
          </cell>
          <cell r="CK1993" t="str">
            <v>2024-09-02</v>
          </cell>
          <cell r="CL1993">
            <v>782.93600000000004</v>
          </cell>
          <cell r="CM1993" t="str">
            <v xml:space="preserve">NFT-424700447GN00055XXXXXXX </v>
          </cell>
          <cell r="CN1993" t="str">
            <v>2024-09-03</v>
          </cell>
          <cell r="CO1993">
            <v>6946.1210000000001</v>
          </cell>
        </row>
        <row r="1994">
          <cell r="CJ1994" t="str">
            <v xml:space="preserve">NFT-424601014GN00169XXXXXXX </v>
          </cell>
          <cell r="CK1994" t="str">
            <v>2024-09-02</v>
          </cell>
          <cell r="CL1994">
            <v>1789.425</v>
          </cell>
          <cell r="CM1994" t="str">
            <v xml:space="preserve">NFT-424700447GN00055XXXXXXX </v>
          </cell>
          <cell r="CN1994" t="str">
            <v>2024-09-03</v>
          </cell>
          <cell r="CO1994">
            <v>12591.781999999999</v>
          </cell>
        </row>
        <row r="1995">
          <cell r="CM1995" t="str">
            <v xml:space="preserve">NFT-424700447GN00055XXXXXXX </v>
          </cell>
          <cell r="CN1995" t="str">
            <v>2024-09-03</v>
          </cell>
          <cell r="CO1995">
            <v>38132.716999999997</v>
          </cell>
        </row>
        <row r="1996">
          <cell r="CJ1996" t="str">
            <v xml:space="preserve">NFT-424800948GN00078XXXXXXX </v>
          </cell>
          <cell r="CK1996" t="str">
            <v>2024-09-04</v>
          </cell>
          <cell r="CL1996">
            <v>12610.663</v>
          </cell>
          <cell r="CM1996" t="str">
            <v xml:space="preserve">NFT-424800981GN00017XXXXXXX </v>
          </cell>
          <cell r="CN1996" t="str">
            <v>2024-09-04</v>
          </cell>
          <cell r="CO1996">
            <v>1789.425</v>
          </cell>
        </row>
        <row r="1997">
          <cell r="CJ1997" t="str">
            <v xml:space="preserve">NFT-424601014GN00169XXXXXXX </v>
          </cell>
          <cell r="CK1997" t="str">
            <v>2024-09-02</v>
          </cell>
          <cell r="CL1997">
            <v>1016.667</v>
          </cell>
          <cell r="CM1997" t="str">
            <v xml:space="preserve">NFT-424700447GN00055XXXXXXX </v>
          </cell>
          <cell r="CN1997" t="str">
            <v>2024-09-03</v>
          </cell>
          <cell r="CO1997">
            <v>6702.7749999999996</v>
          </cell>
        </row>
        <row r="1998">
          <cell r="CJ1998" t="str">
            <v xml:space="preserve">NFT-424601014GN00169XXXXXXX </v>
          </cell>
          <cell r="CK1998" t="str">
            <v>2024-09-02</v>
          </cell>
          <cell r="CL1998">
            <v>1016.667</v>
          </cell>
          <cell r="CM1998" t="str">
            <v xml:space="preserve">NFT-424700447GN00055XXXXXXX </v>
          </cell>
          <cell r="CN1998" t="str">
            <v>2024-09-03</v>
          </cell>
          <cell r="CO1998">
            <v>6721.6549999999997</v>
          </cell>
        </row>
        <row r="1999">
          <cell r="CJ1999" t="str">
            <v xml:space="preserve">NFT-424601014GN00169XXXXXXX </v>
          </cell>
          <cell r="CK1999" t="str">
            <v>2024-09-02</v>
          </cell>
          <cell r="CL1999">
            <v>1569.7159999999999</v>
          </cell>
          <cell r="CM1999" t="str">
            <v xml:space="preserve">NFT-424700447GN00055XXXXXXX </v>
          </cell>
          <cell r="CN1999" t="str">
            <v>2024-09-03</v>
          </cell>
          <cell r="CO1999">
            <v>18187.761999999999</v>
          </cell>
        </row>
        <row r="2000">
          <cell r="CJ2000" t="str">
            <v xml:space="preserve">NFT-424601014GN00169XXXXXXX </v>
          </cell>
          <cell r="CK2000" t="str">
            <v>2024-09-02</v>
          </cell>
          <cell r="CL2000">
            <v>1342.73</v>
          </cell>
          <cell r="CM2000" t="str">
            <v xml:space="preserve">NFT-424700447GN00055XXXXXXX </v>
          </cell>
          <cell r="CN2000" t="str">
            <v>2024-09-03</v>
          </cell>
          <cell r="CO2000">
            <v>6376.7120000000004</v>
          </cell>
        </row>
        <row r="2001">
          <cell r="CJ2001" t="str">
            <v xml:space="preserve">NFT-424601014GN00169XXXXXXX </v>
          </cell>
          <cell r="CK2001" t="str">
            <v>2024-09-02</v>
          </cell>
          <cell r="CL2001">
            <v>6066.3109999999997</v>
          </cell>
          <cell r="CM2001" t="str">
            <v xml:space="preserve">NFT-424700447GN00055XXXXXXX </v>
          </cell>
          <cell r="CN2001" t="str">
            <v>2024-09-03</v>
          </cell>
          <cell r="CO2001">
            <v>70184.009999999995</v>
          </cell>
        </row>
        <row r="2002">
          <cell r="CJ2002" t="str">
            <v xml:space="preserve">NFT-424601014GN00169XXXXXXX </v>
          </cell>
          <cell r="CK2002" t="str">
            <v>2024-09-02</v>
          </cell>
          <cell r="CL2002">
            <v>782.93600000000004</v>
          </cell>
          <cell r="CM2002" t="str">
            <v xml:space="preserve">NFT-424700447GN00055XXXXXXX </v>
          </cell>
          <cell r="CN2002" t="str">
            <v>2024-09-03</v>
          </cell>
          <cell r="CO2002">
            <v>6946.1210000000001</v>
          </cell>
        </row>
        <row r="2003">
          <cell r="CJ2003" t="str">
            <v xml:space="preserve">NFT-424601014GN00169XXXXXXX </v>
          </cell>
          <cell r="CK2003" t="str">
            <v>2024-09-02</v>
          </cell>
          <cell r="CL2003">
            <v>1016.667</v>
          </cell>
          <cell r="CM2003" t="str">
            <v xml:space="preserve">NFT-424700447GN00055XXXXXXX </v>
          </cell>
          <cell r="CN2003" t="str">
            <v>2024-09-03</v>
          </cell>
          <cell r="CO2003">
            <v>6702.7749999999996</v>
          </cell>
        </row>
        <row r="2004">
          <cell r="CJ2004" t="str">
            <v xml:space="preserve">NFT-424601014GN00169XXXXXXX </v>
          </cell>
          <cell r="CK2004" t="str">
            <v>2024-09-02</v>
          </cell>
          <cell r="CL2004">
            <v>6066.3109999999997</v>
          </cell>
          <cell r="CM2004" t="str">
            <v xml:space="preserve">NFT-424700447GN00055XXXXXXX </v>
          </cell>
          <cell r="CN2004" t="str">
            <v>2024-09-03</v>
          </cell>
          <cell r="CO2004">
            <v>70202.89</v>
          </cell>
        </row>
        <row r="2005">
          <cell r="CJ2005" t="str">
            <v xml:space="preserve">NFT-424800948GN00078XXXXXXX </v>
          </cell>
          <cell r="CK2005" t="str">
            <v>2024-09-04</v>
          </cell>
          <cell r="CL2005">
            <v>6937.4620000000004</v>
          </cell>
          <cell r="CM2005" t="str">
            <v xml:space="preserve">NFT-424800981GN00017XXXXXXX </v>
          </cell>
          <cell r="CN2005" t="str">
            <v>2024-09-04</v>
          </cell>
          <cell r="CO2005">
            <v>781.97</v>
          </cell>
        </row>
        <row r="2006">
          <cell r="CJ2006" t="str">
            <v xml:space="preserve">NFT-424800948GN00078XXXXXXX </v>
          </cell>
          <cell r="CK2006" t="str">
            <v>2024-09-04</v>
          </cell>
          <cell r="CL2006">
            <v>7719.4319999999998</v>
          </cell>
        </row>
        <row r="2007">
          <cell r="CJ2007" t="str">
            <v xml:space="preserve">NFT-424601014GN00169XXXXXXX </v>
          </cell>
          <cell r="CK2007" t="str">
            <v>2024-09-02</v>
          </cell>
          <cell r="CL2007">
            <v>1458.9860000000001</v>
          </cell>
          <cell r="CM2007" t="str">
            <v xml:space="preserve">NFT-424700447GN00055XXXXXXX </v>
          </cell>
          <cell r="CN2007" t="str">
            <v>2024-09-03</v>
          </cell>
          <cell r="CO2007">
            <v>12922.222</v>
          </cell>
        </row>
        <row r="2008">
          <cell r="CJ2008" t="str">
            <v xml:space="preserve">NFT-424601014GN00169XXXXXXX </v>
          </cell>
          <cell r="CK2008" t="str">
            <v>2024-09-02</v>
          </cell>
          <cell r="CL2008">
            <v>781.971</v>
          </cell>
          <cell r="CM2008" t="str">
            <v xml:space="preserve">NFT-424700447GN00055XXXXXXX </v>
          </cell>
          <cell r="CN2008" t="str">
            <v>2024-09-03</v>
          </cell>
          <cell r="CO2008">
            <v>6956.3410000000003</v>
          </cell>
        </row>
        <row r="2009">
          <cell r="CJ2009" t="str">
            <v xml:space="preserve">NFT-424601014GN00169XXXXXXX </v>
          </cell>
          <cell r="CK2009" t="str">
            <v>2024-09-02</v>
          </cell>
          <cell r="CL2009">
            <v>781.97</v>
          </cell>
          <cell r="CM2009" t="str">
            <v xml:space="preserve">NFT-424700447GN00055XXXXXXX </v>
          </cell>
          <cell r="CN2009" t="str">
            <v>2024-09-03</v>
          </cell>
          <cell r="CO2009">
            <v>6956.3419999999996</v>
          </cell>
        </row>
        <row r="2010">
          <cell r="CJ2010" t="str">
            <v xml:space="preserve">NFT-424601014GN00169XXXXXXX </v>
          </cell>
          <cell r="CK2010" t="str">
            <v>2024-09-02</v>
          </cell>
          <cell r="CL2010">
            <v>1016.667</v>
          </cell>
          <cell r="CM2010" t="str">
            <v xml:space="preserve">NFT-424700447GN00055XXXXXXX </v>
          </cell>
          <cell r="CN2010" t="str">
            <v>2024-09-03</v>
          </cell>
          <cell r="CO2010">
            <v>6721.6549999999997</v>
          </cell>
        </row>
        <row r="2011">
          <cell r="CJ2011" t="str">
            <v xml:space="preserve">NFT-424601014GN00169XXXXXXX </v>
          </cell>
          <cell r="CK2011" t="str">
            <v>2024-09-02</v>
          </cell>
          <cell r="CL2011">
            <v>963.75699999999995</v>
          </cell>
          <cell r="CM2011" t="str">
            <v xml:space="preserve">NFT-424700447GN00055XXXXXXX </v>
          </cell>
          <cell r="CN2011" t="str">
            <v>2024-09-03</v>
          </cell>
          <cell r="CO2011">
            <v>6755.674</v>
          </cell>
        </row>
        <row r="2012">
          <cell r="CJ2012" t="str">
            <v xml:space="preserve">NFT-424601014GN00169XXXXXXX </v>
          </cell>
          <cell r="CK2012" t="str">
            <v>2024-09-02</v>
          </cell>
          <cell r="CL2012">
            <v>1892.8910000000001</v>
          </cell>
          <cell r="CM2012" t="str">
            <v xml:space="preserve">NFT-424700447GN00055XXXXXXX </v>
          </cell>
          <cell r="CN2012" t="str">
            <v>2024-09-03</v>
          </cell>
          <cell r="CO2012">
            <v>12904.412</v>
          </cell>
        </row>
        <row r="2013">
          <cell r="CJ2013" t="str">
            <v xml:space="preserve">NFT-424800948GN00078XXXXXXX </v>
          </cell>
          <cell r="CK2013" t="str">
            <v>2024-09-04</v>
          </cell>
          <cell r="CL2013">
            <v>6956.3419999999996</v>
          </cell>
          <cell r="CM2013" t="str">
            <v xml:space="preserve">NFT-424800981GN00017XXXXXXX </v>
          </cell>
          <cell r="CN2013" t="str">
            <v>2024-09-04</v>
          </cell>
          <cell r="CO2013">
            <v>781.97</v>
          </cell>
        </row>
        <row r="2014">
          <cell r="CJ2014" t="str">
            <v xml:space="preserve">NFT-424800948GN00078XXXXXXX </v>
          </cell>
          <cell r="CK2014" t="str">
            <v>2024-09-04</v>
          </cell>
          <cell r="CL2014">
            <v>6956.3419999999996</v>
          </cell>
          <cell r="CM2014" t="str">
            <v xml:space="preserve">NFT-424800981GN00017XXXXXXX </v>
          </cell>
          <cell r="CN2014" t="str">
            <v>2024-09-04</v>
          </cell>
          <cell r="CO2014">
            <v>781.97</v>
          </cell>
        </row>
        <row r="2015">
          <cell r="CJ2015" t="str">
            <v xml:space="preserve">NFT-424601014GN00169XXXXXXX </v>
          </cell>
          <cell r="CK2015" t="str">
            <v>2024-09-02</v>
          </cell>
          <cell r="CL2015">
            <v>961.83799999999997</v>
          </cell>
          <cell r="CM2015" t="str">
            <v xml:space="preserve">NFT-424700447GN00055XXXXXXX </v>
          </cell>
          <cell r="CN2015" t="str">
            <v>2024-09-03</v>
          </cell>
          <cell r="CO2015">
            <v>8916.9040000000005</v>
          </cell>
        </row>
        <row r="2016">
          <cell r="CJ2016" t="str">
            <v xml:space="preserve">NFT-424601014GN00169XXXXXXX </v>
          </cell>
          <cell r="CK2016" t="str">
            <v>2024-09-02</v>
          </cell>
          <cell r="CL2016">
            <v>782.93600000000004</v>
          </cell>
          <cell r="CM2016" t="str">
            <v xml:space="preserve">NFT-424700447GN00055XXXXXXX </v>
          </cell>
          <cell r="CN2016" t="str">
            <v>2024-09-03</v>
          </cell>
          <cell r="CO2016">
            <v>6946.1210000000001</v>
          </cell>
        </row>
        <row r="2017">
          <cell r="CJ2017" t="str">
            <v xml:space="preserve">NFT-424800948GN00078XXXXXXX </v>
          </cell>
          <cell r="CK2017" t="str">
            <v>2024-09-04</v>
          </cell>
          <cell r="CL2017">
            <v>6956.3410000000003</v>
          </cell>
          <cell r="CM2017" t="str">
            <v xml:space="preserve">NFT-424800981GN00017XXXXXXX </v>
          </cell>
          <cell r="CN2017" t="str">
            <v>2024-09-04</v>
          </cell>
          <cell r="CO2017">
            <v>781.971</v>
          </cell>
          <cell r="CP2017" t="str">
            <v xml:space="preserve">NFT-425300932GN00169XXXXXXX </v>
          </cell>
          <cell r="CQ2017" t="str">
            <v>2024-09-09</v>
          </cell>
          <cell r="CR2017">
            <v>-6956.3410000000003</v>
          </cell>
          <cell r="CS2017" t="str">
            <v xml:space="preserve">NFT-425701003GN00065XXXXXXX </v>
          </cell>
          <cell r="CT2017" t="str">
            <v>2024-09-13</v>
          </cell>
          <cell r="CU2017">
            <v>-781.971</v>
          </cell>
        </row>
        <row r="2018">
          <cell r="CJ2018" t="str">
            <v xml:space="preserve">NFT-424601014GN00169XXXXXXX </v>
          </cell>
          <cell r="CK2018" t="str">
            <v>2024-09-02</v>
          </cell>
          <cell r="CL2018">
            <v>967.60900000000004</v>
          </cell>
          <cell r="CM2018" t="str">
            <v xml:space="preserve">NFT-424700447GN00055XXXXXXX </v>
          </cell>
          <cell r="CN2018" t="str">
            <v>2024-09-03</v>
          </cell>
          <cell r="CO2018">
            <v>6751.8220000000001</v>
          </cell>
        </row>
        <row r="2019">
          <cell r="CJ2019" t="str">
            <v xml:space="preserve">NFT-424601014GN00169XXXXXXX </v>
          </cell>
          <cell r="CK2019" t="str">
            <v>2024-09-02</v>
          </cell>
          <cell r="CL2019">
            <v>782.93600000000004</v>
          </cell>
          <cell r="CM2019" t="str">
            <v xml:space="preserve">NFT-424700447GN00055XXXXXXX </v>
          </cell>
          <cell r="CN2019" t="str">
            <v>2024-09-03</v>
          </cell>
          <cell r="CO2019">
            <v>6946.1210000000001</v>
          </cell>
        </row>
        <row r="2020">
          <cell r="CJ2020" t="str">
            <v xml:space="preserve">NFT-424601014GN00169XXXXXXX </v>
          </cell>
          <cell r="CK2020" t="str">
            <v>2024-09-02</v>
          </cell>
          <cell r="CL2020">
            <v>781.97</v>
          </cell>
          <cell r="CM2020" t="str">
            <v xml:space="preserve">NFT-424700447GN00055XXXXXXX </v>
          </cell>
          <cell r="CN2020" t="str">
            <v>2024-09-03</v>
          </cell>
          <cell r="CO2020">
            <v>6937.4620000000004</v>
          </cell>
        </row>
        <row r="2021">
          <cell r="CJ2021" t="str">
            <v xml:space="preserve">NFT-424601014GN00169XXXXXXX </v>
          </cell>
          <cell r="CK2021" t="str">
            <v>2024-09-02</v>
          </cell>
          <cell r="CL2021">
            <v>1354.2550000000001</v>
          </cell>
          <cell r="CM2021" t="str">
            <v xml:space="preserve">NFT-424700447GN00055XXXXXXX </v>
          </cell>
          <cell r="CN2021" t="str">
            <v>2024-09-03</v>
          </cell>
          <cell r="CO2021">
            <v>13045.001</v>
          </cell>
        </row>
        <row r="2022">
          <cell r="CJ2022" t="str">
            <v xml:space="preserve">NFT-424601014GN00169XXXXXXX </v>
          </cell>
          <cell r="CK2022" t="str">
            <v>2024-09-02</v>
          </cell>
          <cell r="CL2022">
            <v>934.904</v>
          </cell>
          <cell r="CM2022" t="str">
            <v xml:space="preserve">NFT-424700447GN00055XXXXXXX </v>
          </cell>
          <cell r="CN2022" t="str">
            <v>2024-09-03</v>
          </cell>
          <cell r="CO2022">
            <v>6794.1419999999998</v>
          </cell>
        </row>
        <row r="2023">
          <cell r="CJ2023" t="str">
            <v xml:space="preserve">NFT-424601014GN00169XXXXXXX </v>
          </cell>
          <cell r="CK2023" t="str">
            <v>2024-09-02</v>
          </cell>
          <cell r="CL2023">
            <v>1052.249</v>
          </cell>
          <cell r="CM2023" t="str">
            <v xml:space="preserve">NFT-424700447GN00055XXXXXXX </v>
          </cell>
          <cell r="CN2023" t="str">
            <v>2024-09-03</v>
          </cell>
          <cell r="CO2023">
            <v>6686.0630000000001</v>
          </cell>
        </row>
        <row r="2024">
          <cell r="CJ2024" t="str">
            <v xml:space="preserve">NFT-424800948GN00078XXXXXXX </v>
          </cell>
          <cell r="CK2024" t="str">
            <v>2024-09-04</v>
          </cell>
          <cell r="CL2024">
            <v>6937.4620000000004</v>
          </cell>
          <cell r="CM2024" t="str">
            <v xml:space="preserve">NFT-424800981GN00017XXXXXXX </v>
          </cell>
          <cell r="CN2024" t="str">
            <v>2024-09-04</v>
          </cell>
          <cell r="CO2024">
            <v>781.97</v>
          </cell>
        </row>
        <row r="2025">
          <cell r="CJ2025" t="str">
            <v xml:space="preserve">NFT-424601014GN00169XXXXXXX </v>
          </cell>
          <cell r="CK2025" t="str">
            <v>2024-09-02</v>
          </cell>
          <cell r="CL2025">
            <v>884.89200000000005</v>
          </cell>
          <cell r="CM2025" t="str">
            <v xml:space="preserve">NFT-424700447GN00055XXXXXXX </v>
          </cell>
          <cell r="CN2025" t="str">
            <v>2024-09-03</v>
          </cell>
          <cell r="CO2025">
            <v>6834.54</v>
          </cell>
        </row>
        <row r="2026">
          <cell r="CJ2026" t="str">
            <v xml:space="preserve">NFT-424601014GN00169XXXXXXX </v>
          </cell>
          <cell r="CK2026" t="str">
            <v>2024-09-02</v>
          </cell>
          <cell r="CL2026">
            <v>659.82</v>
          </cell>
          <cell r="CM2026" t="str">
            <v xml:space="preserve">NFT-424700447GN00055XXXXXXX </v>
          </cell>
          <cell r="CN2026" t="str">
            <v>2024-09-03</v>
          </cell>
          <cell r="CO2026">
            <v>7059.6120000000001</v>
          </cell>
          <cell r="CP2026" t="str">
            <v xml:space="preserve">NFT-/XUTR/DEUTH02426461063X </v>
          </cell>
          <cell r="CQ2026" t="str">
            <v>2024-09-20</v>
          </cell>
          <cell r="CR2026">
            <v>-7059.6120000000001</v>
          </cell>
          <cell r="CS2026" t="str">
            <v xml:space="preserve">NFT-/XUTR/DEUTH02426778649X </v>
          </cell>
          <cell r="CT2026" t="str">
            <v>2024-09-23</v>
          </cell>
          <cell r="CU2026">
            <v>-659.82</v>
          </cell>
        </row>
        <row r="2027">
          <cell r="CJ2027" t="str">
            <v xml:space="preserve">NFT-424601014GN00169XXXXXXX </v>
          </cell>
          <cell r="CK2027" t="str">
            <v>2024-09-02</v>
          </cell>
          <cell r="CL2027">
            <v>488.61200000000002</v>
          </cell>
          <cell r="CM2027" t="str">
            <v xml:space="preserve">NFT-424700447GN00055XXXXXXX </v>
          </cell>
          <cell r="CN2027" t="str">
            <v>2024-09-03</v>
          </cell>
          <cell r="CO2027">
            <v>4215.7979999999998</v>
          </cell>
          <cell r="CP2027" t="str">
            <v xml:space="preserve">NFT-/XUTR/DEUTH02426954399X </v>
          </cell>
          <cell r="CQ2027" t="str">
            <v>2024-09-25</v>
          </cell>
          <cell r="CR2027">
            <v>-4215.7979999999998</v>
          </cell>
          <cell r="CS2027" t="str">
            <v xml:space="preserve">NFT-/XUTR/DEUTH02426963335X </v>
          </cell>
          <cell r="CT2027" t="str">
            <v>2024-09-25</v>
          </cell>
          <cell r="CU2027">
            <v>-488.61200000000002</v>
          </cell>
        </row>
        <row r="2028">
          <cell r="CJ2028" t="str">
            <v xml:space="preserve">NFT-424601014GN00169XXXXXXX </v>
          </cell>
          <cell r="CK2028" t="str">
            <v>2024-09-02</v>
          </cell>
          <cell r="CL2028">
            <v>781.971</v>
          </cell>
          <cell r="CM2028" t="str">
            <v xml:space="preserve">NFT-424700447GN00055XXXXXXX </v>
          </cell>
          <cell r="CN2028" t="str">
            <v>2024-09-03</v>
          </cell>
          <cell r="CO2028">
            <v>6956.3410000000003</v>
          </cell>
        </row>
        <row r="2029">
          <cell r="CJ2029" t="str">
            <v xml:space="preserve">NFT-424601014GN00169XXXXXXX </v>
          </cell>
          <cell r="CK2029" t="str">
            <v>2024-09-02</v>
          </cell>
          <cell r="CL2029">
            <v>781.97</v>
          </cell>
          <cell r="CM2029" t="str">
            <v xml:space="preserve">NFT-424700447GN00055XXXXXXX </v>
          </cell>
          <cell r="CN2029" t="str">
            <v>2024-09-03</v>
          </cell>
          <cell r="CO2029">
            <v>6937.4620000000004</v>
          </cell>
        </row>
        <row r="2030">
          <cell r="CJ2030" t="str">
            <v xml:space="preserve">NFT-424601014GN00169XXXXXXX </v>
          </cell>
          <cell r="CK2030" t="str">
            <v>2024-09-02</v>
          </cell>
          <cell r="CL2030">
            <v>6066.3090000000002</v>
          </cell>
          <cell r="CM2030" t="str">
            <v xml:space="preserve">NFT-424700447GN00055XXXXXXX </v>
          </cell>
          <cell r="CN2030" t="str">
            <v>2024-09-03</v>
          </cell>
          <cell r="CO2030">
            <v>70202.888999999996</v>
          </cell>
        </row>
        <row r="2031">
          <cell r="CM2031" t="str">
            <v xml:space="preserve">NFT-424700447GN00055XXXXXXX </v>
          </cell>
          <cell r="CN2031" t="str">
            <v>2024-09-03</v>
          </cell>
          <cell r="CO2031">
            <v>4704.41</v>
          </cell>
        </row>
        <row r="2032">
          <cell r="CJ2032" t="str">
            <v xml:space="preserve">NFT-424601014GN00169XXXXXXX </v>
          </cell>
          <cell r="CK2032" t="str">
            <v>2024-09-02</v>
          </cell>
          <cell r="CL2032">
            <v>782.93600000000004</v>
          </cell>
          <cell r="CM2032" t="str">
            <v xml:space="preserve">NFT-424700447GN00055XXXXXXX </v>
          </cell>
          <cell r="CN2032" t="str">
            <v>2024-09-03</v>
          </cell>
          <cell r="CO2032">
            <v>6946.1210000000001</v>
          </cell>
        </row>
        <row r="2033">
          <cell r="CJ2033" t="str">
            <v xml:space="preserve">NFT-424800948GN00078XXXXXXX </v>
          </cell>
          <cell r="CK2033" t="str">
            <v>2024-09-04</v>
          </cell>
          <cell r="CL2033">
            <v>6528.3230000000003</v>
          </cell>
          <cell r="CM2033" t="str">
            <v xml:space="preserve">NFT-424800981GN00017XXXXXXX </v>
          </cell>
          <cell r="CN2033" t="str">
            <v>2024-09-04</v>
          </cell>
          <cell r="CO2033">
            <v>1209.99</v>
          </cell>
        </row>
        <row r="2034">
          <cell r="CJ2034" t="str">
            <v xml:space="preserve">NFT-424601014GN00169XXXXXXX </v>
          </cell>
          <cell r="CK2034" t="str">
            <v>2024-09-02</v>
          </cell>
          <cell r="CL2034">
            <v>1923.674</v>
          </cell>
          <cell r="CM2034" t="str">
            <v xml:space="preserve">NFT-424700447GN00055XXXXXXX </v>
          </cell>
          <cell r="CN2034" t="str">
            <v>2024-09-03</v>
          </cell>
          <cell r="CO2034">
            <v>36209.042999999998</v>
          </cell>
          <cell r="CP2034" t="str">
            <v xml:space="preserve">NFT-424800948GN00078XXXXXXX </v>
          </cell>
          <cell r="CQ2034" t="str">
            <v>2024-09-04</v>
          </cell>
          <cell r="CR2034">
            <v>-36209.042999999998</v>
          </cell>
          <cell r="CS2034" t="str">
            <v xml:space="preserve">NFT-424800981GN00017XXXXXXX </v>
          </cell>
          <cell r="CT2034" t="str">
            <v>2024-09-04</v>
          </cell>
          <cell r="CU2034">
            <v>-1923.674</v>
          </cell>
        </row>
        <row r="2035">
          <cell r="CJ2035" t="str">
            <v xml:space="preserve">NFT-424601014GN00169XXXXXXX </v>
          </cell>
          <cell r="CK2035" t="str">
            <v>2024-09-02</v>
          </cell>
          <cell r="CL2035">
            <v>1923.674</v>
          </cell>
          <cell r="CM2035" t="str">
            <v xml:space="preserve">NFT-424700447GN00055XXXXXXX </v>
          </cell>
          <cell r="CN2035" t="str">
            <v>2024-09-03</v>
          </cell>
          <cell r="CO2035">
            <v>36228.281000000003</v>
          </cell>
          <cell r="CP2035" t="str">
            <v xml:space="preserve">NFT-424800948GN00078XXXXXXX </v>
          </cell>
          <cell r="CQ2035" t="str">
            <v>2024-09-04</v>
          </cell>
          <cell r="CR2035">
            <v>-36228.281000000003</v>
          </cell>
          <cell r="CS2035" t="str">
            <v xml:space="preserve">NFT-424800981GN00017XXXXXXX </v>
          </cell>
          <cell r="CT2035" t="str">
            <v>2024-09-04</v>
          </cell>
          <cell r="CU2035">
            <v>-1923.674</v>
          </cell>
        </row>
        <row r="2036">
          <cell r="CJ2036" t="str">
            <v xml:space="preserve">NFT-424601014GN00169XXXXXXX </v>
          </cell>
          <cell r="CK2036" t="str">
            <v>2024-09-02</v>
          </cell>
          <cell r="CL2036">
            <v>1354.2550000000001</v>
          </cell>
          <cell r="CM2036" t="str">
            <v xml:space="preserve">NFT-424700447GN00055XXXXXXX </v>
          </cell>
          <cell r="CN2036" t="str">
            <v>2024-09-03</v>
          </cell>
          <cell r="CO2036">
            <v>13035.977000000001</v>
          </cell>
        </row>
        <row r="2037">
          <cell r="CJ2037" t="str">
            <v xml:space="preserve">NFT-424601014GN00169XXXXXXX </v>
          </cell>
          <cell r="CK2037" t="str">
            <v>2024-09-02</v>
          </cell>
          <cell r="CL2037">
            <v>1354.2550000000001</v>
          </cell>
          <cell r="CM2037" t="str">
            <v xml:space="preserve">NFT-424700447GN00055XXXXXXX </v>
          </cell>
          <cell r="CN2037" t="str">
            <v>2024-09-03</v>
          </cell>
          <cell r="CO2037">
            <v>13035.977000000001</v>
          </cell>
        </row>
        <row r="2038">
          <cell r="CJ2038" t="str">
            <v xml:space="preserve">NFT-424800948GN00078XXXXXXX </v>
          </cell>
          <cell r="CK2038" t="str">
            <v>2024-09-04</v>
          </cell>
          <cell r="CL2038">
            <v>72469.933999999994</v>
          </cell>
          <cell r="CM2038" t="str">
            <v xml:space="preserve">NFT-424800981GN00017XXXXXXX </v>
          </cell>
          <cell r="CN2038" t="str">
            <v>2024-09-04</v>
          </cell>
          <cell r="CO2038">
            <v>3847.3470000000002</v>
          </cell>
        </row>
        <row r="2039">
          <cell r="CJ2039" t="str">
            <v xml:space="preserve">NFT-424800948GN00078XXXXXXX </v>
          </cell>
          <cell r="CK2039" t="str">
            <v>2024-09-04</v>
          </cell>
          <cell r="CL2039">
            <v>72469.934999999998</v>
          </cell>
          <cell r="CM2039" t="str">
            <v xml:space="preserve">NFT-424800981GN00017XXXXXXX </v>
          </cell>
          <cell r="CN2039" t="str">
            <v>2024-09-04</v>
          </cell>
          <cell r="CO2039">
            <v>3847.348</v>
          </cell>
        </row>
        <row r="2040">
          <cell r="CJ2040" t="str">
            <v xml:space="preserve">NFT-424601014GN00169XXXXXXX </v>
          </cell>
          <cell r="CK2040" t="str">
            <v>2024-09-02</v>
          </cell>
          <cell r="CL2040">
            <v>1442.7570000000001</v>
          </cell>
          <cell r="CM2040" t="str">
            <v xml:space="preserve">NFT-424700447GN00055XXXXXXX </v>
          </cell>
          <cell r="CN2040" t="str">
            <v>2024-09-03</v>
          </cell>
          <cell r="CO2040">
            <v>13356.466</v>
          </cell>
        </row>
        <row r="2041">
          <cell r="CJ2041" t="str">
            <v xml:space="preserve">NFT-424601014GN00169XXXXXXX </v>
          </cell>
          <cell r="CK2041" t="str">
            <v>2024-09-02</v>
          </cell>
          <cell r="CL2041">
            <v>502.07799999999997</v>
          </cell>
          <cell r="CM2041" t="str">
            <v xml:space="preserve">NFT-424700447GN00055XXXXXXX </v>
          </cell>
          <cell r="CN2041" t="str">
            <v>2024-09-03</v>
          </cell>
          <cell r="CO2041">
            <v>4418.4120000000003</v>
          </cell>
        </row>
        <row r="2042">
          <cell r="CJ2042" t="str">
            <v xml:space="preserve">NFT-424601014GN00169XXXXXXX </v>
          </cell>
          <cell r="CK2042" t="str">
            <v>2024-09-02</v>
          </cell>
          <cell r="CL2042">
            <v>781.971</v>
          </cell>
          <cell r="CM2042" t="str">
            <v xml:space="preserve">NFT-424700447GN00055XXXXXXX </v>
          </cell>
          <cell r="CN2042" t="str">
            <v>2024-09-03</v>
          </cell>
          <cell r="CO2042">
            <v>6956.3410000000003</v>
          </cell>
        </row>
        <row r="2043">
          <cell r="CJ2043" t="str">
            <v xml:space="preserve">NFT-424800948GN00078XXXXXXX </v>
          </cell>
          <cell r="CK2043" t="str">
            <v>2024-09-04</v>
          </cell>
          <cell r="CL2043">
            <v>72451.054999999993</v>
          </cell>
          <cell r="CM2043" t="str">
            <v xml:space="preserve">NFT-424800981GN00017XXXXXXX </v>
          </cell>
          <cell r="CN2043" t="str">
            <v>2024-09-04</v>
          </cell>
          <cell r="CO2043">
            <v>3847.348</v>
          </cell>
        </row>
        <row r="2044">
          <cell r="CJ2044" t="str">
            <v xml:space="preserve">NFT-424800948GN00078XXXXXXX </v>
          </cell>
          <cell r="CK2044" t="str">
            <v>2024-09-04</v>
          </cell>
          <cell r="CL2044">
            <v>76298.402000000002</v>
          </cell>
        </row>
        <row r="2045">
          <cell r="CJ2045" t="str">
            <v xml:space="preserve">NFT-424800948GN00078XXXXXXX </v>
          </cell>
          <cell r="CK2045" t="str">
            <v>2024-09-04</v>
          </cell>
          <cell r="CL2045">
            <v>7719.4319999999998</v>
          </cell>
        </row>
        <row r="2046">
          <cell r="CJ2046" t="str">
            <v xml:space="preserve">NFT-424800948GN00078XXXXXXX </v>
          </cell>
          <cell r="CK2046" t="str">
            <v>2024-09-04</v>
          </cell>
          <cell r="CL2046">
            <v>72469.933999999994</v>
          </cell>
          <cell r="CM2046" t="str">
            <v xml:space="preserve">NFT-424800981GN00017XXXXXXX </v>
          </cell>
          <cell r="CN2046" t="str">
            <v>2024-09-04</v>
          </cell>
          <cell r="CO2046">
            <v>3847.3470000000002</v>
          </cell>
        </row>
        <row r="2047">
          <cell r="CJ2047" t="str">
            <v xml:space="preserve">NFT-424800948GN00078XXXXXXX </v>
          </cell>
          <cell r="CK2047" t="str">
            <v>2024-09-04</v>
          </cell>
          <cell r="CL2047">
            <v>4418.4120000000003</v>
          </cell>
          <cell r="CM2047" t="str">
            <v xml:space="preserve">NFT-424800981GN00017XXXXXXX </v>
          </cell>
          <cell r="CN2047" t="str">
            <v>2024-09-04</v>
          </cell>
          <cell r="CO2047">
            <v>502.07799999999997</v>
          </cell>
        </row>
        <row r="2048">
          <cell r="CJ2048" t="str">
            <v xml:space="preserve">NFT-424601014GN00169XXXXXXX </v>
          </cell>
          <cell r="CK2048" t="str">
            <v>2024-09-02</v>
          </cell>
          <cell r="CL2048">
            <v>1354.2550000000001</v>
          </cell>
          <cell r="CM2048" t="str">
            <v xml:space="preserve">NFT-424700447GN00055XXXXXXX </v>
          </cell>
          <cell r="CN2048" t="str">
            <v>2024-09-03</v>
          </cell>
          <cell r="CO2048">
            <v>13026.951999999999</v>
          </cell>
        </row>
        <row r="2049">
          <cell r="CJ2049" t="str">
            <v xml:space="preserve">NFT-424601014GN00169XXXXXXX </v>
          </cell>
          <cell r="CK2049" t="str">
            <v>2024-09-02</v>
          </cell>
          <cell r="CL2049">
            <v>1354.2550000000001</v>
          </cell>
          <cell r="CM2049" t="str">
            <v xml:space="preserve">NFT-424700447GN00055XXXXXXX </v>
          </cell>
          <cell r="CN2049" t="str">
            <v>2024-09-03</v>
          </cell>
          <cell r="CO2049">
            <v>13026.951999999999</v>
          </cell>
        </row>
        <row r="2050">
          <cell r="CJ2050" t="str">
            <v xml:space="preserve">NFT-424601014GN00169XXXXXXX </v>
          </cell>
          <cell r="CK2050" t="str">
            <v>2024-09-02</v>
          </cell>
          <cell r="CL2050">
            <v>781.971</v>
          </cell>
          <cell r="CM2050" t="str">
            <v xml:space="preserve">NFT-424700447GN00055XXXXXXX </v>
          </cell>
          <cell r="CN2050" t="str">
            <v>2024-09-03</v>
          </cell>
          <cell r="CO2050">
            <v>6956.3410000000003</v>
          </cell>
        </row>
        <row r="2051">
          <cell r="CJ2051" t="str">
            <v xml:space="preserve">NFT-424601014GN00169XXXXXXX </v>
          </cell>
          <cell r="CK2051" t="str">
            <v>2024-09-02</v>
          </cell>
          <cell r="CL2051">
            <v>3927.1790000000001</v>
          </cell>
          <cell r="CM2051" t="str">
            <v xml:space="preserve">NFT-424700447GN00055XXXXXXX </v>
          </cell>
          <cell r="CN2051" t="str">
            <v>2024-09-03</v>
          </cell>
          <cell r="CO2051">
            <v>72390.104000000007</v>
          </cell>
        </row>
        <row r="2052">
          <cell r="CJ2052" t="str">
            <v xml:space="preserve">NFT-424800948GN00078XXXXXXX </v>
          </cell>
          <cell r="CK2052" t="str">
            <v>2024-09-04</v>
          </cell>
          <cell r="CL2052">
            <v>76317.282000000007</v>
          </cell>
        </row>
        <row r="2053">
          <cell r="CJ2053" t="str">
            <v xml:space="preserve">NFT-424800948GN00078XXXXXXX </v>
          </cell>
          <cell r="CK2053" t="str">
            <v>2024-09-04</v>
          </cell>
          <cell r="CL2053">
            <v>13045.833000000001</v>
          </cell>
          <cell r="CM2053" t="str">
            <v xml:space="preserve">NFT-424800981GN00017XXXXXXX </v>
          </cell>
          <cell r="CN2053" t="str">
            <v>2024-09-04</v>
          </cell>
          <cell r="CO2053">
            <v>1354.2550000000001</v>
          </cell>
        </row>
        <row r="2054">
          <cell r="CJ2054" t="str">
            <v xml:space="preserve">NFT-424800948GN00078XXXXXXX </v>
          </cell>
          <cell r="CK2054" t="str">
            <v>2024-09-04</v>
          </cell>
          <cell r="CL2054">
            <v>6962.4629999999997</v>
          </cell>
          <cell r="CM2054" t="str">
            <v xml:space="preserve">NFT-424800981GN00017XXXXXXX </v>
          </cell>
          <cell r="CN2054" t="str">
            <v>2024-09-04</v>
          </cell>
          <cell r="CO2054">
            <v>766.58299999999997</v>
          </cell>
        </row>
        <row r="2055">
          <cell r="CJ2055" t="str">
            <v xml:space="preserve">NFT-424800948GN00078XXXXXXX </v>
          </cell>
          <cell r="CK2055" t="str">
            <v>2024-09-04</v>
          </cell>
          <cell r="CL2055">
            <v>13026.951999999999</v>
          </cell>
          <cell r="CM2055" t="str">
            <v xml:space="preserve">NFT-424800981GN00017XXXXXXX </v>
          </cell>
          <cell r="CN2055" t="str">
            <v>2024-09-04</v>
          </cell>
          <cell r="CO2055">
            <v>1354.2550000000001</v>
          </cell>
        </row>
        <row r="2056">
          <cell r="CJ2056" t="str">
            <v xml:space="preserve">NFT-424601014GN00169XXXXXXX </v>
          </cell>
          <cell r="CK2056" t="str">
            <v>2024-09-02</v>
          </cell>
          <cell r="CL2056">
            <v>3847.348</v>
          </cell>
          <cell r="CM2056" t="str">
            <v xml:space="preserve">NFT-424700447GN00055XXXXXXX </v>
          </cell>
          <cell r="CN2056" t="str">
            <v>2024-09-03</v>
          </cell>
          <cell r="CO2056">
            <v>72469.934999999998</v>
          </cell>
        </row>
        <row r="2057">
          <cell r="CJ2057" t="str">
            <v xml:space="preserve">NFT-424800948GN00078XXXXXXX </v>
          </cell>
          <cell r="CK2057" t="str">
            <v>2024-09-04</v>
          </cell>
          <cell r="CL2057">
            <v>13035.977000000001</v>
          </cell>
          <cell r="CM2057" t="str">
            <v xml:space="preserve">NFT-424800981GN00017XXXXXXX </v>
          </cell>
          <cell r="CN2057" t="str">
            <v>2024-09-04</v>
          </cell>
          <cell r="CO2057">
            <v>1354.2550000000001</v>
          </cell>
        </row>
        <row r="2058">
          <cell r="CM2058" t="str">
            <v xml:space="preserve">NFT-424700447GN00055XXXXXXX </v>
          </cell>
          <cell r="CN2058" t="str">
            <v>2024-09-03</v>
          </cell>
          <cell r="CO2058">
            <v>14390.232</v>
          </cell>
        </row>
        <row r="2059">
          <cell r="CJ2059" t="str">
            <v xml:space="preserve">NFT-424601014GN00169XXXXXXX </v>
          </cell>
          <cell r="CK2059" t="str">
            <v>2024-09-02</v>
          </cell>
          <cell r="CL2059">
            <v>3847.348</v>
          </cell>
          <cell r="CM2059" t="str">
            <v xml:space="preserve">NFT-424700447GN00055XXXXXXX </v>
          </cell>
          <cell r="CN2059" t="str">
            <v>2024-09-03</v>
          </cell>
          <cell r="CO2059">
            <v>72451.054999999993</v>
          </cell>
        </row>
        <row r="2060">
          <cell r="CJ2060" t="str">
            <v xml:space="preserve">NFT-424601014GN00169XXXXXXX </v>
          </cell>
          <cell r="CK2060" t="str">
            <v>2024-09-02</v>
          </cell>
          <cell r="CL2060">
            <v>3847.348</v>
          </cell>
          <cell r="CM2060" t="str">
            <v xml:space="preserve">NFT-424700447GN00055XXXXXXX </v>
          </cell>
          <cell r="CN2060" t="str">
            <v>2024-09-03</v>
          </cell>
          <cell r="CO2060">
            <v>72469.934999999998</v>
          </cell>
        </row>
        <row r="2061">
          <cell r="CJ2061" t="str">
            <v xml:space="preserve">NFT-424601014GN00169XXXXXXX </v>
          </cell>
          <cell r="CK2061" t="str">
            <v>2024-09-02</v>
          </cell>
          <cell r="CL2061">
            <v>1354.2550000000001</v>
          </cell>
          <cell r="CM2061" t="str">
            <v xml:space="preserve">NFT-424700447GN00055XXXXXXX </v>
          </cell>
          <cell r="CN2061" t="str">
            <v>2024-09-03</v>
          </cell>
          <cell r="CO2061">
            <v>13035.977000000001</v>
          </cell>
        </row>
        <row r="2062">
          <cell r="CJ2062" t="str">
            <v xml:space="preserve">NFT-424601014GN00169XXXXXXX </v>
          </cell>
          <cell r="CK2062" t="str">
            <v>2024-09-02</v>
          </cell>
          <cell r="CL2062">
            <v>3366.43</v>
          </cell>
          <cell r="CM2062" t="str">
            <v xml:space="preserve">NFT-424700447GN00055XXXXXXX </v>
          </cell>
          <cell r="CN2062" t="str">
            <v>2024-09-03</v>
          </cell>
          <cell r="CO2062">
            <v>72931.974000000002</v>
          </cell>
          <cell r="CP2062" t="str">
            <v xml:space="preserve">NFT-424800948GN00078XXXXXXX </v>
          </cell>
          <cell r="CQ2062" t="str">
            <v>2024-09-04</v>
          </cell>
          <cell r="CR2062">
            <v>-72931.974000000002</v>
          </cell>
          <cell r="CS2062" t="str">
            <v xml:space="preserve">NFT-424800981GN00017XXXXXXX </v>
          </cell>
          <cell r="CT2062" t="str">
            <v>2024-09-04</v>
          </cell>
          <cell r="CU2062">
            <v>-3366.43</v>
          </cell>
        </row>
        <row r="2063">
          <cell r="CJ2063" t="str">
            <v xml:space="preserve">NFT-424601014GN00169XXXXXXX </v>
          </cell>
          <cell r="CK2063" t="str">
            <v>2024-09-02</v>
          </cell>
          <cell r="CL2063">
            <v>781.97</v>
          </cell>
          <cell r="CM2063" t="str">
            <v xml:space="preserve">NFT-424700447GN00055XXXXXXX </v>
          </cell>
          <cell r="CN2063" t="str">
            <v>2024-09-03</v>
          </cell>
          <cell r="CO2063">
            <v>6937.4620000000004</v>
          </cell>
        </row>
        <row r="2064">
          <cell r="CJ2064" t="str">
            <v xml:space="preserve">NFT-424601014GN00169XXXXXXX </v>
          </cell>
          <cell r="CK2064" t="str">
            <v>2024-09-02</v>
          </cell>
          <cell r="CL2064">
            <v>1482.4559999999999</v>
          </cell>
          <cell r="CM2064" t="str">
            <v xml:space="preserve">NFT-424700447GN00055XXXXXXX </v>
          </cell>
          <cell r="CN2064" t="str">
            <v>2024-09-03</v>
          </cell>
          <cell r="CO2064">
            <v>12926.654</v>
          </cell>
        </row>
        <row r="2065">
          <cell r="CJ2065" t="str">
            <v xml:space="preserve">NFT-424800948GN00078XXXXXXX </v>
          </cell>
          <cell r="CK2065" t="str">
            <v>2024-09-04</v>
          </cell>
          <cell r="CL2065">
            <v>13041.316000000001</v>
          </cell>
          <cell r="CM2065" t="str">
            <v xml:space="preserve">NFT-424800981GN00017XXXXXXX </v>
          </cell>
          <cell r="CN2065" t="str">
            <v>2024-09-04</v>
          </cell>
          <cell r="CO2065">
            <v>1367.796</v>
          </cell>
        </row>
        <row r="2066">
          <cell r="CJ2066" t="str">
            <v xml:space="preserve">NFT-424800948GN00078XXXXXXX </v>
          </cell>
          <cell r="CK2066" t="str">
            <v>2024-09-04</v>
          </cell>
          <cell r="CL2066">
            <v>72451.054999999993</v>
          </cell>
          <cell r="CM2066" t="str">
            <v xml:space="preserve">NFT-424800981GN00017XXXXXXX </v>
          </cell>
          <cell r="CN2066" t="str">
            <v>2024-09-04</v>
          </cell>
          <cell r="CO2066">
            <v>3847.348</v>
          </cell>
        </row>
        <row r="2067">
          <cell r="CJ2067" t="str">
            <v xml:space="preserve">NFT-424601014GN00169XXXXXXX </v>
          </cell>
          <cell r="CK2067" t="str">
            <v>2024-09-02</v>
          </cell>
          <cell r="CL2067">
            <v>459.75900000000001</v>
          </cell>
          <cell r="CM2067" t="str">
            <v xml:space="preserve">NFT-424700447GN00055XXXXXXX </v>
          </cell>
          <cell r="CN2067" t="str">
            <v>2024-09-03</v>
          </cell>
          <cell r="CO2067">
            <v>4479.6109999999999</v>
          </cell>
        </row>
        <row r="2068">
          <cell r="CJ2068" t="str">
            <v xml:space="preserve">NFT-424601014GN00169XXXXXXX </v>
          </cell>
          <cell r="CK2068" t="str">
            <v>2024-09-02</v>
          </cell>
          <cell r="CL2068">
            <v>502.07799999999997</v>
          </cell>
          <cell r="CM2068" t="str">
            <v xml:space="preserve">NFT-424700447GN00055XXXXXXX </v>
          </cell>
          <cell r="CN2068" t="str">
            <v>2024-09-03</v>
          </cell>
          <cell r="CO2068">
            <v>4437.2920000000004</v>
          </cell>
        </row>
        <row r="2069">
          <cell r="CJ2069" t="str">
            <v xml:space="preserve">NFT-424601014GN00169XXXXXXX </v>
          </cell>
          <cell r="CK2069" t="str">
            <v>2024-09-02</v>
          </cell>
          <cell r="CL2069">
            <v>1354.2550000000001</v>
          </cell>
          <cell r="CM2069" t="str">
            <v xml:space="preserve">NFT-424700447GN00055XXXXXXX </v>
          </cell>
          <cell r="CN2069" t="str">
            <v>2024-09-03</v>
          </cell>
          <cell r="CO2069">
            <v>13045.833000000001</v>
          </cell>
        </row>
        <row r="2070">
          <cell r="CJ2070" t="str">
            <v xml:space="preserve">NFT-424800948GN00078XXXXXXX </v>
          </cell>
          <cell r="CK2070" t="str">
            <v>2024-09-04</v>
          </cell>
          <cell r="CL2070">
            <v>36709.199999999997</v>
          </cell>
          <cell r="CM2070" t="str">
            <v xml:space="preserve">NFT-424800981GN00017XXXXXXX </v>
          </cell>
          <cell r="CN2070" t="str">
            <v>2024-09-04</v>
          </cell>
          <cell r="CO2070">
            <v>1442.7550000000001</v>
          </cell>
        </row>
        <row r="2071">
          <cell r="CJ2071" t="str">
            <v xml:space="preserve">NFT-424800948GN00078XXXXXXX </v>
          </cell>
          <cell r="CK2071" t="str">
            <v>2024-09-04</v>
          </cell>
          <cell r="CL2071">
            <v>13054.857</v>
          </cell>
          <cell r="CM2071" t="str">
            <v xml:space="preserve">NFT-424800981GN00017XXXXXXX </v>
          </cell>
          <cell r="CN2071" t="str">
            <v>2024-09-04</v>
          </cell>
          <cell r="CO2071">
            <v>1354.2550000000001</v>
          </cell>
        </row>
        <row r="2072">
          <cell r="CJ2072" t="str">
            <v xml:space="preserve">NFT-424800948GN00078XXXXXXX </v>
          </cell>
          <cell r="CK2072" t="str">
            <v>2024-09-04</v>
          </cell>
          <cell r="CL2072">
            <v>13035.977000000001</v>
          </cell>
          <cell r="CM2072" t="str">
            <v xml:space="preserve">NFT-424800981GN00017XXXXXXX </v>
          </cell>
          <cell r="CN2072" t="str">
            <v>2024-09-04</v>
          </cell>
          <cell r="CO2072">
            <v>1354.2550000000001</v>
          </cell>
        </row>
        <row r="2073">
          <cell r="CJ2073" t="str">
            <v xml:space="preserve">NFT-424800948GN00078XXXXXXX </v>
          </cell>
          <cell r="CK2073" t="str">
            <v>2024-09-04</v>
          </cell>
          <cell r="CL2073">
            <v>71873.592999999993</v>
          </cell>
          <cell r="CM2073" t="str">
            <v xml:space="preserve">NFT-424800981GN00017XXXXXXX </v>
          </cell>
          <cell r="CN2073" t="str">
            <v>2024-09-04</v>
          </cell>
          <cell r="CO2073">
            <v>4443.6880000000001</v>
          </cell>
        </row>
        <row r="2074">
          <cell r="CJ2074" t="str">
            <v xml:space="preserve">NFT-424601014GN00169XXXXXXX </v>
          </cell>
          <cell r="CK2074" t="str">
            <v>2024-09-02</v>
          </cell>
          <cell r="CL2074">
            <v>1442.7570000000001</v>
          </cell>
          <cell r="CM2074" t="str">
            <v xml:space="preserve">NFT-424700447GN00055XXXXXXX </v>
          </cell>
          <cell r="CN2074" t="str">
            <v>2024-09-03</v>
          </cell>
          <cell r="CO2074">
            <v>13356.466</v>
          </cell>
        </row>
        <row r="2075">
          <cell r="CJ2075" t="str">
            <v xml:space="preserve">NFT-424601014GN00169XXXXXXX </v>
          </cell>
          <cell r="CK2075" t="str">
            <v>2024-09-02</v>
          </cell>
          <cell r="CL2075">
            <v>782.93499999999995</v>
          </cell>
          <cell r="CM2075" t="str">
            <v xml:space="preserve">NFT-424700447GN00055XXXXXXX </v>
          </cell>
          <cell r="CN2075" t="str">
            <v>2024-09-03</v>
          </cell>
          <cell r="CO2075">
            <v>6965</v>
          </cell>
        </row>
        <row r="2076">
          <cell r="CJ2076" t="str">
            <v xml:space="preserve">NFT-424800948GN00078XXXXXXX </v>
          </cell>
          <cell r="CK2076" t="str">
            <v>2024-09-04</v>
          </cell>
          <cell r="CL2076">
            <v>2371.2640000000001</v>
          </cell>
        </row>
        <row r="2077">
          <cell r="CJ2077" t="str">
            <v xml:space="preserve">NFT-424800948GN00078XXXXXXX </v>
          </cell>
          <cell r="CK2077" t="str">
            <v>2024-09-04</v>
          </cell>
          <cell r="CL2077">
            <v>13035.977000000001</v>
          </cell>
          <cell r="CM2077" t="str">
            <v xml:space="preserve">NFT-424800981GN00017XXXXXXX </v>
          </cell>
          <cell r="CN2077" t="str">
            <v>2024-09-04</v>
          </cell>
          <cell r="CO2077">
            <v>1354.2550000000001</v>
          </cell>
        </row>
        <row r="2078">
          <cell r="CJ2078" t="str">
            <v xml:space="preserve">NFT-424800948GN00078XXXXXXX </v>
          </cell>
          <cell r="CK2078" t="str">
            <v>2024-09-04</v>
          </cell>
          <cell r="CL2078">
            <v>72469.933999999994</v>
          </cell>
          <cell r="CM2078" t="str">
            <v xml:space="preserve">NFT-424800981GN00017XXXXXXX </v>
          </cell>
          <cell r="CN2078" t="str">
            <v>2024-09-04</v>
          </cell>
          <cell r="CO2078">
            <v>3847.3470000000002</v>
          </cell>
        </row>
        <row r="2079">
          <cell r="CJ2079" t="str">
            <v xml:space="preserve">NFT-424800948GN00078XXXXXXX </v>
          </cell>
          <cell r="CK2079" t="str">
            <v>2024-09-04</v>
          </cell>
          <cell r="CL2079">
            <v>13008.894</v>
          </cell>
          <cell r="CM2079" t="str">
            <v xml:space="preserve">NFT-424800981GN00017XXXXXXX </v>
          </cell>
          <cell r="CN2079" t="str">
            <v>2024-09-04</v>
          </cell>
          <cell r="CO2079">
            <v>1354.2550000000001</v>
          </cell>
        </row>
        <row r="2080">
          <cell r="CJ2080" t="str">
            <v xml:space="preserve">NFT-424800948GN00078XXXXXXX </v>
          </cell>
          <cell r="CK2080" t="str">
            <v>2024-09-04</v>
          </cell>
          <cell r="CL2080">
            <v>73345.561000000002</v>
          </cell>
          <cell r="CM2080" t="str">
            <v xml:space="preserve">NFT-424800981GN00017XXXXXXX </v>
          </cell>
          <cell r="CN2080" t="str">
            <v>2024-09-04</v>
          </cell>
          <cell r="CO2080">
            <v>3847.348</v>
          </cell>
        </row>
        <row r="2081">
          <cell r="CJ2081" t="str">
            <v xml:space="preserve">NFT-424800948GN00078XXXXXXX </v>
          </cell>
          <cell r="CK2081" t="str">
            <v>2024-09-04</v>
          </cell>
          <cell r="CL2081">
            <v>13207.52</v>
          </cell>
          <cell r="CM2081" t="str">
            <v xml:space="preserve">NFT-424800981GN00017XXXXXXX </v>
          </cell>
          <cell r="CN2081" t="str">
            <v>2024-09-04</v>
          </cell>
          <cell r="CO2081">
            <v>1354.2550000000001</v>
          </cell>
        </row>
        <row r="2082">
          <cell r="CJ2082" t="str">
            <v xml:space="preserve">NFT-424800948GN00078XXXXXXX </v>
          </cell>
          <cell r="CK2082" t="str">
            <v>2024-09-04</v>
          </cell>
          <cell r="CL2082">
            <v>38151.955999999998</v>
          </cell>
        </row>
        <row r="2083">
          <cell r="CJ2083" t="str">
            <v xml:space="preserve">NFT-424800948GN00078XXXXXXX </v>
          </cell>
          <cell r="CK2083" t="str">
            <v>2024-09-04</v>
          </cell>
          <cell r="CL2083">
            <v>38604.019999999997</v>
          </cell>
        </row>
        <row r="2084">
          <cell r="CJ2084" t="str">
            <v xml:space="preserve">NFT-424800948GN00078XXXXXXX </v>
          </cell>
          <cell r="CK2084" t="str">
            <v>2024-09-04</v>
          </cell>
          <cell r="CL2084">
            <v>13035.977000000001</v>
          </cell>
          <cell r="CM2084" t="str">
            <v xml:space="preserve">NFT-424800981GN00017XXXXXXX </v>
          </cell>
          <cell r="CN2084" t="str">
            <v>2024-09-04</v>
          </cell>
          <cell r="CO2084">
            <v>1354.2550000000001</v>
          </cell>
        </row>
        <row r="2085">
          <cell r="CJ2085" t="str">
            <v xml:space="preserve">NFT-424800948GN00078XXXXXXX </v>
          </cell>
          <cell r="CK2085" t="str">
            <v>2024-09-04</v>
          </cell>
          <cell r="CL2085">
            <v>12581.852000000001</v>
          </cell>
          <cell r="CM2085" t="str">
            <v xml:space="preserve">NFT-424800981GN00017XXXXXXX </v>
          </cell>
          <cell r="CN2085" t="str">
            <v>2024-09-04</v>
          </cell>
          <cell r="CO2085">
            <v>1781.297</v>
          </cell>
        </row>
        <row r="2086">
          <cell r="CJ2086" t="str">
            <v xml:space="preserve">NFT-424800948GN00078XXXXXXX </v>
          </cell>
          <cell r="CK2086" t="str">
            <v>2024-09-04</v>
          </cell>
          <cell r="CL2086">
            <v>4437.2920000000004</v>
          </cell>
          <cell r="CM2086" t="str">
            <v xml:space="preserve">NFT-424800981GN00017XXXXXXX </v>
          </cell>
          <cell r="CN2086" t="str">
            <v>2024-09-04</v>
          </cell>
          <cell r="CO2086">
            <v>502.07799999999997</v>
          </cell>
        </row>
        <row r="2087">
          <cell r="CJ2087" t="str">
            <v xml:space="preserve">NFT-424800948GN00078XXXXXXX </v>
          </cell>
          <cell r="CK2087" t="str">
            <v>2024-09-04</v>
          </cell>
          <cell r="CL2087">
            <v>13008.894</v>
          </cell>
          <cell r="CM2087" t="str">
            <v xml:space="preserve">NFT-424800981GN00017XXXXXXX </v>
          </cell>
          <cell r="CN2087" t="str">
            <v>2024-09-04</v>
          </cell>
          <cell r="CO2087">
            <v>1354.2550000000001</v>
          </cell>
        </row>
        <row r="2088">
          <cell r="CJ2088" t="str">
            <v xml:space="preserve">NFT-424800948GN00078XXXXXXX </v>
          </cell>
          <cell r="CK2088" t="str">
            <v>2024-09-04</v>
          </cell>
          <cell r="CL2088">
            <v>13054.856</v>
          </cell>
          <cell r="CM2088" t="str">
            <v xml:space="preserve">NFT-424800981GN00017XXXXXXX </v>
          </cell>
          <cell r="CN2088" t="str">
            <v>2024-09-04</v>
          </cell>
          <cell r="CO2088">
            <v>1354.2550000000001</v>
          </cell>
        </row>
        <row r="2089">
          <cell r="CJ2089" t="str">
            <v xml:space="preserve">NFT-424800948GN00078XXXXXXX </v>
          </cell>
          <cell r="CK2089" t="str">
            <v>2024-09-04</v>
          </cell>
          <cell r="CL2089">
            <v>13008.894</v>
          </cell>
          <cell r="CM2089" t="str">
            <v xml:space="preserve">NFT-424800981GN00017XXXXXXX </v>
          </cell>
          <cell r="CN2089" t="str">
            <v>2024-09-04</v>
          </cell>
          <cell r="CO2089">
            <v>1354.2550000000001</v>
          </cell>
        </row>
        <row r="2090">
          <cell r="CJ2090" t="str">
            <v xml:space="preserve">NFT-424800948GN00078XXXXXXX </v>
          </cell>
          <cell r="CK2090" t="str">
            <v>2024-09-04</v>
          </cell>
          <cell r="CL2090">
            <v>13008.894</v>
          </cell>
          <cell r="CM2090" t="str">
            <v xml:space="preserve">NFT-424800981GN00017XXXXXXX </v>
          </cell>
          <cell r="CN2090" t="str">
            <v>2024-09-04</v>
          </cell>
          <cell r="CO2090">
            <v>1354.2550000000001</v>
          </cell>
        </row>
        <row r="2091">
          <cell r="CJ2091" t="str">
            <v xml:space="preserve">NFT-424800948GN00078XXXXXXX </v>
          </cell>
          <cell r="CK2091" t="str">
            <v>2024-09-04</v>
          </cell>
          <cell r="CL2091">
            <v>13054.856</v>
          </cell>
          <cell r="CM2091" t="str">
            <v xml:space="preserve">NFT-424800981GN00017XXXXXXX </v>
          </cell>
          <cell r="CN2091" t="str">
            <v>2024-09-04</v>
          </cell>
          <cell r="CO2091">
            <v>1354.2550000000001</v>
          </cell>
        </row>
        <row r="2092">
          <cell r="CJ2092" t="str">
            <v xml:space="preserve">NFT-424800948GN00078XXXXXXX </v>
          </cell>
          <cell r="CK2092" t="str">
            <v>2024-09-04</v>
          </cell>
          <cell r="CL2092">
            <v>13054.856</v>
          </cell>
          <cell r="CM2092" t="str">
            <v xml:space="preserve">NFT-424800981GN00017XXXXXXX </v>
          </cell>
          <cell r="CN2092" t="str">
            <v>2024-09-04</v>
          </cell>
          <cell r="CO2092">
            <v>1354.2550000000001</v>
          </cell>
        </row>
        <row r="2093">
          <cell r="CJ2093" t="str">
            <v xml:space="preserve">NFT-424800948GN00078XXXXXXX </v>
          </cell>
          <cell r="CK2093" t="str">
            <v>2024-09-04</v>
          </cell>
          <cell r="CL2093">
            <v>4939.37</v>
          </cell>
        </row>
        <row r="2094">
          <cell r="CJ2094" t="str">
            <v xml:space="preserve">NFT-424800948GN00078XXXXXXX </v>
          </cell>
          <cell r="CK2094" t="str">
            <v>2024-09-04</v>
          </cell>
          <cell r="CL2094">
            <v>13500.742</v>
          </cell>
          <cell r="CM2094" t="str">
            <v xml:space="preserve">NFT-424800981GN00017XXXXXXX </v>
          </cell>
          <cell r="CN2094" t="str">
            <v>2024-09-04</v>
          </cell>
          <cell r="CO2094">
            <v>1442.7570000000001</v>
          </cell>
        </row>
        <row r="2096">
          <cell r="CJ2096" t="str">
            <v xml:space="preserve">NFT-424800948GN00078XXXXXXX </v>
          </cell>
          <cell r="CK2096" t="str">
            <v>2024-09-04</v>
          </cell>
          <cell r="CL2096">
            <v>13054.856</v>
          </cell>
          <cell r="CM2096" t="str">
            <v xml:space="preserve">NFT-424800981GN00017XXXXXXX </v>
          </cell>
          <cell r="CN2096" t="str">
            <v>2024-09-04</v>
          </cell>
          <cell r="CO2096">
            <v>1354.2550000000001</v>
          </cell>
        </row>
        <row r="2097">
          <cell r="CJ2097" t="str">
            <v xml:space="preserve">NFT-424800948GN00078XXXXXXX </v>
          </cell>
          <cell r="CK2097" t="str">
            <v>2024-09-04</v>
          </cell>
          <cell r="CL2097">
            <v>12990.834999999999</v>
          </cell>
          <cell r="CM2097" t="str">
            <v xml:space="preserve">NFT-424800981GN00017XXXXXXX </v>
          </cell>
          <cell r="CN2097" t="str">
            <v>2024-09-04</v>
          </cell>
          <cell r="CO2097">
            <v>1372.3140000000001</v>
          </cell>
        </row>
        <row r="2098">
          <cell r="CJ2098" t="str">
            <v xml:space="preserve">NFT-424800948GN00078XXXXXXX </v>
          </cell>
          <cell r="CK2098" t="str">
            <v>2024-09-04</v>
          </cell>
          <cell r="CL2098">
            <v>13035.977000000001</v>
          </cell>
          <cell r="CM2098" t="str">
            <v xml:space="preserve">NFT-424800981GN00017XXXXXXX </v>
          </cell>
          <cell r="CN2098" t="str">
            <v>2024-09-04</v>
          </cell>
          <cell r="CO2098">
            <v>1354.2550000000001</v>
          </cell>
        </row>
        <row r="2099">
          <cell r="CJ2099" t="str">
            <v xml:space="preserve">NFT-424800948GN00078XXXXXXX </v>
          </cell>
          <cell r="CK2099" t="str">
            <v>2024-09-04</v>
          </cell>
          <cell r="CL2099">
            <v>13207.52</v>
          </cell>
          <cell r="CM2099" t="str">
            <v xml:space="preserve">NFT-424800981GN00017XXXXXXX </v>
          </cell>
          <cell r="CN2099" t="str">
            <v>2024-09-04</v>
          </cell>
          <cell r="CO2099">
            <v>1354.2550000000001</v>
          </cell>
        </row>
        <row r="2100">
          <cell r="CJ2100" t="str">
            <v xml:space="preserve">NFT-424800948GN00078XXXXXXX </v>
          </cell>
          <cell r="CK2100" t="str">
            <v>2024-09-04</v>
          </cell>
          <cell r="CL2100">
            <v>13054.856</v>
          </cell>
          <cell r="CM2100" t="str">
            <v xml:space="preserve">NFT-424800981GN00017XXXXXXX </v>
          </cell>
          <cell r="CN2100" t="str">
            <v>2024-09-04</v>
          </cell>
          <cell r="CO2100">
            <v>1354.2550000000001</v>
          </cell>
        </row>
        <row r="2101">
          <cell r="CJ2101" t="str">
            <v xml:space="preserve">NFT-424800948GN00078XXXXXXX </v>
          </cell>
          <cell r="CK2101" t="str">
            <v>2024-09-04</v>
          </cell>
          <cell r="CL2101">
            <v>1294.0039999999999</v>
          </cell>
        </row>
        <row r="2102">
          <cell r="CJ2102" t="str">
            <v xml:space="preserve">NFT-424800948GN00078XXXXXXX </v>
          </cell>
          <cell r="CK2102" t="str">
            <v>2024-09-04</v>
          </cell>
          <cell r="CL2102">
            <v>13207.52</v>
          </cell>
          <cell r="CM2102" t="str">
            <v xml:space="preserve">NFT-424800981GN00017XXXXXXX </v>
          </cell>
          <cell r="CN2102" t="str">
            <v>2024-09-04</v>
          </cell>
          <cell r="CO2102">
            <v>1354.2550000000001</v>
          </cell>
        </row>
        <row r="2103">
          <cell r="CJ2103" t="str">
            <v xml:space="preserve">NFT-424800948GN00078XXXXXXX </v>
          </cell>
          <cell r="CK2103" t="str">
            <v>2024-09-04</v>
          </cell>
          <cell r="CL2103">
            <v>12775.056</v>
          </cell>
          <cell r="CM2103" t="str">
            <v xml:space="preserve">NFT-424800981GN00017XXXXXXX </v>
          </cell>
          <cell r="CN2103" t="str">
            <v>2024-09-04</v>
          </cell>
          <cell r="CO2103">
            <v>1588.0930000000001</v>
          </cell>
        </row>
        <row r="2104">
          <cell r="CJ2104" t="str">
            <v xml:space="preserve">NFT-423200864GN00138XXXXXXX </v>
          </cell>
          <cell r="CK2104" t="str">
            <v>2024-08-19</v>
          </cell>
          <cell r="CL2104">
            <v>72094.823999999993</v>
          </cell>
          <cell r="CP2104" t="str">
            <v xml:space="preserve">NFT-423201020GN00282XXXXXXX </v>
          </cell>
          <cell r="CQ2104" t="str">
            <v>2024-08-19</v>
          </cell>
          <cell r="CR2104">
            <v>2885.511</v>
          </cell>
        </row>
        <row r="2105">
          <cell r="CJ2105" t="str">
            <v xml:space="preserve">NFT-425000928GN00239XXXXXXX </v>
          </cell>
          <cell r="CK2105" t="str">
            <v>2024-09-06</v>
          </cell>
          <cell r="CL2105">
            <v>12795.82</v>
          </cell>
          <cell r="CM2105" t="str">
            <v xml:space="preserve">NFT-425000978GN00015XXXXXXX </v>
          </cell>
          <cell r="CN2105" t="str">
            <v>2024-09-06</v>
          </cell>
          <cell r="CO2105">
            <v>1765.944</v>
          </cell>
        </row>
        <row r="2106">
          <cell r="CJ2106" t="str">
            <v xml:space="preserve">NFT-425000928GN00239XXXXXXX </v>
          </cell>
          <cell r="CK2106" t="str">
            <v>2024-09-06</v>
          </cell>
          <cell r="CL2106">
            <v>71648.88</v>
          </cell>
          <cell r="CM2106" t="str">
            <v xml:space="preserve">NFT-425000978GN00015XXXXXXX </v>
          </cell>
          <cell r="CN2106" t="str">
            <v>2024-09-06</v>
          </cell>
          <cell r="CO2106">
            <v>6111.5169999999998</v>
          </cell>
        </row>
        <row r="2107">
          <cell r="CJ2107" t="str">
            <v xml:space="preserve">NFT-425000928GN00239XXXXXXX </v>
          </cell>
          <cell r="CK2107" t="str">
            <v>2024-09-06</v>
          </cell>
          <cell r="CL2107">
            <v>7120.8109999999997</v>
          </cell>
          <cell r="CM2107" t="str">
            <v xml:space="preserve">NFT-425000978GN00015XXXXXXX </v>
          </cell>
          <cell r="CN2107" t="str">
            <v>2024-09-06</v>
          </cell>
          <cell r="CO2107">
            <v>771.39</v>
          </cell>
        </row>
        <row r="2108">
          <cell r="CJ2108" t="str">
            <v xml:space="preserve">NFT-425000928GN00239XXXXXXX </v>
          </cell>
          <cell r="CK2108" t="str">
            <v>2024-09-06</v>
          </cell>
          <cell r="CL2108">
            <v>14192.592000000001</v>
          </cell>
          <cell r="CM2108" t="str">
            <v xml:space="preserve">NFT-425000978GN00015XXXXXXX </v>
          </cell>
          <cell r="CN2108" t="str">
            <v>2024-09-06</v>
          </cell>
          <cell r="CO2108">
            <v>1442.7550000000001</v>
          </cell>
        </row>
        <row r="2109">
          <cell r="CJ2109" t="str">
            <v xml:space="preserve">NFT-425000928GN00239XXXXXXX </v>
          </cell>
          <cell r="CK2109" t="str">
            <v>2024-09-06</v>
          </cell>
          <cell r="CL2109">
            <v>35804.114000000001</v>
          </cell>
          <cell r="CM2109" t="str">
            <v xml:space="preserve">NFT-425000978GN00015XXXXXXX </v>
          </cell>
          <cell r="CN2109" t="str">
            <v>2024-09-06</v>
          </cell>
          <cell r="CO2109">
            <v>3078.8440000000001</v>
          </cell>
        </row>
        <row r="2110">
          <cell r="CJ2110" t="str">
            <v xml:space="preserve">NFT-425000928GN00239XXXXXXX </v>
          </cell>
          <cell r="CK2110" t="str">
            <v>2024-09-06</v>
          </cell>
          <cell r="CL2110">
            <v>12877.985000000001</v>
          </cell>
          <cell r="CM2110" t="str">
            <v xml:space="preserve">NFT-425000978GN00015XXXXXXX </v>
          </cell>
          <cell r="CN2110" t="str">
            <v>2024-09-06</v>
          </cell>
          <cell r="CO2110">
            <v>1683.79</v>
          </cell>
        </row>
        <row r="2111">
          <cell r="CJ2111" t="str">
            <v xml:space="preserve">NFT-425000928GN00239XXXXXXX </v>
          </cell>
          <cell r="CK2111" t="str">
            <v>2024-09-06</v>
          </cell>
          <cell r="CL2111">
            <v>12785.816999999999</v>
          </cell>
          <cell r="CM2111" t="str">
            <v xml:space="preserve">NFT-425000978GN00015XXXXXXX </v>
          </cell>
          <cell r="CN2111" t="str">
            <v>2024-09-06</v>
          </cell>
          <cell r="CO2111">
            <v>1794.838</v>
          </cell>
        </row>
        <row r="2112">
          <cell r="CJ2112" t="str">
            <v xml:space="preserve">NFT-425000928GN00239XXXXXXX </v>
          </cell>
          <cell r="CK2112" t="str">
            <v>2024-09-06</v>
          </cell>
          <cell r="CL2112">
            <v>7075.9650000000001</v>
          </cell>
          <cell r="CM2112" t="str">
            <v xml:space="preserve">NFT-425000978GN00015XXXXXXX </v>
          </cell>
          <cell r="CN2112" t="str">
            <v>2024-09-06</v>
          </cell>
          <cell r="CO2112">
            <v>797.36699999999996</v>
          </cell>
        </row>
        <row r="2113">
          <cell r="CJ2113" t="str">
            <v xml:space="preserve">NFT-425000928GN00239XXXXXXX </v>
          </cell>
          <cell r="CK2113" t="str">
            <v>2024-09-06</v>
          </cell>
          <cell r="CL2113">
            <v>14192.592000000001</v>
          </cell>
          <cell r="CM2113" t="str">
            <v xml:space="preserve">NFT-425000978GN00015XXXXXXX </v>
          </cell>
          <cell r="CN2113" t="str">
            <v>2024-09-06</v>
          </cell>
          <cell r="CO2113">
            <v>1442.7550000000001</v>
          </cell>
        </row>
        <row r="2114">
          <cell r="CJ2114" t="str">
            <v xml:space="preserve">NFT-425000928GN00239XXXXXXX </v>
          </cell>
          <cell r="CK2114" t="str">
            <v>2024-09-06</v>
          </cell>
          <cell r="CL2114">
            <v>71098.710000000006</v>
          </cell>
          <cell r="CM2114" t="str">
            <v xml:space="preserve">NFT-425000978GN00015XXXXXXX </v>
          </cell>
          <cell r="CN2114" t="str">
            <v>2024-09-06</v>
          </cell>
          <cell r="CO2114">
            <v>6094.1980000000003</v>
          </cell>
        </row>
        <row r="2115">
          <cell r="CJ2115" t="str">
            <v xml:space="preserve">NFT-425000928GN00239XXXXXXX </v>
          </cell>
          <cell r="CK2115" t="str">
            <v>2024-09-06</v>
          </cell>
          <cell r="CL2115">
            <v>37442.112999999998</v>
          </cell>
          <cell r="CM2115" t="str">
            <v xml:space="preserve">NFT-425000978GN00015XXXXXXX </v>
          </cell>
          <cell r="CN2115" t="str">
            <v>2024-09-06</v>
          </cell>
          <cell r="CO2115">
            <v>1161.8979999999999</v>
          </cell>
        </row>
        <row r="2116">
          <cell r="CJ2116" t="str">
            <v xml:space="preserve">NFT-425000928GN00239XXXXXXX </v>
          </cell>
          <cell r="CK2116" t="str">
            <v>2024-09-06</v>
          </cell>
          <cell r="CL2116">
            <v>71667.760999999999</v>
          </cell>
          <cell r="CM2116" t="str">
            <v xml:space="preserve">NFT-425000978GN00015XXXXXXX </v>
          </cell>
          <cell r="CN2116" t="str">
            <v>2024-09-06</v>
          </cell>
          <cell r="CO2116">
            <v>6111.5150000000003</v>
          </cell>
        </row>
        <row r="2117">
          <cell r="CJ2117" t="str">
            <v xml:space="preserve">NFT-425000928GN00239XXXXXXX </v>
          </cell>
          <cell r="CK2117" t="str">
            <v>2024-09-06</v>
          </cell>
          <cell r="CL2117">
            <v>4470.3459999999995</v>
          </cell>
          <cell r="CM2117" t="str">
            <v xml:space="preserve">NFT-425000978GN00015XXXXXXX </v>
          </cell>
          <cell r="CN2117" t="str">
            <v>2024-09-06</v>
          </cell>
          <cell r="CO2117">
            <v>507.851</v>
          </cell>
        </row>
        <row r="2118">
          <cell r="CJ2118" t="str">
            <v xml:space="preserve">NFT-425000928GN00239XXXXXXX </v>
          </cell>
          <cell r="CK2118" t="str">
            <v>2024-09-06</v>
          </cell>
          <cell r="CL2118">
            <v>7218.9269999999997</v>
          </cell>
          <cell r="CM2118" t="str">
            <v xml:space="preserve">NFT-425000978GN00015XXXXXXX </v>
          </cell>
          <cell r="CN2118" t="str">
            <v>2024-09-06</v>
          </cell>
          <cell r="CO2118">
            <v>673.28599999999994</v>
          </cell>
        </row>
        <row r="2119">
          <cell r="CJ2119" t="str">
            <v xml:space="preserve">NFT-425000928GN00239XXXXXXX </v>
          </cell>
          <cell r="CK2119" t="str">
            <v>2024-09-06</v>
          </cell>
          <cell r="CL2119">
            <v>38604.019999999997</v>
          </cell>
        </row>
        <row r="2120">
          <cell r="CJ2120" t="str">
            <v xml:space="preserve">NFT-425000928GN00239XXXXXXX </v>
          </cell>
          <cell r="CK2120" t="str">
            <v>2024-09-06</v>
          </cell>
          <cell r="CL2120">
            <v>12766.927</v>
          </cell>
          <cell r="CM2120" t="str">
            <v xml:space="preserve">NFT-425000978GN00015XXXXXXX </v>
          </cell>
          <cell r="CN2120" t="str">
            <v>2024-09-06</v>
          </cell>
          <cell r="CO2120">
            <v>1794.838</v>
          </cell>
        </row>
        <row r="2121">
          <cell r="CJ2121" t="str">
            <v xml:space="preserve">NFT-425000928GN00239XXXXXXX </v>
          </cell>
          <cell r="CK2121" t="str">
            <v>2024-09-06</v>
          </cell>
          <cell r="CL2121">
            <v>71948.618000000002</v>
          </cell>
          <cell r="CM2121" t="str">
            <v xml:space="preserve">NFT-425000978GN00015XXXXXXX </v>
          </cell>
          <cell r="CN2121" t="str">
            <v>2024-09-06</v>
          </cell>
          <cell r="CO2121">
            <v>5263.1689999999999</v>
          </cell>
        </row>
        <row r="2122">
          <cell r="CJ2122" t="str">
            <v xml:space="preserve">NFT-425000928GN00239XXXXXXX </v>
          </cell>
          <cell r="CK2122" t="str">
            <v>2024-09-06</v>
          </cell>
          <cell r="CL2122">
            <v>12785.816999999999</v>
          </cell>
          <cell r="CM2122" t="str">
            <v xml:space="preserve">NFT-425000978GN00015XXXXXXX </v>
          </cell>
          <cell r="CN2122" t="str">
            <v>2024-09-06</v>
          </cell>
          <cell r="CO2122">
            <v>1794.838</v>
          </cell>
        </row>
        <row r="2123">
          <cell r="CJ2123" t="str">
            <v xml:space="preserve">NFT-425000928GN00239XXXXXXX </v>
          </cell>
          <cell r="CK2123" t="str">
            <v>2024-09-06</v>
          </cell>
          <cell r="CL2123">
            <v>14211.472</v>
          </cell>
          <cell r="CM2123" t="str">
            <v xml:space="preserve">NFT-425000978GN00015XXXXXXX </v>
          </cell>
          <cell r="CN2123" t="str">
            <v>2024-09-06</v>
          </cell>
          <cell r="CO2123">
            <v>1442.7550000000001</v>
          </cell>
        </row>
        <row r="2124">
          <cell r="CJ2124" t="str">
            <v xml:space="preserve">NFT-425000928GN00239XXXXXXX </v>
          </cell>
          <cell r="CK2124" t="str">
            <v>2024-09-06</v>
          </cell>
          <cell r="CL2124">
            <v>12785.816999999999</v>
          </cell>
          <cell r="CM2124" t="str">
            <v xml:space="preserve">NFT-425000978GN00015XXXXXXX </v>
          </cell>
          <cell r="CN2124" t="str">
            <v>2024-09-06</v>
          </cell>
          <cell r="CO2124">
            <v>1794.8389999999999</v>
          </cell>
        </row>
        <row r="2125">
          <cell r="CJ2125" t="str">
            <v xml:space="preserve">NFT-425000928GN00239XXXXXXX </v>
          </cell>
          <cell r="CK2125" t="str">
            <v>2024-09-06</v>
          </cell>
          <cell r="CL2125">
            <v>70817.853000000003</v>
          </cell>
          <cell r="CM2125" t="str">
            <v xml:space="preserve">NFT-425000978GN00015XXXXXXX </v>
          </cell>
          <cell r="CN2125" t="str">
            <v>2024-09-06</v>
          </cell>
          <cell r="CO2125">
            <v>6375.0569999999998</v>
          </cell>
        </row>
        <row r="2126">
          <cell r="CJ2126" t="str">
            <v xml:space="preserve">NFT-425000928GN00239XXXXXXX </v>
          </cell>
          <cell r="CK2126" t="str">
            <v>2024-09-06</v>
          </cell>
          <cell r="CL2126">
            <v>15635.348</v>
          </cell>
        </row>
        <row r="2127">
          <cell r="CJ2127" t="str">
            <v xml:space="preserve">NFT-425000928GN00239XXXXXXX </v>
          </cell>
          <cell r="CK2127" t="str">
            <v>2024-09-06</v>
          </cell>
          <cell r="CL2127">
            <v>12785.816999999999</v>
          </cell>
          <cell r="CM2127" t="str">
            <v xml:space="preserve">NFT-425000978GN00015XXXXXXX </v>
          </cell>
          <cell r="CN2127" t="str">
            <v>2024-09-06</v>
          </cell>
          <cell r="CO2127">
            <v>1794.8389999999999</v>
          </cell>
        </row>
        <row r="2128">
          <cell r="CJ2128" t="str">
            <v xml:space="preserve">NFT-425000928GN00239XXXXXXX </v>
          </cell>
          <cell r="CK2128" t="str">
            <v>2024-09-06</v>
          </cell>
          <cell r="CL2128">
            <v>73091.635999999999</v>
          </cell>
          <cell r="CM2128" t="str">
            <v xml:space="preserve">NFT-425000978GN00015XXXXXXX </v>
          </cell>
          <cell r="CN2128" t="str">
            <v>2024-09-06</v>
          </cell>
          <cell r="CO2128">
            <v>4668.7619999999997</v>
          </cell>
        </row>
        <row r="2129">
          <cell r="CJ2129" t="str">
            <v xml:space="preserve">NFT-425000928GN00239XXXXXXX </v>
          </cell>
          <cell r="CK2129" t="str">
            <v>2024-09-06</v>
          </cell>
          <cell r="CL2129">
            <v>8990.6209999999992</v>
          </cell>
          <cell r="CM2129" t="str">
            <v xml:space="preserve">NFT-425000978GN00015XXXXXXX </v>
          </cell>
          <cell r="CN2129" t="str">
            <v>2024-09-06</v>
          </cell>
          <cell r="CO2129">
            <v>1008.0069999999999</v>
          </cell>
        </row>
        <row r="2130">
          <cell r="CJ2130" t="str">
            <v xml:space="preserve">NFT-425000928GN00239XXXXXXX </v>
          </cell>
          <cell r="CK2130" t="str">
            <v>2024-09-06</v>
          </cell>
          <cell r="CL2130">
            <v>6855.3509999999997</v>
          </cell>
          <cell r="CM2130" t="str">
            <v xml:space="preserve">NFT-425000978GN00015XXXXXXX </v>
          </cell>
          <cell r="CN2130" t="str">
            <v>2024-09-06</v>
          </cell>
          <cell r="CO2130">
            <v>1036.8620000000001</v>
          </cell>
        </row>
        <row r="2131">
          <cell r="CJ2131" t="str">
            <v xml:space="preserve">NFT-425000928GN00239XXXXXXX </v>
          </cell>
          <cell r="CK2131" t="str">
            <v>2024-09-06</v>
          </cell>
          <cell r="CL2131">
            <v>6743.1729999999998</v>
          </cell>
          <cell r="CM2131" t="str">
            <v xml:space="preserve">NFT-425000978GN00015XXXXXXX </v>
          </cell>
          <cell r="CN2131" t="str">
            <v>2024-09-06</v>
          </cell>
          <cell r="CO2131">
            <v>1130.1579999999999</v>
          </cell>
        </row>
        <row r="2132">
          <cell r="CJ2132" t="str">
            <v xml:space="preserve">NFT-425000928GN00239XXXXXXX </v>
          </cell>
          <cell r="CK2132" t="str">
            <v>2024-09-06</v>
          </cell>
          <cell r="CL2132">
            <v>8500.0879999999997</v>
          </cell>
          <cell r="CM2132" t="str">
            <v xml:space="preserve">NFT-425000978GN00015XXXXXXX </v>
          </cell>
          <cell r="CN2132" t="str">
            <v>2024-09-06</v>
          </cell>
          <cell r="CO2132">
            <v>1498.5409999999999</v>
          </cell>
        </row>
        <row r="2133">
          <cell r="CJ2133" t="str">
            <v xml:space="preserve">NFT-425000928GN00239XXXXXXX </v>
          </cell>
          <cell r="CK2133" t="str">
            <v>2024-09-06</v>
          </cell>
          <cell r="CL2133">
            <v>12891.442999999999</v>
          </cell>
          <cell r="CM2133" t="str">
            <v xml:space="preserve">NFT-425000978GN00015XXXXXXX </v>
          </cell>
          <cell r="CN2133" t="str">
            <v>2024-09-06</v>
          </cell>
          <cell r="CO2133">
            <v>1797.5440000000001</v>
          </cell>
        </row>
        <row r="2134">
          <cell r="CJ2134" t="str">
            <v xml:space="preserve">NFT-425000928GN00239XXXXXXX </v>
          </cell>
          <cell r="CK2134" t="str">
            <v>2024-09-06</v>
          </cell>
          <cell r="CL2134">
            <v>12872.563</v>
          </cell>
          <cell r="CM2134" t="str">
            <v xml:space="preserve">NFT-425000978GN00015XXXXXXX </v>
          </cell>
          <cell r="CN2134" t="str">
            <v>2024-09-06</v>
          </cell>
          <cell r="CO2134">
            <v>1797.5450000000001</v>
          </cell>
        </row>
        <row r="2135">
          <cell r="CJ2135" t="str">
            <v xml:space="preserve">NFT-425000928GN00239XXXXXXX </v>
          </cell>
          <cell r="CK2135" t="str">
            <v>2024-09-06</v>
          </cell>
          <cell r="CL2135">
            <v>6836.4709999999995</v>
          </cell>
          <cell r="CM2135" t="str">
            <v xml:space="preserve">NFT-425000978GN00015XXXXXXX </v>
          </cell>
          <cell r="CN2135" t="str">
            <v>2024-09-06</v>
          </cell>
          <cell r="CO2135">
            <v>1036.8610000000001</v>
          </cell>
        </row>
        <row r="2136">
          <cell r="CJ2136" t="str">
            <v xml:space="preserve">NFT-425000928GN00239XXXXXXX </v>
          </cell>
          <cell r="CK2136" t="str">
            <v>2024-09-06</v>
          </cell>
          <cell r="CL2136">
            <v>6836.4709999999995</v>
          </cell>
          <cell r="CM2136" t="str">
            <v xml:space="preserve">NFT-425000978GN00015XXXXXXX </v>
          </cell>
          <cell r="CN2136" t="str">
            <v>2024-09-06</v>
          </cell>
          <cell r="CO2136">
            <v>1036.8610000000001</v>
          </cell>
        </row>
        <row r="2137">
          <cell r="CJ2137" t="str">
            <v xml:space="preserve">NFT-425000928GN00239XXXXXXX </v>
          </cell>
          <cell r="CK2137" t="str">
            <v>2024-09-06</v>
          </cell>
          <cell r="CL2137">
            <v>14211.472</v>
          </cell>
          <cell r="CM2137" t="str">
            <v xml:space="preserve">NFT-425000978GN00015XXXXXXX </v>
          </cell>
          <cell r="CN2137" t="str">
            <v>2024-09-06</v>
          </cell>
          <cell r="CO2137">
            <v>1442.7550000000001</v>
          </cell>
        </row>
        <row r="2138">
          <cell r="CJ2138" t="str">
            <v xml:space="preserve">NFT-425000928GN00239XXXXXXX </v>
          </cell>
          <cell r="CK2138" t="str">
            <v>2024-09-06</v>
          </cell>
          <cell r="CL2138">
            <v>7892.2129999999997</v>
          </cell>
          <cell r="CM2138" t="str">
            <v xml:space="preserve">NFT-425700941GN00221XXXXXXX </v>
          </cell>
          <cell r="CN2138" t="str">
            <v>2024-09-13</v>
          </cell>
          <cell r="CO2138">
            <v>-7892.2129999999997</v>
          </cell>
        </row>
        <row r="2139">
          <cell r="CJ2139" t="str">
            <v xml:space="preserve">NFT-425000928GN00239XXXXXXX </v>
          </cell>
          <cell r="CK2139" t="str">
            <v>2024-09-06</v>
          </cell>
          <cell r="CL2139">
            <v>7094.8450000000003</v>
          </cell>
          <cell r="CM2139" t="str">
            <v xml:space="preserve">NFT-425000978GN00015XXXXXXX </v>
          </cell>
          <cell r="CN2139" t="str">
            <v>2024-09-06</v>
          </cell>
          <cell r="CO2139">
            <v>797.36699999999996</v>
          </cell>
        </row>
        <row r="2140">
          <cell r="CJ2140" t="str">
            <v xml:space="preserve">NFT-425000928GN00239XXXXXXX </v>
          </cell>
          <cell r="CK2140" t="str">
            <v>2024-09-06</v>
          </cell>
          <cell r="CL2140">
            <v>6507.1629999999996</v>
          </cell>
          <cell r="CM2140" t="str">
            <v xml:space="preserve">NFT-425000978GN00015XXXXXXX </v>
          </cell>
          <cell r="CN2140" t="str">
            <v>2024-09-06</v>
          </cell>
          <cell r="CO2140">
            <v>1385.05</v>
          </cell>
        </row>
        <row r="2141">
          <cell r="CJ2141" t="str">
            <v xml:space="preserve">NFT-425000928GN00239XXXXXXX </v>
          </cell>
          <cell r="CK2141" t="str">
            <v>2024-09-06</v>
          </cell>
          <cell r="CL2141">
            <v>7075.9650000000001</v>
          </cell>
          <cell r="CM2141" t="str">
            <v xml:space="preserve">NFT-425000978GN00015XXXXXXX </v>
          </cell>
          <cell r="CN2141" t="str">
            <v>2024-09-06</v>
          </cell>
          <cell r="CO2141">
            <v>797.36699999999996</v>
          </cell>
        </row>
        <row r="2142">
          <cell r="CJ2142" t="str">
            <v xml:space="preserve">NFT-425000928GN00239XXXXXXX </v>
          </cell>
          <cell r="CK2142" t="str">
            <v>2024-09-06</v>
          </cell>
          <cell r="CL2142">
            <v>6855.3509999999997</v>
          </cell>
          <cell r="CM2142" t="str">
            <v xml:space="preserve">NFT-425000978GN00015XXXXXXX </v>
          </cell>
          <cell r="CN2142" t="str">
            <v>2024-09-06</v>
          </cell>
          <cell r="CO2142">
            <v>1036.8620000000001</v>
          </cell>
        </row>
        <row r="2143">
          <cell r="CJ2143" t="str">
            <v xml:space="preserve">NFT-425000928GN00239XXXXXXX </v>
          </cell>
          <cell r="CK2143" t="str">
            <v>2024-09-06</v>
          </cell>
          <cell r="CL2143">
            <v>6855.3509999999997</v>
          </cell>
          <cell r="CM2143" t="str">
            <v xml:space="preserve">NFT-425000978GN00015XXXXXXX </v>
          </cell>
          <cell r="CN2143" t="str">
            <v>2024-09-06</v>
          </cell>
          <cell r="CO2143">
            <v>1036.8620000000001</v>
          </cell>
        </row>
        <row r="2144">
          <cell r="CJ2144" t="str">
            <v xml:space="preserve">NFT-425000928GN00239XXXXXXX </v>
          </cell>
          <cell r="CK2144" t="str">
            <v>2024-09-06</v>
          </cell>
          <cell r="CL2144">
            <v>14211.472</v>
          </cell>
          <cell r="CM2144" t="str">
            <v xml:space="preserve">NFT-425000978GN00015XXXXXXX </v>
          </cell>
          <cell r="CN2144" t="str">
            <v>2024-09-06</v>
          </cell>
          <cell r="CO2144">
            <v>1442.7550000000001</v>
          </cell>
        </row>
        <row r="2145">
          <cell r="CJ2145" t="str">
            <v xml:space="preserve">NFT-425000928GN00239XXXXXXX </v>
          </cell>
          <cell r="CK2145" t="str">
            <v>2024-09-06</v>
          </cell>
          <cell r="CL2145">
            <v>6855.3509999999997</v>
          </cell>
          <cell r="CM2145" t="str">
            <v xml:space="preserve">NFT-425000978GN00015XXXXXXX </v>
          </cell>
          <cell r="CN2145" t="str">
            <v>2024-09-06</v>
          </cell>
          <cell r="CO2145">
            <v>1036.8610000000001</v>
          </cell>
          <cell r="CP2145" t="str">
            <v xml:space="preserve">NFT-425700941GN00221XXXXXXX </v>
          </cell>
          <cell r="CQ2145" t="str">
            <v>2024-09-13</v>
          </cell>
          <cell r="CR2145">
            <v>-6855.3509999999997</v>
          </cell>
          <cell r="CS2145" t="str">
            <v xml:space="preserve">NFT-425701003GN00065XXXXXXX </v>
          </cell>
          <cell r="CT2145" t="str">
            <v>2024-09-13</v>
          </cell>
          <cell r="CU2145">
            <v>-1036.8610000000001</v>
          </cell>
        </row>
        <row r="2146">
          <cell r="CJ2146" t="str">
            <v xml:space="preserve">NFT-425000928GN00239XXXXXXX </v>
          </cell>
          <cell r="CK2146" t="str">
            <v>2024-09-06</v>
          </cell>
          <cell r="CL2146">
            <v>37599.506000000001</v>
          </cell>
          <cell r="CM2146" t="str">
            <v xml:space="preserve">NFT-425000978GN00015XXXXXXX </v>
          </cell>
          <cell r="CN2146" t="str">
            <v>2024-09-06</v>
          </cell>
          <cell r="CO2146">
            <v>1302.33</v>
          </cell>
        </row>
        <row r="2147">
          <cell r="CJ2147" t="str">
            <v xml:space="preserve">NFT-425000928GN00239XXXXXXX </v>
          </cell>
          <cell r="CK2147" t="str">
            <v>2024-09-06</v>
          </cell>
          <cell r="CL2147">
            <v>6855.3509999999997</v>
          </cell>
          <cell r="CM2147" t="str">
            <v xml:space="preserve">NFT-425000978GN00015XXXXXXX </v>
          </cell>
          <cell r="CN2147" t="str">
            <v>2024-09-06</v>
          </cell>
          <cell r="CO2147">
            <v>1036.8620000000001</v>
          </cell>
        </row>
        <row r="2148">
          <cell r="CJ2148" t="str">
            <v xml:space="preserve">NFT-425000928GN00239XXXXXXX </v>
          </cell>
          <cell r="CK2148" t="str">
            <v>2024-09-06</v>
          </cell>
          <cell r="CL2148">
            <v>14409.348</v>
          </cell>
          <cell r="CM2148" t="str">
            <v xml:space="preserve">NFT-425000978GN00015XXXXXXX </v>
          </cell>
          <cell r="CN2148" t="str">
            <v>2024-09-06</v>
          </cell>
          <cell r="CO2148">
            <v>1356.1859999999999</v>
          </cell>
        </row>
        <row r="2149">
          <cell r="CJ2149" t="str">
            <v xml:space="preserve">NFT-425000928GN00239XXXXXXX </v>
          </cell>
          <cell r="CK2149" t="str">
            <v>2024-09-06</v>
          </cell>
          <cell r="CL2149">
            <v>6855.3509999999997</v>
          </cell>
          <cell r="CM2149" t="str">
            <v xml:space="preserve">NFT-425000978GN00015XXXXXXX </v>
          </cell>
          <cell r="CN2149" t="str">
            <v>2024-09-06</v>
          </cell>
          <cell r="CO2149">
            <v>1036.8610000000001</v>
          </cell>
        </row>
        <row r="2150">
          <cell r="CJ2150" t="str">
            <v xml:space="preserve">NFT-425000928GN00239XXXXXXX </v>
          </cell>
          <cell r="CK2150" t="str">
            <v>2024-09-06</v>
          </cell>
          <cell r="CL2150">
            <v>38882.947</v>
          </cell>
        </row>
        <row r="2151">
          <cell r="CJ2151" t="str">
            <v xml:space="preserve">NFT-425000928GN00239XXXXXXX </v>
          </cell>
          <cell r="CK2151" t="str">
            <v>2024-09-06</v>
          </cell>
          <cell r="CL2151">
            <v>6836.4709999999995</v>
          </cell>
          <cell r="CM2151" t="str">
            <v xml:space="preserve">NFT-425000978GN00015XXXXXXX </v>
          </cell>
          <cell r="CN2151" t="str">
            <v>2024-09-06</v>
          </cell>
          <cell r="CO2151">
            <v>1036.8610000000001</v>
          </cell>
        </row>
        <row r="2152">
          <cell r="CJ2152" t="str">
            <v xml:space="preserve">NFT-425000928GN00239XXXXXXX </v>
          </cell>
          <cell r="CK2152" t="str">
            <v>2024-09-06</v>
          </cell>
          <cell r="CL2152">
            <v>6855.3509999999997</v>
          </cell>
          <cell r="CM2152" t="str">
            <v xml:space="preserve">NFT-425000978GN00015XXXXXXX </v>
          </cell>
          <cell r="CN2152" t="str">
            <v>2024-09-06</v>
          </cell>
          <cell r="CO2152">
            <v>1036.8620000000001</v>
          </cell>
        </row>
        <row r="2153">
          <cell r="CJ2153" t="str">
            <v xml:space="preserve">NFT-425000928GN00239XXXXXXX </v>
          </cell>
          <cell r="CK2153" t="str">
            <v>2024-09-06</v>
          </cell>
          <cell r="CL2153">
            <v>37713.356</v>
          </cell>
          <cell r="CM2153" t="str">
            <v xml:space="preserve">NFT-425000978GN00015XXXXXXX </v>
          </cell>
          <cell r="CN2153" t="str">
            <v>2024-09-06</v>
          </cell>
          <cell r="CO2153">
            <v>1169.5909999999999</v>
          </cell>
        </row>
        <row r="2154">
          <cell r="CJ2154" t="str">
            <v xml:space="preserve">NFT-425000928GN00239XXXXXXX </v>
          </cell>
          <cell r="CK2154" t="str">
            <v>2024-09-06</v>
          </cell>
          <cell r="CL2154">
            <v>35620.046999999999</v>
          </cell>
          <cell r="CM2154" t="str">
            <v xml:space="preserve">NFT-425000978GN00015XXXXXXX </v>
          </cell>
          <cell r="CN2154" t="str">
            <v>2024-09-06</v>
          </cell>
          <cell r="CO2154">
            <v>3281.79</v>
          </cell>
        </row>
        <row r="2155">
          <cell r="CJ2155" t="str">
            <v xml:space="preserve">NFT-425000928GN00239XXXXXXX </v>
          </cell>
          <cell r="CK2155" t="str">
            <v>2024-09-06</v>
          </cell>
          <cell r="CL2155">
            <v>35804.114000000001</v>
          </cell>
          <cell r="CM2155" t="str">
            <v xml:space="preserve">NFT-425000978GN00015XXXXXXX </v>
          </cell>
          <cell r="CN2155" t="str">
            <v>2024-09-06</v>
          </cell>
          <cell r="CO2155">
            <v>3078.8440000000001</v>
          </cell>
        </row>
        <row r="2156">
          <cell r="CJ2156" t="str">
            <v xml:space="preserve">NFT-425000928GN00239XXXXXXX </v>
          </cell>
          <cell r="CK2156" t="str">
            <v>2024-09-06</v>
          </cell>
          <cell r="CL2156">
            <v>6836.4709999999995</v>
          </cell>
          <cell r="CM2156" t="str">
            <v xml:space="preserve">NFT-425000978GN00015XXXXXXX </v>
          </cell>
          <cell r="CN2156" t="str">
            <v>2024-09-06</v>
          </cell>
          <cell r="CO2156">
            <v>1036.8610000000001</v>
          </cell>
        </row>
        <row r="2158">
          <cell r="CJ2158" t="str">
            <v xml:space="preserve">NFT-425000928GN00239XXXXXXX </v>
          </cell>
          <cell r="CK2158" t="str">
            <v>2024-09-06</v>
          </cell>
          <cell r="CL2158">
            <v>12891.442999999999</v>
          </cell>
          <cell r="CM2158" t="str">
            <v xml:space="preserve">NFT-425000978GN00015XXXXXXX </v>
          </cell>
          <cell r="CN2158" t="str">
            <v>2024-09-06</v>
          </cell>
          <cell r="CO2158">
            <v>1797.5440000000001</v>
          </cell>
        </row>
        <row r="2159">
          <cell r="CJ2159" t="str">
            <v xml:space="preserve">NFT-425000928GN00239XXXXXXX </v>
          </cell>
          <cell r="CK2159" t="str">
            <v>2024-09-06</v>
          </cell>
          <cell r="CL2159">
            <v>13334.732</v>
          </cell>
          <cell r="CM2159" t="str">
            <v xml:space="preserve">NFT-425000978GN00015XXXXXXX </v>
          </cell>
          <cell r="CN2159" t="str">
            <v>2024-09-06</v>
          </cell>
          <cell r="CO2159">
            <v>1354.2550000000001</v>
          </cell>
        </row>
        <row r="2160">
          <cell r="CJ2160" t="str">
            <v xml:space="preserve">NFT-425000928GN00239XXXXXXX </v>
          </cell>
          <cell r="CK2160" t="str">
            <v>2024-09-06</v>
          </cell>
          <cell r="CL2160">
            <v>6855.3509999999997</v>
          </cell>
          <cell r="CM2160" t="str">
            <v xml:space="preserve">NFT-425000978GN00015XXXXXXX </v>
          </cell>
          <cell r="CN2160" t="str">
            <v>2024-09-06</v>
          </cell>
          <cell r="CO2160">
            <v>1036.8620000000001</v>
          </cell>
        </row>
        <row r="2161">
          <cell r="CJ2161" t="str">
            <v xml:space="preserve">NFT-425000928GN00239XXXXXXX </v>
          </cell>
          <cell r="CK2161" t="str">
            <v>2024-09-06</v>
          </cell>
          <cell r="CL2161">
            <v>6855.3509999999997</v>
          </cell>
          <cell r="CM2161" t="str">
            <v xml:space="preserve">NFT-425000978GN00015XXXXXXX </v>
          </cell>
          <cell r="CN2161" t="str">
            <v>2024-09-06</v>
          </cell>
          <cell r="CO2161">
            <v>1036.8620000000001</v>
          </cell>
        </row>
        <row r="2162">
          <cell r="CJ2162" t="str">
            <v xml:space="preserve">NFT-425000928GN00239XXXXXXX </v>
          </cell>
          <cell r="CK2162" t="str">
            <v>2024-09-06</v>
          </cell>
          <cell r="CL2162">
            <v>6836.4709999999995</v>
          </cell>
          <cell r="CM2162" t="str">
            <v xml:space="preserve">NFT-425000978GN00015XXXXXXX </v>
          </cell>
          <cell r="CN2162" t="str">
            <v>2024-09-06</v>
          </cell>
          <cell r="CO2162">
            <v>1036.8610000000001</v>
          </cell>
        </row>
        <row r="2163">
          <cell r="CJ2163" t="str">
            <v xml:space="preserve">NFT-425000928GN00239XXXXXXX </v>
          </cell>
          <cell r="CK2163" t="str">
            <v>2024-09-06</v>
          </cell>
          <cell r="CL2163">
            <v>6855.3509999999997</v>
          </cell>
          <cell r="CM2163" t="str">
            <v xml:space="preserve">NFT-425000978GN00015XXXXXXX </v>
          </cell>
          <cell r="CN2163" t="str">
            <v>2024-09-06</v>
          </cell>
          <cell r="CO2163">
            <v>1036.8610000000001</v>
          </cell>
        </row>
        <row r="2164">
          <cell r="CJ2164" t="str">
            <v xml:space="preserve">NFT-425000928GN00239XXXXXXX </v>
          </cell>
          <cell r="CK2164" t="str">
            <v>2024-09-06</v>
          </cell>
          <cell r="CL2164">
            <v>6855.3509999999997</v>
          </cell>
          <cell r="CM2164" t="str">
            <v xml:space="preserve">NFT-425000978GN00015XXXXXXX </v>
          </cell>
          <cell r="CN2164" t="str">
            <v>2024-09-06</v>
          </cell>
          <cell r="CO2164">
            <v>1036.8620000000001</v>
          </cell>
        </row>
        <row r="2165">
          <cell r="CJ2165" t="str">
            <v xml:space="preserve">NFT-425000928GN00239XXXXXXX </v>
          </cell>
          <cell r="CK2165" t="str">
            <v>2024-09-06</v>
          </cell>
          <cell r="CL2165">
            <v>35822.995000000003</v>
          </cell>
          <cell r="CM2165" t="str">
            <v xml:space="preserve">NFT-425000978GN00015XXXXXXX </v>
          </cell>
          <cell r="CN2165" t="str">
            <v>2024-09-06</v>
          </cell>
          <cell r="CO2165">
            <v>3078.8429999999998</v>
          </cell>
        </row>
        <row r="2166">
          <cell r="CJ2166" t="str">
            <v xml:space="preserve">NFT-425000928GN00239XXXXXXX </v>
          </cell>
          <cell r="CK2166" t="str">
            <v>2024-09-06</v>
          </cell>
          <cell r="CL2166">
            <v>7094.8450000000003</v>
          </cell>
          <cell r="CM2166" t="str">
            <v xml:space="preserve">NFT-425000978GN00015XXXXXXX </v>
          </cell>
          <cell r="CN2166" t="str">
            <v>2024-09-06</v>
          </cell>
          <cell r="CO2166">
            <v>797.36699999999996</v>
          </cell>
        </row>
        <row r="2167">
          <cell r="CJ2167" t="str">
            <v xml:space="preserve">NFT-425000928GN00239XXXXXXX </v>
          </cell>
          <cell r="CK2167" t="str">
            <v>2024-09-06</v>
          </cell>
          <cell r="CL2167">
            <v>6969.808</v>
          </cell>
          <cell r="CM2167" t="str">
            <v xml:space="preserve">NFT-425000978GN00015XXXXXXX </v>
          </cell>
          <cell r="CN2167" t="str">
            <v>2024-09-06</v>
          </cell>
          <cell r="CO2167">
            <v>922.404</v>
          </cell>
        </row>
        <row r="2168">
          <cell r="CJ2168" t="str">
            <v xml:space="preserve">NFT-425000928GN00239XXXXXXX </v>
          </cell>
          <cell r="CK2168" t="str">
            <v>2024-09-06</v>
          </cell>
          <cell r="CL2168">
            <v>6836.4709999999995</v>
          </cell>
          <cell r="CM2168" t="str">
            <v xml:space="preserve">NFT-425000978GN00015XXXXXXX </v>
          </cell>
          <cell r="CN2168" t="str">
            <v>2024-09-06</v>
          </cell>
          <cell r="CO2168">
            <v>1036.8610000000001</v>
          </cell>
          <cell r="CP2168" t="str">
            <v xml:space="preserve">NFT-425700941GN00221XXXXXXX </v>
          </cell>
          <cell r="CQ2168" t="str">
            <v>2024-09-13</v>
          </cell>
          <cell r="CR2168">
            <v>-6836.4709999999995</v>
          </cell>
          <cell r="CS2168" t="str">
            <v xml:space="preserve">NFT-425701003GN00065XXXXXXX </v>
          </cell>
          <cell r="CT2168" t="str">
            <v>2024-09-13</v>
          </cell>
          <cell r="CU2168">
            <v>-1036.8610000000001</v>
          </cell>
        </row>
        <row r="2169">
          <cell r="CJ2169" t="str">
            <v xml:space="preserve">NFT-425000928GN00239XXXXXXX </v>
          </cell>
          <cell r="CK2169" t="str">
            <v>2024-09-06</v>
          </cell>
          <cell r="CL2169">
            <v>13334.732</v>
          </cell>
          <cell r="CM2169" t="str">
            <v xml:space="preserve">NFT-425000978GN00015XXXXXXX </v>
          </cell>
          <cell r="CN2169" t="str">
            <v>2024-09-06</v>
          </cell>
          <cell r="CO2169">
            <v>1354.2550000000001</v>
          </cell>
        </row>
        <row r="2170">
          <cell r="CJ2170" t="str">
            <v xml:space="preserve">NFT-425000928GN00239XXXXXXX </v>
          </cell>
          <cell r="CK2170" t="str">
            <v>2024-09-06</v>
          </cell>
          <cell r="CL2170">
            <v>6836.4709999999995</v>
          </cell>
          <cell r="CM2170" t="str">
            <v xml:space="preserve">NFT-425000978GN00015XXXXXXX </v>
          </cell>
          <cell r="CN2170" t="str">
            <v>2024-09-06</v>
          </cell>
          <cell r="CO2170">
            <v>1036.8610000000001</v>
          </cell>
        </row>
        <row r="2171">
          <cell r="CJ2171" t="str">
            <v xml:space="preserve">NFT-425000928GN00239XXXXXXX </v>
          </cell>
          <cell r="CK2171" t="str">
            <v>2024-09-06</v>
          </cell>
          <cell r="CL2171">
            <v>35822.993999999999</v>
          </cell>
          <cell r="CM2171" t="str">
            <v xml:space="preserve">NFT-425000978GN00015XXXXXXX </v>
          </cell>
          <cell r="CN2171" t="str">
            <v>2024-09-06</v>
          </cell>
          <cell r="CO2171">
            <v>3078.8440000000001</v>
          </cell>
        </row>
        <row r="2172">
          <cell r="CJ2172" t="str">
            <v xml:space="preserve">NFT-425000928GN00239XXXXXXX </v>
          </cell>
          <cell r="CK2172" t="str">
            <v>2024-09-06</v>
          </cell>
          <cell r="CL2172">
            <v>13929.052</v>
          </cell>
          <cell r="CM2172" t="str">
            <v xml:space="preserve">NFT-425000978GN00015XXXXXXX </v>
          </cell>
          <cell r="CN2172" t="str">
            <v>2024-09-06</v>
          </cell>
          <cell r="CO2172">
            <v>1706.2950000000001</v>
          </cell>
        </row>
        <row r="2173">
          <cell r="CJ2173" t="str">
            <v xml:space="preserve">NFT-425000928GN00239XXXXXXX </v>
          </cell>
          <cell r="CK2173" t="str">
            <v>2024-09-06</v>
          </cell>
          <cell r="CL2173">
            <v>6835.5050000000001</v>
          </cell>
          <cell r="CM2173" t="str">
            <v xml:space="preserve">NFT-425000978GN00015XXXXXXX </v>
          </cell>
          <cell r="CN2173" t="str">
            <v>2024-09-06</v>
          </cell>
          <cell r="CO2173">
            <v>1037.827</v>
          </cell>
        </row>
        <row r="2174">
          <cell r="CJ2174" t="str">
            <v xml:space="preserve">NFT-425000928GN00239XXXXXXX </v>
          </cell>
          <cell r="CK2174" t="str">
            <v>2024-09-06</v>
          </cell>
          <cell r="CL2174">
            <v>13823.588</v>
          </cell>
          <cell r="CM2174" t="str">
            <v xml:space="preserve">NFT-425000978GN00015XXXXXXX </v>
          </cell>
          <cell r="CN2174" t="str">
            <v>2024-09-06</v>
          </cell>
          <cell r="CO2174">
            <v>1942.912</v>
          </cell>
        </row>
        <row r="2175">
          <cell r="CJ2175" t="str">
            <v xml:space="preserve">NFT-425000928GN00239XXXXXXX </v>
          </cell>
          <cell r="CK2175" t="str">
            <v>2024-09-06</v>
          </cell>
          <cell r="CL2175">
            <v>12872.563</v>
          </cell>
          <cell r="CM2175" t="str">
            <v xml:space="preserve">NFT-425000978GN00015XXXXXXX </v>
          </cell>
          <cell r="CN2175" t="str">
            <v>2024-09-06</v>
          </cell>
          <cell r="CO2175">
            <v>1797.5450000000001</v>
          </cell>
        </row>
        <row r="2176">
          <cell r="CJ2176" t="str">
            <v xml:space="preserve">NFT-425000928GN00239XXXXXXX </v>
          </cell>
          <cell r="CK2176" t="str">
            <v>2024-09-06</v>
          </cell>
          <cell r="CL2176">
            <v>71648.88</v>
          </cell>
          <cell r="CM2176" t="str">
            <v xml:space="preserve">NFT-425000978GN00015XXXXXXX </v>
          </cell>
          <cell r="CN2176" t="str">
            <v>2024-09-06</v>
          </cell>
          <cell r="CO2176">
            <v>6111.5169999999998</v>
          </cell>
        </row>
        <row r="2177">
          <cell r="CJ2177" t="str">
            <v xml:space="preserve">NFT-425000928GN00239XXXXXXX </v>
          </cell>
          <cell r="CK2177" t="str">
            <v>2024-09-06</v>
          </cell>
          <cell r="CL2177">
            <v>6992.8879999999999</v>
          </cell>
          <cell r="CM2177" t="str">
            <v xml:space="preserve">NFT-425000978GN00015XXXXXXX </v>
          </cell>
          <cell r="CN2177" t="str">
            <v>2024-09-06</v>
          </cell>
          <cell r="CO2177">
            <v>899.31500000000005</v>
          </cell>
        </row>
        <row r="2178">
          <cell r="CJ2178" t="str">
            <v xml:space="preserve">NFT-425000928GN00239XXXXXXX </v>
          </cell>
          <cell r="CK2178" t="str">
            <v>2024-09-06</v>
          </cell>
          <cell r="CL2178">
            <v>6855.3509999999997</v>
          </cell>
          <cell r="CM2178" t="str">
            <v xml:space="preserve">NFT-425000978GN00015XXXXXXX </v>
          </cell>
          <cell r="CN2178" t="str">
            <v>2024-09-06</v>
          </cell>
          <cell r="CO2178">
            <v>1036.8620000000001</v>
          </cell>
        </row>
        <row r="2179">
          <cell r="CJ2179" t="str">
            <v xml:space="preserve">NFT-425000928GN00239XXXXXXX </v>
          </cell>
          <cell r="CK2179" t="str">
            <v>2024-09-06</v>
          </cell>
          <cell r="CL2179">
            <v>12872.563</v>
          </cell>
          <cell r="CM2179" t="str">
            <v xml:space="preserve">NFT-425000978GN00015XXXXXXX </v>
          </cell>
          <cell r="CN2179" t="str">
            <v>2024-09-06</v>
          </cell>
          <cell r="CO2179">
            <v>1797.5450000000001</v>
          </cell>
        </row>
        <row r="2180">
          <cell r="CJ2180" t="str">
            <v xml:space="preserve">NFT-425000928GN00239XXXXXXX </v>
          </cell>
          <cell r="CK2180" t="str">
            <v>2024-09-06</v>
          </cell>
          <cell r="CL2180">
            <v>23657.745999999999</v>
          </cell>
        </row>
        <row r="2181">
          <cell r="CJ2181" t="str">
            <v xml:space="preserve">NFT-425000928GN00239XXXXXXX </v>
          </cell>
          <cell r="CK2181" t="str">
            <v>2024-09-06</v>
          </cell>
          <cell r="CL2181">
            <v>6855.3509999999997</v>
          </cell>
          <cell r="CM2181" t="str">
            <v xml:space="preserve">NFT-425000978GN00015XXXXXXX </v>
          </cell>
          <cell r="CN2181" t="str">
            <v>2024-09-06</v>
          </cell>
          <cell r="CO2181">
            <v>1036.8610000000001</v>
          </cell>
        </row>
        <row r="2182">
          <cell r="CJ2182" t="str">
            <v xml:space="preserve">NFT-425000928GN00239XXXXXXX </v>
          </cell>
          <cell r="CK2182" t="str">
            <v>2024-09-06</v>
          </cell>
          <cell r="CL2182">
            <v>13334.732</v>
          </cell>
          <cell r="CM2182" t="str">
            <v xml:space="preserve">NFT-425000978GN00015XXXXXXX </v>
          </cell>
          <cell r="CN2182" t="str">
            <v>2024-09-06</v>
          </cell>
          <cell r="CO2182">
            <v>1354.2550000000001</v>
          </cell>
        </row>
        <row r="2183">
          <cell r="CJ2183" t="str">
            <v xml:space="preserve">NFT-425000928GN00239XXXXXXX </v>
          </cell>
          <cell r="CK2183" t="str">
            <v>2024-09-06</v>
          </cell>
          <cell r="CL2183">
            <v>8962.7330000000002</v>
          </cell>
          <cell r="CM2183" t="str">
            <v xml:space="preserve">NFT-425000978GN00015XXXXXXX </v>
          </cell>
          <cell r="CN2183" t="str">
            <v>2024-09-06</v>
          </cell>
          <cell r="CO2183">
            <v>1353.31</v>
          </cell>
        </row>
        <row r="2184">
          <cell r="CJ2184" t="str">
            <v xml:space="preserve">NFT-425000928GN00239XXXXXXX </v>
          </cell>
          <cell r="CK2184" t="str">
            <v>2024-09-06</v>
          </cell>
          <cell r="CL2184">
            <v>12872.563</v>
          </cell>
          <cell r="CM2184" t="str">
            <v xml:space="preserve">NFT-425000978GN00015XXXXXXX </v>
          </cell>
          <cell r="CN2184" t="str">
            <v>2024-09-06</v>
          </cell>
          <cell r="CO2184">
            <v>1797.5450000000001</v>
          </cell>
        </row>
        <row r="2185">
          <cell r="CJ2185" t="str">
            <v xml:space="preserve">NFT-425000928GN00239XXXXXXX </v>
          </cell>
          <cell r="CK2185" t="str">
            <v>2024-09-06</v>
          </cell>
          <cell r="CL2185">
            <v>14211.472</v>
          </cell>
          <cell r="CM2185" t="str">
            <v xml:space="preserve">NFT-425000978GN00015XXXXXXX </v>
          </cell>
          <cell r="CN2185" t="str">
            <v>2024-09-06</v>
          </cell>
          <cell r="CO2185">
            <v>1442.7550000000001</v>
          </cell>
        </row>
        <row r="2186">
          <cell r="CJ2186" t="str">
            <v xml:space="preserve">NFT-425000928GN00239XXXXXXX </v>
          </cell>
          <cell r="CK2186" t="str">
            <v>2024-09-06</v>
          </cell>
          <cell r="CL2186">
            <v>74462.252999999997</v>
          </cell>
          <cell r="CM2186" t="str">
            <v xml:space="preserve">NFT-425000978GN00015XXXXXXX </v>
          </cell>
          <cell r="CN2186" t="str">
            <v>2024-09-06</v>
          </cell>
          <cell r="CO2186">
            <v>3298.143</v>
          </cell>
        </row>
        <row r="2187">
          <cell r="CJ2187" t="str">
            <v xml:space="preserve">NFT-425000928GN00239XXXXXXX </v>
          </cell>
          <cell r="CK2187" t="str">
            <v>2024-09-06</v>
          </cell>
          <cell r="CL2187">
            <v>14192.592000000001</v>
          </cell>
          <cell r="CM2187" t="str">
            <v xml:space="preserve">NFT-425000978GN00015XXXXXXX </v>
          </cell>
          <cell r="CN2187" t="str">
            <v>2024-09-06</v>
          </cell>
          <cell r="CO2187">
            <v>1442.7550000000001</v>
          </cell>
        </row>
        <row r="2188">
          <cell r="CJ2188" t="str">
            <v xml:space="preserve">NFT-425000928GN00239XXXXXXX </v>
          </cell>
          <cell r="CK2188" t="str">
            <v>2024-09-06</v>
          </cell>
          <cell r="CL2188">
            <v>13287.789000000001</v>
          </cell>
          <cell r="CM2188" t="str">
            <v xml:space="preserve">NFT-425000978GN00015XXXXXXX </v>
          </cell>
          <cell r="CN2188" t="str">
            <v>2024-09-06</v>
          </cell>
          <cell r="CO2188">
            <v>1401.1980000000001</v>
          </cell>
        </row>
        <row r="2189">
          <cell r="CJ2189" t="str">
            <v xml:space="preserve">NFT-425000928GN00239XXXXXXX </v>
          </cell>
          <cell r="CK2189" t="str">
            <v>2024-09-06</v>
          </cell>
          <cell r="CL2189">
            <v>12891.442999999999</v>
          </cell>
          <cell r="CM2189" t="str">
            <v xml:space="preserve">NFT-425000978GN00015XXXXXXX </v>
          </cell>
          <cell r="CN2189" t="str">
            <v>2024-09-06</v>
          </cell>
          <cell r="CO2189">
            <v>1797.5450000000001</v>
          </cell>
        </row>
        <row r="2190">
          <cell r="CJ2190" t="str">
            <v xml:space="preserve">NFT-425000928GN00239XXXXXXX </v>
          </cell>
          <cell r="CK2190" t="str">
            <v>2024-09-06</v>
          </cell>
          <cell r="CL2190">
            <v>6855.3509999999997</v>
          </cell>
          <cell r="CM2190" t="str">
            <v xml:space="preserve">NFT-425000978GN00015XXXXXXX </v>
          </cell>
          <cell r="CN2190" t="str">
            <v>2024-09-06</v>
          </cell>
          <cell r="CO2190">
            <v>1036.8610000000001</v>
          </cell>
        </row>
        <row r="2191">
          <cell r="CJ2191" t="str">
            <v xml:space="preserve">NFT-425000928GN00239XXXXXXX </v>
          </cell>
          <cell r="CK2191" t="str">
            <v>2024-09-06</v>
          </cell>
          <cell r="CL2191">
            <v>13334.732</v>
          </cell>
          <cell r="CM2191" t="str">
            <v xml:space="preserve">NFT-425000978GN00015XXXXXXX </v>
          </cell>
          <cell r="CN2191" t="str">
            <v>2024-09-06</v>
          </cell>
          <cell r="CO2191">
            <v>1354.2550000000001</v>
          </cell>
        </row>
        <row r="2192">
          <cell r="CJ2192" t="str">
            <v xml:space="preserve">NFT-425000928GN00239XXXXXXX </v>
          </cell>
          <cell r="CK2192" t="str">
            <v>2024-09-06</v>
          </cell>
          <cell r="CL2192">
            <v>13862.662</v>
          </cell>
          <cell r="CM2192" t="str">
            <v xml:space="preserve">NFT-425000978GN00015XXXXXXX </v>
          </cell>
          <cell r="CN2192" t="str">
            <v>2024-09-06</v>
          </cell>
          <cell r="CO2192">
            <v>1921.752</v>
          </cell>
        </row>
        <row r="2193">
          <cell r="CJ2193" t="str">
            <v xml:space="preserve">NFT-425000928GN00239XXXXXXX </v>
          </cell>
          <cell r="CK2193" t="str">
            <v>2024-09-06</v>
          </cell>
          <cell r="CL2193">
            <v>6836.4709999999995</v>
          </cell>
          <cell r="CM2193" t="str">
            <v xml:space="preserve">NFT-425000978GN00015XXXXXXX </v>
          </cell>
          <cell r="CN2193" t="str">
            <v>2024-09-06</v>
          </cell>
          <cell r="CO2193">
            <v>1036.8610000000001</v>
          </cell>
        </row>
        <row r="2194">
          <cell r="CJ2194" t="str">
            <v xml:space="preserve">NFT-425000928GN00239XXXXXXX </v>
          </cell>
          <cell r="CK2194" t="str">
            <v>2024-09-06</v>
          </cell>
          <cell r="CL2194">
            <v>8733.8189999999995</v>
          </cell>
          <cell r="CM2194" t="str">
            <v xml:space="preserve">NFT-425000978GN00015XXXXXXX </v>
          </cell>
          <cell r="CN2194" t="str">
            <v>2024-09-06</v>
          </cell>
          <cell r="CO2194">
            <v>1264.82</v>
          </cell>
        </row>
        <row r="2195">
          <cell r="CJ2195" t="str">
            <v xml:space="preserve">NFT-425000928GN00239XXXXXXX </v>
          </cell>
          <cell r="CK2195" t="str">
            <v>2024-09-06</v>
          </cell>
          <cell r="CL2195">
            <v>6855.3509999999997</v>
          </cell>
          <cell r="CM2195" t="str">
            <v xml:space="preserve">NFT-425000978GN00015XXXXXXX </v>
          </cell>
          <cell r="CN2195" t="str">
            <v>2024-09-06</v>
          </cell>
          <cell r="CO2195">
            <v>1036.8610000000001</v>
          </cell>
        </row>
        <row r="2196">
          <cell r="CJ2196" t="str">
            <v xml:space="preserve">NFT-425000928GN00239XXXXXXX </v>
          </cell>
          <cell r="CK2196" t="str">
            <v>2024-09-06</v>
          </cell>
          <cell r="CL2196">
            <v>12872.563</v>
          </cell>
          <cell r="CM2196" t="str">
            <v xml:space="preserve">NFT-425000978GN00015XXXXXXX </v>
          </cell>
          <cell r="CN2196" t="str">
            <v>2024-09-06</v>
          </cell>
          <cell r="CO2196">
            <v>1797.5450000000001</v>
          </cell>
        </row>
        <row r="2197">
          <cell r="CJ2197" t="str">
            <v xml:space="preserve">NFT-425000928GN00239XXXXXXX </v>
          </cell>
          <cell r="CK2197" t="str">
            <v>2024-09-06</v>
          </cell>
          <cell r="CL2197">
            <v>35804.114000000001</v>
          </cell>
          <cell r="CM2197" t="str">
            <v xml:space="preserve">NFT-425000978GN00015XXXXXXX </v>
          </cell>
          <cell r="CN2197" t="str">
            <v>2024-09-06</v>
          </cell>
          <cell r="CO2197">
            <v>3078.8440000000001</v>
          </cell>
        </row>
        <row r="2198">
          <cell r="CJ2198" t="str">
            <v xml:space="preserve">NFT-425000928GN00239XXXXXXX </v>
          </cell>
          <cell r="CK2198" t="str">
            <v>2024-09-06</v>
          </cell>
          <cell r="CL2198">
            <v>38882.947</v>
          </cell>
        </row>
        <row r="2199">
          <cell r="CJ2199" t="str">
            <v xml:space="preserve">NFT-425000928GN00239XXXXXXX </v>
          </cell>
          <cell r="CK2199" t="str">
            <v>2024-09-06</v>
          </cell>
          <cell r="CL2199">
            <v>7892.2120000000004</v>
          </cell>
        </row>
        <row r="2200">
          <cell r="CJ2200" t="str">
            <v xml:space="preserve">NFT-425000928GN00239XXXXXXX </v>
          </cell>
          <cell r="CK2200" t="str">
            <v>2024-09-06</v>
          </cell>
          <cell r="CL2200">
            <v>13315.852000000001</v>
          </cell>
          <cell r="CM2200" t="str">
            <v xml:space="preserve">NFT-425000978GN00015XXXXXXX </v>
          </cell>
          <cell r="CN2200" t="str">
            <v>2024-09-06</v>
          </cell>
          <cell r="CO2200">
            <v>1354.2550000000001</v>
          </cell>
        </row>
        <row r="2201">
          <cell r="CJ2201" t="str">
            <v xml:space="preserve">NFT-425000928GN00239XXXXXXX </v>
          </cell>
          <cell r="CK2201" t="str">
            <v>2024-09-06</v>
          </cell>
          <cell r="CL2201">
            <v>13843.781999999999</v>
          </cell>
          <cell r="CM2201" t="str">
            <v xml:space="preserve">NFT-425000978GN00015XXXXXXX </v>
          </cell>
          <cell r="CN2201" t="str">
            <v>2024-09-06</v>
          </cell>
          <cell r="CO2201">
            <v>1921.752</v>
          </cell>
        </row>
        <row r="2202">
          <cell r="CJ2202" t="str">
            <v xml:space="preserve">NFT-425000928GN00239XXXXXXX </v>
          </cell>
          <cell r="CK2202" t="str">
            <v>2024-09-06</v>
          </cell>
          <cell r="CL2202">
            <v>6855.3509999999997</v>
          </cell>
          <cell r="CM2202" t="str">
            <v xml:space="preserve">NFT-425000978GN00015XXXXXXX </v>
          </cell>
          <cell r="CN2202" t="str">
            <v>2024-09-06</v>
          </cell>
          <cell r="CO2202">
            <v>1036.8620000000001</v>
          </cell>
        </row>
        <row r="2203">
          <cell r="CJ2203" t="str">
            <v xml:space="preserve">NFT-425000928GN00239XXXXXXX </v>
          </cell>
          <cell r="CK2203" t="str">
            <v>2024-09-06</v>
          </cell>
          <cell r="CL2203">
            <v>13315.852000000001</v>
          </cell>
          <cell r="CM2203" t="str">
            <v xml:space="preserve">NFT-425000978GN00015XXXXXXX </v>
          </cell>
          <cell r="CN2203" t="str">
            <v>2024-09-06</v>
          </cell>
          <cell r="CO2203">
            <v>1354.2550000000001</v>
          </cell>
        </row>
        <row r="2204">
          <cell r="CJ2204" t="str">
            <v xml:space="preserve">NFT-425000928GN00239XXXXXXX </v>
          </cell>
          <cell r="CK2204" t="str">
            <v>2024-09-06</v>
          </cell>
          <cell r="CL2204">
            <v>7075.9650000000001</v>
          </cell>
          <cell r="CM2204" t="str">
            <v xml:space="preserve">NFT-425000978GN00015XXXXXXX </v>
          </cell>
          <cell r="CN2204" t="str">
            <v>2024-09-06</v>
          </cell>
          <cell r="CO2204">
            <v>797.36699999999996</v>
          </cell>
        </row>
        <row r="2205">
          <cell r="CJ2205" t="str">
            <v xml:space="preserve">NFT-425000928GN00239XXXXXXX </v>
          </cell>
          <cell r="CK2205" t="str">
            <v>2024-09-06</v>
          </cell>
          <cell r="CL2205">
            <v>12784.985000000001</v>
          </cell>
          <cell r="CM2205" t="str">
            <v xml:space="preserve">NFT-425000978GN00015XXXXXXX </v>
          </cell>
          <cell r="CN2205" t="str">
            <v>2024-09-06</v>
          </cell>
          <cell r="CO2205">
            <v>1885.1220000000001</v>
          </cell>
        </row>
        <row r="2206">
          <cell r="CJ2206" t="str">
            <v xml:space="preserve">NFT-425000928GN00239XXXXXXX </v>
          </cell>
          <cell r="CK2206" t="str">
            <v>2024-09-06</v>
          </cell>
          <cell r="CL2206">
            <v>12872.563</v>
          </cell>
          <cell r="CM2206" t="str">
            <v xml:space="preserve">NFT-425000978GN00015XXXXXXX </v>
          </cell>
          <cell r="CN2206" t="str">
            <v>2024-09-06</v>
          </cell>
          <cell r="CO2206">
            <v>1797.5450000000001</v>
          </cell>
        </row>
        <row r="2207">
          <cell r="CJ2207" t="str">
            <v xml:space="preserve">NFT-425000928GN00239XXXXXXX </v>
          </cell>
          <cell r="CK2207" t="str">
            <v>2024-09-06</v>
          </cell>
          <cell r="CL2207">
            <v>6855.3509999999997</v>
          </cell>
          <cell r="CM2207" t="str">
            <v xml:space="preserve">NFT-425000978GN00015XXXXXXX </v>
          </cell>
          <cell r="CN2207" t="str">
            <v>2024-09-06</v>
          </cell>
          <cell r="CO2207">
            <v>1036.8620000000001</v>
          </cell>
        </row>
        <row r="2208">
          <cell r="CJ2208" t="str">
            <v xml:space="preserve">NFT-425000928GN00239XXXXXXX </v>
          </cell>
          <cell r="CK2208" t="str">
            <v>2024-09-06</v>
          </cell>
          <cell r="CL2208">
            <v>6876.8689999999997</v>
          </cell>
          <cell r="CM2208" t="str">
            <v xml:space="preserve">NFT-425000978GN00015XXXXXXX </v>
          </cell>
          <cell r="CN2208" t="str">
            <v>2024-09-06</v>
          </cell>
          <cell r="CO2208">
            <v>996.46299999999997</v>
          </cell>
        </row>
        <row r="2209">
          <cell r="CJ2209" t="str">
            <v xml:space="preserve">NFT-425000928GN00239XXXXXXX </v>
          </cell>
          <cell r="CK2209" t="str">
            <v>2024-09-06</v>
          </cell>
          <cell r="CL2209">
            <v>36978.152999999998</v>
          </cell>
          <cell r="CM2209" t="str">
            <v xml:space="preserve">NFT-425000978GN00015XXXXXXX </v>
          </cell>
          <cell r="CN2209" t="str">
            <v>2024-09-06</v>
          </cell>
          <cell r="CO2209">
            <v>1923.674</v>
          </cell>
        </row>
        <row r="2210">
          <cell r="CJ2210" t="str">
            <v xml:space="preserve">NFT-425000928GN00239XXXXXXX </v>
          </cell>
          <cell r="CK2210" t="str">
            <v>2024-09-06</v>
          </cell>
          <cell r="CL2210">
            <v>6836.4709999999995</v>
          </cell>
          <cell r="CM2210" t="str">
            <v xml:space="preserve">NFT-425000978GN00015XXXXXXX </v>
          </cell>
          <cell r="CN2210" t="str">
            <v>2024-09-06</v>
          </cell>
          <cell r="CO2210">
            <v>1036.8610000000001</v>
          </cell>
        </row>
        <row r="2211">
          <cell r="CJ2211" t="str">
            <v xml:space="preserve">NFT-425000928GN00239XXXXXXX </v>
          </cell>
          <cell r="CK2211" t="str">
            <v>2024-09-06</v>
          </cell>
          <cell r="CL2211">
            <v>14211.472</v>
          </cell>
          <cell r="CM2211" t="str">
            <v xml:space="preserve">NFT-425000978GN00015XXXXXXX </v>
          </cell>
          <cell r="CN2211" t="str">
            <v>2024-09-06</v>
          </cell>
          <cell r="CO2211">
            <v>1442.7550000000001</v>
          </cell>
        </row>
        <row r="2212">
          <cell r="CJ2212" t="str">
            <v xml:space="preserve">NFT-425000928GN00239XXXXXXX </v>
          </cell>
          <cell r="CK2212" t="str">
            <v>2024-09-06</v>
          </cell>
          <cell r="CL2212">
            <v>6836.4709999999995</v>
          </cell>
          <cell r="CM2212" t="str">
            <v xml:space="preserve">NFT-425000978GN00015XXXXXXX </v>
          </cell>
          <cell r="CN2212" t="str">
            <v>2024-09-06</v>
          </cell>
          <cell r="CO2212">
            <v>1036.8610000000001</v>
          </cell>
        </row>
        <row r="2213">
          <cell r="CJ2213" t="str">
            <v xml:space="preserve">NFT-425000928GN00239XXXXXXX </v>
          </cell>
          <cell r="CK2213" t="str">
            <v>2024-09-06</v>
          </cell>
          <cell r="CL2213">
            <v>12891.442999999999</v>
          </cell>
          <cell r="CM2213" t="str">
            <v xml:space="preserve">NFT-425000978GN00015XXXXXXX </v>
          </cell>
          <cell r="CN2213" t="str">
            <v>2024-09-06</v>
          </cell>
          <cell r="CO2213">
            <v>1797.5440000000001</v>
          </cell>
        </row>
        <row r="2214">
          <cell r="CJ2214" t="str">
            <v xml:space="preserve">NFT-425000928GN00239XXXXXXX </v>
          </cell>
          <cell r="CK2214" t="str">
            <v>2024-09-06</v>
          </cell>
          <cell r="CL2214">
            <v>77760.396999999997</v>
          </cell>
        </row>
        <row r="2215">
          <cell r="CJ2215" t="str">
            <v xml:space="preserve">NFT-425000928GN00239XXXXXXX </v>
          </cell>
          <cell r="CK2215" t="str">
            <v>2024-09-06</v>
          </cell>
          <cell r="CL2215">
            <v>5034.9480000000003</v>
          </cell>
          <cell r="CM2215" t="str">
            <v xml:space="preserve">NFT-425000978GN00015XXXXXXX </v>
          </cell>
          <cell r="CN2215" t="str">
            <v>2024-09-06</v>
          </cell>
          <cell r="CO2215">
            <v>49.057000000000002</v>
          </cell>
        </row>
        <row r="2216">
          <cell r="CJ2216" t="str">
            <v xml:space="preserve">NFT-425000928GN00239XXXXXXX </v>
          </cell>
          <cell r="CK2216" t="str">
            <v>2024-09-06</v>
          </cell>
          <cell r="CL2216">
            <v>7872.973</v>
          </cell>
        </row>
        <row r="2217">
          <cell r="CJ2217" t="str">
            <v xml:space="preserve">NFT-425000928GN00239XXXXXXX </v>
          </cell>
          <cell r="CK2217" t="str">
            <v>2024-09-06</v>
          </cell>
          <cell r="CL2217">
            <v>7872.973</v>
          </cell>
        </row>
        <row r="2218">
          <cell r="CJ2218" t="str">
            <v xml:space="preserve">NFT-425000928GN00239XXXXXXX </v>
          </cell>
          <cell r="CK2218" t="str">
            <v>2024-09-06</v>
          </cell>
          <cell r="CL2218">
            <v>2438.5949999999998</v>
          </cell>
        </row>
        <row r="2219">
          <cell r="CJ2219" t="str">
            <v xml:space="preserve">NFT-425000928GN00239XXXXXXX </v>
          </cell>
          <cell r="CK2219" t="str">
            <v>2024-09-06</v>
          </cell>
          <cell r="CL2219">
            <v>7268.3320000000003</v>
          </cell>
          <cell r="CM2219" t="str">
            <v xml:space="preserve">NFT-425000978GN00015XXXXXXX </v>
          </cell>
          <cell r="CN2219" t="str">
            <v>2024-09-06</v>
          </cell>
          <cell r="CO2219">
            <v>605</v>
          </cell>
        </row>
        <row r="2220">
          <cell r="CJ2220" t="str">
            <v xml:space="preserve">NFT-425000928GN00239XXXXXXX </v>
          </cell>
          <cell r="CK2220" t="str">
            <v>2024-09-06</v>
          </cell>
          <cell r="CL2220">
            <v>15736.505999999999</v>
          </cell>
        </row>
        <row r="2221">
          <cell r="CJ2221" t="str">
            <v xml:space="preserve">NFT-425000928GN00239XXXXXXX </v>
          </cell>
          <cell r="CK2221" t="str">
            <v>2024-09-06</v>
          </cell>
          <cell r="CL2221">
            <v>36891.593999999997</v>
          </cell>
          <cell r="CM2221" t="str">
            <v xml:space="preserve">NFT-425000978GN00015XXXXXXX </v>
          </cell>
          <cell r="CN2221" t="str">
            <v>2024-09-06</v>
          </cell>
          <cell r="CO2221">
            <v>1923.674</v>
          </cell>
        </row>
        <row r="2222">
          <cell r="CJ2222" t="str">
            <v xml:space="preserve">NFT-425000928GN00239XXXXXXX </v>
          </cell>
          <cell r="CK2222" t="str">
            <v>2024-09-06</v>
          </cell>
          <cell r="CL2222">
            <v>155202.856</v>
          </cell>
        </row>
        <row r="2223">
          <cell r="CJ2223" t="str">
            <v xml:space="preserve">NFT-425000928GN00239XXXXXXX </v>
          </cell>
          <cell r="CK2223" t="str">
            <v>2024-09-06</v>
          </cell>
          <cell r="CL2223">
            <v>14930.664000000001</v>
          </cell>
          <cell r="CM2223" t="str">
            <v xml:space="preserve">NFT-425000978GN00015XXXXXXX </v>
          </cell>
          <cell r="CN2223" t="str">
            <v>2024-09-06</v>
          </cell>
          <cell r="CO2223">
            <v>796.40200000000004</v>
          </cell>
        </row>
        <row r="2224">
          <cell r="CJ2224" t="str">
            <v xml:space="preserve">NFT-425000928GN00239XXXXXXX </v>
          </cell>
          <cell r="CK2224" t="str">
            <v>2024-09-06</v>
          </cell>
          <cell r="CL2224">
            <v>7058.6469999999999</v>
          </cell>
          <cell r="CM2224" t="str">
            <v xml:space="preserve">NFT-425000978GN00015XXXXXXX </v>
          </cell>
          <cell r="CN2224" t="str">
            <v>2024-09-06</v>
          </cell>
          <cell r="CO2224">
            <v>795.43600000000004</v>
          </cell>
        </row>
        <row r="2225">
          <cell r="CJ2225" t="str">
            <v xml:space="preserve">NFT-425000928GN00239XXXXXXX </v>
          </cell>
          <cell r="CK2225" t="str">
            <v>2024-09-06</v>
          </cell>
          <cell r="CL2225">
            <v>73739.92</v>
          </cell>
          <cell r="CM2225" t="str">
            <v xml:space="preserve">NFT-425000978GN00015XXXXXXX </v>
          </cell>
          <cell r="CN2225" t="str">
            <v>2024-09-06</v>
          </cell>
          <cell r="CO2225">
            <v>3847.348</v>
          </cell>
        </row>
        <row r="2226">
          <cell r="CJ2226" t="str">
            <v xml:space="preserve">NFT-425000928GN00239XXXXXXX </v>
          </cell>
          <cell r="CK2226" t="str">
            <v>2024-09-06</v>
          </cell>
          <cell r="CL2226">
            <v>38901.826999999997</v>
          </cell>
        </row>
        <row r="2227">
          <cell r="CJ2227" t="str">
            <v xml:space="preserve">NFT-425000928GN00239XXXXXXX </v>
          </cell>
          <cell r="CK2227" t="str">
            <v>2024-09-06</v>
          </cell>
          <cell r="CL2227">
            <v>15765.534</v>
          </cell>
        </row>
        <row r="2228">
          <cell r="CJ2228" t="str">
            <v xml:space="preserve">NFT-425000928GN00239XXXXXXX </v>
          </cell>
          <cell r="CK2228" t="str">
            <v>2024-09-06</v>
          </cell>
          <cell r="CL2228">
            <v>7844.4690000000001</v>
          </cell>
        </row>
        <row r="2229">
          <cell r="CJ2229" t="str">
            <v xml:space="preserve">NFT-425000928GN00239XXXXXXX </v>
          </cell>
          <cell r="CK2229" t="str">
            <v>2024-09-06</v>
          </cell>
          <cell r="CL2229">
            <v>77587.267999999996</v>
          </cell>
        </row>
        <row r="2231">
          <cell r="CJ2231" t="str">
            <v xml:space="preserve">NFT-425000928GN00239XXXXXXX </v>
          </cell>
          <cell r="CK2231" t="str">
            <v>2024-09-06</v>
          </cell>
          <cell r="CL2231">
            <v>5132.0959999999995</v>
          </cell>
        </row>
        <row r="2232">
          <cell r="CJ2232" t="str">
            <v xml:space="preserve">NFT-425000928GN00239XXXXXXX </v>
          </cell>
          <cell r="CK2232" t="str">
            <v>2024-09-06</v>
          </cell>
          <cell r="CL2232">
            <v>2438.953</v>
          </cell>
        </row>
        <row r="2233">
          <cell r="CJ2233" t="str">
            <v xml:space="preserve">NFT-425000928GN00239XXXXXXX </v>
          </cell>
          <cell r="CK2233" t="str">
            <v>2024-09-06</v>
          </cell>
          <cell r="CL2233">
            <v>7892.56</v>
          </cell>
        </row>
        <row r="2234">
          <cell r="CJ2234" t="str">
            <v xml:space="preserve">NFT-425000928GN00239XXXXXXX </v>
          </cell>
          <cell r="CK2234" t="str">
            <v>2024-09-06</v>
          </cell>
          <cell r="CL2234">
            <v>7572.27</v>
          </cell>
          <cell r="CM2234" t="str">
            <v xml:space="preserve">NFT-425000978GN00015XXXXXXX </v>
          </cell>
          <cell r="CN2234" t="str">
            <v>2024-09-06</v>
          </cell>
          <cell r="CO2234">
            <v>272.19799999999998</v>
          </cell>
        </row>
        <row r="2235">
          <cell r="CJ2235" t="str">
            <v xml:space="preserve">NFT-425300932GN00169XXXXXXX </v>
          </cell>
          <cell r="CK2235" t="str">
            <v>2024-09-09</v>
          </cell>
          <cell r="CL2235">
            <v>10364.125</v>
          </cell>
        </row>
        <row r="2236">
          <cell r="CJ2236" t="str">
            <v xml:space="preserve">NFT-425300932GN00169XXXXXXX </v>
          </cell>
          <cell r="CK2236" t="str">
            <v>2024-09-09</v>
          </cell>
          <cell r="CL2236">
            <v>7911.44</v>
          </cell>
        </row>
        <row r="2237">
          <cell r="CJ2237" t="str">
            <v xml:space="preserve">NFT-425300932GN00169XXXXXXX </v>
          </cell>
          <cell r="CK2237" t="str">
            <v>2024-09-09</v>
          </cell>
          <cell r="CL2237">
            <v>15692.705</v>
          </cell>
        </row>
        <row r="2238">
          <cell r="CJ2238" t="str">
            <v xml:space="preserve">NFT-425300932GN00169XXXXXXX </v>
          </cell>
          <cell r="CK2238" t="str">
            <v>2024-09-09</v>
          </cell>
          <cell r="CL2238">
            <v>14725.105</v>
          </cell>
          <cell r="CM2238" t="str">
            <v xml:space="preserve">NFT-425700941GN00221XXXXXXX </v>
          </cell>
          <cell r="CN2238" t="str">
            <v>2024-09-13</v>
          </cell>
          <cell r="CO2238">
            <v>-14725.105</v>
          </cell>
        </row>
        <row r="2239">
          <cell r="CJ2239" t="str">
            <v xml:space="preserve">NFT-425300932GN00169XXXXXXX </v>
          </cell>
          <cell r="CK2239" t="str">
            <v>2024-09-09</v>
          </cell>
          <cell r="CL2239">
            <v>7892.56</v>
          </cell>
        </row>
        <row r="2240">
          <cell r="CJ2240" t="str">
            <v xml:space="preserve">NFT-425300932GN00169XXXXXXX </v>
          </cell>
          <cell r="CK2240" t="str">
            <v>2024-09-09</v>
          </cell>
          <cell r="CL2240">
            <v>4026.3009999999999</v>
          </cell>
        </row>
        <row r="2241">
          <cell r="CJ2241" t="str">
            <v xml:space="preserve">NFT-425300932GN00169XXXXXXX </v>
          </cell>
          <cell r="CK2241" t="str">
            <v>2024-09-09</v>
          </cell>
          <cell r="CL2241">
            <v>10364.125</v>
          </cell>
        </row>
        <row r="2242">
          <cell r="CJ2242" t="str">
            <v xml:space="preserve">NFT-425300932GN00169XXXXXXX </v>
          </cell>
          <cell r="CK2242" t="str">
            <v>2024-09-09</v>
          </cell>
          <cell r="CL2242">
            <v>7911.44</v>
          </cell>
        </row>
        <row r="2243">
          <cell r="CJ2243" t="str">
            <v xml:space="preserve">NFT-425300932GN00169XXXXXXX </v>
          </cell>
          <cell r="CK2243" t="str">
            <v>2024-09-09</v>
          </cell>
          <cell r="CL2243">
            <v>15692.705</v>
          </cell>
        </row>
        <row r="2244">
          <cell r="CJ2244" t="str">
            <v xml:space="preserve">NFT-425300932GN00169XXXXXXX </v>
          </cell>
          <cell r="CK2244" t="str">
            <v>2024-09-09</v>
          </cell>
          <cell r="CL2244">
            <v>5487.9679999999998</v>
          </cell>
        </row>
        <row r="2245">
          <cell r="CJ2245" t="str">
            <v xml:space="preserve">NFT-425300932GN00169XXXXXXX </v>
          </cell>
          <cell r="CK2245" t="str">
            <v>2024-09-09</v>
          </cell>
          <cell r="CL2245">
            <v>15577.642</v>
          </cell>
        </row>
        <row r="2246">
          <cell r="CJ2246" t="str">
            <v xml:space="preserve">NFT-425300932GN00169XXXXXXX </v>
          </cell>
          <cell r="CK2246" t="str">
            <v>2024-09-09</v>
          </cell>
          <cell r="CL2246">
            <v>7854.0929999999998</v>
          </cell>
        </row>
        <row r="2247">
          <cell r="CJ2247" t="str">
            <v xml:space="preserve">NFT-425300932GN00169XXXXXXX </v>
          </cell>
          <cell r="CK2247" t="str">
            <v>2024-09-09</v>
          </cell>
          <cell r="CL2247">
            <v>7872.973</v>
          </cell>
          <cell r="CM2247" t="str">
            <v xml:space="preserve">NFT-425700941GN00221XXXXXXX </v>
          </cell>
          <cell r="CN2247" t="str">
            <v>2024-09-13</v>
          </cell>
          <cell r="CO2247">
            <v>-7872.973</v>
          </cell>
        </row>
        <row r="2248">
          <cell r="CJ2248" t="str">
            <v xml:space="preserve">NFT-425300932GN00169XXXXXXX </v>
          </cell>
          <cell r="CK2248" t="str">
            <v>2024-09-09</v>
          </cell>
          <cell r="CL2248">
            <v>39074.955999999998</v>
          </cell>
        </row>
        <row r="2249">
          <cell r="CJ2249" t="str">
            <v xml:space="preserve">NFT-425700941GN00221XXXXXXX </v>
          </cell>
          <cell r="CK2249" t="str">
            <v>2024-09-13</v>
          </cell>
          <cell r="CL2249">
            <v>7091.9579999999996</v>
          </cell>
          <cell r="CM2249" t="str">
            <v xml:space="preserve">NFT-425701003GN00065XXXXXXX </v>
          </cell>
          <cell r="CN2249" t="str">
            <v>2024-09-13</v>
          </cell>
          <cell r="CO2249">
            <v>752.15200000000004</v>
          </cell>
          <cell r="CP2249" t="str">
            <v xml:space="preserve">NFT-/XUTR/DEUTH02426264294X </v>
          </cell>
          <cell r="CQ2249" t="str">
            <v>2024-09-18</v>
          </cell>
          <cell r="CR2249">
            <v>-7091.9579999999996</v>
          </cell>
          <cell r="CS2249" t="str">
            <v xml:space="preserve">NFT-/XUTR/DEUTH02426778649X </v>
          </cell>
          <cell r="CT2249" t="str">
            <v>2024-09-23</v>
          </cell>
          <cell r="CU2249">
            <v>-752.15200000000004</v>
          </cell>
        </row>
        <row r="2251">
          <cell r="CJ2251" t="str">
            <v xml:space="preserve">NFT-425700941GN00221XXXXXXX </v>
          </cell>
          <cell r="CK2251" t="str">
            <v>2024-09-13</v>
          </cell>
          <cell r="CL2251">
            <v>77558.414000000004</v>
          </cell>
        </row>
        <row r="2252">
          <cell r="CJ2252" t="str">
            <v xml:space="preserve">NFT-425700941GN00221XXXXXXX </v>
          </cell>
          <cell r="CK2252" t="str">
            <v>2024-09-13</v>
          </cell>
          <cell r="CL2252">
            <v>77770.010999999999</v>
          </cell>
        </row>
        <row r="2253">
          <cell r="CJ2253" t="str">
            <v xml:space="preserve">NFT-425700941GN00221XXXXXXX </v>
          </cell>
          <cell r="CK2253" t="str">
            <v>2024-09-13</v>
          </cell>
          <cell r="CL2253">
            <v>7220.24</v>
          </cell>
          <cell r="CM2253" t="str">
            <v xml:space="preserve">NFT-425701003GN00065XXXXXXX </v>
          </cell>
          <cell r="CN2253" t="str">
            <v>2024-09-13</v>
          </cell>
          <cell r="CO2253">
            <v>605</v>
          </cell>
        </row>
        <row r="2254">
          <cell r="CJ2254" t="str">
            <v xml:space="preserve">NFT-425700941GN00221XXXXXXX </v>
          </cell>
          <cell r="CK2254" t="str">
            <v>2024-09-13</v>
          </cell>
          <cell r="CL2254">
            <v>35825.273000000001</v>
          </cell>
          <cell r="CM2254" t="str">
            <v xml:space="preserve">NFT-425701003GN00065XXXXXXX </v>
          </cell>
          <cell r="CN2254" t="str">
            <v>2024-09-13</v>
          </cell>
          <cell r="CO2254">
            <v>2903.7840000000001</v>
          </cell>
        </row>
        <row r="2255">
          <cell r="CJ2255" t="str">
            <v xml:space="preserve">NFT-425700941GN00221XXXXXXX </v>
          </cell>
          <cell r="CK2255" t="str">
            <v>2024-09-13</v>
          </cell>
          <cell r="CL2255">
            <v>5333.72</v>
          </cell>
        </row>
        <row r="2256">
          <cell r="CJ2256" t="str">
            <v xml:space="preserve">NFT-425700941GN00221XXXXXXX </v>
          </cell>
          <cell r="CK2256" t="str">
            <v>2024-09-13</v>
          </cell>
          <cell r="CL2256">
            <v>13019.728999999999</v>
          </cell>
          <cell r="CM2256" t="str">
            <v xml:space="preserve">NFT-425701003GN00065XXXXXXX </v>
          </cell>
          <cell r="CN2256" t="str">
            <v>2024-09-13</v>
          </cell>
          <cell r="CO2256">
            <v>1641.354</v>
          </cell>
        </row>
        <row r="2258">
          <cell r="CJ2258" t="str">
            <v xml:space="preserve">NFT-425700941GN00221XXXXXXX </v>
          </cell>
          <cell r="CK2258" t="str">
            <v>2024-09-13</v>
          </cell>
          <cell r="CL2258">
            <v>7166.0169999999998</v>
          </cell>
          <cell r="CM2258" t="str">
            <v xml:space="preserve">NFT-425701003GN00065XXXXXXX </v>
          </cell>
          <cell r="CN2258" t="str">
            <v>2024-09-13</v>
          </cell>
          <cell r="CO2258">
            <v>726.18499999999995</v>
          </cell>
        </row>
        <row r="2259">
          <cell r="CJ2259" t="str">
            <v xml:space="preserve">NFT-425700941GN00221XXXXXXX </v>
          </cell>
          <cell r="CK2259" t="str">
            <v>2024-09-13</v>
          </cell>
          <cell r="CL2259">
            <v>6723.5770000000002</v>
          </cell>
          <cell r="CM2259" t="str">
            <v xml:space="preserve">NFT-425701003GN00065XXXXXXX </v>
          </cell>
          <cell r="CN2259" t="str">
            <v>2024-09-13</v>
          </cell>
          <cell r="CO2259">
            <v>1168.636</v>
          </cell>
        </row>
        <row r="2260">
          <cell r="CJ2260" t="str">
            <v xml:space="preserve">NFT-425700941GN00221XXXXXXX </v>
          </cell>
          <cell r="CK2260" t="str">
            <v>2024-09-13</v>
          </cell>
          <cell r="CL2260">
            <v>7825.24</v>
          </cell>
        </row>
        <row r="2261">
          <cell r="CJ2261" t="str">
            <v xml:space="preserve">NFT-425700941GN00221XXXXXXX </v>
          </cell>
          <cell r="CK2261" t="str">
            <v>2024-09-13</v>
          </cell>
          <cell r="CL2261">
            <v>73788.012000000002</v>
          </cell>
          <cell r="CM2261" t="str">
            <v xml:space="preserve">NFT-425701003GN00065XXXXXXX </v>
          </cell>
          <cell r="CN2261" t="str">
            <v>2024-09-13</v>
          </cell>
          <cell r="CO2261">
            <v>2885.511</v>
          </cell>
          <cell r="CP2261" t="str">
            <v xml:space="preserve">NFT-/XUTR/DEUTH02426264294X </v>
          </cell>
          <cell r="CQ2261" t="str">
            <v>2024-09-18</v>
          </cell>
          <cell r="CR2261">
            <v>-73788.012000000002</v>
          </cell>
          <cell r="CS2261" t="str">
            <v xml:space="preserve">NFT-/XUTR/DEUTH02426778649X </v>
          </cell>
          <cell r="CT2261" t="str">
            <v>2024-09-23</v>
          </cell>
          <cell r="CU2261">
            <v>-2885.511</v>
          </cell>
        </row>
        <row r="2262">
          <cell r="CJ2262" t="str">
            <v xml:space="preserve">NFT-425700941GN00221XXXXXXX </v>
          </cell>
          <cell r="CK2262" t="str">
            <v>2024-09-13</v>
          </cell>
          <cell r="CL2262">
            <v>6723.5770000000002</v>
          </cell>
          <cell r="CM2262" t="str">
            <v xml:space="preserve">NFT-425701003GN00065XXXXXXX </v>
          </cell>
          <cell r="CN2262" t="str">
            <v>2024-09-13</v>
          </cell>
          <cell r="CO2262">
            <v>1168.636</v>
          </cell>
        </row>
        <row r="2263">
          <cell r="CJ2263" t="str">
            <v xml:space="preserve">NFT-425700941GN00221XXXXXXX </v>
          </cell>
          <cell r="CK2263" t="str">
            <v>2024-09-13</v>
          </cell>
          <cell r="CL2263">
            <v>20451.243999999999</v>
          </cell>
          <cell r="CM2263" t="str">
            <v xml:space="preserve">NFT-425701003GN00065XXXXXXX </v>
          </cell>
          <cell r="CN2263" t="str">
            <v>2024-09-13</v>
          </cell>
          <cell r="CO2263">
            <v>1084.952</v>
          </cell>
        </row>
        <row r="2264">
          <cell r="CJ2264" t="str">
            <v xml:space="preserve">NFT-425700941GN00221XXXXXXX </v>
          </cell>
          <cell r="CK2264" t="str">
            <v>2024-09-13</v>
          </cell>
          <cell r="CL2264">
            <v>1332.8409999999999</v>
          </cell>
        </row>
        <row r="2265">
          <cell r="CJ2265" t="str">
            <v xml:space="preserve">NFT-425700941GN00221XXXXXXX </v>
          </cell>
          <cell r="CK2265" t="str">
            <v>2024-09-13</v>
          </cell>
          <cell r="CL2265">
            <v>6874.9380000000001</v>
          </cell>
          <cell r="CM2265" t="str">
            <v xml:space="preserve">NFT-425701003GN00065XXXXXXX </v>
          </cell>
          <cell r="CN2265" t="str">
            <v>2024-09-13</v>
          </cell>
          <cell r="CO2265">
            <v>998.38300000000004</v>
          </cell>
        </row>
        <row r="2266">
          <cell r="CJ2266" t="str">
            <v xml:space="preserve">NFT-425700941GN00221XXXXXXX </v>
          </cell>
          <cell r="CK2266" t="str">
            <v>2024-09-13</v>
          </cell>
          <cell r="CL2266">
            <v>13038.609</v>
          </cell>
          <cell r="CM2266" t="str">
            <v xml:space="preserve">NFT-425701003GN00065XXXXXXX </v>
          </cell>
          <cell r="CN2266" t="str">
            <v>2024-09-13</v>
          </cell>
          <cell r="CO2266">
            <v>1641.355</v>
          </cell>
        </row>
        <row r="2267">
          <cell r="CJ2267" t="str">
            <v xml:space="preserve">NFT-425700941GN00221XXXXXXX </v>
          </cell>
          <cell r="CK2267" t="str">
            <v>2024-09-13</v>
          </cell>
          <cell r="CL2267">
            <v>7493.0460000000003</v>
          </cell>
          <cell r="CM2267" t="str">
            <v xml:space="preserve">NFT-425701003GN00065XXXXXXX </v>
          </cell>
          <cell r="CN2267" t="str">
            <v>2024-09-13</v>
          </cell>
          <cell r="CO2267">
            <v>399.166</v>
          </cell>
        </row>
        <row r="2268">
          <cell r="CJ2268" t="str">
            <v xml:space="preserve">NFT-425700941GN00221XXXXXXX </v>
          </cell>
          <cell r="CK2268" t="str">
            <v>2024-09-13</v>
          </cell>
          <cell r="CL2268">
            <v>13933.842000000001</v>
          </cell>
          <cell r="CM2268" t="str">
            <v xml:space="preserve">NFT-425701003GN00065XXXXXXX </v>
          </cell>
          <cell r="CN2268" t="str">
            <v>2024-09-13</v>
          </cell>
          <cell r="CO2268">
            <v>1754.3879999999999</v>
          </cell>
        </row>
        <row r="2269">
          <cell r="CJ2269" t="str">
            <v xml:space="preserve">NFT-425700941GN00221XXXXXXX </v>
          </cell>
          <cell r="CK2269" t="str">
            <v>2024-09-13</v>
          </cell>
          <cell r="CL2269">
            <v>15784.414000000001</v>
          </cell>
        </row>
        <row r="2270">
          <cell r="CJ2270" t="str">
            <v xml:space="preserve">NFT-425700941GN00221XXXXXXX </v>
          </cell>
          <cell r="CK2270" t="str">
            <v>2024-09-13</v>
          </cell>
          <cell r="CL2270">
            <v>36988.127</v>
          </cell>
          <cell r="CM2270" t="str">
            <v xml:space="preserve">NFT-425701003GN00065XXXXXXX </v>
          </cell>
          <cell r="CN2270" t="str">
            <v>2024-09-13</v>
          </cell>
          <cell r="CO2270">
            <v>1952.527</v>
          </cell>
        </row>
        <row r="2271">
          <cell r="CJ2271" t="str">
            <v xml:space="preserve">NFT-425700941GN00221XXXXXXX </v>
          </cell>
          <cell r="CK2271" t="str">
            <v>2024-09-13</v>
          </cell>
          <cell r="CL2271">
            <v>37007.006999999998</v>
          </cell>
          <cell r="CM2271" t="str">
            <v xml:space="preserve">NFT-425701003GN00065XXXXXXX </v>
          </cell>
          <cell r="CN2271" t="str">
            <v>2024-09-13</v>
          </cell>
          <cell r="CO2271">
            <v>1952.527</v>
          </cell>
        </row>
        <row r="2272">
          <cell r="CJ2272" t="str">
            <v xml:space="preserve">NFT-425700941GN00221XXXXXXX </v>
          </cell>
          <cell r="CK2272" t="str">
            <v>2024-09-13</v>
          </cell>
          <cell r="CL2272">
            <v>9711.0429999999997</v>
          </cell>
          <cell r="CM2272" t="str">
            <v xml:space="preserve">NFT-425701003GN00065XXXXXXX </v>
          </cell>
          <cell r="CN2272" t="str">
            <v>2024-09-13</v>
          </cell>
          <cell r="CO2272">
            <v>730.03499999999997</v>
          </cell>
        </row>
        <row r="2273">
          <cell r="CJ2273" t="str">
            <v xml:space="preserve">NFT-425700941GN00221XXXXXXX </v>
          </cell>
          <cell r="CK2273" t="str">
            <v>2024-09-13</v>
          </cell>
          <cell r="CL2273">
            <v>6704.3370000000004</v>
          </cell>
          <cell r="CM2273" t="str">
            <v xml:space="preserve">NFT-425701003GN00065XXXXXXX </v>
          </cell>
          <cell r="CN2273" t="str">
            <v>2024-09-13</v>
          </cell>
          <cell r="CO2273">
            <v>1187.866</v>
          </cell>
        </row>
        <row r="2274">
          <cell r="CJ2274" t="str">
            <v xml:space="preserve">NFT-425700941GN00221XXXXXXX </v>
          </cell>
          <cell r="CK2274" t="str">
            <v>2024-09-13</v>
          </cell>
          <cell r="CL2274">
            <v>73788.012000000002</v>
          </cell>
          <cell r="CM2274" t="str">
            <v xml:space="preserve">NFT-425701003GN00065XXXXXXX </v>
          </cell>
          <cell r="CN2274" t="str">
            <v>2024-09-13</v>
          </cell>
          <cell r="CO2274">
            <v>2885.511</v>
          </cell>
        </row>
        <row r="2275">
          <cell r="CJ2275" t="str">
            <v xml:space="preserve">NFT-425700941GN00221XXXXXXX </v>
          </cell>
          <cell r="CK2275" t="str">
            <v>2024-09-13</v>
          </cell>
          <cell r="CL2275">
            <v>73806.892999999996</v>
          </cell>
          <cell r="CM2275" t="str">
            <v xml:space="preserve">NFT-425701003GN00065XXXXXXX </v>
          </cell>
          <cell r="CN2275" t="str">
            <v>2024-09-13</v>
          </cell>
          <cell r="CO2275">
            <v>2885.51</v>
          </cell>
        </row>
        <row r="2276">
          <cell r="CJ2276" t="str">
            <v xml:space="preserve">NFT-425700941GN00221XXXXXXX </v>
          </cell>
          <cell r="CK2276" t="str">
            <v>2024-09-13</v>
          </cell>
          <cell r="CL2276">
            <v>13019.728999999999</v>
          </cell>
          <cell r="CM2276" t="str">
            <v xml:space="preserve">NFT-425701003GN00065XXXXXXX </v>
          </cell>
          <cell r="CN2276" t="str">
            <v>2024-09-13</v>
          </cell>
          <cell r="CO2276">
            <v>1641.354</v>
          </cell>
        </row>
        <row r="2277">
          <cell r="CJ2277" t="str">
            <v xml:space="preserve">NFT-425700941GN00221XXXXXXX </v>
          </cell>
          <cell r="CK2277" t="str">
            <v>2024-09-13</v>
          </cell>
          <cell r="CL2277">
            <v>6723.5770000000002</v>
          </cell>
          <cell r="CM2277" t="str">
            <v xml:space="preserve">NFT-425701003GN00065XXXXXXX </v>
          </cell>
          <cell r="CN2277" t="str">
            <v>2024-09-13</v>
          </cell>
          <cell r="CO2277">
            <v>1168.636</v>
          </cell>
        </row>
        <row r="2278">
          <cell r="CJ2278" t="str">
            <v xml:space="preserve">NFT-425700941GN00221XXXXXXX </v>
          </cell>
          <cell r="CK2278" t="str">
            <v>2024-09-13</v>
          </cell>
          <cell r="CL2278">
            <v>73806.892000000007</v>
          </cell>
          <cell r="CM2278" t="str">
            <v xml:space="preserve">NFT-425701003GN00065XXXXXXX </v>
          </cell>
          <cell r="CN2278" t="str">
            <v>2024-09-13</v>
          </cell>
          <cell r="CO2278">
            <v>2885.511</v>
          </cell>
        </row>
        <row r="2279">
          <cell r="CJ2279" t="str">
            <v xml:space="preserve">NFT-425700941GN00221XXXXXXX </v>
          </cell>
          <cell r="CK2279" t="str">
            <v>2024-09-13</v>
          </cell>
          <cell r="CL2279">
            <v>73374.066000000006</v>
          </cell>
          <cell r="CM2279" t="str">
            <v xml:space="preserve">NFT-425701003GN00065XXXXXXX </v>
          </cell>
          <cell r="CN2279" t="str">
            <v>2024-09-13</v>
          </cell>
          <cell r="CO2279">
            <v>3318.337</v>
          </cell>
        </row>
        <row r="2280">
          <cell r="CJ2280" t="str">
            <v xml:space="preserve">NFT-425700941GN00221XXXXXXX </v>
          </cell>
          <cell r="CK2280" t="str">
            <v>2024-09-13</v>
          </cell>
          <cell r="CL2280">
            <v>13019.728999999999</v>
          </cell>
          <cell r="CM2280" t="str">
            <v xml:space="preserve">NFT-425701003GN00065XXXXXXX </v>
          </cell>
          <cell r="CN2280" t="str">
            <v>2024-09-13</v>
          </cell>
          <cell r="CO2280">
            <v>1641.354</v>
          </cell>
        </row>
        <row r="2281">
          <cell r="CJ2281" t="str">
            <v xml:space="preserve">NFT-425700941GN00221XXXXXXX </v>
          </cell>
          <cell r="CK2281" t="str">
            <v>2024-09-13</v>
          </cell>
          <cell r="CL2281">
            <v>13019.728999999999</v>
          </cell>
          <cell r="CM2281" t="str">
            <v xml:space="preserve">NFT-425701003GN00065XXXXXXX </v>
          </cell>
          <cell r="CN2281" t="str">
            <v>2024-09-13</v>
          </cell>
          <cell r="CO2281">
            <v>1641.354</v>
          </cell>
        </row>
        <row r="2282">
          <cell r="CJ2282" t="str">
            <v xml:space="preserve">NFT-425700941GN00221XXXXXXX </v>
          </cell>
          <cell r="CK2282" t="str">
            <v>2024-09-13</v>
          </cell>
          <cell r="CL2282">
            <v>73806.892000000007</v>
          </cell>
          <cell r="CM2282" t="str">
            <v xml:space="preserve">NFT-425701003GN00065XXXXXXX </v>
          </cell>
          <cell r="CN2282" t="str">
            <v>2024-09-13</v>
          </cell>
          <cell r="CO2282">
            <v>2885.511</v>
          </cell>
        </row>
        <row r="2283">
          <cell r="CJ2283" t="str">
            <v xml:space="preserve">NFT-425700941GN00221XXXXXXX </v>
          </cell>
          <cell r="CK2283" t="str">
            <v>2024-09-13</v>
          </cell>
          <cell r="CL2283">
            <v>13019.728999999999</v>
          </cell>
          <cell r="CM2283" t="str">
            <v xml:space="preserve">NFT-425701003GN00065XXXXXXX </v>
          </cell>
          <cell r="CN2283" t="str">
            <v>2024-09-13</v>
          </cell>
          <cell r="CO2283">
            <v>1641.354</v>
          </cell>
        </row>
        <row r="2284">
          <cell r="CJ2284" t="str">
            <v xml:space="preserve">NFT-425700941GN00221XXXXXXX </v>
          </cell>
          <cell r="CK2284" t="str">
            <v>2024-09-13</v>
          </cell>
          <cell r="CL2284">
            <v>13952.116</v>
          </cell>
          <cell r="CM2284" t="str">
            <v xml:space="preserve">NFT-425701003GN00065XXXXXXX </v>
          </cell>
          <cell r="CN2284" t="str">
            <v>2024-09-13</v>
          </cell>
          <cell r="CO2284">
            <v>1833.2639999999999</v>
          </cell>
        </row>
        <row r="2286">
          <cell r="CJ2286" t="str">
            <v xml:space="preserve">NFT-425700941GN00221XXXXXXX </v>
          </cell>
          <cell r="CK2286" t="str">
            <v>2024-09-13</v>
          </cell>
          <cell r="CL2286">
            <v>13019.728999999999</v>
          </cell>
          <cell r="CM2286" t="str">
            <v xml:space="preserve">NFT-425701003GN00065XXXXXXX </v>
          </cell>
          <cell r="CN2286" t="str">
            <v>2024-09-13</v>
          </cell>
          <cell r="CO2286">
            <v>1641.354</v>
          </cell>
        </row>
        <row r="2287">
          <cell r="CJ2287" t="str">
            <v xml:space="preserve">NFT-425700941GN00221XXXXXXX </v>
          </cell>
          <cell r="CK2287" t="str">
            <v>2024-09-13</v>
          </cell>
          <cell r="CL2287">
            <v>13019.728999999999</v>
          </cell>
          <cell r="CM2287" t="str">
            <v xml:space="preserve">NFT-425701003GN00065XXXXXXX </v>
          </cell>
          <cell r="CN2287" t="str">
            <v>2024-09-13</v>
          </cell>
          <cell r="CO2287">
            <v>1641.354</v>
          </cell>
        </row>
        <row r="2288">
          <cell r="CJ2288" t="str">
            <v xml:space="preserve">NFT-425700941GN00221XXXXXXX </v>
          </cell>
          <cell r="CK2288" t="str">
            <v>2024-09-13</v>
          </cell>
          <cell r="CL2288">
            <v>6723.5770000000002</v>
          </cell>
          <cell r="CM2288" t="str">
            <v xml:space="preserve">NFT-425701003GN00065XXXXXXX </v>
          </cell>
          <cell r="CN2288" t="str">
            <v>2024-09-13</v>
          </cell>
          <cell r="CO2288">
            <v>1168.636</v>
          </cell>
        </row>
        <row r="2289">
          <cell r="CJ2289" t="str">
            <v xml:space="preserve">NFT-425700941GN00221XXXXXXX </v>
          </cell>
          <cell r="CK2289" t="str">
            <v>2024-09-13</v>
          </cell>
          <cell r="CL2289">
            <v>36249.082000000002</v>
          </cell>
          <cell r="CM2289" t="str">
            <v xml:space="preserve">NFT-425701003GN00065XXXXXXX </v>
          </cell>
          <cell r="CN2289" t="str">
            <v>2024-09-13</v>
          </cell>
          <cell r="CO2289">
            <v>2710.4609999999998</v>
          </cell>
        </row>
        <row r="2290">
          <cell r="CJ2290" t="str">
            <v xml:space="preserve">NFT-425700941GN00221XXXXXXX </v>
          </cell>
          <cell r="CK2290" t="str">
            <v>2024-09-13</v>
          </cell>
          <cell r="CL2290">
            <v>12337.103999999999</v>
          </cell>
          <cell r="CM2290" t="str">
            <v xml:space="preserve">NFT-425701003GN00065XXXXXXX </v>
          </cell>
          <cell r="CN2290" t="str">
            <v>2024-09-13</v>
          </cell>
          <cell r="CO2290">
            <v>2342.8580000000002</v>
          </cell>
        </row>
        <row r="2291">
          <cell r="CJ2291" t="str">
            <v xml:space="preserve">NFT-425700941GN00221XXXXXXX </v>
          </cell>
          <cell r="CK2291" t="str">
            <v>2024-09-13</v>
          </cell>
          <cell r="CL2291">
            <v>7873.3320000000003</v>
          </cell>
        </row>
        <row r="2292">
          <cell r="CJ2292" t="str">
            <v xml:space="preserve">NFT-425700941GN00221XXXXXXX </v>
          </cell>
          <cell r="CK2292" t="str">
            <v>2024-09-13</v>
          </cell>
          <cell r="CL2292">
            <v>73720.323000000004</v>
          </cell>
          <cell r="CM2292" t="str">
            <v xml:space="preserve">NFT-425701003GN00065XXXXXXX </v>
          </cell>
          <cell r="CN2292" t="str">
            <v>2024-09-13</v>
          </cell>
          <cell r="CO2292">
            <v>2885.51</v>
          </cell>
        </row>
        <row r="2293">
          <cell r="CJ2293" t="str">
            <v xml:space="preserve">NFT-425700941GN00221XXXXXXX </v>
          </cell>
          <cell r="CK2293" t="str">
            <v>2024-09-13</v>
          </cell>
          <cell r="CL2293">
            <v>73701.442999999999</v>
          </cell>
          <cell r="CM2293" t="str">
            <v xml:space="preserve">NFT-425701003GN00065XXXXXXX </v>
          </cell>
          <cell r="CN2293" t="str">
            <v>2024-09-13</v>
          </cell>
          <cell r="CO2293">
            <v>2885.511</v>
          </cell>
        </row>
        <row r="2294">
          <cell r="CJ2294" t="str">
            <v xml:space="preserve">NFT-425700941GN00221XXXXXXX </v>
          </cell>
          <cell r="CK2294" t="str">
            <v>2024-09-13</v>
          </cell>
          <cell r="CL2294">
            <v>13841.307000000001</v>
          </cell>
          <cell r="CM2294" t="str">
            <v xml:space="preserve">NFT-425701003GN00065XXXXXXX </v>
          </cell>
          <cell r="CN2294" t="str">
            <v>2024-09-13</v>
          </cell>
          <cell r="CO2294">
            <v>801.71799999999996</v>
          </cell>
        </row>
        <row r="2295">
          <cell r="CJ2295" t="str">
            <v xml:space="preserve">NFT-425700941GN00221XXXXXXX </v>
          </cell>
          <cell r="CK2295" t="str">
            <v>2024-09-13</v>
          </cell>
          <cell r="CL2295">
            <v>73720.323000000004</v>
          </cell>
          <cell r="CM2295" t="str">
            <v xml:space="preserve">NFT-425701003GN00065XXXXXXX </v>
          </cell>
          <cell r="CN2295" t="str">
            <v>2024-09-13</v>
          </cell>
          <cell r="CO2295">
            <v>2885.51</v>
          </cell>
        </row>
        <row r="2296">
          <cell r="CJ2296" t="str">
            <v xml:space="preserve">NFT-425700941GN00221XXXXXXX </v>
          </cell>
          <cell r="CK2296" t="str">
            <v>2024-09-13</v>
          </cell>
          <cell r="CL2296">
            <v>38902.186000000002</v>
          </cell>
        </row>
        <row r="2297">
          <cell r="CJ2297" t="str">
            <v xml:space="preserve">NFT-425700941GN00221XXXXXXX </v>
          </cell>
          <cell r="CK2297" t="str">
            <v>2024-09-13</v>
          </cell>
          <cell r="CL2297">
            <v>73701.442999999999</v>
          </cell>
          <cell r="CM2297" t="str">
            <v xml:space="preserve">NFT-425701003GN00065XXXXXXX </v>
          </cell>
          <cell r="CN2297" t="str">
            <v>2024-09-13</v>
          </cell>
          <cell r="CO2297">
            <v>2885.511</v>
          </cell>
        </row>
        <row r="2298">
          <cell r="CJ2298" t="str">
            <v xml:space="preserve">NFT-425700941GN00221XXXXXXX </v>
          </cell>
          <cell r="CK2298" t="str">
            <v>2024-09-13</v>
          </cell>
          <cell r="CL2298">
            <v>1260.703</v>
          </cell>
          <cell r="CM2298" t="str">
            <v xml:space="preserve">NFT-425701003GN00065XXXXXXX </v>
          </cell>
          <cell r="CN2298" t="str">
            <v>2024-09-13</v>
          </cell>
          <cell r="CO2298">
            <v>72.138000000000005</v>
          </cell>
        </row>
        <row r="2300">
          <cell r="CJ2300" t="str">
            <v xml:space="preserve">NFT-425700941GN00221XXXXXXX </v>
          </cell>
          <cell r="CK2300" t="str">
            <v>2024-09-13</v>
          </cell>
          <cell r="CL2300">
            <v>73701.442999999999</v>
          </cell>
          <cell r="CM2300" t="str">
            <v xml:space="preserve">NFT-425701003GN00065XXXXXXX </v>
          </cell>
          <cell r="CN2300" t="str">
            <v>2024-09-13</v>
          </cell>
          <cell r="CO2300">
            <v>2885.511</v>
          </cell>
        </row>
        <row r="2302">
          <cell r="CJ2302" t="str">
            <v xml:space="preserve">NFT-425700941GN00221XXXXXXX </v>
          </cell>
          <cell r="CK2302" t="str">
            <v>2024-09-13</v>
          </cell>
          <cell r="CL2302">
            <v>73720.323000000004</v>
          </cell>
          <cell r="CM2302" t="str">
            <v xml:space="preserve">NFT-425701003GN00065XXXXXXX </v>
          </cell>
          <cell r="CN2302" t="str">
            <v>2024-09-13</v>
          </cell>
          <cell r="CO2302">
            <v>2885.511</v>
          </cell>
        </row>
        <row r="2303">
          <cell r="CJ2303" t="str">
            <v xml:space="preserve">NFT-425700941GN00221XXXXXXX </v>
          </cell>
          <cell r="CK2303" t="str">
            <v>2024-09-13</v>
          </cell>
          <cell r="CL2303">
            <v>36970.46</v>
          </cell>
          <cell r="CM2303" t="str">
            <v xml:space="preserve">NFT-425701003GN00065XXXXXXX </v>
          </cell>
          <cell r="CN2303" t="str">
            <v>2024-09-13</v>
          </cell>
          <cell r="CO2303">
            <v>1950.606</v>
          </cell>
        </row>
        <row r="2304">
          <cell r="CJ2304" t="str">
            <v xml:space="preserve">NFT-425700941GN00221XXXXXXX </v>
          </cell>
          <cell r="CK2304" t="str">
            <v>2024-09-13</v>
          </cell>
          <cell r="CL2304">
            <v>1351.721</v>
          </cell>
        </row>
        <row r="2305">
          <cell r="CJ2305" t="str">
            <v xml:space="preserve">NFT-425700941GN00221XXXXXXX </v>
          </cell>
          <cell r="CK2305" t="str">
            <v>2024-09-13</v>
          </cell>
          <cell r="CL2305">
            <v>36951.58</v>
          </cell>
          <cell r="CM2305" t="str">
            <v xml:space="preserve">NFT-425701003GN00065XXXXXXX </v>
          </cell>
          <cell r="CN2305" t="str">
            <v>2024-09-13</v>
          </cell>
          <cell r="CO2305">
            <v>1950.606</v>
          </cell>
        </row>
        <row r="2306">
          <cell r="CJ2306" t="str">
            <v xml:space="preserve">NFT-425700941GN00221XXXXXXX </v>
          </cell>
          <cell r="CK2306" t="str">
            <v>2024-09-13</v>
          </cell>
          <cell r="CL2306">
            <v>7484.3869999999997</v>
          </cell>
          <cell r="CM2306" t="str">
            <v xml:space="preserve">NFT-425701003GN00065XXXXXXX </v>
          </cell>
          <cell r="CN2306" t="str">
            <v>2024-09-13</v>
          </cell>
          <cell r="CO2306">
            <v>398.20100000000002</v>
          </cell>
        </row>
        <row r="2307">
          <cell r="CJ2307" t="str">
            <v xml:space="preserve">NFT-425700941GN00221XXXXXXX </v>
          </cell>
          <cell r="CK2307" t="str">
            <v>2024-09-13</v>
          </cell>
          <cell r="CL2307">
            <v>7465.5069999999996</v>
          </cell>
          <cell r="CM2307" t="str">
            <v xml:space="preserve">NFT-425701003GN00065XXXXXXX </v>
          </cell>
          <cell r="CN2307" t="str">
            <v>2024-09-13</v>
          </cell>
          <cell r="CO2307">
            <v>398.20100000000002</v>
          </cell>
        </row>
        <row r="2308">
          <cell r="CJ2308" t="str">
            <v xml:space="preserve">NFT-425700941GN00221XXXXXXX </v>
          </cell>
          <cell r="CK2308" t="str">
            <v>2024-09-13</v>
          </cell>
          <cell r="CL2308">
            <v>7067.3050000000003</v>
          </cell>
          <cell r="CM2308" t="str">
            <v xml:space="preserve">NFT-425701003GN00065XXXXXXX </v>
          </cell>
          <cell r="CN2308" t="str">
            <v>2024-09-13</v>
          </cell>
          <cell r="CO2308">
            <v>796.40200000000004</v>
          </cell>
        </row>
        <row r="2309">
          <cell r="CJ2309" t="str">
            <v xml:space="preserve">NFT-425700941GN00221XXXXXXX </v>
          </cell>
          <cell r="CK2309" t="str">
            <v>2024-09-13</v>
          </cell>
          <cell r="CL2309">
            <v>74855.288</v>
          </cell>
          <cell r="CM2309" t="str">
            <v xml:space="preserve">NFT-425701003GN00065XXXXXXX </v>
          </cell>
          <cell r="CN2309" t="str">
            <v>2024-09-13</v>
          </cell>
          <cell r="CO2309">
            <v>2885.511</v>
          </cell>
          <cell r="CP2309" t="str">
            <v xml:space="preserve">NFT-/XUTR/DEUTH02426264294X </v>
          </cell>
          <cell r="CQ2309" t="str">
            <v>2024-09-18</v>
          </cell>
          <cell r="CR2309">
            <v>-74855.288</v>
          </cell>
          <cell r="CS2309" t="str">
            <v xml:space="preserve">NFT-/XUTR/DEUTH02426778649X </v>
          </cell>
          <cell r="CT2309" t="str">
            <v>2024-09-23</v>
          </cell>
          <cell r="CU2309">
            <v>-2885.511</v>
          </cell>
        </row>
        <row r="2310">
          <cell r="CJ2310" t="str">
            <v xml:space="preserve">NFT-425700941GN00221XXXXXXX </v>
          </cell>
          <cell r="CK2310" t="str">
            <v>2024-09-13</v>
          </cell>
          <cell r="CL2310">
            <v>9388.8220000000001</v>
          </cell>
          <cell r="CM2310" t="str">
            <v xml:space="preserve">NFT-425701003GN00065XXXXXXX </v>
          </cell>
          <cell r="CN2310" t="str">
            <v>2024-09-13</v>
          </cell>
          <cell r="CO2310">
            <v>1052.248</v>
          </cell>
        </row>
        <row r="2311">
          <cell r="CJ2311" t="str">
            <v xml:space="preserve">NFT-425700941GN00221XXXXXXX </v>
          </cell>
          <cell r="CK2311" t="str">
            <v>2024-09-13</v>
          </cell>
          <cell r="CL2311">
            <v>13176.815000000001</v>
          </cell>
          <cell r="CM2311" t="str">
            <v xml:space="preserve">NFT-425701003GN00065XXXXXXX </v>
          </cell>
          <cell r="CN2311" t="str">
            <v>2024-09-13</v>
          </cell>
          <cell r="CO2311">
            <v>1475.2339999999999</v>
          </cell>
        </row>
        <row r="2312">
          <cell r="CJ2312" t="str">
            <v xml:space="preserve">NFT-425700941GN00221XXXXXXX </v>
          </cell>
          <cell r="CK2312" t="str">
            <v>2024-09-13</v>
          </cell>
          <cell r="CL2312">
            <v>73739.92</v>
          </cell>
          <cell r="CM2312" t="str">
            <v xml:space="preserve">NFT-425701003GN00065XXXXXXX </v>
          </cell>
          <cell r="CN2312" t="str">
            <v>2024-09-13</v>
          </cell>
          <cell r="CO2312">
            <v>2885.511</v>
          </cell>
        </row>
        <row r="2313">
          <cell r="CJ2313" t="str">
            <v xml:space="preserve">NFT-425700941GN00221XXXXXXX </v>
          </cell>
          <cell r="CK2313" t="str">
            <v>2024-09-13</v>
          </cell>
          <cell r="CL2313">
            <v>13176.815000000001</v>
          </cell>
          <cell r="CM2313" t="str">
            <v xml:space="preserve">NFT-425701003GN00065XXXXXXX </v>
          </cell>
          <cell r="CN2313" t="str">
            <v>2024-09-13</v>
          </cell>
          <cell r="CO2313">
            <v>1475.2339999999999</v>
          </cell>
        </row>
        <row r="2314">
          <cell r="CJ2314" t="str">
            <v xml:space="preserve">NFT-425700941GN00221XXXXXXX </v>
          </cell>
          <cell r="CK2314" t="str">
            <v>2024-09-13</v>
          </cell>
          <cell r="CL2314">
            <v>36988.733999999997</v>
          </cell>
          <cell r="CM2314" t="str">
            <v xml:space="preserve">NFT-425701003GN00065XXXXXXX </v>
          </cell>
          <cell r="CN2314" t="str">
            <v>2024-09-13</v>
          </cell>
          <cell r="CO2314">
            <v>1951.5709999999999</v>
          </cell>
        </row>
        <row r="2315">
          <cell r="CJ2315" t="str">
            <v xml:space="preserve">NFT-425700941GN00221XXXXXXX </v>
          </cell>
          <cell r="CK2315" t="str">
            <v>2024-09-13</v>
          </cell>
          <cell r="CL2315">
            <v>14670.939</v>
          </cell>
        </row>
        <row r="2316">
          <cell r="CJ2316" t="str">
            <v xml:space="preserve">NFT-425700941GN00221XXXXXXX </v>
          </cell>
          <cell r="CK2316" t="str">
            <v>2024-09-13</v>
          </cell>
          <cell r="CL2316">
            <v>28365.596000000001</v>
          </cell>
          <cell r="CM2316" t="str">
            <v xml:space="preserve">NFT-425701003GN00065XXXXXXX </v>
          </cell>
          <cell r="CN2316" t="str">
            <v>2024-09-13</v>
          </cell>
          <cell r="CO2316">
            <v>2885.51</v>
          </cell>
        </row>
        <row r="2317">
          <cell r="CJ2317" t="str">
            <v xml:space="preserve">NFT-425700941GN00221XXXXXXX </v>
          </cell>
          <cell r="CK2317" t="str">
            <v>2024-09-13</v>
          </cell>
          <cell r="CL2317">
            <v>14830.297</v>
          </cell>
          <cell r="CM2317" t="str">
            <v xml:space="preserve">NFT-425701003GN00065XXXXXXX </v>
          </cell>
          <cell r="CN2317" t="str">
            <v>2024-09-13</v>
          </cell>
          <cell r="CO2317">
            <v>785.822</v>
          </cell>
        </row>
        <row r="2318">
          <cell r="CJ2318" t="str">
            <v xml:space="preserve">NFT-425700941GN00221XXXXXXX </v>
          </cell>
          <cell r="CK2318" t="str">
            <v>2024-09-13</v>
          </cell>
          <cell r="CL2318">
            <v>20063.962</v>
          </cell>
          <cell r="CM2318" t="str">
            <v xml:space="preserve">NFT-425701003GN00065XXXXXXX </v>
          </cell>
          <cell r="CN2318" t="str">
            <v>2024-09-13</v>
          </cell>
          <cell r="CO2318">
            <v>3583.806</v>
          </cell>
        </row>
        <row r="2319">
          <cell r="CJ2319" t="str">
            <v xml:space="preserve">NFT-425700941GN00221XXXXXXX </v>
          </cell>
          <cell r="CK2319" t="str">
            <v>2024-09-13</v>
          </cell>
          <cell r="CL2319">
            <v>1332.8409999999999</v>
          </cell>
        </row>
        <row r="2320">
          <cell r="CJ2320" t="str">
            <v xml:space="preserve">NFT-425700941GN00221XXXXXXX </v>
          </cell>
          <cell r="CK2320" t="str">
            <v>2024-09-13</v>
          </cell>
          <cell r="CL2320">
            <v>73739.92</v>
          </cell>
          <cell r="CM2320" t="str">
            <v xml:space="preserve">NFT-425701003GN00065XXXXXXX </v>
          </cell>
          <cell r="CN2320" t="str">
            <v>2024-09-13</v>
          </cell>
          <cell r="CO2320">
            <v>2885.511</v>
          </cell>
        </row>
        <row r="2321">
          <cell r="CJ2321" t="str">
            <v xml:space="preserve">NFT-425700941GN00221XXXXXXX </v>
          </cell>
          <cell r="CK2321" t="str">
            <v>2024-09-13</v>
          </cell>
          <cell r="CL2321">
            <v>14044.475</v>
          </cell>
          <cell r="CM2321" t="str">
            <v xml:space="preserve">NFT-425701003GN00065XXXXXXX </v>
          </cell>
          <cell r="CN2321" t="str">
            <v>2024-09-13</v>
          </cell>
          <cell r="CO2321">
            <v>1571.644</v>
          </cell>
        </row>
        <row r="2322">
          <cell r="CJ2322" t="str">
            <v xml:space="preserve">NFT-425700941GN00221XXXXXXX </v>
          </cell>
          <cell r="CK2322" t="str">
            <v>2024-09-13</v>
          </cell>
          <cell r="CL2322">
            <v>37518.709000000003</v>
          </cell>
          <cell r="CM2322" t="str">
            <v xml:space="preserve">NFT-425701003GN00065XXXXXXX </v>
          </cell>
          <cell r="CN2322" t="str">
            <v>2024-09-13</v>
          </cell>
          <cell r="CO2322">
            <v>1421.595</v>
          </cell>
        </row>
        <row r="2323">
          <cell r="CJ2323" t="str">
            <v xml:space="preserve">NFT-425700941GN00221XXXXXXX </v>
          </cell>
          <cell r="CK2323" t="str">
            <v>2024-09-13</v>
          </cell>
          <cell r="CL2323">
            <v>36969.853999999999</v>
          </cell>
          <cell r="CM2323" t="str">
            <v xml:space="preserve">NFT-425701003GN00065XXXXXXX </v>
          </cell>
          <cell r="CN2323" t="str">
            <v>2024-09-13</v>
          </cell>
          <cell r="CO2323">
            <v>1951.5709999999999</v>
          </cell>
        </row>
        <row r="2324">
          <cell r="CJ2324" t="str">
            <v xml:space="preserve">NFT-425700941GN00221XXXXXXX </v>
          </cell>
          <cell r="CK2324" t="str">
            <v>2024-09-13</v>
          </cell>
          <cell r="CL2324">
            <v>36988.733999999997</v>
          </cell>
          <cell r="CM2324" t="str">
            <v xml:space="preserve">NFT-425701003GN00065XXXXXXX </v>
          </cell>
          <cell r="CN2324" t="str">
            <v>2024-09-13</v>
          </cell>
          <cell r="CO2324">
            <v>1951.5709999999999</v>
          </cell>
        </row>
        <row r="2325">
          <cell r="CJ2325" t="str">
            <v xml:space="preserve">NFT-425700941GN00221XXXXXXX </v>
          </cell>
          <cell r="CK2325" t="str">
            <v>2024-09-13</v>
          </cell>
          <cell r="CL2325">
            <v>28365.596000000001</v>
          </cell>
          <cell r="CM2325" t="str">
            <v xml:space="preserve">NFT-425701003GN00065XXXXXXX </v>
          </cell>
          <cell r="CN2325" t="str">
            <v>2024-09-13</v>
          </cell>
          <cell r="CO2325">
            <v>2885.51</v>
          </cell>
        </row>
        <row r="2326">
          <cell r="CJ2326" t="str">
            <v xml:space="preserve">NFT-425700941GN00221XXXXXXX </v>
          </cell>
          <cell r="CK2326" t="str">
            <v>2024-09-13</v>
          </cell>
          <cell r="CL2326">
            <v>14044.475</v>
          </cell>
          <cell r="CM2326" t="str">
            <v xml:space="preserve">NFT-425701003GN00065XXXXXXX </v>
          </cell>
          <cell r="CN2326" t="str">
            <v>2024-09-13</v>
          </cell>
          <cell r="CO2326">
            <v>1571.644</v>
          </cell>
        </row>
        <row r="2327">
          <cell r="CJ2327" t="str">
            <v xml:space="preserve">NFT-425700941GN00221XXXXXXX </v>
          </cell>
          <cell r="CK2327" t="str">
            <v>2024-09-13</v>
          </cell>
          <cell r="CL2327">
            <v>36988.733999999997</v>
          </cell>
          <cell r="CM2327" t="str">
            <v xml:space="preserve">NFT-425701003GN00065XXXXXXX </v>
          </cell>
          <cell r="CN2327" t="str">
            <v>2024-09-13</v>
          </cell>
          <cell r="CO2327">
            <v>1951.5709999999999</v>
          </cell>
        </row>
        <row r="2328">
          <cell r="CJ2328" t="str">
            <v xml:space="preserve">NFT-425700941GN00221XXXXXXX </v>
          </cell>
          <cell r="CK2328" t="str">
            <v>2024-09-13</v>
          </cell>
          <cell r="CL2328">
            <v>36054.794000000002</v>
          </cell>
          <cell r="CM2328" t="str">
            <v xml:space="preserve">NFT-425701003GN00065XXXXXXX </v>
          </cell>
          <cell r="CN2328" t="str">
            <v>2024-09-13</v>
          </cell>
          <cell r="CO2328">
            <v>2885.511</v>
          </cell>
        </row>
        <row r="2329">
          <cell r="CJ2329" t="str">
            <v xml:space="preserve">NFT-/XUTR/DEUTH02426264294X </v>
          </cell>
          <cell r="CK2329" t="str">
            <v>2024-09-18</v>
          </cell>
          <cell r="CL2329">
            <v>7892.2129999999997</v>
          </cell>
        </row>
        <row r="2330">
          <cell r="CJ2330" t="str">
            <v xml:space="preserve">NFT-/XUTR/DEUTH02426264294X </v>
          </cell>
          <cell r="CK2330" t="str">
            <v>2024-09-18</v>
          </cell>
          <cell r="CL2330">
            <v>5554.94</v>
          </cell>
        </row>
        <row r="2331">
          <cell r="CJ2331" t="str">
            <v xml:space="preserve">NFT-/XUTR/DEUTH02426264294X </v>
          </cell>
          <cell r="CK2331" t="str">
            <v>2024-09-18</v>
          </cell>
          <cell r="CL2331">
            <v>38969.517</v>
          </cell>
        </row>
        <row r="2332">
          <cell r="CJ2332" t="str">
            <v xml:space="preserve">NFT-/XUTR/DEUTH02426264294X </v>
          </cell>
          <cell r="CK2332" t="str">
            <v>2024-09-18</v>
          </cell>
          <cell r="CL2332">
            <v>15654.227999999999</v>
          </cell>
        </row>
        <row r="2333">
          <cell r="CJ2333" t="str">
            <v xml:space="preserve">NFT-/XUTR/DEUTH02426264294X </v>
          </cell>
          <cell r="CK2333" t="str">
            <v>2024-09-18</v>
          </cell>
          <cell r="CL2333">
            <v>7892.2120000000004</v>
          </cell>
        </row>
        <row r="2334">
          <cell r="CJ2334" t="str">
            <v xml:space="preserve">NFT-/XUTR/DEUTH02426264294X </v>
          </cell>
          <cell r="CK2334" t="str">
            <v>2024-09-18</v>
          </cell>
          <cell r="CL2334">
            <v>15683.091</v>
          </cell>
        </row>
        <row r="2335">
          <cell r="CJ2335" t="str">
            <v xml:space="preserve">NFT-/XUTR/DEUTH02426264294X </v>
          </cell>
          <cell r="CK2335" t="str">
            <v>2024-09-18</v>
          </cell>
          <cell r="CL2335">
            <v>15683.09</v>
          </cell>
        </row>
        <row r="2336">
          <cell r="CJ2336" t="str">
            <v xml:space="preserve">NFT-/XUTR/DEUTH02426264294X </v>
          </cell>
          <cell r="CK2336" t="str">
            <v>2024-09-18</v>
          </cell>
          <cell r="CL2336">
            <v>15673.466</v>
          </cell>
        </row>
        <row r="2337">
          <cell r="CJ2337" t="str">
            <v xml:space="preserve">NFT-/XUTR/DEUTH02426264294X </v>
          </cell>
          <cell r="CK2337" t="str">
            <v>2024-09-18</v>
          </cell>
          <cell r="CL2337">
            <v>7901.826</v>
          </cell>
        </row>
        <row r="2338">
          <cell r="CJ2338" t="str">
            <v xml:space="preserve">NFT-/XUTR/DEUTH02426264294X </v>
          </cell>
          <cell r="CK2338" t="str">
            <v>2024-09-18</v>
          </cell>
          <cell r="CL2338">
            <v>5487.6189999999997</v>
          </cell>
        </row>
        <row r="2339">
          <cell r="CJ2339" t="str">
            <v xml:space="preserve">NFT-/XUTR/DEUTH02426264294X </v>
          </cell>
          <cell r="CK2339" t="str">
            <v>2024-09-18</v>
          </cell>
          <cell r="CL2339">
            <v>15654.585999999999</v>
          </cell>
        </row>
        <row r="2340">
          <cell r="CJ2340" t="str">
            <v xml:space="preserve">NFT-/XUTR/DEUTH02426264294X </v>
          </cell>
          <cell r="CK2340" t="str">
            <v>2024-09-18</v>
          </cell>
          <cell r="CL2340">
            <v>76577.339000000007</v>
          </cell>
        </row>
        <row r="2341">
          <cell r="CJ2341" t="str">
            <v xml:space="preserve">NFT-/XUTR/DEUTH02426264294X </v>
          </cell>
          <cell r="CK2341" t="str">
            <v>2024-09-18</v>
          </cell>
          <cell r="CL2341">
            <v>76577.339000000007</v>
          </cell>
        </row>
        <row r="2342">
          <cell r="CJ2342" t="str">
            <v xml:space="preserve">NFT-/XUTR/DEUTH02426264294X </v>
          </cell>
          <cell r="CK2342" t="str">
            <v>2024-09-18</v>
          </cell>
          <cell r="CL2342">
            <v>1303.9780000000001</v>
          </cell>
        </row>
        <row r="2343">
          <cell r="CJ2343" t="str">
            <v xml:space="preserve">NFT-/XUTR/DEUTH02426264294X </v>
          </cell>
          <cell r="CK2343" t="str">
            <v>2024-09-18</v>
          </cell>
          <cell r="CL2343">
            <v>2188.87</v>
          </cell>
          <cell r="CM2343" t="str">
            <v xml:space="preserve">NFT-/XUTR/DEUTH02426778649X </v>
          </cell>
          <cell r="CN2343" t="str">
            <v>2024-09-23</v>
          </cell>
          <cell r="CO2343">
            <v>96.183999999999997</v>
          </cell>
        </row>
        <row r="2344">
          <cell r="CJ2344" t="str">
            <v xml:space="preserve">NFT-425700941GN00221XXXXXXX </v>
          </cell>
          <cell r="CK2344" t="str">
            <v>2024-09-13</v>
          </cell>
          <cell r="CL2344">
            <v>14632.877</v>
          </cell>
        </row>
        <row r="2346">
          <cell r="CJ2346" t="str">
            <v xml:space="preserve">NFT-425700941GN00221XXXXXXX </v>
          </cell>
          <cell r="CK2346" t="str">
            <v>2024-09-13</v>
          </cell>
          <cell r="CL2346">
            <v>31130.616000000002</v>
          </cell>
        </row>
        <row r="2347">
          <cell r="CJ2347" t="str">
            <v xml:space="preserve">NFT-425700941GN00221XXXXXXX </v>
          </cell>
          <cell r="CK2347" t="str">
            <v>2024-09-13</v>
          </cell>
          <cell r="CL2347">
            <v>31010.984</v>
          </cell>
          <cell r="CM2347" t="str">
            <v xml:space="preserve">NFT-425701003GN00065XXXXXXX </v>
          </cell>
          <cell r="CN2347" t="str">
            <v>2024-09-13</v>
          </cell>
          <cell r="CO2347">
            <v>138.50200000000001</v>
          </cell>
          <cell r="CP2347" t="str">
            <v xml:space="preserve">NFT-/XUTR/DEUTH02426264294X </v>
          </cell>
          <cell r="CQ2347" t="str">
            <v>2024-09-18</v>
          </cell>
          <cell r="CR2347">
            <v>-31010.984</v>
          </cell>
          <cell r="CS2347" t="str">
            <v xml:space="preserve">NFT-/XUTR/DEUTH02426778649X </v>
          </cell>
          <cell r="CT2347" t="str">
            <v>2024-09-23</v>
          </cell>
          <cell r="CU2347">
            <v>-138.50200000000001</v>
          </cell>
        </row>
        <row r="2348">
          <cell r="CJ2348" t="str">
            <v xml:space="preserve">NFT-425700941GN00221XXXXXXX </v>
          </cell>
          <cell r="CK2348" t="str">
            <v>2024-09-13</v>
          </cell>
          <cell r="CL2348">
            <v>77421.218999999997</v>
          </cell>
        </row>
        <row r="2349">
          <cell r="CJ2349" t="str">
            <v xml:space="preserve">NFT-425700941GN00221XXXXXXX </v>
          </cell>
          <cell r="CK2349" t="str">
            <v>2024-09-13</v>
          </cell>
          <cell r="CL2349">
            <v>7841.9340000000002</v>
          </cell>
        </row>
        <row r="2350">
          <cell r="CJ2350" t="str">
            <v xml:space="preserve">NFT-425700941GN00221XXXXXXX </v>
          </cell>
          <cell r="CK2350" t="str">
            <v>2024-09-13</v>
          </cell>
          <cell r="CL2350">
            <v>15572.388000000001</v>
          </cell>
        </row>
        <row r="2351">
          <cell r="CJ2351" t="str">
            <v xml:space="preserve">NFT-425700941GN00221XXXXXXX </v>
          </cell>
          <cell r="CK2351" t="str">
            <v>2024-09-13</v>
          </cell>
          <cell r="CL2351">
            <v>5300.3209999999999</v>
          </cell>
        </row>
        <row r="2352">
          <cell r="CJ2352" t="str">
            <v xml:space="preserve">NFT-425700941GN00221XXXXXXX </v>
          </cell>
          <cell r="CK2352" t="str">
            <v>2024-09-13</v>
          </cell>
          <cell r="CL2352">
            <v>7839.5739999999996</v>
          </cell>
        </row>
        <row r="2353">
          <cell r="CJ2353" t="str">
            <v xml:space="preserve">NFT-/XUTR/DEUTH02426264294X </v>
          </cell>
          <cell r="CK2353" t="str">
            <v>2024-09-18</v>
          </cell>
          <cell r="CL2353">
            <v>76947.195999999996</v>
          </cell>
        </row>
        <row r="2354">
          <cell r="CJ2354" t="str">
            <v xml:space="preserve">NFT-/XUTR/DEUTH02426264294X </v>
          </cell>
          <cell r="CK2354" t="str">
            <v>2024-09-18</v>
          </cell>
          <cell r="CL2354">
            <v>15534.27</v>
          </cell>
        </row>
        <row r="2355">
          <cell r="CJ2355" t="str">
            <v xml:space="preserve">NFT-/XUTR/DEUTH02426264294X </v>
          </cell>
          <cell r="CK2355" t="str">
            <v>2024-09-18</v>
          </cell>
          <cell r="CL2355">
            <v>38541.052000000003</v>
          </cell>
        </row>
        <row r="2356">
          <cell r="CJ2356" t="str">
            <v xml:space="preserve">NFT-/XUTR/DEUTH02426264294X </v>
          </cell>
          <cell r="CK2356" t="str">
            <v>2024-09-18</v>
          </cell>
          <cell r="CL2356">
            <v>5310.3280000000004</v>
          </cell>
        </row>
        <row r="2357">
          <cell r="CJ2357" t="str">
            <v xml:space="preserve">NFT-/XUTR/DEUTH02426264294X </v>
          </cell>
          <cell r="CK2357" t="str">
            <v>2024-09-18</v>
          </cell>
          <cell r="CL2357">
            <v>7897.28</v>
          </cell>
        </row>
        <row r="2358">
          <cell r="CJ2358" t="str">
            <v xml:space="preserve">NFT-/XUTR/DEUTH02426264294X </v>
          </cell>
          <cell r="CK2358" t="str">
            <v>2024-09-18</v>
          </cell>
          <cell r="CL2358">
            <v>76947.195999999996</v>
          </cell>
        </row>
        <row r="2359">
          <cell r="CJ2359" t="str">
            <v xml:space="preserve">NFT-/XUTR/DEUTH02426264294X </v>
          </cell>
          <cell r="CK2359" t="str">
            <v>2024-09-18</v>
          </cell>
          <cell r="CL2359">
            <v>31202.484</v>
          </cell>
        </row>
        <row r="2360">
          <cell r="CJ2360" t="str">
            <v xml:space="preserve">NFT-/XUTR/DEUTH02426264294X </v>
          </cell>
          <cell r="CK2360" t="str">
            <v>2024-09-18</v>
          </cell>
          <cell r="CL2360">
            <v>7470.8339999999998</v>
          </cell>
          <cell r="CM2360" t="str">
            <v xml:space="preserve">NFT-/XUTR/DEUTH02426778649X </v>
          </cell>
          <cell r="CN2360" t="str">
            <v>2024-09-23</v>
          </cell>
          <cell r="CO2360">
            <v>397.23599999999999</v>
          </cell>
        </row>
        <row r="2361">
          <cell r="CJ2361" t="str">
            <v xml:space="preserve">NFT-/XUTR/DEUTH02426264294X </v>
          </cell>
          <cell r="CK2361" t="str">
            <v>2024-09-18</v>
          </cell>
          <cell r="CL2361">
            <v>7849.1890000000003</v>
          </cell>
        </row>
        <row r="2362">
          <cell r="CJ2362" t="str">
            <v xml:space="preserve">NFT-/XUTR/DEUTH02426264294X </v>
          </cell>
          <cell r="CK2362" t="str">
            <v>2024-09-18</v>
          </cell>
          <cell r="CL2362">
            <v>15438.085999999999</v>
          </cell>
        </row>
        <row r="2363">
          <cell r="CJ2363" t="str">
            <v xml:space="preserve">NFT-/XUTR/DEUTH02426264294X </v>
          </cell>
          <cell r="CK2363" t="str">
            <v>2024-09-18</v>
          </cell>
          <cell r="CL2363">
            <v>76427.81</v>
          </cell>
        </row>
        <row r="2364">
          <cell r="CJ2364" t="str">
            <v xml:space="preserve">NFT-/XUTR/DEUTH02426264294X </v>
          </cell>
          <cell r="CK2364" t="str">
            <v>2024-09-18</v>
          </cell>
          <cell r="CL2364">
            <v>9965.23</v>
          </cell>
        </row>
        <row r="2365">
          <cell r="CJ2365" t="str">
            <v xml:space="preserve">NFT-/XUTR/DEUTH02426264294X </v>
          </cell>
          <cell r="CK2365" t="str">
            <v>2024-09-18</v>
          </cell>
          <cell r="CL2365">
            <v>15591.627</v>
          </cell>
        </row>
        <row r="2366">
          <cell r="CJ2366" t="str">
            <v xml:space="preserve">NFT-/XUTR/DEUTH02426264294X </v>
          </cell>
          <cell r="CK2366" t="str">
            <v>2024-09-18</v>
          </cell>
          <cell r="CL2366">
            <v>15572.746999999999</v>
          </cell>
        </row>
        <row r="2367">
          <cell r="CJ2367" t="str">
            <v xml:space="preserve">NFT-/XUTR/DEUTH02426264294X </v>
          </cell>
          <cell r="CK2367" t="str">
            <v>2024-09-18</v>
          </cell>
          <cell r="CL2367">
            <v>15591.627</v>
          </cell>
        </row>
        <row r="2368">
          <cell r="CJ2368" t="str">
            <v xml:space="preserve">NFT-/XUTR/DEUTH02426264294X </v>
          </cell>
          <cell r="CK2368" t="str">
            <v>2024-09-18</v>
          </cell>
          <cell r="CL2368">
            <v>76408.929999999993</v>
          </cell>
        </row>
        <row r="2369">
          <cell r="CJ2369" t="str">
            <v xml:space="preserve">NFT-/XUTR/DEUTH02426264294X </v>
          </cell>
          <cell r="CK2369" t="str">
            <v>2024-09-18</v>
          </cell>
          <cell r="CL2369">
            <v>38281.353999999999</v>
          </cell>
        </row>
        <row r="2370">
          <cell r="CJ2370" t="str">
            <v xml:space="preserve">NFT-/XUTR/DEUTH02426264294X </v>
          </cell>
          <cell r="CK2370" t="str">
            <v>2024-09-18</v>
          </cell>
          <cell r="CL2370">
            <v>15428.471</v>
          </cell>
        </row>
        <row r="2371">
          <cell r="CJ2371" t="str">
            <v xml:space="preserve">NFT-/XUTR/DEUTH02426264294X </v>
          </cell>
          <cell r="CK2371" t="str">
            <v>2024-09-18</v>
          </cell>
          <cell r="CL2371">
            <v>2250.9470000000001</v>
          </cell>
        </row>
        <row r="2372">
          <cell r="CJ2372" t="str">
            <v xml:space="preserve">NFT-/XUTR/DEUTH02426264294X </v>
          </cell>
          <cell r="CK2372" t="str">
            <v>2024-09-18</v>
          </cell>
          <cell r="CL2372">
            <v>76408.929999999993</v>
          </cell>
        </row>
        <row r="2373">
          <cell r="CJ2373" t="str">
            <v xml:space="preserve">NFT-/XUTR/DEUTH02426264294X </v>
          </cell>
          <cell r="CK2373" t="str">
            <v>2024-09-18</v>
          </cell>
          <cell r="CL2373">
            <v>11350.91</v>
          </cell>
        </row>
        <row r="2374">
          <cell r="CJ2374" t="str">
            <v xml:space="preserve">NFT-/XUTR/DEUTH02426264294X </v>
          </cell>
          <cell r="CK2374" t="str">
            <v>2024-09-18</v>
          </cell>
          <cell r="CL2374">
            <v>11350.91</v>
          </cell>
        </row>
        <row r="2375">
          <cell r="CJ2375" t="str">
            <v xml:space="preserve">NFT-/XUTR/DEUTH02426264294X </v>
          </cell>
          <cell r="CK2375" t="str">
            <v>2024-09-18</v>
          </cell>
          <cell r="CL2375">
            <v>25682.28</v>
          </cell>
        </row>
        <row r="2376">
          <cell r="CJ2376" t="str">
            <v xml:space="preserve">NFT-/XUTR/DEUTH02426264294X </v>
          </cell>
          <cell r="CK2376" t="str">
            <v>2024-09-18</v>
          </cell>
          <cell r="CL2376">
            <v>25682.28</v>
          </cell>
        </row>
        <row r="2377">
          <cell r="CJ2377" t="str">
            <v xml:space="preserve">NFT-/XUTR/DEUTH02426264294X </v>
          </cell>
          <cell r="CK2377" t="str">
            <v>2024-09-18</v>
          </cell>
          <cell r="CL2377">
            <v>15456.966</v>
          </cell>
        </row>
        <row r="2378">
          <cell r="CJ2378" t="str">
            <v xml:space="preserve">NFT-/XUTR/DEUTH02426264294X </v>
          </cell>
          <cell r="CK2378" t="str">
            <v>2024-09-18</v>
          </cell>
          <cell r="CL2378">
            <v>15438.085999999999</v>
          </cell>
        </row>
        <row r="2379">
          <cell r="CJ2379" t="str">
            <v xml:space="preserve">NFT-/XUTR/DEUTH02426264294X </v>
          </cell>
          <cell r="CK2379" t="str">
            <v>2024-09-18</v>
          </cell>
          <cell r="CL2379">
            <v>38820.336000000003</v>
          </cell>
        </row>
        <row r="2380">
          <cell r="CJ2380" t="str">
            <v xml:space="preserve">NFT-/XUTR/DEUTH02426264294X </v>
          </cell>
          <cell r="CK2380" t="str">
            <v>2024-09-18</v>
          </cell>
          <cell r="CL2380">
            <v>15438.085999999999</v>
          </cell>
        </row>
        <row r="2382">
          <cell r="CJ2382" t="str">
            <v xml:space="preserve">NFT-/XUTR/DEUTH02426461063X </v>
          </cell>
          <cell r="CK2382" t="str">
            <v>2024-09-20</v>
          </cell>
          <cell r="CL2382">
            <v>78062.933000000005</v>
          </cell>
        </row>
        <row r="2383">
          <cell r="CJ2383" t="str">
            <v xml:space="preserve">NFT-/XUTR/DEUTH02426461063X </v>
          </cell>
          <cell r="CK2383" t="str">
            <v>2024-09-20</v>
          </cell>
          <cell r="CL2383">
            <v>7925.7849999999999</v>
          </cell>
        </row>
        <row r="2384">
          <cell r="CJ2384" t="str">
            <v xml:space="preserve">NFT-/XUTR/DEUTH02426461063X </v>
          </cell>
          <cell r="CK2384" t="str">
            <v>2024-09-20</v>
          </cell>
          <cell r="CL2384">
            <v>15533.911</v>
          </cell>
        </row>
        <row r="2385">
          <cell r="CJ2385" t="str">
            <v xml:space="preserve">NFT-/XUTR/DEUTH02426758611X </v>
          </cell>
          <cell r="CK2385" t="str">
            <v>2024-09-23</v>
          </cell>
          <cell r="CL2385">
            <v>13961.592000000001</v>
          </cell>
          <cell r="CM2385" t="str">
            <v xml:space="preserve">NFT-/XUTR/DEUTH02426778649X </v>
          </cell>
          <cell r="CN2385" t="str">
            <v>2024-09-23</v>
          </cell>
          <cell r="CO2385">
            <v>740.32799999999997</v>
          </cell>
        </row>
        <row r="2386">
          <cell r="CJ2386" t="str">
            <v xml:space="preserve">NFT-/XUTR/DEUTH02426758611X </v>
          </cell>
          <cell r="CK2386" t="str">
            <v>2024-09-23</v>
          </cell>
          <cell r="CL2386">
            <v>36517.341</v>
          </cell>
          <cell r="CM2386" t="str">
            <v xml:space="preserve">NFT-/XUTR/DEUTH02426778649X </v>
          </cell>
          <cell r="CN2386" t="str">
            <v>2024-09-23</v>
          </cell>
          <cell r="CO2386">
            <v>1985.231</v>
          </cell>
        </row>
        <row r="2387">
          <cell r="CJ2387" t="str">
            <v xml:space="preserve">NFT-/XUTR/DEUTH02426758611X </v>
          </cell>
          <cell r="CK2387" t="str">
            <v>2024-09-23</v>
          </cell>
          <cell r="CL2387">
            <v>36394.584999999999</v>
          </cell>
          <cell r="CM2387" t="str">
            <v xml:space="preserve">NFT-/XUTR/DEUTH02426778649X </v>
          </cell>
          <cell r="CN2387" t="str">
            <v>2024-09-23</v>
          </cell>
          <cell r="CO2387">
            <v>2089.1089999999999</v>
          </cell>
        </row>
        <row r="2388">
          <cell r="CJ2388" t="str">
            <v xml:space="preserve">NFT-/XUTR/DEUTH02426758611X </v>
          </cell>
          <cell r="CK2388" t="str">
            <v>2024-09-23</v>
          </cell>
          <cell r="CL2388">
            <v>14734.016</v>
          </cell>
          <cell r="CM2388" t="str">
            <v xml:space="preserve">NFT-/XUTR/DEUTH02426778649X </v>
          </cell>
          <cell r="CN2388" t="str">
            <v>2024-09-23</v>
          </cell>
          <cell r="CO2388">
            <v>781.01400000000001</v>
          </cell>
        </row>
        <row r="2390">
          <cell r="CJ2390" t="str">
            <v xml:space="preserve">NFT-/XUTR/DEUTH02426758611X </v>
          </cell>
          <cell r="CK2390" t="str">
            <v>2024-09-23</v>
          </cell>
          <cell r="CL2390">
            <v>37084.222999999998</v>
          </cell>
          <cell r="CM2390" t="str">
            <v xml:space="preserve">NFT-/XUTR/DEUTH02426778649X </v>
          </cell>
          <cell r="CN2390" t="str">
            <v>2024-09-23</v>
          </cell>
          <cell r="CO2390">
            <v>1957.3340000000001</v>
          </cell>
        </row>
        <row r="2391">
          <cell r="CJ2391" t="str">
            <v xml:space="preserve">NFT-/XUTR/DEUTH02426758611X </v>
          </cell>
          <cell r="CK2391" t="str">
            <v>2024-09-23</v>
          </cell>
          <cell r="CL2391">
            <v>29180.098000000002</v>
          </cell>
          <cell r="CM2391" t="str">
            <v xml:space="preserve">NFT-/XUTR/DEUTH02426778649X </v>
          </cell>
          <cell r="CN2391" t="str">
            <v>2024-09-23</v>
          </cell>
          <cell r="CO2391">
            <v>2175.6799999999998</v>
          </cell>
        </row>
        <row r="2392">
          <cell r="CJ2392" t="str">
            <v xml:space="preserve">NFT-/XUTR/DEUTH02426758611X </v>
          </cell>
          <cell r="CK2392" t="str">
            <v>2024-09-23</v>
          </cell>
          <cell r="CL2392">
            <v>14752.906999999999</v>
          </cell>
          <cell r="CM2392" t="str">
            <v xml:space="preserve">NFT-/XUTR/DEUTH02426778649X </v>
          </cell>
          <cell r="CN2392" t="str">
            <v>2024-09-23</v>
          </cell>
          <cell r="CO2392">
            <v>781.01400000000001</v>
          </cell>
        </row>
        <row r="2393">
          <cell r="CJ2393" t="str">
            <v xml:space="preserve">NFT-/XUTR/DEUTH02426758611X </v>
          </cell>
          <cell r="CK2393" t="str">
            <v>2024-09-23</v>
          </cell>
          <cell r="CL2393">
            <v>73994.356</v>
          </cell>
          <cell r="CM2393" t="str">
            <v xml:space="preserve">NFT-/XUTR/DEUTH02426778649X </v>
          </cell>
          <cell r="CN2393" t="str">
            <v>2024-09-23</v>
          </cell>
          <cell r="CO2393">
            <v>2885.51</v>
          </cell>
        </row>
        <row r="2394">
          <cell r="CJ2394" t="str">
            <v xml:space="preserve">NFT-/XUTR/DEUTH02426758611X </v>
          </cell>
          <cell r="CK2394" t="str">
            <v>2024-09-23</v>
          </cell>
          <cell r="CL2394">
            <v>5396.5050000000001</v>
          </cell>
        </row>
        <row r="2395">
          <cell r="CJ2395" t="str">
            <v xml:space="preserve">NFT-/XUTR/DEUTH02426758611X </v>
          </cell>
          <cell r="CK2395" t="str">
            <v>2024-09-23</v>
          </cell>
          <cell r="CL2395">
            <v>14734.016</v>
          </cell>
          <cell r="CM2395" t="str">
            <v xml:space="preserve">NFT-/XUTR/DEUTH02426778649X </v>
          </cell>
          <cell r="CN2395" t="str">
            <v>2024-09-23</v>
          </cell>
          <cell r="CO2395">
            <v>781.01400000000001</v>
          </cell>
        </row>
        <row r="2396">
          <cell r="CJ2396" t="str">
            <v xml:space="preserve">NFT-/XUTR/DEUTH02426758611X </v>
          </cell>
          <cell r="CK2396" t="str">
            <v>2024-09-23</v>
          </cell>
          <cell r="CL2396">
            <v>37103.103000000003</v>
          </cell>
          <cell r="CM2396" t="str">
            <v xml:space="preserve">NFT-/XUTR/DEUTH02426778649X </v>
          </cell>
          <cell r="CN2396" t="str">
            <v>2024-09-23</v>
          </cell>
          <cell r="CO2396">
            <v>1957.3340000000001</v>
          </cell>
        </row>
        <row r="2397">
          <cell r="CJ2397" t="str">
            <v xml:space="preserve">NFT-/XUTR/DEUTH02426758611X </v>
          </cell>
          <cell r="CK2397" t="str">
            <v>2024-09-23</v>
          </cell>
          <cell r="CL2397">
            <v>37103.103000000003</v>
          </cell>
          <cell r="CM2397" t="str">
            <v xml:space="preserve">NFT-/XUTR/DEUTH02426778649X </v>
          </cell>
          <cell r="CN2397" t="str">
            <v>2024-09-23</v>
          </cell>
          <cell r="CO2397">
            <v>1957.3340000000001</v>
          </cell>
        </row>
        <row r="2398">
          <cell r="CJ2398" t="str">
            <v xml:space="preserve">NFT-/XUTR/DEUTH02426758611X </v>
          </cell>
          <cell r="CK2398" t="str">
            <v>2024-09-23</v>
          </cell>
          <cell r="CL2398">
            <v>73994.356</v>
          </cell>
          <cell r="CM2398" t="str">
            <v xml:space="preserve">NFT-/XUTR/DEUTH02426778649X </v>
          </cell>
          <cell r="CN2398" t="str">
            <v>2024-09-23</v>
          </cell>
          <cell r="CO2398">
            <v>2885.51</v>
          </cell>
        </row>
        <row r="2399">
          <cell r="CJ2399" t="str">
            <v xml:space="preserve">NFT-/XUTR/DEUTH02426758611X </v>
          </cell>
          <cell r="CK2399" t="str">
            <v>2024-09-23</v>
          </cell>
          <cell r="CL2399">
            <v>31067.822</v>
          </cell>
        </row>
        <row r="2400">
          <cell r="CJ2400" t="str">
            <v xml:space="preserve">NFT-/XUTR/DEUTH02426758611X </v>
          </cell>
          <cell r="CK2400" t="str">
            <v>2024-09-23</v>
          </cell>
          <cell r="CL2400">
            <v>14407.603999999999</v>
          </cell>
          <cell r="CM2400" t="str">
            <v xml:space="preserve">NFT-/XUTR/DEUTH02426778649X </v>
          </cell>
          <cell r="CN2400" t="str">
            <v>2024-09-23</v>
          </cell>
          <cell r="CO2400">
            <v>1126.307</v>
          </cell>
        </row>
        <row r="2401">
          <cell r="CJ2401" t="str">
            <v xml:space="preserve">NFT-/XUTR/DEUTH02426758611X </v>
          </cell>
          <cell r="CK2401" t="str">
            <v>2024-09-23</v>
          </cell>
          <cell r="CL2401">
            <v>70515.460000000006</v>
          </cell>
          <cell r="CM2401" t="str">
            <v xml:space="preserve">NFT-/XUTR/DEUTH02426778649X </v>
          </cell>
          <cell r="CN2401" t="str">
            <v>2024-09-23</v>
          </cell>
          <cell r="CO2401">
            <v>3069.645</v>
          </cell>
        </row>
        <row r="2402">
          <cell r="CJ2402" t="str">
            <v xml:space="preserve">NFT-/XUTR/DEUTH02426758611X </v>
          </cell>
          <cell r="CK2402" t="str">
            <v>2024-09-23</v>
          </cell>
          <cell r="CL2402">
            <v>76879.865999999995</v>
          </cell>
        </row>
        <row r="2403">
          <cell r="CJ2403" t="str">
            <v xml:space="preserve">NFT-/XUTR/DEUTH02426758611X </v>
          </cell>
          <cell r="CK2403" t="str">
            <v>2024-09-23</v>
          </cell>
          <cell r="CL2403">
            <v>5305.7340000000004</v>
          </cell>
          <cell r="CM2403" t="str">
            <v xml:space="preserve">NFT-/XUTR/DEUTH02426778649X </v>
          </cell>
          <cell r="CN2403" t="str">
            <v>2024-09-23</v>
          </cell>
          <cell r="CO2403">
            <v>109.649</v>
          </cell>
        </row>
        <row r="2404">
          <cell r="CJ2404" t="str">
            <v xml:space="preserve">NFT-/XUTR/DEUTH02426758611X </v>
          </cell>
          <cell r="CK2404" t="str">
            <v>2024-09-23</v>
          </cell>
          <cell r="CL2404">
            <v>15813.206</v>
          </cell>
        </row>
        <row r="2405">
          <cell r="CJ2405" t="str">
            <v xml:space="preserve">NFT-/XUTR/DEUTH02426758611X </v>
          </cell>
          <cell r="CK2405" t="str">
            <v>2024-09-23</v>
          </cell>
          <cell r="CL2405">
            <v>15354.044</v>
          </cell>
          <cell r="CM2405" t="str">
            <v xml:space="preserve">NFT-/XUTR/DEUTH02426778649X </v>
          </cell>
          <cell r="CN2405" t="str">
            <v>2024-09-23</v>
          </cell>
          <cell r="CO2405">
            <v>478.03199999999998</v>
          </cell>
        </row>
        <row r="2406">
          <cell r="CJ2406" t="str">
            <v xml:space="preserve">NFT-/XUTR/DEUTH02426758611X </v>
          </cell>
          <cell r="CK2406" t="str">
            <v>2024-09-23</v>
          </cell>
          <cell r="CL2406">
            <v>5140.3</v>
          </cell>
          <cell r="CM2406" t="str">
            <v xml:space="preserve">NFT-/XUTR/DEUTH02426778649X </v>
          </cell>
          <cell r="CN2406" t="str">
            <v>2024-09-23</v>
          </cell>
          <cell r="CO2406">
            <v>275.08499999999998</v>
          </cell>
        </row>
        <row r="2407">
          <cell r="CJ2407" t="str">
            <v xml:space="preserve">NFT-/XUTR/DEUTH02426758611X </v>
          </cell>
          <cell r="CK2407" t="str">
            <v>2024-09-23</v>
          </cell>
          <cell r="CL2407">
            <v>75978.98</v>
          </cell>
          <cell r="CM2407" t="str">
            <v xml:space="preserve">NFT-/XUTR/DEUTH02426778649X </v>
          </cell>
          <cell r="CN2407" t="str">
            <v>2024-09-23</v>
          </cell>
          <cell r="CO2407">
            <v>2353.614</v>
          </cell>
        </row>
        <row r="2408">
          <cell r="CJ2408" t="str">
            <v xml:space="preserve">NFT-/XUTR/DEUTH02426758611X </v>
          </cell>
          <cell r="CK2408" t="str">
            <v>2024-09-23</v>
          </cell>
          <cell r="CL2408">
            <v>16120.882</v>
          </cell>
        </row>
        <row r="2409">
          <cell r="CJ2409" t="str">
            <v xml:space="preserve">NFT-/XUTR/DEUTH02426758611X </v>
          </cell>
          <cell r="CK2409" t="str">
            <v>2024-09-23</v>
          </cell>
          <cell r="CL2409">
            <v>14521.353999999999</v>
          </cell>
          <cell r="CM2409" t="str">
            <v xml:space="preserve">NFT-/XUTR/DEUTH02426778649X </v>
          </cell>
          <cell r="CN2409" t="str">
            <v>2024-09-23</v>
          </cell>
          <cell r="CO2409">
            <v>180.56700000000001</v>
          </cell>
        </row>
        <row r="2410">
          <cell r="CJ2410" t="str">
            <v xml:space="preserve">NFT-/XUTR/DEUTH02426758611X </v>
          </cell>
          <cell r="CK2410" t="str">
            <v>2024-09-23</v>
          </cell>
          <cell r="CL2410">
            <v>14705.163</v>
          </cell>
          <cell r="CM2410" t="str">
            <v xml:space="preserve">NFT-/XUTR/DEUTH02426778649X </v>
          </cell>
          <cell r="CN2410" t="str">
            <v>2024-09-23</v>
          </cell>
          <cell r="CO2410">
            <v>1261.933</v>
          </cell>
        </row>
        <row r="2413">
          <cell r="CJ2413" t="str">
            <v xml:space="preserve">NFT-/XUTR/DEUTH02426758611X </v>
          </cell>
          <cell r="CK2413" t="str">
            <v>2024-09-23</v>
          </cell>
          <cell r="CL2413">
            <v>15111.663</v>
          </cell>
          <cell r="CM2413" t="str">
            <v xml:space="preserve">NFT-/XUTR/DEUTH02426778649X </v>
          </cell>
          <cell r="CN2413" t="str">
            <v>2024-09-23</v>
          </cell>
          <cell r="CO2413">
            <v>720.41200000000003</v>
          </cell>
        </row>
        <row r="2414">
          <cell r="CJ2414" t="str">
            <v xml:space="preserve">NFT-/XUTR/DEUTH02426758611X </v>
          </cell>
          <cell r="CK2414" t="str">
            <v>2024-09-23</v>
          </cell>
          <cell r="CL2414">
            <v>15345.57</v>
          </cell>
          <cell r="CM2414" t="str">
            <v xml:space="preserve">NFT-/XUTR/DEUTH02426778649X </v>
          </cell>
          <cell r="CN2414" t="str">
            <v>2024-09-23</v>
          </cell>
          <cell r="CO2414">
            <v>477.06599999999997</v>
          </cell>
        </row>
        <row r="2415">
          <cell r="CJ2415" t="str">
            <v xml:space="preserve">NFT-/XUTR/DEUTH02426758611X </v>
          </cell>
          <cell r="CK2415" t="str">
            <v>2024-09-23</v>
          </cell>
          <cell r="CL2415">
            <v>75988.42</v>
          </cell>
          <cell r="CM2415" t="str">
            <v xml:space="preserve">NFT-/XUTR/DEUTH02426778649X </v>
          </cell>
          <cell r="CN2415" t="str">
            <v>2024-09-23</v>
          </cell>
          <cell r="CO2415">
            <v>2353.614</v>
          </cell>
        </row>
        <row r="2416">
          <cell r="CJ2416" t="str">
            <v xml:space="preserve">NFT-/XUTR/DEUTH02426758611X </v>
          </cell>
          <cell r="CK2416" t="str">
            <v>2024-09-23</v>
          </cell>
          <cell r="CL2416">
            <v>8041.5559999999996</v>
          </cell>
        </row>
        <row r="2417">
          <cell r="CJ2417" t="str">
            <v xml:space="preserve">NFT-/XUTR/DEUTH02426758611X </v>
          </cell>
          <cell r="CK2417" t="str">
            <v>2024-09-23</v>
          </cell>
          <cell r="CL2417">
            <v>1366.414</v>
          </cell>
        </row>
        <row r="2418">
          <cell r="CJ2418" t="str">
            <v xml:space="preserve">NFT-/XUTR/DEUTH02426758611X </v>
          </cell>
          <cell r="CK2418" t="str">
            <v>2024-09-23</v>
          </cell>
          <cell r="CL2418">
            <v>39916.476999999999</v>
          </cell>
          <cell r="CM2418" t="str">
            <v xml:space="preserve">NFT-/XUTR/DEUTH02426954399X </v>
          </cell>
          <cell r="CN2418" t="str">
            <v>2024-09-25</v>
          </cell>
          <cell r="CO2418">
            <v>-39916.476999999999</v>
          </cell>
        </row>
        <row r="2419">
          <cell r="CJ2419" t="str">
            <v xml:space="preserve">NFT-/XUTR/DEUTH02426758611X </v>
          </cell>
          <cell r="CK2419" t="str">
            <v>2024-09-23</v>
          </cell>
          <cell r="CL2419">
            <v>39330.118000000002</v>
          </cell>
        </row>
        <row r="2420">
          <cell r="CJ2420" t="str">
            <v xml:space="preserve">NFT-/XUTR/DEUTH02426758611X </v>
          </cell>
          <cell r="CK2420" t="str">
            <v>2024-09-23</v>
          </cell>
          <cell r="CL2420">
            <v>15861.298000000001</v>
          </cell>
        </row>
        <row r="2421">
          <cell r="CJ2421" t="str">
            <v xml:space="preserve">NFT-/XUTR/DEUTH02426758611X </v>
          </cell>
          <cell r="CK2421" t="str">
            <v>2024-09-23</v>
          </cell>
          <cell r="CL2421">
            <v>5656.2030000000004</v>
          </cell>
        </row>
        <row r="2422">
          <cell r="CJ2422" t="str">
            <v xml:space="preserve">NFT-/XUTR/DEUTH02426758611X </v>
          </cell>
          <cell r="CK2422" t="str">
            <v>2024-09-23</v>
          </cell>
          <cell r="CL2422">
            <v>5656.2030000000004</v>
          </cell>
        </row>
        <row r="2423">
          <cell r="CJ2423" t="str">
            <v xml:space="preserve">NFT-/XUTR/DEUTH02426758611X </v>
          </cell>
          <cell r="CK2423" t="str">
            <v>2024-09-23</v>
          </cell>
          <cell r="CL2423">
            <v>78572.703999999998</v>
          </cell>
        </row>
        <row r="2424">
          <cell r="CJ2424" t="str">
            <v xml:space="preserve">NFT-/XUTR/DEUTH02426758611X </v>
          </cell>
          <cell r="CK2424" t="str">
            <v>2024-09-23</v>
          </cell>
          <cell r="CL2424">
            <v>39348.999000000003</v>
          </cell>
        </row>
        <row r="2425">
          <cell r="CJ2425" t="str">
            <v xml:space="preserve">NFT-/XUTR/DEUTH02426954399X </v>
          </cell>
          <cell r="CK2425" t="str">
            <v>2024-09-25</v>
          </cell>
          <cell r="CL2425">
            <v>16198.186</v>
          </cell>
        </row>
        <row r="2426">
          <cell r="CJ2426" t="str">
            <v xml:space="preserve">NFT-/XUTR/DEUTH02426954399X </v>
          </cell>
          <cell r="CK2426" t="str">
            <v>2024-09-25</v>
          </cell>
          <cell r="CL2426">
            <v>38008.188999999998</v>
          </cell>
          <cell r="CM2426" t="str">
            <v xml:space="preserve">NFT-/XUTR/DEUTH02426963335X </v>
          </cell>
          <cell r="CN2426" t="str">
            <v>2024-09-25</v>
          </cell>
          <cell r="CO2426">
            <v>2004.471</v>
          </cell>
        </row>
        <row r="2427">
          <cell r="CJ2427" t="str">
            <v xml:space="preserve">NFT-/XUTR/DEUTH02426954399X </v>
          </cell>
          <cell r="CK2427" t="str">
            <v>2024-09-25</v>
          </cell>
          <cell r="CL2427">
            <v>37478.224000000002</v>
          </cell>
          <cell r="CM2427" t="str">
            <v xml:space="preserve">NFT-/XUTR/DEUTH02426963335X </v>
          </cell>
          <cell r="CN2427" t="str">
            <v>2024-09-25</v>
          </cell>
          <cell r="CO2427">
            <v>1976.5730000000001</v>
          </cell>
        </row>
        <row r="2428">
          <cell r="CJ2428" t="str">
            <v xml:space="preserve">NFT-/XUTR/DEUTH02426954399X </v>
          </cell>
          <cell r="CK2428" t="str">
            <v>2024-09-25</v>
          </cell>
          <cell r="CL2428">
            <v>75879.561000000002</v>
          </cell>
          <cell r="CM2428" t="str">
            <v xml:space="preserve">NFT-/XUTR/DEUTH02426963335X </v>
          </cell>
          <cell r="CN2428" t="str">
            <v>2024-09-25</v>
          </cell>
          <cell r="CO2428">
            <v>2885.511</v>
          </cell>
        </row>
        <row r="2429">
          <cell r="CJ2429" t="str">
            <v xml:space="preserve">NFT-/XUTR/DEUTH02426954399X </v>
          </cell>
          <cell r="CK2429" t="str">
            <v>2024-09-25</v>
          </cell>
          <cell r="CL2429">
            <v>30797.076000000001</v>
          </cell>
          <cell r="CM2429" t="str">
            <v xml:space="preserve">NFT-/XUTR/DEUTH02426963335X </v>
          </cell>
          <cell r="CN2429" t="str">
            <v>2024-09-25</v>
          </cell>
          <cell r="CO2429">
            <v>1635.12</v>
          </cell>
        </row>
        <row r="2430">
          <cell r="CJ2430" t="str">
            <v xml:space="preserve">NFT-/XUTR/DEUTH02426954399X </v>
          </cell>
          <cell r="CK2430" t="str">
            <v>2024-09-25</v>
          </cell>
          <cell r="CL2430">
            <v>37459.343000000001</v>
          </cell>
          <cell r="CM2430" t="str">
            <v xml:space="preserve">NFT-/XUTR/DEUTH02426963335X </v>
          </cell>
          <cell r="CN2430" t="str">
            <v>2024-09-25</v>
          </cell>
          <cell r="CO2430">
            <v>1976.5730000000001</v>
          </cell>
        </row>
        <row r="2431">
          <cell r="CJ2431" t="str">
            <v xml:space="preserve">NFT-/XUTR/DEUTH02426954399X </v>
          </cell>
          <cell r="CK2431" t="str">
            <v>2024-09-25</v>
          </cell>
          <cell r="CL2431">
            <v>14982.785</v>
          </cell>
          <cell r="CM2431" t="str">
            <v xml:space="preserve">NFT-/XUTR/DEUTH02426963335X </v>
          </cell>
          <cell r="CN2431" t="str">
            <v>2024-09-25</v>
          </cell>
          <cell r="CO2431">
            <v>935.87</v>
          </cell>
        </row>
        <row r="2432">
          <cell r="CJ2432" t="str">
            <v xml:space="preserve">NFT-/XUTR/DEUTH02426954399X </v>
          </cell>
          <cell r="CK2432" t="str">
            <v>2024-09-25</v>
          </cell>
          <cell r="CL2432">
            <v>15245.718999999999</v>
          </cell>
          <cell r="CM2432" t="str">
            <v xml:space="preserve">NFT-/XUTR/DEUTH02426963335X </v>
          </cell>
          <cell r="CN2432" t="str">
            <v>2024-09-25</v>
          </cell>
          <cell r="CO2432">
            <v>807.947</v>
          </cell>
        </row>
        <row r="2433">
          <cell r="CJ2433" t="str">
            <v xml:space="preserve">NFT-/XUTR/DEUTH02426954399X </v>
          </cell>
          <cell r="CK2433" t="str">
            <v>2024-09-25</v>
          </cell>
          <cell r="CL2433">
            <v>15245.718999999999</v>
          </cell>
          <cell r="CM2433" t="str">
            <v xml:space="preserve">NFT-/XUTR/DEUTH02426963335X </v>
          </cell>
          <cell r="CN2433" t="str">
            <v>2024-09-25</v>
          </cell>
          <cell r="CO2433">
            <v>807.947</v>
          </cell>
        </row>
        <row r="2434">
          <cell r="CJ2434" t="str">
            <v xml:space="preserve">NFT-/XUTR/DEUTH02426954399X </v>
          </cell>
          <cell r="CK2434" t="str">
            <v>2024-09-25</v>
          </cell>
          <cell r="CL2434">
            <v>37478.224000000002</v>
          </cell>
          <cell r="CM2434" t="str">
            <v xml:space="preserve">NFT-/XUTR/DEUTH02426963335X </v>
          </cell>
          <cell r="CN2434" t="str">
            <v>2024-09-25</v>
          </cell>
          <cell r="CO2434">
            <v>1976.5730000000001</v>
          </cell>
        </row>
        <row r="2435">
          <cell r="CJ2435" t="str">
            <v xml:space="preserve">NFT-/XUTR/DEUTH02426954399X </v>
          </cell>
          <cell r="CK2435" t="str">
            <v>2024-09-25</v>
          </cell>
          <cell r="CL2435">
            <v>15419.812</v>
          </cell>
          <cell r="CM2435" t="str">
            <v xml:space="preserve">NFT-/XUTR/DEUTH02426963335X </v>
          </cell>
          <cell r="CN2435" t="str">
            <v>2024-09-25</v>
          </cell>
          <cell r="CO2435">
            <v>479.95299999999997</v>
          </cell>
        </row>
        <row r="2436">
          <cell r="CJ2436" t="str">
            <v xml:space="preserve">NFT-/XUTR/DEUTH02426954399X </v>
          </cell>
          <cell r="CK2436" t="str">
            <v>2024-09-25</v>
          </cell>
          <cell r="CL2436">
            <v>14991.793</v>
          </cell>
          <cell r="CM2436" t="str">
            <v xml:space="preserve">NFT-/XUTR/DEUTH02426963335X </v>
          </cell>
          <cell r="CN2436" t="str">
            <v>2024-09-25</v>
          </cell>
          <cell r="CO2436">
            <v>1061.8620000000001</v>
          </cell>
        </row>
        <row r="2437">
          <cell r="CJ2437" t="str">
            <v xml:space="preserve">NFT-/XUTR/DEUTH02426954399X </v>
          </cell>
          <cell r="CK2437" t="str">
            <v>2024-09-25</v>
          </cell>
          <cell r="CL2437">
            <v>1385.653</v>
          </cell>
        </row>
        <row r="2438">
          <cell r="CJ2438" t="str">
            <v xml:space="preserve">NFT-/XUTR/DEUTH02426954399X </v>
          </cell>
          <cell r="CK2438" t="str">
            <v>2024-09-25</v>
          </cell>
          <cell r="CL2438">
            <v>37459.343000000001</v>
          </cell>
          <cell r="CM2438" t="str">
            <v xml:space="preserve">NFT-/XUTR/DEUTH02426963335X </v>
          </cell>
          <cell r="CN2438" t="str">
            <v>2024-09-25</v>
          </cell>
          <cell r="CO2438">
            <v>1976.5730000000001</v>
          </cell>
        </row>
        <row r="2439">
          <cell r="CJ2439" t="str">
            <v xml:space="preserve">NFT-/XUTR/DEUTH02426954399X </v>
          </cell>
          <cell r="CK2439" t="str">
            <v>2024-09-25</v>
          </cell>
          <cell r="CL2439">
            <v>8089.6480000000001</v>
          </cell>
        </row>
        <row r="2440">
          <cell r="CJ2440" t="str">
            <v xml:space="preserve">NFT-/XUTR/DEUTH02426954399X </v>
          </cell>
          <cell r="CK2440" t="str">
            <v>2024-09-25</v>
          </cell>
          <cell r="CL2440">
            <v>75696.808000000005</v>
          </cell>
          <cell r="CM2440" t="str">
            <v xml:space="preserve">NFT-/XUTR/DEUTH02426963335X </v>
          </cell>
          <cell r="CN2440" t="str">
            <v>2024-09-25</v>
          </cell>
          <cell r="CO2440">
            <v>2885.51</v>
          </cell>
        </row>
        <row r="2441">
          <cell r="CJ2441" t="str">
            <v xml:space="preserve">NFT-/XUTR/DEUTH02426954399X </v>
          </cell>
          <cell r="CK2441" t="str">
            <v>2024-09-25</v>
          </cell>
          <cell r="CL2441">
            <v>7680.5190000000002</v>
          </cell>
          <cell r="CM2441" t="str">
            <v xml:space="preserve">NFT-/XUTR/DEUTH02426963335X </v>
          </cell>
          <cell r="CN2441" t="str">
            <v>2024-09-25</v>
          </cell>
          <cell r="CO2441">
            <v>408.78100000000001</v>
          </cell>
        </row>
        <row r="2442">
          <cell r="CJ2442" t="str">
            <v xml:space="preserve">NFT-/XUTR/DEUTH02426954399X </v>
          </cell>
          <cell r="CK2442" t="str">
            <v>2024-09-25</v>
          </cell>
          <cell r="CL2442">
            <v>20332.164000000001</v>
          </cell>
          <cell r="CM2442" t="str">
            <v xml:space="preserve">NFT-/XUTR/DEUTH02426963335X </v>
          </cell>
          <cell r="CN2442" t="str">
            <v>2024-09-25</v>
          </cell>
          <cell r="CO2442">
            <v>1079.18</v>
          </cell>
        </row>
        <row r="2443">
          <cell r="CJ2443" t="str">
            <v xml:space="preserve">NFT-/XUTR/DEUTH02426954399X </v>
          </cell>
          <cell r="CK2443" t="str">
            <v>2024-09-25</v>
          </cell>
          <cell r="CL2443">
            <v>9664.7839999999997</v>
          </cell>
          <cell r="CM2443" t="str">
            <v xml:space="preserve">NFT-/XUTR/DEUTH02426963335X </v>
          </cell>
          <cell r="CN2443" t="str">
            <v>2024-09-25</v>
          </cell>
          <cell r="CO2443">
            <v>1050.326</v>
          </cell>
        </row>
        <row r="2444">
          <cell r="CJ2444" t="str">
            <v xml:space="preserve">NFT-/XUTR/DEUTH02426954399X </v>
          </cell>
          <cell r="CK2444" t="str">
            <v>2024-09-25</v>
          </cell>
          <cell r="CL2444">
            <v>78582.319000000003</v>
          </cell>
        </row>
        <row r="2445">
          <cell r="CJ2445" t="str">
            <v xml:space="preserve">NFT-/XUTR/DEUTH02426954399X </v>
          </cell>
          <cell r="CK2445" t="str">
            <v>2024-09-25</v>
          </cell>
          <cell r="CL2445">
            <v>7661.6390000000001</v>
          </cell>
          <cell r="CM2445" t="str">
            <v xml:space="preserve">NFT-/XUTR/DEUTH02426963335X </v>
          </cell>
          <cell r="CN2445" t="str">
            <v>2024-09-25</v>
          </cell>
          <cell r="CO2445">
            <v>408.78100000000001</v>
          </cell>
        </row>
        <row r="2446">
          <cell r="CJ2446" t="str">
            <v xml:space="preserve">NFT-/XUTR/DEUTH02426954399X </v>
          </cell>
          <cell r="CK2446" t="str">
            <v>2024-09-25</v>
          </cell>
          <cell r="CL2446">
            <v>37478.224000000002</v>
          </cell>
          <cell r="CM2446" t="str">
            <v xml:space="preserve">NFT-/XUTR/DEUTH02426963335X </v>
          </cell>
          <cell r="CN2446" t="str">
            <v>2024-09-25</v>
          </cell>
          <cell r="CO2446">
            <v>1976.5730000000001</v>
          </cell>
        </row>
        <row r="2447">
          <cell r="CJ2447" t="str">
            <v xml:space="preserve">NFT-/XUTR/DEUTH02426954399X </v>
          </cell>
          <cell r="CK2447" t="str">
            <v>2024-09-25</v>
          </cell>
          <cell r="CL2447">
            <v>37459.343000000001</v>
          </cell>
          <cell r="CM2447" t="str">
            <v xml:space="preserve">NFT-/XUTR/DEUTH02426963335X </v>
          </cell>
          <cell r="CN2447" t="str">
            <v>2024-09-25</v>
          </cell>
          <cell r="CO2447">
            <v>1976.5730000000001</v>
          </cell>
        </row>
        <row r="2448">
          <cell r="CJ2448" t="str">
            <v xml:space="preserve">NFT-/XUTR/DEUTH02426954399X </v>
          </cell>
          <cell r="CK2448" t="str">
            <v>2024-09-25</v>
          </cell>
          <cell r="CL2448">
            <v>37478.224000000002</v>
          </cell>
          <cell r="CM2448" t="str">
            <v xml:space="preserve">NFT-/XUTR/DEUTH02426963335X </v>
          </cell>
          <cell r="CN2448" t="str">
            <v>2024-09-25</v>
          </cell>
          <cell r="CO2448">
            <v>1976.5730000000001</v>
          </cell>
        </row>
        <row r="2449">
          <cell r="CJ2449" t="str">
            <v xml:space="preserve">NFT-/XUTR/DEUTH02426954399X </v>
          </cell>
          <cell r="CK2449" t="str">
            <v>2024-09-25</v>
          </cell>
          <cell r="CL2449">
            <v>15209.172</v>
          </cell>
          <cell r="CM2449" t="str">
            <v xml:space="preserve">NFT-/XUTR/DEUTH02426963335X </v>
          </cell>
          <cell r="CN2449" t="str">
            <v>2024-09-25</v>
          </cell>
          <cell r="CO2449">
            <v>806.01599999999996</v>
          </cell>
        </row>
        <row r="2450">
          <cell r="CJ2450" t="str">
            <v xml:space="preserve">NFT-/XUTR/DEUTH02427162646X </v>
          </cell>
          <cell r="CK2450" t="str">
            <v>2024-09-27</v>
          </cell>
          <cell r="CL2450">
            <v>75562.157000000007</v>
          </cell>
          <cell r="CM2450" t="str">
            <v xml:space="preserve">NFT-/XUTR/DEUTH02427169569X </v>
          </cell>
          <cell r="CN2450" t="str">
            <v>2024-09-27</v>
          </cell>
          <cell r="CO2450">
            <v>2885.51</v>
          </cell>
        </row>
        <row r="2451">
          <cell r="CJ2451" t="str">
            <v xml:space="preserve">NFT-/XUTR/DEUTH02427162646X </v>
          </cell>
          <cell r="CK2451" t="str">
            <v>2024-09-27</v>
          </cell>
          <cell r="CL2451">
            <v>75367.263000000006</v>
          </cell>
          <cell r="CM2451" t="str">
            <v xml:space="preserve">NFT-/XUTR/DEUTH02427169569X </v>
          </cell>
          <cell r="CN2451" t="str">
            <v>2024-09-27</v>
          </cell>
          <cell r="CO2451">
            <v>3061.5259999999998</v>
          </cell>
        </row>
        <row r="2452">
          <cell r="CJ2452" t="str">
            <v xml:space="preserve">NFT-/XUTR/DEUTH02427162646X </v>
          </cell>
          <cell r="CK2452" t="str">
            <v>2024-09-27</v>
          </cell>
          <cell r="CL2452">
            <v>7661.6390000000001</v>
          </cell>
          <cell r="CM2452" t="str">
            <v xml:space="preserve">NFT-/XUTR/DEUTH02427169569X </v>
          </cell>
          <cell r="CN2452" t="str">
            <v>2024-09-27</v>
          </cell>
          <cell r="CO2452">
            <v>389.54199999999997</v>
          </cell>
        </row>
        <row r="2453">
          <cell r="CJ2453" t="str">
            <v xml:space="preserve">NFT-/XUTR/DEUTH02427162646X </v>
          </cell>
          <cell r="CK2453" t="str">
            <v>2024-09-27</v>
          </cell>
          <cell r="CL2453">
            <v>76822.16</v>
          </cell>
          <cell r="CM2453" t="str">
            <v xml:space="preserve">NFT-/XUTR/DEUTH02427169569X </v>
          </cell>
          <cell r="CN2453" t="str">
            <v>2024-09-27</v>
          </cell>
          <cell r="CO2453">
            <v>2885.51</v>
          </cell>
        </row>
        <row r="2454">
          <cell r="CJ2454" t="str">
            <v xml:space="preserve">NFT-/XUTR/DEUTH02427162646X </v>
          </cell>
          <cell r="CK2454" t="str">
            <v>2024-09-27</v>
          </cell>
          <cell r="CL2454">
            <v>75543.277000000002</v>
          </cell>
          <cell r="CM2454" t="str">
            <v xml:space="preserve">NFT-/XUTR/DEUTH02427169569X </v>
          </cell>
          <cell r="CN2454" t="str">
            <v>2024-09-27</v>
          </cell>
          <cell r="CO2454">
            <v>2885.511</v>
          </cell>
        </row>
        <row r="2455">
          <cell r="CJ2455" t="str">
            <v xml:space="preserve">NFT-/XUTR/DEUTH02427162646X </v>
          </cell>
          <cell r="CK2455" t="str">
            <v>2024-09-27</v>
          </cell>
          <cell r="CL2455">
            <v>15182.239</v>
          </cell>
          <cell r="CM2455" t="str">
            <v xml:space="preserve">NFT-/XUTR/DEUTH02427169569X </v>
          </cell>
          <cell r="CN2455" t="str">
            <v>2024-09-27</v>
          </cell>
          <cell r="CO2455">
            <v>804.096</v>
          </cell>
        </row>
        <row r="2456">
          <cell r="CJ2456" t="str">
            <v xml:space="preserve">NFT-/XUTR/DEUTH02427162646X </v>
          </cell>
          <cell r="CK2456" t="str">
            <v>2024-09-27</v>
          </cell>
          <cell r="CL2456">
            <v>37852.377999999997</v>
          </cell>
          <cell r="CM2456" t="str">
            <v xml:space="preserve">NFT-/XUTR/DEUTH02427169569X </v>
          </cell>
          <cell r="CN2456" t="str">
            <v>2024-09-27</v>
          </cell>
          <cell r="CO2456">
            <v>1996.777</v>
          </cell>
        </row>
        <row r="2457">
          <cell r="CJ2457" t="str">
            <v xml:space="preserve">NFT-/XUTR/DEUTH02427162646X </v>
          </cell>
          <cell r="CK2457" t="str">
            <v>2024-09-27</v>
          </cell>
          <cell r="CL2457">
            <v>7670.8940000000002</v>
          </cell>
          <cell r="CM2457" t="str">
            <v xml:space="preserve">NFT-/XUTR/DEUTH02427169569X </v>
          </cell>
          <cell r="CN2457" t="str">
            <v>2024-09-27</v>
          </cell>
          <cell r="CO2457">
            <v>399.166</v>
          </cell>
        </row>
        <row r="2458">
          <cell r="CJ2458" t="str">
            <v xml:space="preserve">NFT-/XUTR/DEUTH02427162646X </v>
          </cell>
          <cell r="CK2458" t="str">
            <v>2024-09-27</v>
          </cell>
          <cell r="CL2458">
            <v>75677.929000000004</v>
          </cell>
          <cell r="CM2458" t="str">
            <v xml:space="preserve">NFT-/XUTR/DEUTH02427169569X </v>
          </cell>
          <cell r="CN2458" t="str">
            <v>2024-09-27</v>
          </cell>
          <cell r="CO2458">
            <v>2885.511</v>
          </cell>
        </row>
        <row r="2459">
          <cell r="CJ2459" t="str">
            <v xml:space="preserve">NFT-/XUTR/DEUTH02427162646X </v>
          </cell>
          <cell r="CK2459" t="str">
            <v>2024-09-27</v>
          </cell>
          <cell r="CL2459">
            <v>15986.334999999999</v>
          </cell>
        </row>
        <row r="2460">
          <cell r="CJ2460" t="str">
            <v xml:space="preserve">NFT-/XUTR/DEUTH02427162646X </v>
          </cell>
          <cell r="CK2460" t="str">
            <v>2024-09-27</v>
          </cell>
          <cell r="CL2460">
            <v>15986.334999999999</v>
          </cell>
        </row>
        <row r="2461">
          <cell r="CJ2461" t="str">
            <v xml:space="preserve">NFT-/XUTR/DEUTH02427162646X </v>
          </cell>
          <cell r="CK2461" t="str">
            <v>2024-09-27</v>
          </cell>
          <cell r="CL2461">
            <v>10339.385</v>
          </cell>
          <cell r="CM2461" t="str">
            <v xml:space="preserve">NFT-/XUTR/DEUTH02427169569X </v>
          </cell>
          <cell r="CN2461" t="str">
            <v>2024-09-27</v>
          </cell>
          <cell r="CO2461">
            <v>549.20399999999995</v>
          </cell>
        </row>
        <row r="2462">
          <cell r="CJ2462" t="str">
            <v xml:space="preserve">NFT-/XUTR/DEUTH02427162646X </v>
          </cell>
          <cell r="CK2462" t="str">
            <v>2024-09-27</v>
          </cell>
          <cell r="CL2462">
            <v>8012.7030000000004</v>
          </cell>
        </row>
        <row r="2463">
          <cell r="CJ2463" t="str">
            <v xml:space="preserve">NFT-/XUTR/DEUTH02427162646X </v>
          </cell>
          <cell r="CK2463" t="str">
            <v>2024-09-27</v>
          </cell>
          <cell r="CL2463">
            <v>5608.1109999999999</v>
          </cell>
        </row>
        <row r="2464">
          <cell r="CJ2464" t="str">
            <v xml:space="preserve">NFT-/XUTR/DEUTH02427162646X </v>
          </cell>
          <cell r="CK2464" t="str">
            <v>2024-09-27</v>
          </cell>
          <cell r="CL2464">
            <v>15273.616</v>
          </cell>
          <cell r="CM2464" t="str">
            <v xml:space="preserve">NFT-/XUTR/DEUTH02427169569X </v>
          </cell>
          <cell r="CN2464" t="str">
            <v>2024-09-27</v>
          </cell>
          <cell r="CO2464">
            <v>808.90200000000004</v>
          </cell>
        </row>
        <row r="2465">
          <cell r="CJ2465" t="str">
            <v xml:space="preserve">NFT-/XUTR/DEUTH02427162646X </v>
          </cell>
          <cell r="CK2465" t="str">
            <v>2024-09-27</v>
          </cell>
          <cell r="CL2465">
            <v>5140.3</v>
          </cell>
          <cell r="CM2465" t="str">
            <v xml:space="preserve">NFT-/XUTR/DEUTH02427169569X </v>
          </cell>
          <cell r="CN2465" t="str">
            <v>2024-09-27</v>
          </cell>
          <cell r="CO2465">
            <v>275.08499999999998</v>
          </cell>
        </row>
        <row r="2466">
          <cell r="CJ2466" t="str">
            <v xml:space="preserve">NFT-/XUTR/DEUTH02427162646X </v>
          </cell>
          <cell r="CK2466" t="str">
            <v>2024-09-27</v>
          </cell>
          <cell r="CL2466">
            <v>26687.75</v>
          </cell>
          <cell r="CM2466" t="str">
            <v xml:space="preserve">NFT-/XUTR/DEUTH02427169569X </v>
          </cell>
          <cell r="CN2466" t="str">
            <v>2024-09-27</v>
          </cell>
          <cell r="CO2466">
            <v>1428.33</v>
          </cell>
        </row>
        <row r="2467">
          <cell r="CJ2467" t="str">
            <v xml:space="preserve">NFT-/XUTR/DEUTH02427162646X </v>
          </cell>
          <cell r="CK2467" t="str">
            <v>2024-09-27</v>
          </cell>
          <cell r="CL2467">
            <v>16149.491</v>
          </cell>
        </row>
        <row r="2468">
          <cell r="CJ2468" t="str">
            <v xml:space="preserve">NFT-/XUTR/DEUTH02427162646X </v>
          </cell>
          <cell r="CK2468" t="str">
            <v>2024-09-27</v>
          </cell>
          <cell r="CL2468">
            <v>8147.0050000000001</v>
          </cell>
        </row>
        <row r="2469">
          <cell r="CJ2469" t="str">
            <v xml:space="preserve">NFT-/XUTR/DEUTH02427162646X </v>
          </cell>
          <cell r="CK2469" t="str">
            <v>2024-09-27</v>
          </cell>
          <cell r="CL2469">
            <v>79563.394</v>
          </cell>
        </row>
        <row r="2470">
          <cell r="CJ2470" t="str">
            <v xml:space="preserve">NFT-/XUTR/DEUTH02427162646X </v>
          </cell>
          <cell r="CK2470" t="str">
            <v>2024-09-27</v>
          </cell>
          <cell r="CL2470">
            <v>40416.633999999998</v>
          </cell>
        </row>
        <row r="2471">
          <cell r="CJ2471" t="str">
            <v xml:space="preserve">NFT-/XUTR/DEUTH02427162646X </v>
          </cell>
          <cell r="CK2471" t="str">
            <v>2024-09-27</v>
          </cell>
          <cell r="CL2471">
            <v>40397.752999999997</v>
          </cell>
          <cell r="CM2471" t="str">
            <v xml:space="preserve">NFT-/XUTR/DEUTH024281A0K61X </v>
          </cell>
          <cell r="CN2471" t="str">
            <v>2024-10-07</v>
          </cell>
          <cell r="CO2471">
            <v>-40397.752999999997</v>
          </cell>
        </row>
        <row r="2472">
          <cell r="CJ2472" t="str">
            <v xml:space="preserve">NFT-/XUTR/DEUTH02427162646X </v>
          </cell>
          <cell r="CK2472" t="str">
            <v>2024-09-27</v>
          </cell>
          <cell r="CL2472">
            <v>39849.144999999997</v>
          </cell>
          <cell r="CM2472" t="str">
            <v xml:space="preserve">NFT-/XUTR/DEUTH02427821164X </v>
          </cell>
          <cell r="CN2472" t="str">
            <v>2024-10-04</v>
          </cell>
          <cell r="CO2472">
            <v>-39849.144999999997</v>
          </cell>
        </row>
        <row r="2473">
          <cell r="CJ2473" t="str">
            <v xml:space="preserve">NFT-/XUTR/DEUTH02427162646X </v>
          </cell>
          <cell r="CK2473" t="str">
            <v>2024-09-27</v>
          </cell>
          <cell r="CL2473">
            <v>16236.05</v>
          </cell>
        </row>
        <row r="2474">
          <cell r="CJ2474" t="str">
            <v xml:space="preserve">NFT-/XUTR/DEUTH02427162646X </v>
          </cell>
          <cell r="CK2474" t="str">
            <v>2024-09-27</v>
          </cell>
          <cell r="CL2474">
            <v>39849.144999999997</v>
          </cell>
        </row>
        <row r="2475">
          <cell r="CJ2475" t="str">
            <v xml:space="preserve">NFT-/XUTR/DEUTH02427162646X </v>
          </cell>
          <cell r="CK2475" t="str">
            <v>2024-09-27</v>
          </cell>
          <cell r="CL2475">
            <v>1385.653</v>
          </cell>
        </row>
        <row r="2476">
          <cell r="CJ2476" t="str">
            <v xml:space="preserve">NFT-/XUTR/DEUTH02427162646X </v>
          </cell>
          <cell r="CK2476" t="str">
            <v>2024-09-27</v>
          </cell>
          <cell r="CL2476">
            <v>10773.177</v>
          </cell>
        </row>
        <row r="2477">
          <cell r="CJ2477" t="str">
            <v xml:space="preserve">NFT-/XUTR/DEUTH02427821164X </v>
          </cell>
          <cell r="CK2477" t="str">
            <v>2024-10-04</v>
          </cell>
          <cell r="CL2477">
            <v>8185.8320000000003</v>
          </cell>
        </row>
        <row r="2478">
          <cell r="CJ2478" t="str">
            <v xml:space="preserve">NFT-/XUTR/DEUTH02427821164X </v>
          </cell>
          <cell r="CK2478" t="str">
            <v>2024-10-04</v>
          </cell>
          <cell r="CL2478">
            <v>5423.4369999999999</v>
          </cell>
          <cell r="CM2478" t="str">
            <v xml:space="preserve">NFT-/XUTR/DEUTH02427825558X </v>
          </cell>
          <cell r="CN2478" t="str">
            <v>2024-10-04</v>
          </cell>
          <cell r="CO2478">
            <v>290.47199999999998</v>
          </cell>
        </row>
        <row r="2479">
          <cell r="CJ2479" t="str">
            <v xml:space="preserve">NFT-/XUTR/DEUTH02427821164X </v>
          </cell>
          <cell r="CK2479" t="str">
            <v>2024-10-04</v>
          </cell>
          <cell r="CL2479">
            <v>16101.757</v>
          </cell>
        </row>
        <row r="2480">
          <cell r="CJ2480" t="str">
            <v xml:space="preserve">NFT-/XUTR/DEUTH02427821164X </v>
          </cell>
          <cell r="CK2480" t="str">
            <v>2024-10-04</v>
          </cell>
          <cell r="CL2480">
            <v>15551.402</v>
          </cell>
        </row>
        <row r="2481">
          <cell r="CJ2481" t="str">
            <v xml:space="preserve">NFT-/XUTR/DEUTH02427821164X </v>
          </cell>
          <cell r="CK2481" t="str">
            <v>2024-10-04</v>
          </cell>
          <cell r="CL2481">
            <v>8214.3359999999993</v>
          </cell>
        </row>
        <row r="2482">
          <cell r="CJ2482" t="str">
            <v xml:space="preserve">NFT-/XUTR/DEUTH02427821164X </v>
          </cell>
          <cell r="CK2482" t="str">
            <v>2024-10-04</v>
          </cell>
          <cell r="CL2482">
            <v>16293.766</v>
          </cell>
        </row>
        <row r="2483">
          <cell r="CJ2483" t="str">
            <v xml:space="preserve">NFT-/XUTR/DEUTH02427821164X </v>
          </cell>
          <cell r="CK2483" t="str">
            <v>2024-10-04</v>
          </cell>
          <cell r="CL2483">
            <v>32914.550000000003</v>
          </cell>
        </row>
        <row r="2484">
          <cell r="CJ2484" t="str">
            <v xml:space="preserve">NFT-/XUTR/DEUTH02427821164X </v>
          </cell>
          <cell r="CK2484" t="str">
            <v>2024-10-04</v>
          </cell>
          <cell r="CL2484">
            <v>40984.120999999999</v>
          </cell>
        </row>
        <row r="2485">
          <cell r="CJ2485" t="str">
            <v xml:space="preserve">NFT-/XUTR/DEUTH02427821164X </v>
          </cell>
          <cell r="CK2485" t="str">
            <v>2024-10-04</v>
          </cell>
          <cell r="CL2485">
            <v>40984.120999999999</v>
          </cell>
        </row>
        <row r="2486">
          <cell r="CJ2486" t="str">
            <v xml:space="preserve">NFT-/XUTR/DEUTH02427821164X </v>
          </cell>
          <cell r="CK2486" t="str">
            <v>2024-10-04</v>
          </cell>
          <cell r="CL2486">
            <v>40397.394</v>
          </cell>
        </row>
        <row r="2487">
          <cell r="CJ2487" t="str">
            <v xml:space="preserve">NFT-/XUTR/DEUTH02427821164X </v>
          </cell>
          <cell r="CK2487" t="str">
            <v>2024-10-04</v>
          </cell>
          <cell r="CL2487">
            <v>77765.116999999998</v>
          </cell>
          <cell r="CM2487" t="str">
            <v xml:space="preserve">NFT-/XUTR/DEUTH02427825558X </v>
          </cell>
          <cell r="CN2487" t="str">
            <v>2024-10-04</v>
          </cell>
          <cell r="CO2487">
            <v>2885.511</v>
          </cell>
        </row>
        <row r="2488">
          <cell r="CJ2488" t="str">
            <v xml:space="preserve">NFT-/XUTR/DEUTH02427821164X </v>
          </cell>
          <cell r="CK2488" t="str">
            <v>2024-10-04</v>
          </cell>
          <cell r="CL2488">
            <v>77668.574999999997</v>
          </cell>
          <cell r="CM2488" t="str">
            <v xml:space="preserve">NFT-/XUTR/DEUTH02427825558X </v>
          </cell>
          <cell r="CN2488" t="str">
            <v>2024-10-04</v>
          </cell>
          <cell r="CO2488">
            <v>3000.933</v>
          </cell>
        </row>
        <row r="2489">
          <cell r="CJ2489" t="str">
            <v xml:space="preserve">NFT-/XUTR/DEUTH02427821164X </v>
          </cell>
          <cell r="CK2489" t="str">
            <v>2024-10-04</v>
          </cell>
          <cell r="CL2489">
            <v>15483.897999999999</v>
          </cell>
          <cell r="CM2489" t="str">
            <v xml:space="preserve">NFT-/XUTR/DEUTH02427825558X </v>
          </cell>
          <cell r="CN2489" t="str">
            <v>2024-10-04</v>
          </cell>
          <cell r="CO2489">
            <v>819.48199999999997</v>
          </cell>
        </row>
        <row r="2490">
          <cell r="CJ2490" t="str">
            <v xml:space="preserve">NFT-/XUTR/DEUTH02427821164X </v>
          </cell>
          <cell r="CK2490" t="str">
            <v>2024-10-04</v>
          </cell>
          <cell r="CL2490">
            <v>10458.299999999999</v>
          </cell>
          <cell r="CM2490" t="str">
            <v xml:space="preserve">NFT-/XUTR/DEUTH02427825558X </v>
          </cell>
          <cell r="CN2490" t="str">
            <v>2024-10-04</v>
          </cell>
          <cell r="CO2490">
            <v>554.97699999999998</v>
          </cell>
        </row>
        <row r="2491">
          <cell r="CJ2491" t="str">
            <v xml:space="preserve">NFT-/XUTR/DEUTH02427821164X </v>
          </cell>
          <cell r="CK2491" t="str">
            <v>2024-10-04</v>
          </cell>
          <cell r="CL2491">
            <v>77765.116999999998</v>
          </cell>
          <cell r="CM2491" t="str">
            <v xml:space="preserve">NFT-/XUTR/DEUTH02427825558X </v>
          </cell>
          <cell r="CN2491" t="str">
            <v>2024-10-04</v>
          </cell>
          <cell r="CO2491">
            <v>2885.511</v>
          </cell>
          <cell r="CP2491" t="str">
            <v xml:space="preserve">NFT-/XUTR/DEUTH02428867200X </v>
          </cell>
          <cell r="CQ2491" t="str">
            <v>2024-10-14</v>
          </cell>
          <cell r="CR2491">
            <v>-77765.116999999998</v>
          </cell>
          <cell r="CS2491" t="str">
            <v xml:space="preserve">NFT-/XUTR/DEUTH02428846801X </v>
          </cell>
          <cell r="CT2491" t="str">
            <v>2024-10-14</v>
          </cell>
          <cell r="CU2491">
            <v>-2885.511</v>
          </cell>
        </row>
        <row r="2492">
          <cell r="CJ2492" t="str">
            <v xml:space="preserve">NFT-/XUTR/DEUTH02427821164X </v>
          </cell>
          <cell r="CK2492" t="str">
            <v>2024-10-04</v>
          </cell>
          <cell r="CL2492">
            <v>15483.897999999999</v>
          </cell>
          <cell r="CM2492" t="str">
            <v xml:space="preserve">NFT-/XUTR/DEUTH02427825558X </v>
          </cell>
          <cell r="CN2492" t="str">
            <v>2024-10-04</v>
          </cell>
          <cell r="CO2492">
            <v>819.48199999999997</v>
          </cell>
        </row>
        <row r="2493">
          <cell r="CJ2493" t="str">
            <v xml:space="preserve">NFT-/XUTR/DEUTH02427821164X </v>
          </cell>
          <cell r="CK2493" t="str">
            <v>2024-10-04</v>
          </cell>
          <cell r="CL2493">
            <v>80669.506999999998</v>
          </cell>
        </row>
        <row r="2494">
          <cell r="CJ2494" t="str">
            <v xml:space="preserve">NFT-/XUTR/DEUTH02427821164X </v>
          </cell>
          <cell r="CK2494" t="str">
            <v>2024-10-04</v>
          </cell>
          <cell r="CL2494">
            <v>16303.38</v>
          </cell>
        </row>
        <row r="2495">
          <cell r="CJ2495" t="str">
            <v xml:space="preserve">NFT-/XUTR/DEUTH02427821164X </v>
          </cell>
          <cell r="CK2495" t="str">
            <v>2024-10-04</v>
          </cell>
          <cell r="CL2495">
            <v>16438.400000000001</v>
          </cell>
        </row>
        <row r="2496">
          <cell r="CJ2496" t="str">
            <v xml:space="preserve">NFT-/XUTR/DEUTH02427821164X </v>
          </cell>
          <cell r="CK2496" t="str">
            <v>2024-10-04</v>
          </cell>
          <cell r="CL2496">
            <v>15483.897999999999</v>
          </cell>
          <cell r="CM2496" t="str">
            <v xml:space="preserve">NFT-/XUTR/DEUTH02427825558X </v>
          </cell>
          <cell r="CN2496" t="str">
            <v>2024-10-04</v>
          </cell>
          <cell r="CO2496">
            <v>819.48199999999997</v>
          </cell>
        </row>
        <row r="2497">
          <cell r="CJ2497" t="str">
            <v xml:space="preserve">NFT-/XUTR/DEUTH02427821164X </v>
          </cell>
          <cell r="CK2497" t="str">
            <v>2024-10-04</v>
          </cell>
          <cell r="CL2497">
            <v>77783.995999999999</v>
          </cell>
          <cell r="CM2497" t="str">
            <v xml:space="preserve">NFT-/XUTR/DEUTH02427825558X </v>
          </cell>
          <cell r="CN2497" t="str">
            <v>2024-10-04</v>
          </cell>
          <cell r="CO2497">
            <v>2885.51</v>
          </cell>
        </row>
        <row r="2498">
          <cell r="CJ2498" t="str">
            <v xml:space="preserve">NFT-/XUTR/DEUTH02427821164X </v>
          </cell>
          <cell r="CK2498" t="str">
            <v>2024-10-04</v>
          </cell>
          <cell r="CL2498">
            <v>15483.897999999999</v>
          </cell>
          <cell r="CM2498" t="str">
            <v xml:space="preserve">NFT-/XUTR/DEUTH02427825558X </v>
          </cell>
          <cell r="CN2498" t="str">
            <v>2024-10-04</v>
          </cell>
          <cell r="CO2498">
            <v>819.48199999999997</v>
          </cell>
        </row>
        <row r="2499">
          <cell r="CJ2499" t="str">
            <v xml:space="preserve">NFT-/XUTR/DEUTH02427821164X </v>
          </cell>
          <cell r="CK2499" t="str">
            <v>2024-10-04</v>
          </cell>
          <cell r="CL2499">
            <v>30968.752</v>
          </cell>
          <cell r="CM2499" t="str">
            <v xml:space="preserve">NFT-/XUTR/DEUTH02427825558X </v>
          </cell>
          <cell r="CN2499" t="str">
            <v>2024-10-04</v>
          </cell>
          <cell r="CO2499">
            <v>1637.0419999999999</v>
          </cell>
        </row>
        <row r="2500">
          <cell r="CJ2500" t="str">
            <v xml:space="preserve">NFT-/XUTR/DEUTH02427821164X </v>
          </cell>
          <cell r="CK2500" t="str">
            <v>2024-10-04</v>
          </cell>
          <cell r="CL2500">
            <v>15630.093999999999</v>
          </cell>
          <cell r="CM2500" t="str">
            <v xml:space="preserve">NFT-/XUTR/DEUTH02427825558X </v>
          </cell>
          <cell r="CN2500" t="str">
            <v>2024-10-04</v>
          </cell>
          <cell r="CO2500">
            <v>827.17499999999995</v>
          </cell>
        </row>
        <row r="2501">
          <cell r="CJ2501" t="str">
            <v xml:space="preserve">NFT-/XUTR/DEUTH02427821164X </v>
          </cell>
          <cell r="CK2501" t="str">
            <v>2024-10-04</v>
          </cell>
          <cell r="CL2501">
            <v>77783.995999999999</v>
          </cell>
          <cell r="CM2501" t="str">
            <v xml:space="preserve">NFT-/XUTR/DEUTH02427825558X </v>
          </cell>
          <cell r="CN2501" t="str">
            <v>2024-10-04</v>
          </cell>
          <cell r="CO2501">
            <v>2885.51</v>
          </cell>
        </row>
        <row r="2502">
          <cell r="CJ2502" t="str">
            <v xml:space="preserve">NFT-/XUTR/DEUTH02427821164X </v>
          </cell>
          <cell r="CK2502" t="str">
            <v>2024-10-04</v>
          </cell>
          <cell r="CL2502">
            <v>38911.713000000003</v>
          </cell>
          <cell r="CM2502" t="str">
            <v xml:space="preserve">NFT-/XUTR/DEUTH02427825558X </v>
          </cell>
          <cell r="CN2502" t="str">
            <v>2024-10-04</v>
          </cell>
          <cell r="CO2502">
            <v>2053.518</v>
          </cell>
        </row>
        <row r="2503">
          <cell r="CJ2503" t="str">
            <v xml:space="preserve">NFT-/XUTR/DEUTH02427821164X </v>
          </cell>
          <cell r="CK2503" t="str">
            <v>2024-10-04</v>
          </cell>
          <cell r="CL2503">
            <v>7862.6549999999997</v>
          </cell>
          <cell r="CM2503" t="str">
            <v xml:space="preserve">NFT-/XUTR/DEUTH02427825558X </v>
          </cell>
          <cell r="CN2503" t="str">
            <v>2024-10-04</v>
          </cell>
          <cell r="CO2503">
            <v>419.36</v>
          </cell>
        </row>
        <row r="2504">
          <cell r="CJ2504" t="str">
            <v xml:space="preserve">NFT-/XUTR/DEUTH02427821164X </v>
          </cell>
          <cell r="CK2504" t="str">
            <v>2024-10-04</v>
          </cell>
          <cell r="CL2504">
            <v>5501.9530000000004</v>
          </cell>
        </row>
        <row r="2505">
          <cell r="CJ2505" t="str">
            <v xml:space="preserve">NFT-/XUTR/DEUTH02427821164X </v>
          </cell>
          <cell r="CK2505" t="str">
            <v>2024-10-04</v>
          </cell>
          <cell r="CL2505">
            <v>38354.815999999999</v>
          </cell>
          <cell r="CM2505" t="str">
            <v xml:space="preserve">NFT-/XUTR/DEUTH02427825558X </v>
          </cell>
          <cell r="CN2505" t="str">
            <v>2024-10-04</v>
          </cell>
          <cell r="CO2505">
            <v>2023.7090000000001</v>
          </cell>
        </row>
        <row r="2506">
          <cell r="CJ2506" t="str">
            <v xml:space="preserve">NFT-/XUTR/DEUTH02427821164X </v>
          </cell>
          <cell r="CK2506" t="str">
            <v>2024-10-04</v>
          </cell>
          <cell r="CL2506">
            <v>15483.897999999999</v>
          </cell>
          <cell r="CM2506" t="str">
            <v xml:space="preserve">NFT-/XUTR/DEUTH02427825558X </v>
          </cell>
          <cell r="CN2506" t="str">
            <v>2024-10-04</v>
          </cell>
          <cell r="CO2506">
            <v>819.48199999999997</v>
          </cell>
        </row>
        <row r="2507">
          <cell r="CJ2507" t="str">
            <v xml:space="preserve">NFT-/XUTR/DEUTH02427821164X </v>
          </cell>
          <cell r="CK2507" t="str">
            <v>2024-10-04</v>
          </cell>
          <cell r="CL2507">
            <v>15465.018</v>
          </cell>
          <cell r="CM2507" t="str">
            <v xml:space="preserve">NFT-/XUTR/DEUTH02427825558X </v>
          </cell>
          <cell r="CN2507" t="str">
            <v>2024-10-04</v>
          </cell>
          <cell r="CO2507">
            <v>819.48199999999997</v>
          </cell>
        </row>
        <row r="2508">
          <cell r="CJ2508" t="str">
            <v xml:space="preserve">NFT-/XUTR/DEUTH02427821164X </v>
          </cell>
          <cell r="CK2508" t="str">
            <v>2024-10-04</v>
          </cell>
          <cell r="CL2508">
            <v>15483.897999999999</v>
          </cell>
          <cell r="CM2508" t="str">
            <v xml:space="preserve">NFT-/XUTR/DEUTH02427825558X </v>
          </cell>
          <cell r="CN2508" t="str">
            <v>2024-10-04</v>
          </cell>
          <cell r="CO2508">
            <v>819.48199999999997</v>
          </cell>
        </row>
        <row r="2509">
          <cell r="CJ2509" t="str">
            <v xml:space="preserve">NFT-/XUTR/DEUTH02427821164X </v>
          </cell>
          <cell r="CK2509" t="str">
            <v>2024-10-04</v>
          </cell>
          <cell r="CL2509">
            <v>77765.116999999998</v>
          </cell>
          <cell r="CM2509" t="str">
            <v xml:space="preserve">NFT-/XUTR/DEUTH02427825558X </v>
          </cell>
          <cell r="CN2509" t="str">
            <v>2024-10-04</v>
          </cell>
          <cell r="CO2509">
            <v>2885.511</v>
          </cell>
          <cell r="CP2509" t="str">
            <v xml:space="preserve">NFT-/XUTR/DEUTH02428359373X </v>
          </cell>
          <cell r="CQ2509" t="str">
            <v>2024-10-09</v>
          </cell>
          <cell r="CR2509">
            <v>-77765.116999999998</v>
          </cell>
          <cell r="CS2509" t="str">
            <v xml:space="preserve">NFT-/XUTR/DEUTH02428371058X </v>
          </cell>
          <cell r="CT2509" t="str">
            <v>2024-10-09</v>
          </cell>
          <cell r="CU2509">
            <v>-2885.511</v>
          </cell>
        </row>
        <row r="2510">
          <cell r="CJ2510" t="str">
            <v xml:space="preserve">NFT-/XUTR/DEUTH02427821164X </v>
          </cell>
          <cell r="CK2510" t="str">
            <v>2024-10-04</v>
          </cell>
          <cell r="CL2510">
            <v>15520.445</v>
          </cell>
          <cell r="CM2510" t="str">
            <v xml:space="preserve">NFT-/XUTR/DEUTH02427825558X </v>
          </cell>
          <cell r="CN2510" t="str">
            <v>2024-10-04</v>
          </cell>
          <cell r="CO2510">
            <v>821.41300000000001</v>
          </cell>
        </row>
        <row r="2511">
          <cell r="CJ2511" t="str">
            <v xml:space="preserve">NFT-/XUTR/DEUTH02427821164X </v>
          </cell>
          <cell r="CK2511" t="str">
            <v>2024-10-04</v>
          </cell>
          <cell r="CL2511">
            <v>7899.808</v>
          </cell>
          <cell r="CM2511" t="str">
            <v xml:space="preserve">NFT-/XUTR/DEUTH02427825558X </v>
          </cell>
          <cell r="CN2511" t="str">
            <v>2024-10-04</v>
          </cell>
          <cell r="CO2511">
            <v>420.32600000000002</v>
          </cell>
        </row>
        <row r="2512">
          <cell r="CJ2512" t="str">
            <v xml:space="preserve">NFT-/XUTR/DEUTH02427821164X </v>
          </cell>
          <cell r="CK2512" t="str">
            <v>2024-10-04</v>
          </cell>
          <cell r="CL2512">
            <v>16341.858</v>
          </cell>
        </row>
        <row r="2513">
          <cell r="CJ2513" t="str">
            <v xml:space="preserve">NFT-/XUTR/DEUTH02427821164X </v>
          </cell>
          <cell r="CK2513" t="str">
            <v>2024-10-04</v>
          </cell>
          <cell r="CL2513">
            <v>38930.593000000001</v>
          </cell>
          <cell r="CM2513" t="str">
            <v xml:space="preserve">NFT-/XUTR/DEUTH02427825558X </v>
          </cell>
          <cell r="CN2513" t="str">
            <v>2024-10-04</v>
          </cell>
          <cell r="CO2513">
            <v>2053.518</v>
          </cell>
        </row>
        <row r="2514">
          <cell r="CJ2514" t="str">
            <v xml:space="preserve">NFT-/XUTR/DEUTH02427821164X </v>
          </cell>
          <cell r="CK2514" t="str">
            <v>2024-10-04</v>
          </cell>
          <cell r="CL2514">
            <v>15520.445</v>
          </cell>
          <cell r="CM2514" t="str">
            <v xml:space="preserve">NFT-/XUTR/DEUTH02427825558X </v>
          </cell>
          <cell r="CN2514" t="str">
            <v>2024-10-04</v>
          </cell>
          <cell r="CO2514">
            <v>821.41300000000001</v>
          </cell>
        </row>
        <row r="2515">
          <cell r="CJ2515" t="str">
            <v xml:space="preserve">NFT-/XUTR/DEUTH02427821164X </v>
          </cell>
          <cell r="CK2515" t="str">
            <v>2024-10-04</v>
          </cell>
          <cell r="CL2515">
            <v>15520.445</v>
          </cell>
          <cell r="CM2515" t="str">
            <v xml:space="preserve">NFT-/XUTR/DEUTH02427825558X </v>
          </cell>
          <cell r="CN2515" t="str">
            <v>2024-10-04</v>
          </cell>
          <cell r="CO2515">
            <v>821.41300000000001</v>
          </cell>
        </row>
        <row r="2516">
          <cell r="CJ2516" t="str">
            <v xml:space="preserve">NFT-/XUTR/DEUTH02427821164X </v>
          </cell>
          <cell r="CK2516" t="str">
            <v>2024-10-04</v>
          </cell>
          <cell r="CL2516">
            <v>39673.489000000001</v>
          </cell>
          <cell r="CM2516" t="str">
            <v xml:space="preserve">NFT-/XUTR/DEUTH02427825558X </v>
          </cell>
          <cell r="CN2516" t="str">
            <v>2024-10-04</v>
          </cell>
          <cell r="CO2516">
            <v>1686.1010000000001</v>
          </cell>
        </row>
        <row r="2517">
          <cell r="CJ2517" t="str">
            <v xml:space="preserve">NFT-/XUTR/DEUTH02427821164X </v>
          </cell>
          <cell r="CK2517" t="str">
            <v>2024-10-04</v>
          </cell>
          <cell r="CL2517">
            <v>78553.823999999993</v>
          </cell>
          <cell r="CM2517" t="str">
            <v xml:space="preserve">NFT-/XUTR/DEUTH02427825558X </v>
          </cell>
          <cell r="CN2517" t="str">
            <v>2024-10-04</v>
          </cell>
          <cell r="CO2517">
            <v>2885.511</v>
          </cell>
        </row>
        <row r="2518">
          <cell r="CJ2518" t="str">
            <v xml:space="preserve">NFT-/XUTR/DEUTH02427821164X </v>
          </cell>
          <cell r="CK2518" t="str">
            <v>2024-10-04</v>
          </cell>
          <cell r="CL2518">
            <v>41359.589999999997</v>
          </cell>
        </row>
        <row r="2519">
          <cell r="CJ2519" t="str">
            <v xml:space="preserve">NFT-/XUTR/DEUTH02427821164X </v>
          </cell>
          <cell r="CK2519" t="str">
            <v>2024-10-04</v>
          </cell>
          <cell r="CL2519">
            <v>7954.6379999999999</v>
          </cell>
          <cell r="CM2519" t="str">
            <v xml:space="preserve">NFT-/XUTR/DEUTH02427825558X </v>
          </cell>
          <cell r="CN2519" t="str">
            <v>2024-10-04</v>
          </cell>
          <cell r="CO2519">
            <v>423.21199999999999</v>
          </cell>
        </row>
        <row r="2520">
          <cell r="CJ2520" t="str">
            <v xml:space="preserve">NFT-/XUTR/DEUTH02427821164X </v>
          </cell>
          <cell r="CK2520" t="str">
            <v>2024-10-04</v>
          </cell>
          <cell r="CL2520">
            <v>15520.445</v>
          </cell>
          <cell r="CM2520" t="str">
            <v xml:space="preserve">NFT-/XUTR/DEUTH02427825558X </v>
          </cell>
          <cell r="CN2520" t="str">
            <v>2024-10-04</v>
          </cell>
          <cell r="CO2520">
            <v>821.41300000000001</v>
          </cell>
        </row>
        <row r="2521">
          <cell r="CJ2521" t="str">
            <v xml:space="preserve">NFT-/XUTR/DEUTH02427821164X </v>
          </cell>
          <cell r="CK2521" t="str">
            <v>2024-10-04</v>
          </cell>
          <cell r="CL2521">
            <v>16476.866999999998</v>
          </cell>
        </row>
        <row r="2522">
          <cell r="CJ2522" t="str">
            <v xml:space="preserve">NFT-/XUTR/DEUTH02427821164X </v>
          </cell>
          <cell r="CK2522" t="str">
            <v>2024-10-04</v>
          </cell>
          <cell r="CL2522">
            <v>77783.995999999999</v>
          </cell>
          <cell r="CM2522" t="str">
            <v xml:space="preserve">NFT-/XUTR/DEUTH02427825558X </v>
          </cell>
          <cell r="CN2522" t="str">
            <v>2024-10-04</v>
          </cell>
          <cell r="CO2522">
            <v>2885.51</v>
          </cell>
        </row>
        <row r="2523">
          <cell r="CJ2523" t="str">
            <v xml:space="preserve">NFT-/XUTR/DEUTH02427821164X </v>
          </cell>
          <cell r="CK2523" t="str">
            <v>2024-10-04</v>
          </cell>
          <cell r="CL2523">
            <v>78553.823999999993</v>
          </cell>
          <cell r="CM2523" t="str">
            <v xml:space="preserve">NFT-/XUTR/DEUTH02427825558X </v>
          </cell>
          <cell r="CN2523" t="str">
            <v>2024-10-04</v>
          </cell>
          <cell r="CO2523">
            <v>2885.511</v>
          </cell>
        </row>
        <row r="2524">
          <cell r="CJ2524" t="str">
            <v xml:space="preserve">NFT-/XUTR/DEUTH02427821164X </v>
          </cell>
          <cell r="CK2524" t="str">
            <v>2024-10-04</v>
          </cell>
          <cell r="CL2524">
            <v>77957.125</v>
          </cell>
          <cell r="CM2524" t="str">
            <v xml:space="preserve">NFT-/XUTR/DEUTH02427825558X </v>
          </cell>
          <cell r="CN2524" t="str">
            <v>2024-10-04</v>
          </cell>
          <cell r="CO2524">
            <v>2885.511</v>
          </cell>
        </row>
        <row r="2525">
          <cell r="CJ2525" t="str">
            <v xml:space="preserve">NFT-/XUTR/DEUTH02427821164X </v>
          </cell>
          <cell r="CK2525" t="str">
            <v>2024-10-04</v>
          </cell>
          <cell r="CL2525">
            <v>32972.614000000001</v>
          </cell>
        </row>
        <row r="2526">
          <cell r="CJ2526" t="str">
            <v xml:space="preserve">NFT-/XUTR/DEUTH02427821164X </v>
          </cell>
          <cell r="CK2526" t="str">
            <v>2024-10-04</v>
          </cell>
          <cell r="CL2526">
            <v>15520.445</v>
          </cell>
          <cell r="CM2526" t="str">
            <v xml:space="preserve">NFT-/XUTR/DEUTH02427825558X </v>
          </cell>
          <cell r="CN2526" t="str">
            <v>2024-10-04</v>
          </cell>
          <cell r="CO2526">
            <v>821.41300000000001</v>
          </cell>
        </row>
        <row r="2527">
          <cell r="CJ2527" t="str">
            <v xml:space="preserve">NFT-/XUTR/DEUTH02427821164X </v>
          </cell>
          <cell r="CK2527" t="str">
            <v>2024-10-04</v>
          </cell>
          <cell r="CL2527">
            <v>77957.126000000004</v>
          </cell>
          <cell r="CM2527" t="str">
            <v xml:space="preserve">NFT-/XUTR/DEUTH02427825558X </v>
          </cell>
          <cell r="CN2527" t="str">
            <v>2024-10-04</v>
          </cell>
          <cell r="CO2527">
            <v>2885.51</v>
          </cell>
          <cell r="CP2527" t="str">
            <v xml:space="preserve">NFT-/XUTR/DEUTH02428867200X </v>
          </cell>
          <cell r="CQ2527" t="str">
            <v>2024-10-14</v>
          </cell>
          <cell r="CR2527">
            <v>-77957.126000000004</v>
          </cell>
          <cell r="CS2527" t="str">
            <v xml:space="preserve">NFT-/XUTR/DEUTH02428846801X </v>
          </cell>
          <cell r="CT2527" t="str">
            <v>2024-10-14</v>
          </cell>
          <cell r="CU2527">
            <v>-2885.51</v>
          </cell>
        </row>
        <row r="2528">
          <cell r="CJ2528" t="str">
            <v xml:space="preserve">NFT-/XUTR/DEUTH02427821164X </v>
          </cell>
          <cell r="CK2528" t="str">
            <v>2024-10-04</v>
          </cell>
          <cell r="CL2528">
            <v>15501.565000000001</v>
          </cell>
          <cell r="CM2528" t="str">
            <v xml:space="preserve">NFT-/XUTR/DEUTH02427825558X </v>
          </cell>
          <cell r="CN2528" t="str">
            <v>2024-10-04</v>
          </cell>
          <cell r="CO2528">
            <v>821.41300000000001</v>
          </cell>
        </row>
        <row r="2529">
          <cell r="CJ2529" t="str">
            <v xml:space="preserve">NFT-/XUTR/DEUTH02427821164X </v>
          </cell>
          <cell r="CK2529" t="str">
            <v>2024-10-04</v>
          </cell>
          <cell r="CL2529">
            <v>15666.651</v>
          </cell>
          <cell r="CM2529" t="str">
            <v xml:space="preserve">NFT-/XUTR/DEUTH02427825558X </v>
          </cell>
          <cell r="CN2529" t="str">
            <v>2024-10-04</v>
          </cell>
          <cell r="CO2529">
            <v>829.10699999999997</v>
          </cell>
        </row>
        <row r="2530">
          <cell r="CJ2530" t="str">
            <v xml:space="preserve">NFT-/XUTR/DEUTH02427821164X </v>
          </cell>
          <cell r="CK2530" t="str">
            <v>2024-10-04</v>
          </cell>
          <cell r="CL2530">
            <v>31819.52</v>
          </cell>
          <cell r="CM2530" t="str">
            <v xml:space="preserve">NFT-/XUTR/DEUTH02427825558X </v>
          </cell>
          <cell r="CN2530" t="str">
            <v>2024-10-04</v>
          </cell>
          <cell r="CO2530">
            <v>1692.828</v>
          </cell>
        </row>
        <row r="2531">
          <cell r="CJ2531" t="str">
            <v xml:space="preserve">NFT-/XUTR/DEUTH02427821164X </v>
          </cell>
          <cell r="CK2531" t="str">
            <v>2024-10-04</v>
          </cell>
          <cell r="CL2531">
            <v>78553.823999999993</v>
          </cell>
          <cell r="CM2531" t="str">
            <v xml:space="preserve">NFT-/XUTR/DEUTH02427825558X </v>
          </cell>
          <cell r="CN2531" t="str">
            <v>2024-10-04</v>
          </cell>
          <cell r="CO2531">
            <v>2885.511</v>
          </cell>
        </row>
        <row r="2532">
          <cell r="CJ2532" t="str">
            <v xml:space="preserve">NFT-/XUTR/DEUTH02427821164X </v>
          </cell>
          <cell r="CK2532" t="str">
            <v>2024-10-04</v>
          </cell>
          <cell r="CL2532">
            <v>15520.445</v>
          </cell>
          <cell r="CM2532" t="str">
            <v xml:space="preserve">NFT-/XUTR/DEUTH02427825558X </v>
          </cell>
          <cell r="CN2532" t="str">
            <v>2024-10-04</v>
          </cell>
          <cell r="CO2532">
            <v>821.41300000000001</v>
          </cell>
        </row>
        <row r="2533">
          <cell r="CJ2533" t="str">
            <v xml:space="preserve">NFT-/XUTR/DEUTH02427821164X </v>
          </cell>
          <cell r="CK2533" t="str">
            <v>2024-10-04</v>
          </cell>
          <cell r="CL2533">
            <v>39305.714</v>
          </cell>
          <cell r="CM2533" t="str">
            <v xml:space="preserve">NFT-/XUTR/DEUTH02427825558X </v>
          </cell>
          <cell r="CN2533" t="str">
            <v>2024-10-04</v>
          </cell>
          <cell r="CO2533">
            <v>2072.7570000000001</v>
          </cell>
        </row>
        <row r="2534">
          <cell r="CJ2534" t="str">
            <v xml:space="preserve">NFT-/XUTR/DEUTH02427821164X </v>
          </cell>
          <cell r="CK2534" t="str">
            <v>2024-10-04</v>
          </cell>
          <cell r="CL2534">
            <v>38911.713000000003</v>
          </cell>
          <cell r="CM2534" t="str">
            <v xml:space="preserve">NFT-/XUTR/DEUTH02427825558X </v>
          </cell>
          <cell r="CN2534" t="str">
            <v>2024-10-04</v>
          </cell>
          <cell r="CO2534">
            <v>2053.518</v>
          </cell>
        </row>
        <row r="2535">
          <cell r="CJ2535" t="str">
            <v xml:space="preserve">NFT-/XUTR/DEUTH02427821164X </v>
          </cell>
          <cell r="CK2535" t="str">
            <v>2024-10-04</v>
          </cell>
          <cell r="CL2535">
            <v>38994.430999999997</v>
          </cell>
          <cell r="CM2535" t="str">
            <v xml:space="preserve">NFT-/XUTR/DEUTH02427825558X </v>
          </cell>
          <cell r="CN2535" t="str">
            <v>2024-10-04</v>
          </cell>
          <cell r="CO2535">
            <v>2057.37</v>
          </cell>
        </row>
        <row r="2536">
          <cell r="CJ2536" t="str">
            <v xml:space="preserve">NFT-/XUTR/DEUTH02427821164X </v>
          </cell>
          <cell r="CK2536" t="str">
            <v>2024-10-04</v>
          </cell>
          <cell r="CL2536">
            <v>78553.823999999993</v>
          </cell>
          <cell r="CM2536" t="str">
            <v xml:space="preserve">NFT-/XUTR/DEUTH02427825558X </v>
          </cell>
          <cell r="CN2536" t="str">
            <v>2024-10-04</v>
          </cell>
          <cell r="CO2536">
            <v>2885.511</v>
          </cell>
        </row>
        <row r="2537">
          <cell r="CJ2537" t="str">
            <v xml:space="preserve">NFT-/XUTR/DEUTH02427821164X </v>
          </cell>
          <cell r="CK2537" t="str">
            <v>2024-10-04</v>
          </cell>
          <cell r="CL2537">
            <v>40474.697999999997</v>
          </cell>
        </row>
        <row r="2538">
          <cell r="CJ2538" t="str">
            <v xml:space="preserve">NFT-/XUTR/DEUTH02427821164X </v>
          </cell>
          <cell r="CK2538" t="str">
            <v>2024-10-04</v>
          </cell>
          <cell r="CL2538">
            <v>15568.536</v>
          </cell>
          <cell r="CM2538" t="str">
            <v xml:space="preserve">NFT-/XUTR/DEUTH02427825558X </v>
          </cell>
          <cell r="CN2538" t="str">
            <v>2024-10-04</v>
          </cell>
          <cell r="CO2538">
            <v>773.322</v>
          </cell>
        </row>
        <row r="2539">
          <cell r="CJ2539" t="str">
            <v xml:space="preserve">NFT-/XUTR/DEUTH02427821164X </v>
          </cell>
          <cell r="CK2539" t="str">
            <v>2024-10-04</v>
          </cell>
          <cell r="CL2539">
            <v>38994.430999999997</v>
          </cell>
          <cell r="CM2539" t="str">
            <v xml:space="preserve">NFT-/XUTR/DEUTH02427825558X </v>
          </cell>
          <cell r="CN2539" t="str">
            <v>2024-10-04</v>
          </cell>
          <cell r="CO2539">
            <v>2057.37</v>
          </cell>
        </row>
        <row r="2540">
          <cell r="CJ2540" t="str">
            <v xml:space="preserve">NFT-/XUTR/DEUTH02427821164X </v>
          </cell>
          <cell r="CK2540" t="str">
            <v>2024-10-04</v>
          </cell>
          <cell r="CL2540">
            <v>39500.995000000003</v>
          </cell>
          <cell r="CM2540" t="str">
            <v xml:space="preserve">NFT-/XUTR/DEUTH02427825558X </v>
          </cell>
          <cell r="CN2540" t="str">
            <v>2024-10-04</v>
          </cell>
          <cell r="CO2540">
            <v>2096.8000000000002</v>
          </cell>
        </row>
        <row r="2541">
          <cell r="CJ2541" t="str">
            <v xml:space="preserve">NFT-/XUTR/DEUTH02427821164X </v>
          </cell>
          <cell r="CK2541" t="str">
            <v>2024-10-04</v>
          </cell>
          <cell r="CL2541">
            <v>78553.823999999993</v>
          </cell>
          <cell r="CM2541" t="str">
            <v xml:space="preserve">NFT-/XUTR/DEUTH02427825558X </v>
          </cell>
          <cell r="CN2541" t="str">
            <v>2024-10-04</v>
          </cell>
          <cell r="CO2541">
            <v>2885.511</v>
          </cell>
        </row>
        <row r="2542">
          <cell r="CJ2542" t="str">
            <v xml:space="preserve">NFT-/XUTR/DEUTH02427821164X </v>
          </cell>
          <cell r="CK2542" t="str">
            <v>2024-10-04</v>
          </cell>
          <cell r="CL2542">
            <v>15451.192999999999</v>
          </cell>
          <cell r="CM2542" t="str">
            <v xml:space="preserve">NFT-/XUTR/DEUTH02427825558X </v>
          </cell>
          <cell r="CN2542" t="str">
            <v>2024-10-04</v>
          </cell>
          <cell r="CO2542">
            <v>1169.5909999999999</v>
          </cell>
        </row>
        <row r="2543">
          <cell r="CJ2543" t="str">
            <v xml:space="preserve">NFT-/XUTR/DEUTH02427821164X </v>
          </cell>
          <cell r="CK2543" t="str">
            <v>2024-10-04</v>
          </cell>
          <cell r="CL2543">
            <v>38492.959999999999</v>
          </cell>
          <cell r="CM2543" t="str">
            <v xml:space="preserve">NFT-/XUTR/DEUTH02427825558X </v>
          </cell>
          <cell r="CN2543" t="str">
            <v>2024-10-04</v>
          </cell>
          <cell r="CO2543">
            <v>2885.511</v>
          </cell>
        </row>
        <row r="2544">
          <cell r="CJ2544" t="str">
            <v xml:space="preserve">NFT-/XUTR/DEUTH02427821164X </v>
          </cell>
          <cell r="CK2544" t="str">
            <v>2024-10-04</v>
          </cell>
          <cell r="CL2544">
            <v>15432.313</v>
          </cell>
          <cell r="CM2544" t="str">
            <v xml:space="preserve">NFT-/XUTR/DEUTH02427825558X </v>
          </cell>
          <cell r="CN2544" t="str">
            <v>2024-10-04</v>
          </cell>
          <cell r="CO2544">
            <v>1169.5909999999999</v>
          </cell>
        </row>
        <row r="2545">
          <cell r="CJ2545" t="str">
            <v xml:space="preserve">NFT-/XUTR/DEUTH02427821164X </v>
          </cell>
          <cell r="CK2545" t="str">
            <v>2024-10-04</v>
          </cell>
          <cell r="CL2545">
            <v>14674.995000000001</v>
          </cell>
          <cell r="CM2545" t="str">
            <v xml:space="preserve">NFT-/XUTR/DEUTH02427825558X </v>
          </cell>
          <cell r="CN2545" t="str">
            <v>2024-10-04</v>
          </cell>
          <cell r="CO2545">
            <v>1945.799</v>
          </cell>
        </row>
        <row r="2546">
          <cell r="CJ2546" t="str">
            <v xml:space="preserve">NFT-/XUTR/DEUTH024281A0K61X </v>
          </cell>
          <cell r="CK2546" t="str">
            <v>2024-10-07</v>
          </cell>
          <cell r="CL2546">
            <v>15380.021000000001</v>
          </cell>
          <cell r="CM2546" t="str">
            <v xml:space="preserve">NFT-/XUTR/DEUTH024281A0KN4X </v>
          </cell>
          <cell r="CN2546" t="str">
            <v>2024-10-07</v>
          </cell>
          <cell r="CO2546">
            <v>1163.818</v>
          </cell>
        </row>
        <row r="2547">
          <cell r="CJ2547" t="str">
            <v xml:space="preserve">NFT-/XUTR/DEUTH024281A0K61X </v>
          </cell>
          <cell r="CK2547" t="str">
            <v>2024-10-07</v>
          </cell>
          <cell r="CL2547">
            <v>78188.328999999998</v>
          </cell>
          <cell r="CM2547" t="str">
            <v xml:space="preserve">NFT-/XUTR/DEUTH024281A0KN4X </v>
          </cell>
          <cell r="CN2547" t="str">
            <v>2024-10-07</v>
          </cell>
          <cell r="CO2547">
            <v>2885.511</v>
          </cell>
        </row>
        <row r="2548">
          <cell r="CJ2548" t="str">
            <v xml:space="preserve">NFT-/XUTR/DEUTH024281A0K61X </v>
          </cell>
          <cell r="CK2548" t="str">
            <v>2024-10-07</v>
          </cell>
          <cell r="CL2548">
            <v>29452.901999999998</v>
          </cell>
          <cell r="CM2548" t="str">
            <v xml:space="preserve">NFT-/XUTR/DEUTH024281A0KN4X </v>
          </cell>
          <cell r="CN2548" t="str">
            <v>2024-10-07</v>
          </cell>
          <cell r="CO2548">
            <v>3633.82</v>
          </cell>
        </row>
        <row r="2549">
          <cell r="CJ2549" t="str">
            <v xml:space="preserve">NFT-/XUTR/DEUTH024281A0K61X </v>
          </cell>
          <cell r="CK2549" t="str">
            <v>2024-10-07</v>
          </cell>
          <cell r="CL2549">
            <v>23250.264999999999</v>
          </cell>
          <cell r="CM2549" t="str">
            <v xml:space="preserve">NFT-/XUTR/DEUTH024281A0KN4X </v>
          </cell>
          <cell r="CN2549" t="str">
            <v>2024-10-07</v>
          </cell>
          <cell r="CO2549">
            <v>1768.819</v>
          </cell>
        </row>
        <row r="2550">
          <cell r="CJ2550" t="str">
            <v xml:space="preserve">NFT-/XUTR/DEUTH024281A0K61X </v>
          </cell>
          <cell r="CK2550" t="str">
            <v>2024-10-07</v>
          </cell>
          <cell r="CL2550">
            <v>38310.205999999998</v>
          </cell>
          <cell r="CM2550" t="str">
            <v xml:space="preserve">NFT-/XUTR/DEUTH024281A0KN4X </v>
          </cell>
          <cell r="CN2550" t="str">
            <v>2024-10-07</v>
          </cell>
          <cell r="CO2550">
            <v>2885.511</v>
          </cell>
          <cell r="CP2550" t="str">
            <v xml:space="preserve">NFT-/XUTR/DEUTH02428359373X </v>
          </cell>
          <cell r="CQ2550" t="str">
            <v>2024-10-09</v>
          </cell>
          <cell r="CR2550">
            <v>-38310.205999999998</v>
          </cell>
          <cell r="CS2550" t="str">
            <v xml:space="preserve">NFT-/XUTR/DEUTH02428371058X </v>
          </cell>
          <cell r="CT2550" t="str">
            <v>2024-10-09</v>
          </cell>
          <cell r="CU2550">
            <v>-2885.511</v>
          </cell>
        </row>
        <row r="2551">
          <cell r="CJ2551" t="str">
            <v xml:space="preserve">NFT-/XUTR/DEUTH024281A0K61X </v>
          </cell>
          <cell r="CK2551" t="str">
            <v>2024-10-07</v>
          </cell>
          <cell r="CL2551">
            <v>15380.021000000001</v>
          </cell>
          <cell r="CM2551" t="str">
            <v xml:space="preserve">NFT-/XUTR/DEUTH024281A0KN4X </v>
          </cell>
          <cell r="CN2551" t="str">
            <v>2024-10-07</v>
          </cell>
          <cell r="CO2551">
            <v>1163.818</v>
          </cell>
        </row>
        <row r="2552">
          <cell r="CJ2552" t="str">
            <v xml:space="preserve">NFT-/XUTR/DEUTH024281A0K61X </v>
          </cell>
          <cell r="CK2552" t="str">
            <v>2024-10-07</v>
          </cell>
          <cell r="CL2552">
            <v>15380.021000000001</v>
          </cell>
          <cell r="CM2552" t="str">
            <v xml:space="preserve">NFT-/XUTR/DEUTH024281A0KN4X </v>
          </cell>
          <cell r="CN2552" t="str">
            <v>2024-10-07</v>
          </cell>
          <cell r="CO2552">
            <v>1163.818</v>
          </cell>
        </row>
        <row r="2553">
          <cell r="CJ2553" t="str">
            <v xml:space="preserve">NFT-/XUTR/DEUTH024281A0K61X </v>
          </cell>
          <cell r="CK2553" t="str">
            <v>2024-10-07</v>
          </cell>
          <cell r="CL2553">
            <v>15380.021000000001</v>
          </cell>
          <cell r="CM2553" t="str">
            <v xml:space="preserve">NFT-/XUTR/DEUTH024281A0KN4X </v>
          </cell>
          <cell r="CN2553" t="str">
            <v>2024-10-07</v>
          </cell>
          <cell r="CO2553">
            <v>1163.818</v>
          </cell>
        </row>
        <row r="2554">
          <cell r="CJ2554" t="str">
            <v xml:space="preserve">NFT-/XUTR/DEUTH024281A0K61X </v>
          </cell>
          <cell r="CK2554" t="str">
            <v>2024-10-07</v>
          </cell>
          <cell r="CL2554">
            <v>23250.264999999999</v>
          </cell>
          <cell r="CM2554" t="str">
            <v xml:space="preserve">NFT-/XUTR/DEUTH024281A0KN4X </v>
          </cell>
          <cell r="CN2554" t="str">
            <v>2024-10-07</v>
          </cell>
          <cell r="CO2554">
            <v>1768.819</v>
          </cell>
        </row>
        <row r="2555">
          <cell r="CJ2555" t="str">
            <v xml:space="preserve">NFT-/XUTR/DEUTH024281A0K61X </v>
          </cell>
          <cell r="CK2555" t="str">
            <v>2024-10-07</v>
          </cell>
          <cell r="CL2555">
            <v>15236.700999999999</v>
          </cell>
          <cell r="CM2555" t="str">
            <v xml:space="preserve">NFT-/XUTR/DEUTH024281A0KN4X </v>
          </cell>
          <cell r="CN2555" t="str">
            <v>2024-10-07</v>
          </cell>
          <cell r="CO2555">
            <v>1153.239</v>
          </cell>
        </row>
        <row r="2556">
          <cell r="CJ2556" t="str">
            <v xml:space="preserve">NFT-/XUTR/DEUTH024281A0K61X </v>
          </cell>
          <cell r="CK2556" t="str">
            <v>2024-10-07</v>
          </cell>
          <cell r="CL2556">
            <v>7730.89</v>
          </cell>
          <cell r="CM2556" t="str">
            <v xml:space="preserve">NFT-/XUTR/DEUTH024281A0KN4X </v>
          </cell>
          <cell r="CN2556" t="str">
            <v>2024-10-07</v>
          </cell>
          <cell r="CO2556">
            <v>589.60299999999995</v>
          </cell>
        </row>
        <row r="2557">
          <cell r="CJ2557" t="str">
            <v xml:space="preserve">NFT-/XUTR/DEUTH024281A0K61X </v>
          </cell>
          <cell r="CK2557" t="str">
            <v>2024-10-07</v>
          </cell>
          <cell r="CL2557">
            <v>78207.209000000003</v>
          </cell>
          <cell r="CM2557" t="str">
            <v xml:space="preserve">NFT-/XUTR/DEUTH024281A0KN4X </v>
          </cell>
          <cell r="CN2557" t="str">
            <v>2024-10-07</v>
          </cell>
          <cell r="CO2557">
            <v>2885.511</v>
          </cell>
        </row>
        <row r="2558">
          <cell r="CJ2558" t="str">
            <v xml:space="preserve">NFT-/XUTR/DEUTH024281A0K61X </v>
          </cell>
          <cell r="CK2558" t="str">
            <v>2024-10-07</v>
          </cell>
          <cell r="CL2558">
            <v>15361.141</v>
          </cell>
          <cell r="CM2558" t="str">
            <v xml:space="preserve">NFT-/XUTR/DEUTH024281A0KN4X </v>
          </cell>
          <cell r="CN2558" t="str">
            <v>2024-10-07</v>
          </cell>
          <cell r="CO2558">
            <v>1163.818</v>
          </cell>
        </row>
        <row r="2559">
          <cell r="CJ2559" t="str">
            <v xml:space="preserve">NFT-/XUTR/DEUTH024281A0K61X </v>
          </cell>
          <cell r="CK2559" t="str">
            <v>2024-10-07</v>
          </cell>
          <cell r="CL2559">
            <v>38310.205999999998</v>
          </cell>
          <cell r="CM2559" t="str">
            <v xml:space="preserve">NFT-/XUTR/DEUTH024281A0KN4X </v>
          </cell>
          <cell r="CN2559" t="str">
            <v>2024-10-07</v>
          </cell>
          <cell r="CO2559">
            <v>2885.511</v>
          </cell>
        </row>
        <row r="2560">
          <cell r="CJ2560" t="str">
            <v xml:space="preserve">NFT-/XUTR/DEUTH024281A0K61X </v>
          </cell>
          <cell r="CK2560" t="str">
            <v>2024-10-07</v>
          </cell>
          <cell r="CL2560">
            <v>15500.495999999999</v>
          </cell>
          <cell r="CM2560" t="str">
            <v xml:space="preserve">NFT-/XUTR/DEUTH024281A0KN4X </v>
          </cell>
          <cell r="CN2560" t="str">
            <v>2024-10-07</v>
          </cell>
          <cell r="CO2560">
            <v>1177.2840000000001</v>
          </cell>
        </row>
        <row r="2561">
          <cell r="CJ2561" t="str">
            <v xml:space="preserve">NFT-/XUTR/DEUTH02427821164X </v>
          </cell>
          <cell r="CK2561" t="str">
            <v>2024-10-04</v>
          </cell>
          <cell r="CL2561">
            <v>78572.703999999998</v>
          </cell>
          <cell r="CM2561" t="str">
            <v xml:space="preserve">NFT-/XUTR/DEUTH02427825558X </v>
          </cell>
          <cell r="CN2561" t="str">
            <v>2024-10-04</v>
          </cell>
          <cell r="CO2561">
            <v>2885.51</v>
          </cell>
        </row>
        <row r="2562">
          <cell r="CJ2562" t="str">
            <v xml:space="preserve">NFT-/XUTR/DEUTH02427821164X </v>
          </cell>
          <cell r="CK2562" t="str">
            <v>2024-10-04</v>
          </cell>
          <cell r="CL2562">
            <v>15432.313</v>
          </cell>
          <cell r="CM2562" t="str">
            <v xml:space="preserve">NFT-/XUTR/DEUTH02427825558X </v>
          </cell>
          <cell r="CN2562" t="str">
            <v>2024-10-04</v>
          </cell>
          <cell r="CO2562">
            <v>1169.5909999999999</v>
          </cell>
          <cell r="CP2562" t="str">
            <v xml:space="preserve">NFT-/XUTR/DEUTH02428359373X </v>
          </cell>
          <cell r="CQ2562" t="str">
            <v>2024-10-09</v>
          </cell>
          <cell r="CR2562">
            <v>-15432.313</v>
          </cell>
          <cell r="CS2562" t="str">
            <v xml:space="preserve">NFT-/XUTR/DEUTH02428371058X </v>
          </cell>
          <cell r="CT2562" t="str">
            <v>2024-10-09</v>
          </cell>
          <cell r="CU2562">
            <v>-1169.5909999999999</v>
          </cell>
        </row>
        <row r="2563">
          <cell r="CJ2563" t="str">
            <v xml:space="preserve">NFT-/XUTR/DEUTH02427821164X </v>
          </cell>
          <cell r="CK2563" t="str">
            <v>2024-10-04</v>
          </cell>
          <cell r="CL2563">
            <v>38492.959999999999</v>
          </cell>
          <cell r="CM2563" t="str">
            <v xml:space="preserve">NFT-/XUTR/DEUTH02427825558X </v>
          </cell>
          <cell r="CN2563" t="str">
            <v>2024-10-04</v>
          </cell>
          <cell r="CO2563">
            <v>2885.511</v>
          </cell>
        </row>
        <row r="2564">
          <cell r="CJ2564" t="str">
            <v xml:space="preserve">NFT-/XUTR/DEUTH02427821164X </v>
          </cell>
          <cell r="CK2564" t="str">
            <v>2024-10-04</v>
          </cell>
          <cell r="CL2564">
            <v>15451.192999999999</v>
          </cell>
          <cell r="CM2564" t="str">
            <v xml:space="preserve">NFT-/XUTR/DEUTH02427825558X </v>
          </cell>
          <cell r="CN2564" t="str">
            <v>2024-10-04</v>
          </cell>
          <cell r="CO2564">
            <v>1169.5909999999999</v>
          </cell>
          <cell r="CP2564" t="str">
            <v xml:space="preserve">NFT-/XUTR/DEUTH02428867200X </v>
          </cell>
          <cell r="CQ2564" t="str">
            <v>2024-10-14</v>
          </cell>
          <cell r="CR2564">
            <v>-15451.192999999999</v>
          </cell>
          <cell r="CS2564" t="str">
            <v xml:space="preserve">NFT-/XUTR/DEUTH02428846801X </v>
          </cell>
          <cell r="CT2564" t="str">
            <v>2024-10-14</v>
          </cell>
          <cell r="CU2564">
            <v>-1169.5909999999999</v>
          </cell>
        </row>
        <row r="2565">
          <cell r="CJ2565" t="str">
            <v xml:space="preserve">NFT-/XUTR/DEUTH024281A0K61X </v>
          </cell>
          <cell r="CK2565" t="str">
            <v>2024-10-07</v>
          </cell>
          <cell r="CL2565">
            <v>10299.593000000001</v>
          </cell>
          <cell r="CM2565" t="str">
            <v xml:space="preserve">NFT-/XUTR/DEUTH024281A0KN4X </v>
          </cell>
          <cell r="CN2565" t="str">
            <v>2024-10-07</v>
          </cell>
          <cell r="CO2565">
            <v>781.01400000000001</v>
          </cell>
        </row>
        <row r="2566">
          <cell r="CJ2566" t="str">
            <v xml:space="preserve">NFT-/XUTR/DEUTH024281A0K61X </v>
          </cell>
          <cell r="CK2566" t="str">
            <v>2024-10-07</v>
          </cell>
          <cell r="CL2566">
            <v>15380.021000000001</v>
          </cell>
          <cell r="CM2566" t="str">
            <v xml:space="preserve">NFT-/XUTR/DEUTH024281A0KN4X </v>
          </cell>
          <cell r="CN2566" t="str">
            <v>2024-10-07</v>
          </cell>
          <cell r="CO2566">
            <v>1163.818</v>
          </cell>
        </row>
        <row r="2567">
          <cell r="CJ2567" t="str">
            <v xml:space="preserve">NFT-/XUTR/DEUTH024281A0K61X </v>
          </cell>
          <cell r="CK2567" t="str">
            <v>2024-10-07</v>
          </cell>
          <cell r="CL2567">
            <v>15413.681</v>
          </cell>
          <cell r="CM2567" t="str">
            <v xml:space="preserve">NFT-/XUTR/DEUTH024281A0KN4X </v>
          </cell>
          <cell r="CN2567" t="str">
            <v>2024-10-07</v>
          </cell>
          <cell r="CO2567">
            <v>1130.1579999999999</v>
          </cell>
        </row>
        <row r="2568">
          <cell r="CJ2568" t="str">
            <v xml:space="preserve">NFT-/XUTR/DEUTH024281A0K61X </v>
          </cell>
          <cell r="CK2568" t="str">
            <v>2024-10-07</v>
          </cell>
          <cell r="CL2568">
            <v>15758.201999999999</v>
          </cell>
          <cell r="CM2568" t="str">
            <v xml:space="preserve">NFT-/XUTR/DEUTH024281A0KN4X </v>
          </cell>
          <cell r="CN2568" t="str">
            <v>2024-10-07</v>
          </cell>
          <cell r="CO2568">
            <v>776.20799999999997</v>
          </cell>
        </row>
        <row r="2569">
          <cell r="CJ2569" t="str">
            <v xml:space="preserve">NFT-/XUTR/DEUTH024281A0K61X </v>
          </cell>
          <cell r="CK2569" t="str">
            <v>2024-10-07</v>
          </cell>
          <cell r="CL2569">
            <v>15451.192999999999</v>
          </cell>
          <cell r="CM2569" t="str">
            <v xml:space="preserve">NFT-/XUTR/DEUTH024281A0KN4X </v>
          </cell>
          <cell r="CN2569" t="str">
            <v>2024-10-07</v>
          </cell>
          <cell r="CO2569">
            <v>1169.5909999999999</v>
          </cell>
        </row>
        <row r="2570">
          <cell r="CJ2570" t="str">
            <v xml:space="preserve">NFT-/XUTR/DEUTH024281A0K61X </v>
          </cell>
          <cell r="CK2570" t="str">
            <v>2024-10-07</v>
          </cell>
          <cell r="CL2570">
            <v>15380.021000000001</v>
          </cell>
          <cell r="CM2570" t="str">
            <v xml:space="preserve">NFT-/XUTR/DEUTH024281A0KN4X </v>
          </cell>
          <cell r="CN2570" t="str">
            <v>2024-10-07</v>
          </cell>
          <cell r="CO2570">
            <v>1163.818</v>
          </cell>
        </row>
        <row r="2571">
          <cell r="CJ2571" t="str">
            <v xml:space="preserve">NFT-/XUTR/DEUTH024281A0K61X </v>
          </cell>
          <cell r="CK2571" t="str">
            <v>2024-10-07</v>
          </cell>
          <cell r="CL2571">
            <v>15380.021000000001</v>
          </cell>
          <cell r="CM2571" t="str">
            <v xml:space="preserve">NFT-/XUTR/DEUTH024281A0KN4X </v>
          </cell>
          <cell r="CN2571" t="str">
            <v>2024-10-07</v>
          </cell>
          <cell r="CO2571">
            <v>1163.818</v>
          </cell>
        </row>
        <row r="2572">
          <cell r="CJ2572" t="str">
            <v xml:space="preserve">NFT-/XUTR/DEUTH024281A0K61X </v>
          </cell>
          <cell r="CK2572" t="str">
            <v>2024-10-07</v>
          </cell>
          <cell r="CL2572">
            <v>78207.209000000003</v>
          </cell>
          <cell r="CM2572" t="str">
            <v xml:space="preserve">NFT-/XUTR/DEUTH024281A0KN4X </v>
          </cell>
          <cell r="CN2572" t="str">
            <v>2024-10-07</v>
          </cell>
          <cell r="CO2572">
            <v>2885.511</v>
          </cell>
        </row>
        <row r="2574">
          <cell r="CJ2574" t="str">
            <v xml:space="preserve">NFT-/XUTR/DEUTH024281A0K61X </v>
          </cell>
          <cell r="CK2574" t="str">
            <v>2024-10-07</v>
          </cell>
          <cell r="CL2574">
            <v>15361.141</v>
          </cell>
          <cell r="CM2574" t="str">
            <v xml:space="preserve">NFT-/XUTR/DEUTH024281A0KN4X </v>
          </cell>
          <cell r="CN2574" t="str">
            <v>2024-10-07</v>
          </cell>
          <cell r="CO2574">
            <v>1163.818</v>
          </cell>
        </row>
        <row r="2575">
          <cell r="CJ2575" t="str">
            <v xml:space="preserve">NFT-/XUTR/DEUTH02427821164X </v>
          </cell>
          <cell r="CK2575" t="str">
            <v>2024-10-04</v>
          </cell>
          <cell r="CL2575">
            <v>7785.3509999999997</v>
          </cell>
          <cell r="CM2575" t="str">
            <v xml:space="preserve">NFT-/XUTR/DEUTH02427825558X </v>
          </cell>
          <cell r="CN2575" t="str">
            <v>2024-10-04</v>
          </cell>
          <cell r="CO2575">
            <v>592.48900000000003</v>
          </cell>
        </row>
        <row r="2576">
          <cell r="CJ2576" t="str">
            <v xml:space="preserve">NFT-/XUTR/DEUTH024281A0K61X </v>
          </cell>
          <cell r="CK2576" t="str">
            <v>2024-10-07</v>
          </cell>
          <cell r="CL2576">
            <v>15451.192999999999</v>
          </cell>
          <cell r="CM2576" t="str">
            <v xml:space="preserve">NFT-/XUTR/DEUTH024281A0KN4X </v>
          </cell>
          <cell r="CN2576" t="str">
            <v>2024-10-07</v>
          </cell>
          <cell r="CO2576">
            <v>1169.5909999999999</v>
          </cell>
        </row>
        <row r="2577">
          <cell r="CJ2577" t="str">
            <v xml:space="preserve">NFT-/XUTR/DEUTH024281A0K61X </v>
          </cell>
          <cell r="CK2577" t="str">
            <v>2024-10-07</v>
          </cell>
          <cell r="CL2577">
            <v>15361.141</v>
          </cell>
          <cell r="CM2577" t="str">
            <v xml:space="preserve">NFT-/XUTR/DEUTH024281A0KN4X </v>
          </cell>
          <cell r="CN2577" t="str">
            <v>2024-10-07</v>
          </cell>
          <cell r="CO2577">
            <v>1163.818</v>
          </cell>
        </row>
        <row r="2578">
          <cell r="CJ2578" t="str">
            <v xml:space="preserve">NFT-/XUTR/DEUTH024281A0K61X </v>
          </cell>
          <cell r="CK2578" t="str">
            <v>2024-10-07</v>
          </cell>
          <cell r="CL2578">
            <v>15380.021000000001</v>
          </cell>
          <cell r="CM2578" t="str">
            <v xml:space="preserve">NFT-/XUTR/DEUTH024281A0KN4X </v>
          </cell>
          <cell r="CN2578" t="str">
            <v>2024-10-07</v>
          </cell>
          <cell r="CO2578">
            <v>1163.818</v>
          </cell>
        </row>
        <row r="2579">
          <cell r="CJ2579" t="str">
            <v xml:space="preserve">NFT-/XUTR/DEUTH024281A0K61X </v>
          </cell>
          <cell r="CK2579" t="str">
            <v>2024-10-07</v>
          </cell>
          <cell r="CL2579">
            <v>15380.021000000001</v>
          </cell>
          <cell r="CM2579" t="str">
            <v xml:space="preserve">NFT-/XUTR/DEUTH024281A0KN4X </v>
          </cell>
          <cell r="CN2579" t="str">
            <v>2024-10-07</v>
          </cell>
          <cell r="CO2579">
            <v>1163.818</v>
          </cell>
        </row>
        <row r="2580">
          <cell r="CJ2580" t="str">
            <v xml:space="preserve">NFT-/XUTR/DEUTH024281A0K61X </v>
          </cell>
          <cell r="CK2580" t="str">
            <v>2024-10-07</v>
          </cell>
          <cell r="CL2580">
            <v>39255.875999999997</v>
          </cell>
          <cell r="CM2580" t="str">
            <v xml:space="preserve">NFT-/XUTR/DEUTH024281A0KN4X </v>
          </cell>
          <cell r="CN2580" t="str">
            <v>2024-10-07</v>
          </cell>
          <cell r="CO2580">
            <v>1930.412</v>
          </cell>
        </row>
        <row r="2581">
          <cell r="CJ2581" t="str">
            <v xml:space="preserve">NFT-/XUTR/DEUTH024281A0K61X </v>
          </cell>
          <cell r="CK2581" t="str">
            <v>2024-10-07</v>
          </cell>
          <cell r="CL2581">
            <v>15451.192999999999</v>
          </cell>
          <cell r="CM2581" t="str">
            <v xml:space="preserve">NFT-/XUTR/DEUTH024281A0KN4X </v>
          </cell>
          <cell r="CN2581" t="str">
            <v>2024-10-07</v>
          </cell>
          <cell r="CO2581">
            <v>1169.5909999999999</v>
          </cell>
        </row>
        <row r="2582">
          <cell r="CJ2582" t="str">
            <v xml:space="preserve">NFT-/XUTR/DEUTH024281A0K61X </v>
          </cell>
          <cell r="CK2582" t="str">
            <v>2024-10-07</v>
          </cell>
          <cell r="CL2582">
            <v>10584.661</v>
          </cell>
          <cell r="CM2582" t="str">
            <v xml:space="preserve">NFT-/XUTR/DEUTH024281A0KN4X </v>
          </cell>
          <cell r="CN2582" t="str">
            <v>2024-10-07</v>
          </cell>
          <cell r="CO2582">
            <v>804.096</v>
          </cell>
        </row>
        <row r="2583">
          <cell r="CJ2583" t="str">
            <v xml:space="preserve">NFT-/XUTR/DEUTH024281A0K61X </v>
          </cell>
          <cell r="CK2583" t="str">
            <v>2024-10-07</v>
          </cell>
          <cell r="CL2583">
            <v>78207.209000000003</v>
          </cell>
          <cell r="CM2583" t="str">
            <v xml:space="preserve">NFT-/XUTR/DEUTH024281A0KN4X </v>
          </cell>
          <cell r="CN2583" t="str">
            <v>2024-10-07</v>
          </cell>
          <cell r="CO2583">
            <v>2885.511</v>
          </cell>
        </row>
        <row r="2584">
          <cell r="CJ2584" t="str">
            <v xml:space="preserve">NFT-/XUTR/DEUTH024281A0K61X </v>
          </cell>
          <cell r="CK2584" t="str">
            <v>2024-10-07</v>
          </cell>
          <cell r="CL2584">
            <v>5858.1940000000004</v>
          </cell>
        </row>
        <row r="2585">
          <cell r="CJ2585" t="str">
            <v xml:space="preserve">NFT-/XUTR/DEUTH024281A0K61X </v>
          </cell>
          <cell r="CK2585" t="str">
            <v>2024-10-07</v>
          </cell>
          <cell r="CL2585">
            <v>78207.209000000003</v>
          </cell>
          <cell r="CM2585" t="str">
            <v xml:space="preserve">NFT-/XUTR/DEUTH024281A0KN4X </v>
          </cell>
          <cell r="CN2585" t="str">
            <v>2024-10-07</v>
          </cell>
          <cell r="CO2585">
            <v>2885.511</v>
          </cell>
        </row>
        <row r="2587">
          <cell r="CJ2587" t="str">
            <v xml:space="preserve">NFT-/XUTR/DEUTH02427821164X </v>
          </cell>
          <cell r="CK2587" t="str">
            <v>2024-10-04</v>
          </cell>
          <cell r="CL2587">
            <v>38474.080000000002</v>
          </cell>
          <cell r="CM2587" t="str">
            <v xml:space="preserve">NFT-/XUTR/DEUTH02427825558X </v>
          </cell>
          <cell r="CN2587" t="str">
            <v>2024-10-04</v>
          </cell>
          <cell r="CO2587">
            <v>2885.511</v>
          </cell>
        </row>
        <row r="2588">
          <cell r="CJ2588" t="str">
            <v xml:space="preserve">NFT-/XUTR/DEUTH02427821164X </v>
          </cell>
          <cell r="CK2588" t="str">
            <v>2024-10-04</v>
          </cell>
          <cell r="CL2588">
            <v>38474.080000000002</v>
          </cell>
          <cell r="CM2588" t="str">
            <v xml:space="preserve">NFT-/XUTR/DEUTH02427825558X </v>
          </cell>
          <cell r="CN2588" t="str">
            <v>2024-10-04</v>
          </cell>
          <cell r="CO2588">
            <v>2885.511</v>
          </cell>
        </row>
        <row r="2589">
          <cell r="CJ2589" t="str">
            <v xml:space="preserve">NFT-/XUTR/DEUTH024281A0K61X </v>
          </cell>
          <cell r="CK2589" t="str">
            <v>2024-10-07</v>
          </cell>
          <cell r="CL2589">
            <v>15380.021000000001</v>
          </cell>
          <cell r="CM2589" t="str">
            <v xml:space="preserve">NFT-/XUTR/DEUTH024281A0KN4X </v>
          </cell>
          <cell r="CN2589" t="str">
            <v>2024-10-07</v>
          </cell>
          <cell r="CO2589">
            <v>1163.818</v>
          </cell>
        </row>
        <row r="2590">
          <cell r="CJ2590" t="str">
            <v xml:space="preserve">NFT-/XUTR/DEUTH024281A0K61X </v>
          </cell>
          <cell r="CK2590" t="str">
            <v>2024-10-07</v>
          </cell>
          <cell r="CL2590">
            <v>78207.209000000003</v>
          </cell>
          <cell r="CM2590" t="str">
            <v xml:space="preserve">NFT-/XUTR/DEUTH024281A0KN4X </v>
          </cell>
          <cell r="CN2590" t="str">
            <v>2024-10-07</v>
          </cell>
          <cell r="CO2590">
            <v>2885.511</v>
          </cell>
        </row>
        <row r="2591">
          <cell r="CJ2591" t="str">
            <v xml:space="preserve">NFT-/XUTR/DEUTH024281A0K61X </v>
          </cell>
          <cell r="CK2591" t="str">
            <v>2024-10-07</v>
          </cell>
          <cell r="CL2591">
            <v>15380.021000000001</v>
          </cell>
          <cell r="CM2591" t="str">
            <v xml:space="preserve">NFT-/XUTR/DEUTH024281A0KN4X </v>
          </cell>
          <cell r="CN2591" t="str">
            <v>2024-10-07</v>
          </cell>
          <cell r="CO2591">
            <v>1163.818</v>
          </cell>
        </row>
        <row r="2592">
          <cell r="CJ2592" t="str">
            <v xml:space="preserve">NFT-/XUTR/DEUTH024281A0K61X </v>
          </cell>
          <cell r="CK2592" t="str">
            <v>2024-10-07</v>
          </cell>
          <cell r="CL2592">
            <v>15380.021000000001</v>
          </cell>
          <cell r="CM2592" t="str">
            <v xml:space="preserve">NFT-/XUTR/DEUTH024281A0KN4X </v>
          </cell>
          <cell r="CN2592" t="str">
            <v>2024-10-07</v>
          </cell>
          <cell r="CO2592">
            <v>1163.818</v>
          </cell>
          <cell r="CP2592" t="str">
            <v xml:space="preserve">NFT-/XUTR/DEUTH02428867200X </v>
          </cell>
          <cell r="CQ2592" t="str">
            <v>2024-10-14</v>
          </cell>
          <cell r="CR2592">
            <v>-15380.021000000001</v>
          </cell>
          <cell r="CS2592" t="str">
            <v xml:space="preserve">NFT-/XUTR/DEUTH02428846801X </v>
          </cell>
          <cell r="CT2592" t="str">
            <v>2024-10-14</v>
          </cell>
          <cell r="CU2592">
            <v>-1163.818</v>
          </cell>
        </row>
        <row r="2593">
          <cell r="CJ2593" t="str">
            <v xml:space="preserve">NFT-/XUTR/DEUTH024281A0K61X </v>
          </cell>
          <cell r="CK2593" t="str">
            <v>2024-10-07</v>
          </cell>
          <cell r="CL2593">
            <v>15361.141</v>
          </cell>
          <cell r="CM2593" t="str">
            <v xml:space="preserve">NFT-/XUTR/DEUTH024281A0KN4X </v>
          </cell>
          <cell r="CN2593" t="str">
            <v>2024-10-07</v>
          </cell>
          <cell r="CO2593">
            <v>1163.818</v>
          </cell>
        </row>
        <row r="2594">
          <cell r="CJ2594" t="str">
            <v xml:space="preserve">NFT-/XUTR/DEUTH024281A0K61X </v>
          </cell>
          <cell r="CK2594" t="str">
            <v>2024-10-07</v>
          </cell>
          <cell r="CL2594">
            <v>15361.141</v>
          </cell>
          <cell r="CM2594" t="str">
            <v xml:space="preserve">NFT-/XUTR/DEUTH024281A0KN4X </v>
          </cell>
          <cell r="CN2594" t="str">
            <v>2024-10-07</v>
          </cell>
          <cell r="CO2594">
            <v>1163.818</v>
          </cell>
        </row>
        <row r="2595">
          <cell r="CJ2595" t="str">
            <v xml:space="preserve">NFT-/XUTR/DEUTH024281A0K61X </v>
          </cell>
          <cell r="CK2595" t="str">
            <v>2024-10-07</v>
          </cell>
          <cell r="CL2595">
            <v>38243.235000000001</v>
          </cell>
          <cell r="CM2595" t="str">
            <v xml:space="preserve">NFT-/XUTR/DEUTH024281A0KN4X </v>
          </cell>
          <cell r="CN2595" t="str">
            <v>2024-10-07</v>
          </cell>
          <cell r="CO2595">
            <v>2933.6030000000001</v>
          </cell>
        </row>
        <row r="2596">
          <cell r="CJ2596" t="str">
            <v xml:space="preserve">NFT-/XUTR/DEUTH024281A0K61X </v>
          </cell>
          <cell r="CK2596" t="str">
            <v>2024-10-07</v>
          </cell>
          <cell r="CL2596">
            <v>10280.713</v>
          </cell>
          <cell r="CM2596" t="str">
            <v xml:space="preserve">NFT-/XUTR/DEUTH024281A0KN4X </v>
          </cell>
          <cell r="CN2596" t="str">
            <v>2024-10-07</v>
          </cell>
          <cell r="CO2596">
            <v>781.01400000000001</v>
          </cell>
        </row>
        <row r="2597">
          <cell r="CJ2597" t="str">
            <v xml:space="preserve">NFT-/XUTR/DEUTH024281A0K61X </v>
          </cell>
          <cell r="CK2597" t="str">
            <v>2024-10-07</v>
          </cell>
          <cell r="CL2597">
            <v>7730.89</v>
          </cell>
          <cell r="CM2597" t="str">
            <v xml:space="preserve">NFT-/XUTR/DEUTH024281A0KN4X </v>
          </cell>
          <cell r="CN2597" t="str">
            <v>2024-10-07</v>
          </cell>
          <cell r="CO2597">
            <v>589.60299999999995</v>
          </cell>
        </row>
        <row r="2598">
          <cell r="CJ2598" t="str">
            <v xml:space="preserve">NFT-/XUTR/DEUTH024281A0K61X </v>
          </cell>
          <cell r="CK2598" t="str">
            <v>2024-10-07</v>
          </cell>
          <cell r="CL2598">
            <v>30760.042000000001</v>
          </cell>
          <cell r="CM2598" t="str">
            <v xml:space="preserve">NFT-/XUTR/DEUTH024281A0KN4X </v>
          </cell>
          <cell r="CN2598" t="str">
            <v>2024-10-07</v>
          </cell>
          <cell r="CO2598">
            <v>2327.6460000000002</v>
          </cell>
        </row>
        <row r="2599">
          <cell r="CJ2599" t="str">
            <v xml:space="preserve">NFT-/XUTR/DEUTH024281A0K61X </v>
          </cell>
          <cell r="CK2599" t="str">
            <v>2024-10-07</v>
          </cell>
          <cell r="CL2599">
            <v>15380.021000000001</v>
          </cell>
          <cell r="CM2599" t="str">
            <v xml:space="preserve">NFT-/XUTR/DEUTH024281A0KN4X </v>
          </cell>
          <cell r="CN2599" t="str">
            <v>2024-10-07</v>
          </cell>
          <cell r="CO2599">
            <v>1163.818</v>
          </cell>
        </row>
        <row r="2600">
          <cell r="CJ2600" t="str">
            <v xml:space="preserve">NFT-/XUTR/DEUTH024281A0K61X </v>
          </cell>
          <cell r="CK2600" t="str">
            <v>2024-10-07</v>
          </cell>
          <cell r="CL2600">
            <v>15380.021000000001</v>
          </cell>
          <cell r="CM2600" t="str">
            <v xml:space="preserve">NFT-/XUTR/DEUTH024281A0KN4X </v>
          </cell>
          <cell r="CN2600" t="str">
            <v>2024-10-07</v>
          </cell>
          <cell r="CO2600">
            <v>1163.818</v>
          </cell>
        </row>
        <row r="2601">
          <cell r="CJ2601" t="str">
            <v xml:space="preserve">NFT-/XUTR/DEUTH02427821164X </v>
          </cell>
          <cell r="CK2601" t="str">
            <v>2024-10-04</v>
          </cell>
          <cell r="CL2601">
            <v>15360.781999999999</v>
          </cell>
          <cell r="CM2601" t="str">
            <v xml:space="preserve">NFT-/XUTR/DEUTH02427825558X </v>
          </cell>
          <cell r="CN2601" t="str">
            <v>2024-10-04</v>
          </cell>
          <cell r="CO2601">
            <v>1260.002</v>
          </cell>
        </row>
        <row r="2602">
          <cell r="CJ2602" t="str">
            <v xml:space="preserve">NFT-/XUTR/DEUTH02427821164X </v>
          </cell>
          <cell r="CK2602" t="str">
            <v>2024-10-04</v>
          </cell>
          <cell r="CL2602">
            <v>15432.313</v>
          </cell>
          <cell r="CM2602" t="str">
            <v xml:space="preserve">NFT-/XUTR/DEUTH02427825558X </v>
          </cell>
          <cell r="CN2602" t="str">
            <v>2024-10-04</v>
          </cell>
          <cell r="CO2602">
            <v>1169.5909999999999</v>
          </cell>
        </row>
        <row r="2603">
          <cell r="CJ2603" t="str">
            <v xml:space="preserve">NFT-/XUTR/DEUTH02427821164X </v>
          </cell>
          <cell r="CK2603" t="str">
            <v>2024-10-04</v>
          </cell>
          <cell r="CL2603">
            <v>38474.080000000002</v>
          </cell>
          <cell r="CM2603" t="str">
            <v xml:space="preserve">NFT-/XUTR/DEUTH02427825558X </v>
          </cell>
          <cell r="CN2603" t="str">
            <v>2024-10-04</v>
          </cell>
          <cell r="CO2603">
            <v>2885.511</v>
          </cell>
        </row>
        <row r="2604">
          <cell r="CJ2604" t="str">
            <v xml:space="preserve">NFT-/XUTR/DEUTH02427821164X </v>
          </cell>
          <cell r="CK2604" t="str">
            <v>2024-10-04</v>
          </cell>
          <cell r="CL2604">
            <v>38492.959999999999</v>
          </cell>
          <cell r="CM2604" t="str">
            <v xml:space="preserve">NFT-/XUTR/DEUTH02427825558X </v>
          </cell>
          <cell r="CN2604" t="str">
            <v>2024-10-04</v>
          </cell>
          <cell r="CO2604">
            <v>2885.511</v>
          </cell>
        </row>
        <row r="2605">
          <cell r="CJ2605" t="str">
            <v xml:space="preserve">NFT-/XUTR/DEUTH02427821164X </v>
          </cell>
          <cell r="CK2605" t="str">
            <v>2024-10-04</v>
          </cell>
          <cell r="CL2605">
            <v>15451.192999999999</v>
          </cell>
          <cell r="CM2605" t="str">
            <v xml:space="preserve">NFT-/XUTR/DEUTH02427825558X </v>
          </cell>
          <cell r="CN2605" t="str">
            <v>2024-10-04</v>
          </cell>
          <cell r="CO2605">
            <v>1169.5909999999999</v>
          </cell>
        </row>
        <row r="2606">
          <cell r="CJ2606" t="str">
            <v xml:space="preserve">NFT-/XUTR/DEUTH02427821164X </v>
          </cell>
          <cell r="CK2606" t="str">
            <v>2024-10-04</v>
          </cell>
          <cell r="CL2606">
            <v>30989.313999999998</v>
          </cell>
          <cell r="CM2606" t="str">
            <v xml:space="preserve">NFT-/XUTR/DEUTH02427825558X </v>
          </cell>
          <cell r="CN2606" t="str">
            <v>2024-10-04</v>
          </cell>
          <cell r="CO2606">
            <v>2233.384</v>
          </cell>
        </row>
        <row r="2607">
          <cell r="CJ2607" t="str">
            <v xml:space="preserve">NFT-/XUTR/DEUTH02427821164X </v>
          </cell>
          <cell r="CK2607" t="str">
            <v>2024-10-04</v>
          </cell>
          <cell r="CL2607">
            <v>38492.959999999999</v>
          </cell>
          <cell r="CM2607" t="str">
            <v xml:space="preserve">NFT-/XUTR/DEUTH02427825558X </v>
          </cell>
          <cell r="CN2607" t="str">
            <v>2024-10-04</v>
          </cell>
          <cell r="CO2607">
            <v>2885.511</v>
          </cell>
        </row>
        <row r="2608">
          <cell r="CJ2608" t="str">
            <v xml:space="preserve">NFT-/XUTR/DEUTH024281A0K61X </v>
          </cell>
          <cell r="CK2608" t="str">
            <v>2024-10-07</v>
          </cell>
          <cell r="CL2608">
            <v>15380.021000000001</v>
          </cell>
          <cell r="CM2608" t="str">
            <v xml:space="preserve">NFT-/XUTR/DEUTH024281A0KN4X </v>
          </cell>
          <cell r="CN2608" t="str">
            <v>2024-10-07</v>
          </cell>
          <cell r="CO2608">
            <v>1163.818</v>
          </cell>
        </row>
        <row r="2609">
          <cell r="CJ2609" t="str">
            <v xml:space="preserve">NFT-/XUTR/DEUTH024281A0K61X </v>
          </cell>
          <cell r="CK2609" t="str">
            <v>2024-10-07</v>
          </cell>
          <cell r="CL2609">
            <v>15361.141</v>
          </cell>
          <cell r="CM2609" t="str">
            <v xml:space="preserve">NFT-/XUTR/DEUTH024281A0KN4X </v>
          </cell>
          <cell r="CN2609" t="str">
            <v>2024-10-07</v>
          </cell>
          <cell r="CO2609">
            <v>1163.818</v>
          </cell>
        </row>
        <row r="2610">
          <cell r="CJ2610" t="str">
            <v xml:space="preserve">NFT-/XUTR/DEUTH024281A0K61X </v>
          </cell>
          <cell r="CK2610" t="str">
            <v>2024-10-07</v>
          </cell>
          <cell r="CL2610">
            <v>7749.77</v>
          </cell>
          <cell r="CM2610" t="str">
            <v xml:space="preserve">NFT-/XUTR/DEUTH024281A0KN4X </v>
          </cell>
          <cell r="CN2610" t="str">
            <v>2024-10-07</v>
          </cell>
          <cell r="CO2610">
            <v>589.60299999999995</v>
          </cell>
        </row>
        <row r="2612">
          <cell r="CJ2612" t="str">
            <v xml:space="preserve">NFT-/XUTR/DEUTH024281A0K61X </v>
          </cell>
          <cell r="CK2612" t="str">
            <v>2024-10-07</v>
          </cell>
          <cell r="CL2612">
            <v>14587.819</v>
          </cell>
          <cell r="CM2612" t="str">
            <v xml:space="preserve">NFT-/XUTR/DEUTH024281A0KN4X </v>
          </cell>
          <cell r="CN2612" t="str">
            <v>2024-10-07</v>
          </cell>
          <cell r="CO2612">
            <v>1937.14</v>
          </cell>
        </row>
        <row r="2613">
          <cell r="CJ2613" t="str">
            <v xml:space="preserve">NFT-/XUTR/DEUTH024281A0K61X </v>
          </cell>
          <cell r="CK2613" t="str">
            <v>2024-10-07</v>
          </cell>
          <cell r="CL2613">
            <v>7723.1970000000001</v>
          </cell>
          <cell r="CM2613" t="str">
            <v xml:space="preserve">NFT-/XUTR/DEUTH024281A0KN4X </v>
          </cell>
          <cell r="CN2613" t="str">
            <v>2024-10-07</v>
          </cell>
          <cell r="CO2613">
            <v>597.29600000000005</v>
          </cell>
        </row>
        <row r="2614">
          <cell r="CJ2614" t="str">
            <v xml:space="preserve">NFT-/XUTR/DEUTH024281A0K61X </v>
          </cell>
          <cell r="CK2614" t="str">
            <v>2024-10-07</v>
          </cell>
          <cell r="CL2614">
            <v>30760.042000000001</v>
          </cell>
          <cell r="CM2614" t="str">
            <v xml:space="preserve">NFT-/XUTR/DEUTH024281A0KN4X </v>
          </cell>
          <cell r="CN2614" t="str">
            <v>2024-10-07</v>
          </cell>
          <cell r="CO2614">
            <v>2327.6460000000002</v>
          </cell>
        </row>
        <row r="2615">
          <cell r="CJ2615" t="str">
            <v xml:space="preserve">NFT-/XUTR/DEUTH024281A0K61X </v>
          </cell>
          <cell r="CK2615" t="str">
            <v>2024-10-07</v>
          </cell>
          <cell r="CL2615">
            <v>78188.328999999998</v>
          </cell>
          <cell r="CM2615" t="str">
            <v xml:space="preserve">NFT-/XUTR/DEUTH024281A0KN4X </v>
          </cell>
          <cell r="CN2615" t="str">
            <v>2024-10-07</v>
          </cell>
          <cell r="CO2615">
            <v>2885.511</v>
          </cell>
        </row>
        <row r="2616">
          <cell r="CJ2616" t="str">
            <v xml:space="preserve">NFT-/XUTR/DEUTH024281A0K61X </v>
          </cell>
          <cell r="CK2616" t="str">
            <v>2024-10-07</v>
          </cell>
          <cell r="CL2616">
            <v>78207.209000000003</v>
          </cell>
          <cell r="CM2616" t="str">
            <v xml:space="preserve">NFT-/XUTR/DEUTH024281A0KN4X </v>
          </cell>
          <cell r="CN2616" t="str">
            <v>2024-10-07</v>
          </cell>
          <cell r="CO2616">
            <v>2885.511</v>
          </cell>
        </row>
        <row r="2617">
          <cell r="CJ2617" t="str">
            <v xml:space="preserve">NFT-/XUTR/DEUTH024281A0K61X </v>
          </cell>
          <cell r="CK2617" t="str">
            <v>2024-10-07</v>
          </cell>
          <cell r="CL2617">
            <v>15236.700999999999</v>
          </cell>
          <cell r="CM2617" t="str">
            <v xml:space="preserve">NFT-/XUTR/DEUTH024281A0KN4X </v>
          </cell>
          <cell r="CN2617" t="str">
            <v>2024-10-07</v>
          </cell>
          <cell r="CO2617">
            <v>1153.239</v>
          </cell>
        </row>
        <row r="2618">
          <cell r="CJ2618" t="str">
            <v xml:space="preserve">NFT-/XUTR/DEUTH02427821164X </v>
          </cell>
          <cell r="CK2618" t="str">
            <v>2024-10-04</v>
          </cell>
          <cell r="CL2618">
            <v>15636.226000000001</v>
          </cell>
          <cell r="CM2618" t="str">
            <v xml:space="preserve">NFT-/XUTR/DEUTH02427825558X </v>
          </cell>
          <cell r="CN2618" t="str">
            <v>2024-10-04</v>
          </cell>
          <cell r="CO2618">
            <v>965.68799999999999</v>
          </cell>
        </row>
        <row r="2619">
          <cell r="CJ2619" t="str">
            <v xml:space="preserve">NFT-/XUTR/DEUTH02427821164X </v>
          </cell>
          <cell r="CK2619" t="str">
            <v>2024-10-04</v>
          </cell>
          <cell r="CL2619">
            <v>38492.959999999999</v>
          </cell>
          <cell r="CM2619" t="str">
            <v xml:space="preserve">NFT-/XUTR/DEUTH02427825558X </v>
          </cell>
          <cell r="CN2619" t="str">
            <v>2024-10-04</v>
          </cell>
          <cell r="CO2619">
            <v>2885.511</v>
          </cell>
        </row>
        <row r="2620">
          <cell r="CJ2620" t="str">
            <v xml:space="preserve">NFT-/XUTR/DEUTH02427821164X </v>
          </cell>
          <cell r="CK2620" t="str">
            <v>2024-10-04</v>
          </cell>
          <cell r="CL2620">
            <v>38492.959999999999</v>
          </cell>
          <cell r="CM2620" t="str">
            <v xml:space="preserve">NFT-/XUTR/DEUTH02427825558X </v>
          </cell>
          <cell r="CN2620" t="str">
            <v>2024-10-04</v>
          </cell>
          <cell r="CO2620">
            <v>2885.511</v>
          </cell>
        </row>
        <row r="2621">
          <cell r="CJ2621" t="str">
            <v xml:space="preserve">NFT-/XUTR/DEUTH024281A0K61X </v>
          </cell>
          <cell r="CK2621" t="str">
            <v>2024-10-07</v>
          </cell>
          <cell r="CL2621">
            <v>78207.209000000003</v>
          </cell>
          <cell r="CM2621" t="str">
            <v xml:space="preserve">NFT-/XUTR/DEUTH024281A0KN4X </v>
          </cell>
          <cell r="CN2621" t="str">
            <v>2024-10-07</v>
          </cell>
          <cell r="CO2621">
            <v>2885.511</v>
          </cell>
        </row>
        <row r="2622">
          <cell r="CJ2622" t="str">
            <v xml:space="preserve">NFT-/XUTR/DEUTH024281A0K61X </v>
          </cell>
          <cell r="CK2622" t="str">
            <v>2024-10-07</v>
          </cell>
          <cell r="CL2622">
            <v>15361.141</v>
          </cell>
          <cell r="CM2622" t="str">
            <v xml:space="preserve">NFT-/XUTR/DEUTH024281A0KN4X </v>
          </cell>
          <cell r="CN2622" t="str">
            <v>2024-10-07</v>
          </cell>
          <cell r="CO2622">
            <v>1163.818</v>
          </cell>
        </row>
        <row r="2623">
          <cell r="CJ2623" t="str">
            <v xml:space="preserve">NFT-/XUTR/DEUTH024281A0K61X </v>
          </cell>
          <cell r="CK2623" t="str">
            <v>2024-10-07</v>
          </cell>
          <cell r="CL2623">
            <v>30760.042000000001</v>
          </cell>
          <cell r="CM2623" t="str">
            <v xml:space="preserve">NFT-/XUTR/DEUTH024281A0KN4X </v>
          </cell>
          <cell r="CN2623" t="str">
            <v>2024-10-07</v>
          </cell>
          <cell r="CO2623">
            <v>2327.6460000000002</v>
          </cell>
        </row>
        <row r="2624">
          <cell r="CJ2624" t="str">
            <v xml:space="preserve">NFT-/XUTR/DEUTH024281A0K61X </v>
          </cell>
          <cell r="CK2624" t="str">
            <v>2024-10-07</v>
          </cell>
          <cell r="CL2624">
            <v>15500.495999999999</v>
          </cell>
          <cell r="CM2624" t="str">
            <v xml:space="preserve">NFT-/XUTR/DEUTH024281A0KN4X </v>
          </cell>
          <cell r="CN2624" t="str">
            <v>2024-10-07</v>
          </cell>
          <cell r="CO2624">
            <v>1177.2860000000001</v>
          </cell>
        </row>
        <row r="2625">
          <cell r="CJ2625" t="str">
            <v xml:space="preserve">NFT-/XUTR/DEUTH024281A0K61X </v>
          </cell>
          <cell r="CK2625" t="str">
            <v>2024-10-07</v>
          </cell>
          <cell r="CL2625">
            <v>7785.3509999999997</v>
          </cell>
          <cell r="CM2625" t="str">
            <v xml:space="preserve">NFT-/XUTR/DEUTH024281A0KN4X </v>
          </cell>
          <cell r="CN2625" t="str">
            <v>2024-10-07</v>
          </cell>
          <cell r="CO2625">
            <v>592.48900000000003</v>
          </cell>
          <cell r="CP2625" t="str">
            <v xml:space="preserve">NFT-/XUTR/DEUTH02428867200X </v>
          </cell>
          <cell r="CQ2625" t="str">
            <v>2024-10-14</v>
          </cell>
          <cell r="CR2625">
            <v>-7785.3509999999997</v>
          </cell>
          <cell r="CS2625" t="str">
            <v xml:space="preserve">NFT-/XUTR/DEUTH02428846801X </v>
          </cell>
          <cell r="CT2625" t="str">
            <v>2024-10-14</v>
          </cell>
          <cell r="CU2625">
            <v>-592.48900000000003</v>
          </cell>
        </row>
        <row r="2626">
          <cell r="CJ2626" t="str">
            <v xml:space="preserve">NFT-/XUTR/DEUTH024281A0K61X </v>
          </cell>
          <cell r="CK2626" t="str">
            <v>2024-10-07</v>
          </cell>
          <cell r="CL2626">
            <v>15380.021000000001</v>
          </cell>
          <cell r="CM2626" t="str">
            <v xml:space="preserve">NFT-/XUTR/DEUTH024281A0KN4X </v>
          </cell>
          <cell r="CN2626" t="str">
            <v>2024-10-07</v>
          </cell>
          <cell r="CO2626">
            <v>1163.818</v>
          </cell>
        </row>
        <row r="2627">
          <cell r="CJ2627" t="str">
            <v xml:space="preserve">NFT-/XUTR/DEUTH024281A0K61X </v>
          </cell>
          <cell r="CK2627" t="str">
            <v>2024-10-07</v>
          </cell>
          <cell r="CL2627">
            <v>7766.4709999999995</v>
          </cell>
          <cell r="CM2627" t="str">
            <v xml:space="preserve">NFT-/XUTR/DEUTH024281A0KN4X </v>
          </cell>
          <cell r="CN2627" t="str">
            <v>2024-10-07</v>
          </cell>
          <cell r="CO2627">
            <v>592.48900000000003</v>
          </cell>
        </row>
        <row r="2628">
          <cell r="CJ2628" t="str">
            <v xml:space="preserve">NFT-/XUTR/DEUTH024281A0K61X </v>
          </cell>
          <cell r="CK2628" t="str">
            <v>2024-10-07</v>
          </cell>
          <cell r="CL2628">
            <v>15380.021000000001</v>
          </cell>
          <cell r="CM2628" t="str">
            <v xml:space="preserve">NFT-/XUTR/DEUTH024281A0KN4X </v>
          </cell>
          <cell r="CN2628" t="str">
            <v>2024-10-07</v>
          </cell>
          <cell r="CO2628">
            <v>1163.818</v>
          </cell>
        </row>
        <row r="2629">
          <cell r="CJ2629" t="str">
            <v xml:space="preserve">NFT-/XUTR/DEUTH024281A0K61X </v>
          </cell>
          <cell r="CK2629" t="str">
            <v>2024-10-07</v>
          </cell>
          <cell r="CL2629">
            <v>78207.209000000003</v>
          </cell>
          <cell r="CM2629" t="str">
            <v xml:space="preserve">NFT-/XUTR/DEUTH024281A0KN4X </v>
          </cell>
          <cell r="CN2629" t="str">
            <v>2024-10-07</v>
          </cell>
          <cell r="CO2629">
            <v>2885.511</v>
          </cell>
        </row>
        <row r="2630">
          <cell r="CJ2630" t="str">
            <v xml:space="preserve">NFT-/XUTR/DEUTH024281A0K61X </v>
          </cell>
          <cell r="CK2630" t="str">
            <v>2024-10-07</v>
          </cell>
          <cell r="CL2630">
            <v>7730.89</v>
          </cell>
          <cell r="CM2630" t="str">
            <v xml:space="preserve">NFT-/XUTR/DEUTH024281A0KN4X </v>
          </cell>
          <cell r="CN2630" t="str">
            <v>2024-10-07</v>
          </cell>
          <cell r="CO2630">
            <v>589.60299999999995</v>
          </cell>
          <cell r="CP2630" t="str">
            <v xml:space="preserve">NFT-/XUTR/DEUTH02428359373X </v>
          </cell>
          <cell r="CQ2630" t="str">
            <v>2024-10-09</v>
          </cell>
          <cell r="CR2630">
            <v>-7730.89</v>
          </cell>
          <cell r="CS2630" t="str">
            <v xml:space="preserve">NFT-/XUTR/DEUTH02428371058X </v>
          </cell>
          <cell r="CT2630" t="str">
            <v>2024-10-09</v>
          </cell>
          <cell r="CU2630">
            <v>-589.60299999999995</v>
          </cell>
        </row>
        <row r="2631">
          <cell r="CJ2631" t="str">
            <v xml:space="preserve">NFT-/XUTR/DEUTH024281A0K61X </v>
          </cell>
          <cell r="CK2631" t="str">
            <v>2024-10-07</v>
          </cell>
          <cell r="CL2631">
            <v>49631.53</v>
          </cell>
        </row>
        <row r="2632">
          <cell r="CJ2632" t="str">
            <v xml:space="preserve">NFT-/XUTR/DEUTH024281A0K61X </v>
          </cell>
          <cell r="CK2632" t="str">
            <v>2024-10-07</v>
          </cell>
          <cell r="CL2632">
            <v>10902.31</v>
          </cell>
          <cell r="CM2632" t="str">
            <v xml:space="preserve">NFT-/XUTR/DEUTH024281A0KN4X </v>
          </cell>
          <cell r="CN2632" t="str">
            <v>2024-10-07</v>
          </cell>
          <cell r="CO2632">
            <v>832.94799999999998</v>
          </cell>
        </row>
        <row r="2633">
          <cell r="CJ2633" t="str">
            <v xml:space="preserve">NFT-/XUTR/DEUTH02427821164X </v>
          </cell>
          <cell r="CK2633" t="str">
            <v>2024-10-04</v>
          </cell>
          <cell r="CL2633">
            <v>15451.194</v>
          </cell>
          <cell r="CM2633" t="str">
            <v xml:space="preserve">NFT-/XUTR/DEUTH02427825558X </v>
          </cell>
          <cell r="CN2633" t="str">
            <v>2024-10-04</v>
          </cell>
          <cell r="CO2633">
            <v>1169.5920000000001</v>
          </cell>
        </row>
        <row r="2634">
          <cell r="CJ2634" t="str">
            <v xml:space="preserve">NFT-/XUTR/DEUTH02427821164X </v>
          </cell>
          <cell r="CK2634" t="str">
            <v>2024-10-04</v>
          </cell>
          <cell r="CL2634">
            <v>30903.351999999999</v>
          </cell>
          <cell r="CM2634" t="str">
            <v xml:space="preserve">NFT-/XUTR/DEUTH02427825558X </v>
          </cell>
          <cell r="CN2634" t="str">
            <v>2024-10-04</v>
          </cell>
          <cell r="CO2634">
            <v>2337.2620000000002</v>
          </cell>
        </row>
        <row r="2635">
          <cell r="CJ2635" t="str">
            <v xml:space="preserve">NFT-/XUTR/DEUTH02427821164X </v>
          </cell>
          <cell r="CK2635" t="str">
            <v>2024-10-04</v>
          </cell>
          <cell r="CL2635">
            <v>15451.192999999999</v>
          </cell>
          <cell r="CM2635" t="str">
            <v xml:space="preserve">NFT-/XUTR/DEUTH02427825558X </v>
          </cell>
          <cell r="CN2635" t="str">
            <v>2024-10-04</v>
          </cell>
          <cell r="CO2635">
            <v>1169.5909999999999</v>
          </cell>
        </row>
        <row r="2636">
          <cell r="CJ2636" t="str">
            <v xml:space="preserve">NFT-/XUTR/DEUTH024281A0K61X </v>
          </cell>
          <cell r="CK2636" t="str">
            <v>2024-10-07</v>
          </cell>
          <cell r="CL2636">
            <v>15380.021000000001</v>
          </cell>
          <cell r="CM2636" t="str">
            <v xml:space="preserve">NFT-/XUTR/DEUTH024281A0KN4X </v>
          </cell>
          <cell r="CN2636" t="str">
            <v>2024-10-07</v>
          </cell>
          <cell r="CO2636">
            <v>1163.818</v>
          </cell>
        </row>
        <row r="2637">
          <cell r="CJ2637" t="str">
            <v xml:space="preserve">NFT-/XUTR/DEUTH024281A0K61X </v>
          </cell>
          <cell r="CK2637" t="str">
            <v>2024-10-07</v>
          </cell>
          <cell r="CL2637">
            <v>15451.192999999999</v>
          </cell>
          <cell r="CM2637" t="str">
            <v xml:space="preserve">NFT-/XUTR/DEUTH024281A0KN4X </v>
          </cell>
          <cell r="CN2637" t="str">
            <v>2024-10-07</v>
          </cell>
          <cell r="CO2637">
            <v>1169.5909999999999</v>
          </cell>
        </row>
        <row r="2638">
          <cell r="CJ2638" t="str">
            <v xml:space="preserve">NFT-/XUTR/DEUTH024281A0K61X </v>
          </cell>
          <cell r="CK2638" t="str">
            <v>2024-10-07</v>
          </cell>
          <cell r="CL2638">
            <v>38310.205999999998</v>
          </cell>
          <cell r="CM2638" t="str">
            <v xml:space="preserve">NFT-/XUTR/DEUTH024281A0KN4X </v>
          </cell>
          <cell r="CN2638" t="str">
            <v>2024-10-07</v>
          </cell>
          <cell r="CO2638">
            <v>2885.51</v>
          </cell>
          <cell r="CP2638" t="str">
            <v xml:space="preserve">NFT-/XUTR/DEUTH02428867200X </v>
          </cell>
          <cell r="CQ2638" t="str">
            <v>2024-10-14</v>
          </cell>
          <cell r="CR2638">
            <v>-38310.205999999998</v>
          </cell>
          <cell r="CS2638" t="str">
            <v xml:space="preserve">NFT-/XUTR/DEUTH02428846801X </v>
          </cell>
          <cell r="CT2638" t="str">
            <v>2024-10-14</v>
          </cell>
          <cell r="CU2638">
            <v>-2885.51</v>
          </cell>
        </row>
        <row r="2639">
          <cell r="CJ2639" t="str">
            <v xml:space="preserve">NFT-/XUTR/DEUTH024281A0K61X </v>
          </cell>
          <cell r="CK2639" t="str">
            <v>2024-10-07</v>
          </cell>
          <cell r="CL2639">
            <v>14587.819</v>
          </cell>
          <cell r="CM2639" t="str">
            <v xml:space="preserve">NFT-/XUTR/DEUTH024281A0KN4X </v>
          </cell>
          <cell r="CN2639" t="str">
            <v>2024-10-07</v>
          </cell>
          <cell r="CO2639">
            <v>1937.14</v>
          </cell>
        </row>
        <row r="2641">
          <cell r="CJ2641" t="str">
            <v xml:space="preserve">NFT-/XUTR/DEUTH024281A0K61X </v>
          </cell>
          <cell r="CK2641" t="str">
            <v>2024-10-07</v>
          </cell>
          <cell r="CL2641">
            <v>31000.991999999998</v>
          </cell>
          <cell r="CM2641" t="str">
            <v xml:space="preserve">NFT-/XUTR/DEUTH024281A0KN4X </v>
          </cell>
          <cell r="CN2641" t="str">
            <v>2024-10-07</v>
          </cell>
          <cell r="CO2641">
            <v>2358.422</v>
          </cell>
        </row>
        <row r="2642">
          <cell r="CJ2642" t="str">
            <v xml:space="preserve">NFT-/XUTR/DEUTH024281A0K61X </v>
          </cell>
          <cell r="CK2642" t="str">
            <v>2024-10-07</v>
          </cell>
          <cell r="CL2642">
            <v>10280.713</v>
          </cell>
          <cell r="CM2642" t="str">
            <v xml:space="preserve">NFT-/XUTR/DEUTH024281A0KN4X </v>
          </cell>
          <cell r="CN2642" t="str">
            <v>2024-10-07</v>
          </cell>
          <cell r="CO2642">
            <v>781.01400000000001</v>
          </cell>
        </row>
        <row r="2643">
          <cell r="CJ2643" t="str">
            <v xml:space="preserve">NFT-/XUTR/DEUTH024281A0K61X </v>
          </cell>
          <cell r="CK2643" t="str">
            <v>2024-10-07</v>
          </cell>
          <cell r="CL2643">
            <v>5440.7539999999999</v>
          </cell>
          <cell r="CM2643" t="str">
            <v xml:space="preserve">NFT-/XUTR/DEUTH024281A0KN4X </v>
          </cell>
          <cell r="CN2643" t="str">
            <v>2024-10-07</v>
          </cell>
          <cell r="CO2643">
            <v>417.43900000000002</v>
          </cell>
        </row>
        <row r="2644">
          <cell r="CJ2644" t="str">
            <v xml:space="preserve">NFT-/XUTR/DEUTH024281A0K61X </v>
          </cell>
          <cell r="CK2644" t="str">
            <v>2024-10-07</v>
          </cell>
          <cell r="CL2644">
            <v>15361.141</v>
          </cell>
          <cell r="CM2644" t="str">
            <v xml:space="preserve">NFT-/XUTR/DEUTH024281A0KN4X </v>
          </cell>
          <cell r="CN2644" t="str">
            <v>2024-10-07</v>
          </cell>
          <cell r="CO2644">
            <v>1163.818</v>
          </cell>
        </row>
        <row r="2645">
          <cell r="CJ2645" t="str">
            <v xml:space="preserve">NFT-/XUTR/DEUTH024281A0K61X </v>
          </cell>
          <cell r="CK2645" t="str">
            <v>2024-10-07</v>
          </cell>
          <cell r="CL2645">
            <v>15380.021000000001</v>
          </cell>
          <cell r="CM2645" t="str">
            <v xml:space="preserve">NFT-/XUTR/DEUTH024281A0KN4X </v>
          </cell>
          <cell r="CN2645" t="str">
            <v>2024-10-07</v>
          </cell>
          <cell r="CO2645">
            <v>1163.818</v>
          </cell>
        </row>
        <row r="2646">
          <cell r="CJ2646" t="str">
            <v xml:space="preserve">NFT-/XUTR/DEUTH024281A0K61X </v>
          </cell>
          <cell r="CK2646" t="str">
            <v>2024-10-07</v>
          </cell>
          <cell r="CL2646">
            <v>7756.4979999999996</v>
          </cell>
          <cell r="CM2646" t="str">
            <v xml:space="preserve">NFT-/XUTR/DEUTH024281A0KN4X </v>
          </cell>
          <cell r="CN2646" t="str">
            <v>2024-10-07</v>
          </cell>
          <cell r="CO2646">
            <v>582.87400000000002</v>
          </cell>
        </row>
        <row r="2647">
          <cell r="CJ2647" t="str">
            <v xml:space="preserve">NFT-/XUTR/DEUTH024281A0K61X </v>
          </cell>
          <cell r="CK2647" t="str">
            <v>2024-10-07</v>
          </cell>
          <cell r="CL2647">
            <v>15361.141</v>
          </cell>
          <cell r="CM2647" t="str">
            <v xml:space="preserve">NFT-/XUTR/DEUTH024281A0KN4X </v>
          </cell>
          <cell r="CN2647" t="str">
            <v>2024-10-07</v>
          </cell>
          <cell r="CO2647">
            <v>1163.818</v>
          </cell>
        </row>
        <row r="2648">
          <cell r="CJ2648" t="str">
            <v xml:space="preserve">NFT-/XUTR/DEUTH024281A0K61X </v>
          </cell>
          <cell r="CK2648" t="str">
            <v>2024-10-07</v>
          </cell>
          <cell r="CL2648">
            <v>21187.227999999999</v>
          </cell>
          <cell r="CM2648" t="str">
            <v xml:space="preserve">NFT-/XUTR/DEUTH024281A0KN4X </v>
          </cell>
          <cell r="CN2648" t="str">
            <v>2024-10-07</v>
          </cell>
          <cell r="CO2648">
            <v>1608.192</v>
          </cell>
        </row>
        <row r="2649">
          <cell r="CJ2649" t="str">
            <v xml:space="preserve">NFT-/XUTR/DEUTH024281A0K61X </v>
          </cell>
          <cell r="CK2649" t="str">
            <v>2024-10-07</v>
          </cell>
          <cell r="CL2649">
            <v>15380.021000000001</v>
          </cell>
          <cell r="CM2649" t="str">
            <v xml:space="preserve">NFT-/XUTR/DEUTH024281A0KN4X </v>
          </cell>
          <cell r="CN2649" t="str">
            <v>2024-10-07</v>
          </cell>
          <cell r="CO2649">
            <v>1163.818</v>
          </cell>
        </row>
        <row r="2650">
          <cell r="CJ2650" t="str">
            <v xml:space="preserve">NFT-/XUTR/DEUTH02427821164X </v>
          </cell>
          <cell r="CK2650" t="str">
            <v>2024-10-04</v>
          </cell>
          <cell r="CL2650">
            <v>78572.703999999998</v>
          </cell>
          <cell r="CM2650" t="str">
            <v xml:space="preserve">NFT-/XUTR/DEUTH02427825558X </v>
          </cell>
          <cell r="CN2650" t="str">
            <v>2024-10-04</v>
          </cell>
          <cell r="CO2650">
            <v>2885.511</v>
          </cell>
        </row>
        <row r="2651">
          <cell r="CJ2651" t="str">
            <v xml:space="preserve">NFT-/XUTR/DEUTH02427821164X </v>
          </cell>
          <cell r="CK2651" t="str">
            <v>2024-10-04</v>
          </cell>
          <cell r="CL2651">
            <v>15432.313</v>
          </cell>
          <cell r="CM2651" t="str">
            <v xml:space="preserve">NFT-/XUTR/DEUTH02427825558X </v>
          </cell>
          <cell r="CN2651" t="str">
            <v>2024-10-04</v>
          </cell>
          <cell r="CO2651">
            <v>1169.5909999999999</v>
          </cell>
        </row>
        <row r="2652">
          <cell r="CJ2652" t="str">
            <v xml:space="preserve">NFT-/XUTR/DEUTH02427821164X </v>
          </cell>
          <cell r="CK2652" t="str">
            <v>2024-10-04</v>
          </cell>
          <cell r="CL2652">
            <v>8377.85</v>
          </cell>
        </row>
        <row r="2653">
          <cell r="CJ2653" t="str">
            <v xml:space="preserve">NFT-/XUTR/DEUTH02427821164X </v>
          </cell>
          <cell r="CK2653" t="str">
            <v>2024-10-04</v>
          </cell>
          <cell r="CL2653">
            <v>38474.080000000002</v>
          </cell>
          <cell r="CM2653" t="str">
            <v xml:space="preserve">NFT-/XUTR/DEUTH02427825558X </v>
          </cell>
          <cell r="CN2653" t="str">
            <v>2024-10-04</v>
          </cell>
          <cell r="CO2653">
            <v>2885.511</v>
          </cell>
        </row>
        <row r="2654">
          <cell r="CJ2654" t="str">
            <v xml:space="preserve">NFT-/XUTR/DEUTH024281A0K61X </v>
          </cell>
          <cell r="CK2654" t="str">
            <v>2024-10-07</v>
          </cell>
          <cell r="CL2654">
            <v>5183.585</v>
          </cell>
          <cell r="CM2654" t="str">
            <v xml:space="preserve">NFT-/XUTR/DEUTH024281A0KN4X </v>
          </cell>
          <cell r="CN2654" t="str">
            <v>2024-10-07</v>
          </cell>
          <cell r="CO2654">
            <v>693.48</v>
          </cell>
        </row>
        <row r="2655">
          <cell r="CJ2655" t="str">
            <v xml:space="preserve">NFT-/XUTR/DEUTH024281A0K61X </v>
          </cell>
          <cell r="CK2655" t="str">
            <v>2024-10-07</v>
          </cell>
          <cell r="CL2655">
            <v>15361.141</v>
          </cell>
          <cell r="CM2655" t="str">
            <v xml:space="preserve">NFT-/XUTR/DEUTH024281A0KN4X </v>
          </cell>
          <cell r="CN2655" t="str">
            <v>2024-10-07</v>
          </cell>
          <cell r="CO2655">
            <v>1163.818</v>
          </cell>
        </row>
        <row r="2656">
          <cell r="CJ2656" t="str">
            <v xml:space="preserve">NFT-/XUTR/DEUTH024281A0K61X </v>
          </cell>
          <cell r="CK2656" t="str">
            <v>2024-10-07</v>
          </cell>
          <cell r="CL2656">
            <v>77897.846999999994</v>
          </cell>
          <cell r="CM2656" t="str">
            <v xml:space="preserve">NFT-/XUTR/DEUTH024281A0KN4X </v>
          </cell>
          <cell r="CN2656" t="str">
            <v>2024-10-07</v>
          </cell>
          <cell r="CO2656">
            <v>3175.9830000000002</v>
          </cell>
        </row>
        <row r="2657">
          <cell r="CJ2657" t="str">
            <v xml:space="preserve">NFT-/XUTR/DEUTH024281A0K61X </v>
          </cell>
          <cell r="CK2657" t="str">
            <v>2024-10-07</v>
          </cell>
          <cell r="CL2657">
            <v>30741.162</v>
          </cell>
          <cell r="CM2657" t="str">
            <v xml:space="preserve">NFT-/XUTR/DEUTH024281A0KN4X </v>
          </cell>
          <cell r="CN2657" t="str">
            <v>2024-10-07</v>
          </cell>
          <cell r="CO2657">
            <v>2327.6460000000002</v>
          </cell>
        </row>
        <row r="2658">
          <cell r="CJ2658" t="str">
            <v xml:space="preserve">NFT-/XUTR/DEUTH024281A0K61X </v>
          </cell>
          <cell r="CK2658" t="str">
            <v>2024-10-07</v>
          </cell>
          <cell r="CL2658">
            <v>15361.141</v>
          </cell>
          <cell r="CM2658" t="str">
            <v xml:space="preserve">NFT-/XUTR/DEUTH024281A0KN4X </v>
          </cell>
          <cell r="CN2658" t="str">
            <v>2024-10-07</v>
          </cell>
          <cell r="CO2658">
            <v>1163.818</v>
          </cell>
        </row>
        <row r="2661">
          <cell r="CJ2661" t="str">
            <v xml:space="preserve">NFT-/XUTR/DEUTH024281A0K61X </v>
          </cell>
          <cell r="CK2661" t="str">
            <v>2024-10-07</v>
          </cell>
          <cell r="CL2661">
            <v>15361.141</v>
          </cell>
          <cell r="CM2661" t="str">
            <v xml:space="preserve">NFT-/XUTR/DEUTH024281A0KN4X </v>
          </cell>
          <cell r="CN2661" t="str">
            <v>2024-10-07</v>
          </cell>
          <cell r="CO2661">
            <v>1163.818</v>
          </cell>
        </row>
        <row r="2662">
          <cell r="CJ2662" t="str">
            <v xml:space="preserve">NFT-/XUTR/DEUTH024281A0K61X </v>
          </cell>
          <cell r="CK2662" t="str">
            <v>2024-10-07</v>
          </cell>
          <cell r="CL2662">
            <v>15361.141</v>
          </cell>
          <cell r="CM2662" t="str">
            <v xml:space="preserve">NFT-/XUTR/DEUTH024281A0KN4X </v>
          </cell>
          <cell r="CN2662" t="str">
            <v>2024-10-07</v>
          </cell>
          <cell r="CO2662">
            <v>1163.818</v>
          </cell>
        </row>
        <row r="2663">
          <cell r="CJ2663" t="str">
            <v xml:space="preserve">NFT-/XUTR/DEUTH024281A0K61X </v>
          </cell>
          <cell r="CK2663" t="str">
            <v>2024-10-07</v>
          </cell>
          <cell r="CL2663">
            <v>30785.044000000002</v>
          </cell>
          <cell r="CM2663" t="str">
            <v xml:space="preserve">NFT-/XUTR/DEUTH024281A0KN4X </v>
          </cell>
          <cell r="CN2663" t="str">
            <v>2024-10-07</v>
          </cell>
          <cell r="CO2663">
            <v>2302.6379999999999</v>
          </cell>
        </row>
        <row r="2664">
          <cell r="CJ2664" t="str">
            <v xml:space="preserve">NFT-/XUTR/DEUTH024281A0K61X </v>
          </cell>
          <cell r="CK2664" t="str">
            <v>2024-10-07</v>
          </cell>
          <cell r="CL2664">
            <v>5877.0739999999996</v>
          </cell>
        </row>
        <row r="2665">
          <cell r="CJ2665" t="str">
            <v xml:space="preserve">NFT-/XUTR/DEUTH024281A0K61X </v>
          </cell>
          <cell r="CK2665" t="str">
            <v>2024-10-07</v>
          </cell>
          <cell r="CL2665">
            <v>31013.002</v>
          </cell>
          <cell r="CM2665" t="str">
            <v xml:space="preserve">NFT-/XUTR/DEUTH024281A0KN4X </v>
          </cell>
          <cell r="CN2665" t="str">
            <v>2024-10-07</v>
          </cell>
          <cell r="CO2665">
            <v>2073.7220000000002</v>
          </cell>
          <cell r="CP2665" t="str">
            <v xml:space="preserve">NFT-/XUTR/DEUTH02428867200X </v>
          </cell>
          <cell r="CQ2665" t="str">
            <v>2024-10-14</v>
          </cell>
          <cell r="CR2665">
            <v>-31013.002</v>
          </cell>
          <cell r="CS2665" t="str">
            <v xml:space="preserve">NFT-/XUTR/DEUTH02428846801X </v>
          </cell>
          <cell r="CT2665" t="str">
            <v>2024-10-14</v>
          </cell>
          <cell r="CU2665">
            <v>-2073.7220000000002</v>
          </cell>
        </row>
        <row r="2666">
          <cell r="CJ2666" t="str">
            <v xml:space="preserve">NFT-/XUTR/DEUTH024281A0K61X </v>
          </cell>
          <cell r="CK2666" t="str">
            <v>2024-10-07</v>
          </cell>
          <cell r="CL2666">
            <v>15101.084000000001</v>
          </cell>
          <cell r="CM2666" t="str">
            <v xml:space="preserve">NFT-/XUTR/DEUTH024281A0KN4X </v>
          </cell>
          <cell r="CN2666" t="str">
            <v>2024-10-07</v>
          </cell>
          <cell r="CO2666">
            <v>1442.7550000000001</v>
          </cell>
        </row>
        <row r="2667">
          <cell r="CJ2667" t="str">
            <v xml:space="preserve">NFT-/XUTR/DEUTH024281A0K61X </v>
          </cell>
          <cell r="CK2667" t="str">
            <v>2024-10-07</v>
          </cell>
          <cell r="CL2667">
            <v>30772.452000000001</v>
          </cell>
          <cell r="CM2667" t="str">
            <v xml:space="preserve">NFT-/XUTR/DEUTH024281A0KN4X </v>
          </cell>
          <cell r="CN2667" t="str">
            <v>2024-10-07</v>
          </cell>
          <cell r="CO2667">
            <v>2302.636</v>
          </cell>
        </row>
        <row r="2668">
          <cell r="CJ2668" t="str">
            <v xml:space="preserve">NFT-/XUTR/DEUTH024281A0K61X </v>
          </cell>
          <cell r="CK2668" t="str">
            <v>2024-10-07</v>
          </cell>
          <cell r="CL2668">
            <v>41418.04</v>
          </cell>
          <cell r="CM2668" t="str">
            <v xml:space="preserve">NFT-/XUTR/DEUTH024281A0KN4X </v>
          </cell>
          <cell r="CN2668" t="str">
            <v>2024-10-07</v>
          </cell>
          <cell r="CO2668">
            <v>2885.5079999999998</v>
          </cell>
        </row>
        <row r="2669">
          <cell r="CJ2669" t="str">
            <v xml:space="preserve">NFT-/XUTR/DEUTH024281A0K61X </v>
          </cell>
          <cell r="CK2669" t="str">
            <v>2024-10-07</v>
          </cell>
          <cell r="CL2669">
            <v>7750.2079999999996</v>
          </cell>
          <cell r="CM2669" t="str">
            <v xml:space="preserve">NFT-/XUTR/DEUTH024281A0KN4X </v>
          </cell>
          <cell r="CN2669" t="str">
            <v>2024-10-07</v>
          </cell>
          <cell r="CO2669">
            <v>582.87400000000002</v>
          </cell>
        </row>
        <row r="2670">
          <cell r="CJ2670" t="str">
            <v xml:space="preserve">NFT-/XUTR/DEUTH024281A0K61X </v>
          </cell>
          <cell r="CK2670" t="str">
            <v>2024-10-07</v>
          </cell>
          <cell r="CL2670">
            <v>78188.328999999998</v>
          </cell>
          <cell r="CM2670" t="str">
            <v xml:space="preserve">NFT-/XUTR/DEUTH024281A0KN4X </v>
          </cell>
          <cell r="CN2670" t="str">
            <v>2024-10-07</v>
          </cell>
          <cell r="CO2670">
            <v>2885.511</v>
          </cell>
          <cell r="CP2670" t="str">
            <v xml:space="preserve">NFT-/XUTR/DEUTH02428359373X </v>
          </cell>
          <cell r="CQ2670" t="str">
            <v>2024-10-09</v>
          </cell>
          <cell r="CR2670">
            <v>-78188.328999999998</v>
          </cell>
          <cell r="CS2670" t="str">
            <v xml:space="preserve">NFT-/XUTR/DEUTH02428371058X </v>
          </cell>
          <cell r="CT2670" t="str">
            <v>2024-10-09</v>
          </cell>
          <cell r="CU2670">
            <v>-2885.511</v>
          </cell>
        </row>
        <row r="2671">
          <cell r="CJ2671" t="str">
            <v xml:space="preserve">NFT-/XUTR/DEUTH024281A0K61X </v>
          </cell>
          <cell r="CK2671" t="str">
            <v>2024-10-07</v>
          </cell>
          <cell r="CL2671">
            <v>10280.713</v>
          </cell>
          <cell r="CM2671" t="str">
            <v xml:space="preserve">NFT-/XUTR/DEUTH024281A0KN4X </v>
          </cell>
          <cell r="CN2671" t="str">
            <v>2024-10-07</v>
          </cell>
          <cell r="CO2671">
            <v>781.01400000000001</v>
          </cell>
        </row>
        <row r="2673">
          <cell r="CJ2673" t="str">
            <v xml:space="preserve">NFT-/XUTR/DEUTH024281A0K61X </v>
          </cell>
          <cell r="CK2673" t="str">
            <v>2024-10-07</v>
          </cell>
          <cell r="CL2673">
            <v>30760.042000000001</v>
          </cell>
          <cell r="CM2673" t="str">
            <v xml:space="preserve">NFT-/XUTR/DEUTH024281A0KN4X </v>
          </cell>
          <cell r="CN2673" t="str">
            <v>2024-10-07</v>
          </cell>
          <cell r="CO2673">
            <v>2327.6460000000002</v>
          </cell>
        </row>
        <row r="2674">
          <cell r="CJ2674" t="str">
            <v xml:space="preserve">NFT-/XUTR/DEUTH024281A0K61X </v>
          </cell>
          <cell r="CK2674" t="str">
            <v>2024-10-07</v>
          </cell>
          <cell r="CL2674">
            <v>7749.77</v>
          </cell>
          <cell r="CM2674" t="str">
            <v xml:space="preserve">NFT-/XUTR/DEUTH024281A0KN4X </v>
          </cell>
          <cell r="CN2674" t="str">
            <v>2024-10-07</v>
          </cell>
          <cell r="CO2674">
            <v>589.60299999999995</v>
          </cell>
        </row>
        <row r="2675">
          <cell r="CJ2675" t="str">
            <v xml:space="preserve">NFT-/XUTR/DEUTH024281A0K61X </v>
          </cell>
          <cell r="CK2675" t="str">
            <v>2024-10-07</v>
          </cell>
          <cell r="CL2675">
            <v>15361.141</v>
          </cell>
          <cell r="CM2675" t="str">
            <v xml:space="preserve">NFT-/XUTR/DEUTH024281A0KN4X </v>
          </cell>
          <cell r="CN2675" t="str">
            <v>2024-10-07</v>
          </cell>
          <cell r="CO2675">
            <v>1163.818</v>
          </cell>
          <cell r="CP2675" t="str">
            <v xml:space="preserve">NFT-/XUTR/DEUTH02428359373X </v>
          </cell>
          <cell r="CQ2675" t="str">
            <v>2024-10-09</v>
          </cell>
          <cell r="CR2675">
            <v>-15361.141</v>
          </cell>
          <cell r="CS2675" t="str">
            <v xml:space="preserve">NFT-/XUTR/DEUTH02428371058X </v>
          </cell>
          <cell r="CT2675" t="str">
            <v>2024-10-09</v>
          </cell>
          <cell r="CU2675">
            <v>-1163.818</v>
          </cell>
        </row>
        <row r="2676">
          <cell r="CJ2676" t="str">
            <v xml:space="preserve">NFT-/XUTR/DEUTH024281A0K61X </v>
          </cell>
          <cell r="CK2676" t="str">
            <v>2024-10-07</v>
          </cell>
          <cell r="CL2676">
            <v>15087.977000000001</v>
          </cell>
          <cell r="CM2676" t="str">
            <v xml:space="preserve">NFT-/XUTR/DEUTH024281A0KN4X </v>
          </cell>
          <cell r="CN2676" t="str">
            <v>2024-10-07</v>
          </cell>
          <cell r="CO2676">
            <v>1436.982</v>
          </cell>
        </row>
        <row r="2677">
          <cell r="CJ2677" t="str">
            <v xml:space="preserve">NFT-/XUTR/DEUTH024281A0K61X </v>
          </cell>
          <cell r="CK2677" t="str">
            <v>2024-10-07</v>
          </cell>
          <cell r="CL2677">
            <v>15361.141</v>
          </cell>
          <cell r="CM2677" t="str">
            <v xml:space="preserve">NFT-/XUTR/DEUTH024281A0KN4X </v>
          </cell>
          <cell r="CN2677" t="str">
            <v>2024-10-07</v>
          </cell>
          <cell r="CO2677">
            <v>1163.818</v>
          </cell>
        </row>
        <row r="2678">
          <cell r="CJ2678" t="str">
            <v xml:space="preserve">NFT-/XUTR/DEUTH024281A0K61X </v>
          </cell>
          <cell r="CK2678" t="str">
            <v>2024-10-07</v>
          </cell>
          <cell r="CL2678">
            <v>15361.141</v>
          </cell>
          <cell r="CM2678" t="str">
            <v xml:space="preserve">NFT-/XUTR/DEUTH024281A0KN4X </v>
          </cell>
          <cell r="CN2678" t="str">
            <v>2024-10-07</v>
          </cell>
          <cell r="CO2678">
            <v>1163.818</v>
          </cell>
        </row>
        <row r="2679">
          <cell r="CJ2679" t="str">
            <v xml:space="preserve">NFT-/XUTR/DEUTH024281A0K61X </v>
          </cell>
          <cell r="CK2679" t="str">
            <v>2024-10-07</v>
          </cell>
          <cell r="CL2679">
            <v>15361.141</v>
          </cell>
          <cell r="CM2679" t="str">
            <v xml:space="preserve">NFT-/XUTR/DEUTH024281A0KN4X </v>
          </cell>
          <cell r="CN2679" t="str">
            <v>2024-10-07</v>
          </cell>
          <cell r="CO2679">
            <v>1163.818</v>
          </cell>
        </row>
        <row r="2680">
          <cell r="CJ2680" t="str">
            <v xml:space="preserve">NFT-/XUTR/DEUTH024281A0K61X </v>
          </cell>
          <cell r="CK2680" t="str">
            <v>2024-10-07</v>
          </cell>
          <cell r="CL2680">
            <v>15380.021000000001</v>
          </cell>
          <cell r="CM2680" t="str">
            <v xml:space="preserve">NFT-/XUTR/DEUTH024281A0KN4X </v>
          </cell>
          <cell r="CN2680" t="str">
            <v>2024-10-07</v>
          </cell>
          <cell r="CO2680">
            <v>1163.818</v>
          </cell>
        </row>
        <row r="2681">
          <cell r="CJ2681" t="str">
            <v xml:space="preserve">NFT-/XUTR/DEUTH024281A0K61X </v>
          </cell>
          <cell r="CK2681" t="str">
            <v>2024-10-07</v>
          </cell>
          <cell r="CL2681">
            <v>30760.042000000001</v>
          </cell>
          <cell r="CM2681" t="str">
            <v xml:space="preserve">NFT-/XUTR/DEUTH024281A0KN4X </v>
          </cell>
          <cell r="CN2681" t="str">
            <v>2024-10-07</v>
          </cell>
          <cell r="CO2681">
            <v>2327.6460000000002</v>
          </cell>
        </row>
        <row r="2682">
          <cell r="CJ2682" t="str">
            <v xml:space="preserve">NFT-/XUTR/DEUTH024281A0K61X </v>
          </cell>
          <cell r="CK2682" t="str">
            <v>2024-10-07</v>
          </cell>
          <cell r="CL2682">
            <v>30760.042000000001</v>
          </cell>
          <cell r="CM2682" t="str">
            <v xml:space="preserve">NFT-/XUTR/DEUTH024281A0KN4X </v>
          </cell>
          <cell r="CN2682" t="str">
            <v>2024-10-07</v>
          </cell>
          <cell r="CO2682">
            <v>2327.6460000000002</v>
          </cell>
        </row>
        <row r="2683">
          <cell r="CJ2683" t="str">
            <v xml:space="preserve">NFT-/XUTR/DEUTH024281A0K61X </v>
          </cell>
          <cell r="CK2683" t="str">
            <v>2024-10-07</v>
          </cell>
          <cell r="CL2683">
            <v>15361.141</v>
          </cell>
          <cell r="CM2683" t="str">
            <v xml:space="preserve">NFT-/XUTR/DEUTH024281A0KN4X </v>
          </cell>
          <cell r="CN2683" t="str">
            <v>2024-10-07</v>
          </cell>
          <cell r="CO2683">
            <v>1163.818</v>
          </cell>
        </row>
        <row r="2684">
          <cell r="CJ2684" t="str">
            <v xml:space="preserve">NFT-/XUTR/DEUTH024281A0K61X </v>
          </cell>
          <cell r="CK2684" t="str">
            <v>2024-10-07</v>
          </cell>
          <cell r="CL2684">
            <v>7831.8810000000003</v>
          </cell>
          <cell r="CM2684" t="str">
            <v xml:space="preserve">NFT-/XUTR/DEUTH024281A0KN4X </v>
          </cell>
          <cell r="CN2684" t="str">
            <v>2024-10-07</v>
          </cell>
          <cell r="CO2684">
            <v>488.61200000000002</v>
          </cell>
        </row>
        <row r="2685">
          <cell r="CJ2685" t="str">
            <v xml:space="preserve">NFT-/XUTR/DEUTH024281A0K61X </v>
          </cell>
          <cell r="CK2685" t="str">
            <v>2024-10-07</v>
          </cell>
          <cell r="CL2685">
            <v>41418.04</v>
          </cell>
          <cell r="CM2685" t="str">
            <v xml:space="preserve">NFT-/XUTR/DEUTH024281A0KN4X </v>
          </cell>
          <cell r="CN2685" t="str">
            <v>2024-10-07</v>
          </cell>
          <cell r="CO2685">
            <v>2885.5079999999998</v>
          </cell>
        </row>
        <row r="2686">
          <cell r="CJ2686" t="str">
            <v xml:space="preserve">NFT-/XUTR/DEUTH024281A0K61X </v>
          </cell>
          <cell r="CK2686" t="str">
            <v>2024-10-07</v>
          </cell>
          <cell r="CL2686">
            <v>78207.209000000003</v>
          </cell>
          <cell r="CM2686" t="str">
            <v xml:space="preserve">NFT-/XUTR/DEUTH024281A0KN4X </v>
          </cell>
          <cell r="CN2686" t="str">
            <v>2024-10-07</v>
          </cell>
          <cell r="CO2686">
            <v>2885.511</v>
          </cell>
        </row>
        <row r="2687">
          <cell r="CJ2687" t="str">
            <v xml:space="preserve">NFT-/XUTR/DEUTH024281A0K61X </v>
          </cell>
          <cell r="CK2687" t="str">
            <v>2024-10-07</v>
          </cell>
          <cell r="CL2687">
            <v>15361.141</v>
          </cell>
          <cell r="CM2687" t="str">
            <v xml:space="preserve">NFT-/XUTR/DEUTH024281A0KN4X </v>
          </cell>
          <cell r="CN2687" t="str">
            <v>2024-10-07</v>
          </cell>
          <cell r="CO2687">
            <v>1163.818</v>
          </cell>
        </row>
        <row r="2688">
          <cell r="CJ2688" t="str">
            <v xml:space="preserve">NFT-/XUTR/DEUTH024281A0K61X </v>
          </cell>
          <cell r="CK2688" t="str">
            <v>2024-10-07</v>
          </cell>
          <cell r="CL2688">
            <v>7756.4979999999996</v>
          </cell>
          <cell r="CM2688" t="str">
            <v xml:space="preserve">NFT-/XUTR/DEUTH024281A0KN4X </v>
          </cell>
          <cell r="CN2688" t="str">
            <v>2024-10-07</v>
          </cell>
          <cell r="CO2688">
            <v>582.87400000000002</v>
          </cell>
        </row>
        <row r="2689">
          <cell r="CJ2689" t="str">
            <v xml:space="preserve">NFT-/XUTR/DEUTH024281A0K61X </v>
          </cell>
          <cell r="CK2689" t="str">
            <v>2024-10-07</v>
          </cell>
          <cell r="CL2689">
            <v>30785.044000000002</v>
          </cell>
          <cell r="CM2689" t="str">
            <v xml:space="preserve">NFT-/XUTR/DEUTH024281A0KN4X </v>
          </cell>
          <cell r="CN2689" t="str">
            <v>2024-10-07</v>
          </cell>
          <cell r="CO2689">
            <v>2302.6379999999999</v>
          </cell>
        </row>
        <row r="2690">
          <cell r="CJ2690" t="str">
            <v xml:space="preserve">NFT-/XUTR/DEUTH024281A0K61X </v>
          </cell>
          <cell r="CK2690" t="str">
            <v>2024-10-07</v>
          </cell>
          <cell r="CL2690">
            <v>77384.232999999993</v>
          </cell>
          <cell r="CM2690" t="str">
            <v xml:space="preserve">NFT-/XUTR/DEUTH024281A0KN4X </v>
          </cell>
          <cell r="CN2690" t="str">
            <v>2024-10-07</v>
          </cell>
          <cell r="CO2690">
            <v>3689.607</v>
          </cell>
        </row>
        <row r="2691">
          <cell r="CJ2691" t="str">
            <v xml:space="preserve">NFT-/XUTR/DEUTH024281A0K61X </v>
          </cell>
          <cell r="CK2691" t="str">
            <v>2024-10-07</v>
          </cell>
          <cell r="CL2691">
            <v>15361.141</v>
          </cell>
          <cell r="CM2691" t="str">
            <v xml:space="preserve">NFT-/XUTR/DEUTH024281A0KN4X </v>
          </cell>
          <cell r="CN2691" t="str">
            <v>2024-10-07</v>
          </cell>
          <cell r="CO2691">
            <v>1163.818</v>
          </cell>
        </row>
        <row r="2692">
          <cell r="CJ2692" t="str">
            <v xml:space="preserve">NFT-/XUTR/DEUTH024281A0K61X </v>
          </cell>
          <cell r="CK2692" t="str">
            <v>2024-10-07</v>
          </cell>
          <cell r="CL2692">
            <v>15279.379000000001</v>
          </cell>
          <cell r="CM2692" t="str">
            <v xml:space="preserve">NFT-/XUTR/DEUTH024281A0KN4X </v>
          </cell>
          <cell r="CN2692" t="str">
            <v>2024-10-07</v>
          </cell>
          <cell r="CO2692">
            <v>1187.865</v>
          </cell>
        </row>
        <row r="2693">
          <cell r="CJ2693" t="str">
            <v xml:space="preserve">NFT-/XUTR/DEUTH024281A0K61X </v>
          </cell>
          <cell r="CK2693" t="str">
            <v>2024-10-07</v>
          </cell>
          <cell r="CL2693">
            <v>15307.276</v>
          </cell>
          <cell r="CM2693" t="str">
            <v xml:space="preserve">NFT-/XUTR/DEUTH024281A0KN4X </v>
          </cell>
          <cell r="CN2693" t="str">
            <v>2024-10-07</v>
          </cell>
          <cell r="CO2693">
            <v>1159.9770000000001</v>
          </cell>
        </row>
        <row r="2694">
          <cell r="CJ2694" t="str">
            <v xml:space="preserve">NFT-/XUTR/DEUTH024281A0K61X </v>
          </cell>
          <cell r="CK2694" t="str">
            <v>2024-10-07</v>
          </cell>
          <cell r="CL2694">
            <v>77899.777000000002</v>
          </cell>
          <cell r="CM2694" t="str">
            <v xml:space="preserve">NFT-/XUTR/DEUTH024281A0KN4X </v>
          </cell>
          <cell r="CN2694" t="str">
            <v>2024-10-07</v>
          </cell>
          <cell r="CO2694">
            <v>2885.511</v>
          </cell>
        </row>
        <row r="2695">
          <cell r="CJ2695" t="str">
            <v xml:space="preserve">NFT-/XUTR/DEUTH024281A0K61X </v>
          </cell>
          <cell r="CK2695" t="str">
            <v>2024-10-07</v>
          </cell>
          <cell r="CL2695">
            <v>15307.276</v>
          </cell>
          <cell r="CM2695" t="str">
            <v xml:space="preserve">NFT-/XUTR/DEUTH024281A0KN4X </v>
          </cell>
          <cell r="CN2695" t="str">
            <v>2024-10-07</v>
          </cell>
          <cell r="CO2695">
            <v>1159.9770000000001</v>
          </cell>
        </row>
        <row r="2696">
          <cell r="CJ2696" t="str">
            <v xml:space="preserve">NFT-/XUTR/DEUTH024281A0K61X </v>
          </cell>
          <cell r="CK2696" t="str">
            <v>2024-10-07</v>
          </cell>
          <cell r="CL2696">
            <v>15326.156000000001</v>
          </cell>
          <cell r="CM2696" t="str">
            <v xml:space="preserve">NFT-/XUTR/DEUTH024281A0KN4X </v>
          </cell>
          <cell r="CN2696" t="str">
            <v>2024-10-07</v>
          </cell>
          <cell r="CO2696">
            <v>1159.9770000000001</v>
          </cell>
        </row>
        <row r="2697">
          <cell r="CJ2697" t="str">
            <v xml:space="preserve">NFT-/XUTR/DEUTH024281A0K61X </v>
          </cell>
          <cell r="CK2697" t="str">
            <v>2024-10-07</v>
          </cell>
          <cell r="CL2697">
            <v>30653.277999999998</v>
          </cell>
          <cell r="CM2697" t="str">
            <v xml:space="preserve">NFT-/XUTR/DEUTH024281A0KN4X </v>
          </cell>
          <cell r="CN2697" t="str">
            <v>2024-10-07</v>
          </cell>
          <cell r="CO2697">
            <v>2318.0219999999999</v>
          </cell>
        </row>
        <row r="2698">
          <cell r="CJ2698" t="str">
            <v xml:space="preserve">NFT-/XUTR/DEUTH024281A0K61X </v>
          </cell>
          <cell r="CK2698" t="str">
            <v>2024-10-07</v>
          </cell>
          <cell r="CL2698">
            <v>15326.156000000001</v>
          </cell>
          <cell r="CM2698" t="str">
            <v xml:space="preserve">NFT-/XUTR/DEUTH024281A0KN4X </v>
          </cell>
          <cell r="CN2698" t="str">
            <v>2024-10-07</v>
          </cell>
          <cell r="CO2698">
            <v>1159.9770000000001</v>
          </cell>
        </row>
        <row r="2699">
          <cell r="CJ2699" t="str">
            <v xml:space="preserve">NFT-/XUTR/DEUTH024281A0K61X </v>
          </cell>
          <cell r="CK2699" t="str">
            <v>2024-10-07</v>
          </cell>
          <cell r="CL2699">
            <v>15326.156000000001</v>
          </cell>
          <cell r="CM2699" t="str">
            <v xml:space="preserve">NFT-/XUTR/DEUTH024281A0KN4X </v>
          </cell>
          <cell r="CN2699" t="str">
            <v>2024-10-07</v>
          </cell>
          <cell r="CO2699">
            <v>1159.9770000000001</v>
          </cell>
        </row>
        <row r="2700">
          <cell r="CJ2700" t="str">
            <v xml:space="preserve">NFT-/XUTR/DEUTH024281A0K61X </v>
          </cell>
          <cell r="CK2700" t="str">
            <v>2024-10-07</v>
          </cell>
          <cell r="CL2700">
            <v>10210.147999999999</v>
          </cell>
          <cell r="CM2700" t="str">
            <v xml:space="preserve">NFT-/XUTR/DEUTH024281A0KN4X </v>
          </cell>
          <cell r="CN2700" t="str">
            <v>2024-10-07</v>
          </cell>
          <cell r="CO2700">
            <v>774.27599999999995</v>
          </cell>
        </row>
        <row r="2701">
          <cell r="CJ2701" t="str">
            <v xml:space="preserve">NFT-/XUTR/DEUTH024281A0K61X </v>
          </cell>
          <cell r="CK2701" t="str">
            <v>2024-10-07</v>
          </cell>
          <cell r="CL2701">
            <v>38667.08</v>
          </cell>
          <cell r="CM2701" t="str">
            <v xml:space="preserve">NFT-/XUTR/DEUTH024281A0KN4X </v>
          </cell>
          <cell r="CN2701" t="str">
            <v>2024-10-07</v>
          </cell>
          <cell r="CO2701">
            <v>2885.51</v>
          </cell>
        </row>
        <row r="2702">
          <cell r="CJ2702" t="str">
            <v xml:space="preserve">NFT-/XUTR/DEUTH024281A0K61X </v>
          </cell>
          <cell r="CK2702" t="str">
            <v>2024-10-07</v>
          </cell>
          <cell r="CL2702">
            <v>38667.08</v>
          </cell>
          <cell r="CM2702" t="str">
            <v xml:space="preserve">NFT-/XUTR/DEUTH024281A0KN4X </v>
          </cell>
          <cell r="CN2702" t="str">
            <v>2024-10-07</v>
          </cell>
          <cell r="CO2702">
            <v>2885.51</v>
          </cell>
        </row>
        <row r="2703">
          <cell r="CJ2703" t="str">
            <v xml:space="preserve">NFT-/XUTR/DEUTH024281A0K61X </v>
          </cell>
          <cell r="CK2703" t="str">
            <v>2024-10-07</v>
          </cell>
          <cell r="CL2703">
            <v>38667.08</v>
          </cell>
          <cell r="CM2703" t="str">
            <v xml:space="preserve">NFT-/XUTR/DEUTH024281A0KN4X </v>
          </cell>
          <cell r="CN2703" t="str">
            <v>2024-10-07</v>
          </cell>
          <cell r="CO2703">
            <v>2885.51</v>
          </cell>
        </row>
        <row r="2704">
          <cell r="CJ2704" t="str">
            <v xml:space="preserve">NFT-/XUTR/DEUTH024281A0K61X </v>
          </cell>
          <cell r="CK2704" t="str">
            <v>2024-10-07</v>
          </cell>
          <cell r="CL2704">
            <v>77899.777000000002</v>
          </cell>
          <cell r="CM2704" t="str">
            <v xml:space="preserve">NFT-/XUTR/DEUTH024281A0KN4X </v>
          </cell>
          <cell r="CN2704" t="str">
            <v>2024-10-07</v>
          </cell>
          <cell r="CO2704">
            <v>2885.511</v>
          </cell>
          <cell r="CP2704" t="str">
            <v xml:space="preserve">NFT-/XUTR/DEUTH02429023615X </v>
          </cell>
          <cell r="CQ2704" t="str">
            <v>2024-10-16</v>
          </cell>
          <cell r="CR2704">
            <v>-77899.777000000002</v>
          </cell>
          <cell r="CS2704" t="str">
            <v xml:space="preserve">NFT-/XUTR/DEUTH02429026181X </v>
          </cell>
          <cell r="CT2704" t="str">
            <v>2024-10-16</v>
          </cell>
          <cell r="CU2704">
            <v>-2885.511</v>
          </cell>
        </row>
        <row r="2705">
          <cell r="CJ2705" t="str">
            <v xml:space="preserve">NFT-/XUTR/DEUTH024281A0K61X </v>
          </cell>
          <cell r="CK2705" t="str">
            <v>2024-10-07</v>
          </cell>
          <cell r="CL2705">
            <v>30653.277999999998</v>
          </cell>
          <cell r="CM2705" t="str">
            <v xml:space="preserve">NFT-/XUTR/DEUTH024281A0KN4X </v>
          </cell>
          <cell r="CN2705" t="str">
            <v>2024-10-07</v>
          </cell>
          <cell r="CO2705">
            <v>2319.9540000000002</v>
          </cell>
        </row>
        <row r="2706">
          <cell r="CJ2706" t="str">
            <v xml:space="preserve">NFT-/XUTR/DEUTH024281A0K61X </v>
          </cell>
          <cell r="CK2706" t="str">
            <v>2024-10-07</v>
          </cell>
          <cell r="CL2706">
            <v>7703.9579999999996</v>
          </cell>
          <cell r="CM2706" t="str">
            <v xml:space="preserve">NFT-/XUTR/DEUTH024281A0KN4X </v>
          </cell>
          <cell r="CN2706" t="str">
            <v>2024-10-07</v>
          </cell>
          <cell r="CO2706">
            <v>587.68200000000002</v>
          </cell>
        </row>
        <row r="2707">
          <cell r="CJ2707" t="str">
            <v xml:space="preserve">NFT-/XUTR/DEUTH024281A0K61X </v>
          </cell>
          <cell r="CK2707" t="str">
            <v>2024-10-07</v>
          </cell>
          <cell r="CL2707">
            <v>77899.777000000002</v>
          </cell>
          <cell r="CM2707" t="str">
            <v xml:space="preserve">NFT-/XUTR/DEUTH024281A0KN4X </v>
          </cell>
          <cell r="CN2707" t="str">
            <v>2024-10-07</v>
          </cell>
          <cell r="CO2707">
            <v>2885.511</v>
          </cell>
          <cell r="CP2707" t="str">
            <v xml:space="preserve">NFT-/XUTR/DEUTH02430209185X </v>
          </cell>
          <cell r="CQ2707" t="str">
            <v>2024-10-28</v>
          </cell>
          <cell r="CR2707">
            <v>-77899.777000000002</v>
          </cell>
          <cell r="CS2707" t="str">
            <v xml:space="preserve">NFT-/XUTR/DEUTH024309A02A3X </v>
          </cell>
          <cell r="CT2707" t="str">
            <v>2024-11-04</v>
          </cell>
          <cell r="CU2707">
            <v>-2885.511</v>
          </cell>
          <cell r="CV2707" t="str">
            <v xml:space="preserve">NFT-/XUTR/DEUTH02500685844X </v>
          </cell>
          <cell r="CW2707" t="str">
            <v>2025-01-06</v>
          </cell>
          <cell r="CX2707">
            <v>83249.100000000006</v>
          </cell>
        </row>
        <row r="2708">
          <cell r="CJ2708" t="str">
            <v xml:space="preserve">NFT-/XUTR/DEUTH024281A0K61X </v>
          </cell>
          <cell r="CK2708" t="str">
            <v>2024-10-07</v>
          </cell>
          <cell r="CL2708">
            <v>15326.156000000001</v>
          </cell>
          <cell r="CM2708" t="str">
            <v xml:space="preserve">NFT-/XUTR/DEUTH024281A0KN4X </v>
          </cell>
          <cell r="CN2708" t="str">
            <v>2024-10-07</v>
          </cell>
          <cell r="CO2708">
            <v>1159.9770000000001</v>
          </cell>
        </row>
        <row r="2709">
          <cell r="CJ2709" t="str">
            <v xml:space="preserve">NFT-/XUTR/DEUTH024281A0K61X </v>
          </cell>
          <cell r="CK2709" t="str">
            <v>2024-10-07</v>
          </cell>
          <cell r="CL2709">
            <v>15326.156000000001</v>
          </cell>
          <cell r="CM2709" t="str">
            <v xml:space="preserve">NFT-/XUTR/DEUTH024281A0KN4X </v>
          </cell>
          <cell r="CN2709" t="str">
            <v>2024-10-07</v>
          </cell>
          <cell r="CO2709">
            <v>1159.9770000000001</v>
          </cell>
          <cell r="CP2709" t="str">
            <v xml:space="preserve">NFT-/XUTR/DEUTH02428867200X </v>
          </cell>
          <cell r="CQ2709" t="str">
            <v>2024-10-14</v>
          </cell>
          <cell r="CR2709">
            <v>-15326.156000000001</v>
          </cell>
          <cell r="CS2709" t="str">
            <v xml:space="preserve">NFT-/XUTR/DEUTH02428846801X </v>
          </cell>
          <cell r="CT2709" t="str">
            <v>2024-10-14</v>
          </cell>
          <cell r="CU2709">
            <v>-1159.9770000000001</v>
          </cell>
        </row>
        <row r="2710">
          <cell r="CJ2710" t="str">
            <v xml:space="preserve">NFT-/XUTR/DEUTH024281A0K61X </v>
          </cell>
          <cell r="CK2710" t="str">
            <v>2024-10-07</v>
          </cell>
          <cell r="CL2710">
            <v>10552.912</v>
          </cell>
          <cell r="CM2710" t="str">
            <v xml:space="preserve">NFT-/XUTR/DEUTH024281A0KN4X </v>
          </cell>
          <cell r="CN2710" t="str">
            <v>2024-10-07</v>
          </cell>
          <cell r="CO2710">
            <v>730.03700000000003</v>
          </cell>
        </row>
        <row r="2711">
          <cell r="CJ2711" t="str">
            <v xml:space="preserve">NFT-/XUTR/DEUTH024281A0K61X </v>
          </cell>
          <cell r="CK2711" t="str">
            <v>2024-10-07</v>
          </cell>
          <cell r="CL2711">
            <v>30653.277999999998</v>
          </cell>
          <cell r="CM2711" t="str">
            <v xml:space="preserve">NFT-/XUTR/DEUTH024281A0KN4X </v>
          </cell>
          <cell r="CN2711" t="str">
            <v>2024-10-07</v>
          </cell>
          <cell r="CO2711">
            <v>2319.9540000000002</v>
          </cell>
        </row>
        <row r="2712">
          <cell r="CJ2712" t="str">
            <v xml:space="preserve">NFT-/XUTR/DEUTH024281A0K61X </v>
          </cell>
          <cell r="CK2712" t="str">
            <v>2024-10-07</v>
          </cell>
          <cell r="CL2712">
            <v>15307.276</v>
          </cell>
          <cell r="CM2712" t="str">
            <v xml:space="preserve">NFT-/XUTR/DEUTH024281A0KN4X </v>
          </cell>
          <cell r="CN2712" t="str">
            <v>2024-10-07</v>
          </cell>
          <cell r="CO2712">
            <v>1159.9770000000001</v>
          </cell>
        </row>
        <row r="2713">
          <cell r="CJ2713" t="str">
            <v xml:space="preserve">NFT-/XUTR/DEUTH024281A0K61X </v>
          </cell>
          <cell r="CK2713" t="str">
            <v>2024-10-07</v>
          </cell>
          <cell r="CL2713">
            <v>10504.471</v>
          </cell>
          <cell r="CM2713" t="str">
            <v xml:space="preserve">NFT-/XUTR/DEUTH024281A0KN4X </v>
          </cell>
          <cell r="CN2713" t="str">
            <v>2024-10-07</v>
          </cell>
          <cell r="CO2713">
            <v>797.36699999999996</v>
          </cell>
        </row>
        <row r="2714">
          <cell r="CJ2714" t="str">
            <v xml:space="preserve">NFT-/XUTR/DEUTH024281A0K61X </v>
          </cell>
          <cell r="CK2714" t="str">
            <v>2024-10-07</v>
          </cell>
          <cell r="CL2714">
            <v>7723.7929999999997</v>
          </cell>
          <cell r="CM2714" t="str">
            <v xml:space="preserve">NFT-/XUTR/DEUTH024281A0KN4X </v>
          </cell>
          <cell r="CN2714" t="str">
            <v>2024-10-07</v>
          </cell>
          <cell r="CO2714">
            <v>586.71699999999998</v>
          </cell>
        </row>
        <row r="2715">
          <cell r="CJ2715" t="str">
            <v xml:space="preserve">NFT-/XUTR/DEUTH024281A0K61X </v>
          </cell>
          <cell r="CK2715" t="str">
            <v>2024-10-07</v>
          </cell>
          <cell r="CL2715">
            <v>30634.398000000001</v>
          </cell>
          <cell r="CM2715" t="str">
            <v xml:space="preserve">NFT-/XUTR/DEUTH024281A0KN4X </v>
          </cell>
          <cell r="CN2715" t="str">
            <v>2024-10-07</v>
          </cell>
          <cell r="CO2715">
            <v>2319.9540000000002</v>
          </cell>
        </row>
        <row r="2716">
          <cell r="CJ2716" t="str">
            <v xml:space="preserve">NFT-/XUTR/DEUTH024281A0K61X </v>
          </cell>
          <cell r="CK2716" t="str">
            <v>2024-10-07</v>
          </cell>
          <cell r="CL2716">
            <v>15307.276</v>
          </cell>
          <cell r="CM2716" t="str">
            <v xml:space="preserve">NFT-/XUTR/DEUTH024281A0KN4X </v>
          </cell>
          <cell r="CN2716" t="str">
            <v>2024-10-07</v>
          </cell>
          <cell r="CO2716">
            <v>1159.9770000000001</v>
          </cell>
        </row>
        <row r="2717">
          <cell r="CJ2717" t="str">
            <v xml:space="preserve">NFT-/XUTR/DEUTH024281A0K61X </v>
          </cell>
          <cell r="CK2717" t="str">
            <v>2024-10-07</v>
          </cell>
          <cell r="CL2717">
            <v>15326.156000000001</v>
          </cell>
          <cell r="CM2717" t="str">
            <v xml:space="preserve">NFT-/XUTR/DEUTH024281A0KN4X </v>
          </cell>
          <cell r="CN2717" t="str">
            <v>2024-10-07</v>
          </cell>
          <cell r="CO2717">
            <v>1159.9770000000001</v>
          </cell>
        </row>
        <row r="2718">
          <cell r="CJ2718" t="str">
            <v xml:space="preserve">NFT-/XUTR/DEUTH024281A0K61X </v>
          </cell>
          <cell r="CK2718" t="str">
            <v>2024-10-07</v>
          </cell>
          <cell r="CL2718">
            <v>77918.657999999996</v>
          </cell>
          <cell r="CM2718" t="str">
            <v xml:space="preserve">NFT-/XUTR/DEUTH024281A0KN4X </v>
          </cell>
          <cell r="CN2718" t="str">
            <v>2024-10-07</v>
          </cell>
          <cell r="CO2718">
            <v>2885.51</v>
          </cell>
        </row>
        <row r="2719">
          <cell r="CJ2719" t="str">
            <v xml:space="preserve">NFT-/XUTR/DEUTH024281A0K61X </v>
          </cell>
          <cell r="CK2719" t="str">
            <v>2024-10-07</v>
          </cell>
          <cell r="CL2719">
            <v>15326.156000000001</v>
          </cell>
          <cell r="CM2719" t="str">
            <v xml:space="preserve">NFT-/XUTR/DEUTH024281A0KN4X </v>
          </cell>
          <cell r="CN2719" t="str">
            <v>2024-10-07</v>
          </cell>
          <cell r="CO2719">
            <v>1159.9770000000001</v>
          </cell>
        </row>
        <row r="2720">
          <cell r="CJ2720" t="str">
            <v xml:space="preserve">NFT-/XUTR/DEUTH024281A0K61X </v>
          </cell>
          <cell r="CK2720" t="str">
            <v>2024-10-07</v>
          </cell>
          <cell r="CL2720">
            <v>15306.450999999999</v>
          </cell>
          <cell r="CM2720" t="str">
            <v xml:space="preserve">NFT-/XUTR/DEUTH024281A0KN4X </v>
          </cell>
          <cell r="CN2720" t="str">
            <v>2024-10-07</v>
          </cell>
          <cell r="CO2720">
            <v>1168.636</v>
          </cell>
        </row>
        <row r="2721">
          <cell r="CJ2721" t="str">
            <v xml:space="preserve">NFT-/XUTR/DEUTH024281A0K61X </v>
          </cell>
          <cell r="CK2721" t="str">
            <v>2024-10-07</v>
          </cell>
          <cell r="CL2721">
            <v>38667.08</v>
          </cell>
          <cell r="CM2721" t="str">
            <v xml:space="preserve">NFT-/XUTR/DEUTH024281A0KN4X </v>
          </cell>
          <cell r="CN2721" t="str">
            <v>2024-10-07</v>
          </cell>
          <cell r="CO2721">
            <v>2885.51</v>
          </cell>
        </row>
        <row r="2722">
          <cell r="CJ2722" t="str">
            <v xml:space="preserve">NFT-/XUTR/DEUTH024281A0K61X </v>
          </cell>
          <cell r="CK2722" t="str">
            <v>2024-10-07</v>
          </cell>
          <cell r="CL2722">
            <v>10191.268</v>
          </cell>
          <cell r="CM2722" t="str">
            <v xml:space="preserve">NFT-/XUTR/DEUTH024281A0KN4X </v>
          </cell>
          <cell r="CN2722" t="str">
            <v>2024-10-07</v>
          </cell>
          <cell r="CO2722">
            <v>774.27599999999995</v>
          </cell>
        </row>
        <row r="2723">
          <cell r="CJ2723" t="str">
            <v xml:space="preserve">NFT-/XUTR/DEUTH024281A0K61X </v>
          </cell>
          <cell r="CK2723" t="str">
            <v>2024-10-07</v>
          </cell>
          <cell r="CL2723">
            <v>7722.8379999999997</v>
          </cell>
          <cell r="CM2723" t="str">
            <v xml:space="preserve">NFT-/XUTR/DEUTH024281A0KN4X </v>
          </cell>
          <cell r="CN2723" t="str">
            <v>2024-10-07</v>
          </cell>
          <cell r="CO2723">
            <v>587.68200000000002</v>
          </cell>
        </row>
        <row r="2724">
          <cell r="CJ2724" t="str">
            <v xml:space="preserve">NFT-/XUTR/DEUTH024281A0K61X </v>
          </cell>
          <cell r="CK2724" t="str">
            <v>2024-10-07</v>
          </cell>
          <cell r="CL2724">
            <v>10504.471</v>
          </cell>
          <cell r="CM2724" t="str">
            <v xml:space="preserve">NFT-/XUTR/DEUTH024281A0KN4X </v>
          </cell>
          <cell r="CN2724" t="str">
            <v>2024-10-07</v>
          </cell>
          <cell r="CO2724">
            <v>797.36699999999996</v>
          </cell>
        </row>
        <row r="2725">
          <cell r="CJ2725" t="str">
            <v xml:space="preserve">NFT-/XUTR/DEUTH024281A0K61X </v>
          </cell>
          <cell r="CK2725" t="str">
            <v>2024-10-07</v>
          </cell>
          <cell r="CL2725">
            <v>77899.777000000002</v>
          </cell>
          <cell r="CM2725" t="str">
            <v xml:space="preserve">NFT-/XUTR/DEUTH024281A0KN4X </v>
          </cell>
          <cell r="CN2725" t="str">
            <v>2024-10-07</v>
          </cell>
          <cell r="CO2725">
            <v>2885.511</v>
          </cell>
        </row>
        <row r="2726">
          <cell r="CJ2726" t="str">
            <v xml:space="preserve">NFT-/XUTR/DEUTH024281A0K61X </v>
          </cell>
          <cell r="CK2726" t="str">
            <v>2024-10-07</v>
          </cell>
          <cell r="CL2726">
            <v>77918.657000000007</v>
          </cell>
          <cell r="CM2726" t="str">
            <v xml:space="preserve">NFT-/XUTR/DEUTH024281A0KN4X </v>
          </cell>
          <cell r="CN2726" t="str">
            <v>2024-10-07</v>
          </cell>
          <cell r="CO2726">
            <v>2885.511</v>
          </cell>
        </row>
        <row r="2727">
          <cell r="CJ2727" t="str">
            <v xml:space="preserve">NFT-/XUTR/DEUTH024281A0K61X </v>
          </cell>
          <cell r="CK2727" t="str">
            <v>2024-10-07</v>
          </cell>
          <cell r="CL2727">
            <v>38171.703000000001</v>
          </cell>
          <cell r="CM2727" t="str">
            <v xml:space="preserve">NFT-/XUTR/DEUTH024281A0KN4X </v>
          </cell>
          <cell r="CN2727" t="str">
            <v>2024-10-07</v>
          </cell>
          <cell r="CO2727">
            <v>2879.7379999999998</v>
          </cell>
        </row>
        <row r="2728">
          <cell r="CJ2728" t="str">
            <v xml:space="preserve">NFT-/XUTR/DEUTH024281A0K61X </v>
          </cell>
          <cell r="CK2728" t="str">
            <v>2024-10-07</v>
          </cell>
          <cell r="CL2728">
            <v>77747.45</v>
          </cell>
          <cell r="CM2728" t="str">
            <v xml:space="preserve">NFT-/XUTR/DEUTH024281A0KN4X </v>
          </cell>
          <cell r="CN2728" t="str">
            <v>2024-10-07</v>
          </cell>
          <cell r="CO2728">
            <v>3104.81</v>
          </cell>
        </row>
        <row r="2729">
          <cell r="CJ2729" t="str">
            <v xml:space="preserve">NFT-/XUTR/DEUTH024281A0K61X </v>
          </cell>
          <cell r="CK2729" t="str">
            <v>2024-10-07</v>
          </cell>
          <cell r="CL2729">
            <v>15326.156000000001</v>
          </cell>
          <cell r="CM2729" t="str">
            <v xml:space="preserve">NFT-/XUTR/DEUTH024281A0KN4X </v>
          </cell>
          <cell r="CN2729" t="str">
            <v>2024-10-07</v>
          </cell>
          <cell r="CO2729">
            <v>1159.9770000000001</v>
          </cell>
        </row>
        <row r="2730">
          <cell r="CJ2730" t="str">
            <v xml:space="preserve">NFT-/XUTR/DEUTH024281A0K61X </v>
          </cell>
          <cell r="CK2730" t="str">
            <v>2024-10-07</v>
          </cell>
          <cell r="CL2730">
            <v>38152.822999999997</v>
          </cell>
          <cell r="CM2730" t="str">
            <v xml:space="preserve">NFT-/XUTR/DEUTH024281A0KN4X </v>
          </cell>
          <cell r="CN2730" t="str">
            <v>2024-10-07</v>
          </cell>
          <cell r="CO2730">
            <v>2879.7379999999998</v>
          </cell>
        </row>
        <row r="2731">
          <cell r="CJ2731" t="str">
            <v xml:space="preserve">NFT-/XUTR/DEUTH024281A0K61X </v>
          </cell>
          <cell r="CK2731" t="str">
            <v>2024-10-07</v>
          </cell>
          <cell r="CL2731">
            <v>16486.133999999998</v>
          </cell>
          <cell r="CM2731" t="str">
            <v xml:space="preserve">NFT-/XUTR/DEUTH02428867200X </v>
          </cell>
          <cell r="CN2731" t="str">
            <v>2024-10-14</v>
          </cell>
          <cell r="CO2731">
            <v>-16486.133999999998</v>
          </cell>
        </row>
        <row r="2732">
          <cell r="CJ2732" t="str">
            <v xml:space="preserve">NFT-/XUTR/DEUTH024281A0K61X </v>
          </cell>
          <cell r="CK2732" t="str">
            <v>2024-10-07</v>
          </cell>
          <cell r="CL2732">
            <v>37277.197</v>
          </cell>
          <cell r="CM2732" t="str">
            <v xml:space="preserve">NFT-/XUTR/DEUTH024281A0KN4X </v>
          </cell>
          <cell r="CN2732" t="str">
            <v>2024-10-07</v>
          </cell>
          <cell r="CO2732">
            <v>3774.2449999999999</v>
          </cell>
        </row>
        <row r="2733">
          <cell r="CJ2733" t="str">
            <v xml:space="preserve">NFT-/XUTR/DEUTH024281A0K61X </v>
          </cell>
          <cell r="CK2733" t="str">
            <v>2024-10-07</v>
          </cell>
          <cell r="CL2733">
            <v>38152.822999999997</v>
          </cell>
          <cell r="CM2733" t="str">
            <v xml:space="preserve">NFT-/XUTR/DEUTH024281A0KN4X </v>
          </cell>
          <cell r="CN2733" t="str">
            <v>2024-10-07</v>
          </cell>
          <cell r="CO2733">
            <v>2879.7379999999998</v>
          </cell>
        </row>
        <row r="2734">
          <cell r="CJ2734" t="str">
            <v xml:space="preserve">NFT-/XUTR/DEUTH024281A0K61X </v>
          </cell>
          <cell r="CK2734" t="str">
            <v>2024-10-07</v>
          </cell>
          <cell r="CL2734">
            <v>30687.903999999999</v>
          </cell>
          <cell r="CM2734" t="str">
            <v xml:space="preserve">NFT-/XUTR/DEUTH024281A0KN4X </v>
          </cell>
          <cell r="CN2734" t="str">
            <v>2024-10-07</v>
          </cell>
          <cell r="CO2734">
            <v>2285.33</v>
          </cell>
        </row>
        <row r="2735">
          <cell r="CJ2735" t="str">
            <v xml:space="preserve">NFT-/XUTR/DEUTH024281A0K61X </v>
          </cell>
          <cell r="CK2735" t="str">
            <v>2024-10-07</v>
          </cell>
          <cell r="CL2735">
            <v>77634.914999999994</v>
          </cell>
          <cell r="CM2735" t="str">
            <v xml:space="preserve">NFT-/XUTR/DEUTH024281A0KN4X </v>
          </cell>
          <cell r="CN2735" t="str">
            <v>2024-10-07</v>
          </cell>
          <cell r="CO2735">
            <v>3217.346</v>
          </cell>
        </row>
        <row r="2736">
          <cell r="CJ2736" t="str">
            <v xml:space="preserve">NFT-/XUTR/DEUTH024281A0K61X </v>
          </cell>
          <cell r="CK2736" t="str">
            <v>2024-10-07</v>
          </cell>
          <cell r="CL2736">
            <v>15307.276</v>
          </cell>
          <cell r="CM2736" t="str">
            <v xml:space="preserve">NFT-/XUTR/DEUTH024281A0KN4X </v>
          </cell>
          <cell r="CN2736" t="str">
            <v>2024-10-07</v>
          </cell>
          <cell r="CO2736">
            <v>1159.9770000000001</v>
          </cell>
          <cell r="CP2736" t="str">
            <v xml:space="preserve">NFT-/XUTR/DEUTH02428867200X </v>
          </cell>
          <cell r="CQ2736" t="str">
            <v>2024-10-14</v>
          </cell>
          <cell r="CR2736">
            <v>-15307.276</v>
          </cell>
          <cell r="CS2736" t="str">
            <v xml:space="preserve">NFT-/XUTR/DEUTH02428846801X </v>
          </cell>
          <cell r="CT2736" t="str">
            <v>2024-10-14</v>
          </cell>
          <cell r="CU2736">
            <v>-1159.9770000000001</v>
          </cell>
        </row>
        <row r="2737">
          <cell r="CJ2737" t="str">
            <v xml:space="preserve">NFT-/XUTR/DEUTH024281A0K61X </v>
          </cell>
          <cell r="CK2737" t="str">
            <v>2024-10-07</v>
          </cell>
          <cell r="CL2737">
            <v>15073.196</v>
          </cell>
          <cell r="CM2737" t="str">
            <v xml:space="preserve">NFT-/XUTR/DEUTH024281A0KN4X </v>
          </cell>
          <cell r="CN2737" t="str">
            <v>2024-10-07</v>
          </cell>
          <cell r="CO2737">
            <v>1412.9349999999999</v>
          </cell>
        </row>
        <row r="2738">
          <cell r="CJ2738" t="str">
            <v xml:space="preserve">NFT-/XUTR/DEUTH024281A0K61X </v>
          </cell>
          <cell r="CK2738" t="str">
            <v>2024-10-07</v>
          </cell>
          <cell r="CL2738">
            <v>25512.04</v>
          </cell>
          <cell r="CM2738" t="str">
            <v xml:space="preserve">NFT-/XUTR/DEUTH024281A0KN4X </v>
          </cell>
          <cell r="CN2738" t="str">
            <v>2024-10-07</v>
          </cell>
          <cell r="CO2738">
            <v>1952.53</v>
          </cell>
        </row>
        <row r="2739">
          <cell r="CJ2739" t="str">
            <v xml:space="preserve">NFT-/XUTR/DEUTH024281A0K61X </v>
          </cell>
          <cell r="CK2739" t="str">
            <v>2024-10-07</v>
          </cell>
          <cell r="CL2739">
            <v>38152.822999999997</v>
          </cell>
          <cell r="CM2739" t="str">
            <v xml:space="preserve">NFT-/XUTR/DEUTH024281A0KN4X </v>
          </cell>
          <cell r="CN2739" t="str">
            <v>2024-10-07</v>
          </cell>
          <cell r="CO2739">
            <v>2879.7379999999998</v>
          </cell>
        </row>
        <row r="2740">
          <cell r="CJ2740" t="str">
            <v xml:space="preserve">NFT-/XUTR/DEUTH024281A0K61X </v>
          </cell>
          <cell r="CK2740" t="str">
            <v>2024-10-07</v>
          </cell>
          <cell r="CL2740">
            <v>38171.703000000001</v>
          </cell>
          <cell r="CM2740" t="str">
            <v xml:space="preserve">NFT-/XUTR/DEUTH024281A0KN4X </v>
          </cell>
          <cell r="CN2740" t="str">
            <v>2024-10-07</v>
          </cell>
          <cell r="CO2740">
            <v>2879.7379999999998</v>
          </cell>
        </row>
        <row r="2741">
          <cell r="CJ2741" t="str">
            <v xml:space="preserve">NFT-/XUTR/DEUTH024281A0K61X </v>
          </cell>
          <cell r="CK2741" t="str">
            <v>2024-10-07</v>
          </cell>
          <cell r="CL2741">
            <v>10639.121999999999</v>
          </cell>
          <cell r="CM2741" t="str">
            <v xml:space="preserve">NFT-/XUTR/DEUTH024281A0KN4X </v>
          </cell>
          <cell r="CN2741" t="str">
            <v>2024-10-07</v>
          </cell>
          <cell r="CO2741">
            <v>662.70600000000002</v>
          </cell>
        </row>
        <row r="2742">
          <cell r="CJ2742" t="str">
            <v xml:space="preserve">NFT-/XUTR/DEUTH024281A0K61X </v>
          </cell>
          <cell r="CK2742" t="str">
            <v>2024-10-07</v>
          </cell>
          <cell r="CL2742">
            <v>38152.822999999997</v>
          </cell>
          <cell r="CM2742" t="str">
            <v xml:space="preserve">NFT-/XUTR/DEUTH024281A0KN4X </v>
          </cell>
          <cell r="CN2742" t="str">
            <v>2024-10-07</v>
          </cell>
          <cell r="CO2742">
            <v>2879.7379999999998</v>
          </cell>
        </row>
        <row r="2743">
          <cell r="CJ2743" t="str">
            <v xml:space="preserve">NFT-/XUTR/DEUTH024281A0K61X </v>
          </cell>
          <cell r="CK2743" t="str">
            <v>2024-10-07</v>
          </cell>
          <cell r="CL2743">
            <v>10741.682000000001</v>
          </cell>
          <cell r="CM2743" t="str">
            <v xml:space="preserve">NFT-/XUTR/DEUTH024281A0KN4X </v>
          </cell>
          <cell r="CN2743" t="str">
            <v>2024-10-07</v>
          </cell>
          <cell r="CO2743">
            <v>898.35799999999995</v>
          </cell>
        </row>
        <row r="2744">
          <cell r="CJ2744" t="str">
            <v xml:space="preserve">NFT-/XUTR/DEUTH024281A0K61X </v>
          </cell>
          <cell r="CK2744" t="str">
            <v>2024-10-07</v>
          </cell>
          <cell r="CL2744">
            <v>2674.7539999999999</v>
          </cell>
        </row>
        <row r="2745">
          <cell r="CJ2745" t="str">
            <v xml:space="preserve">NFT-/XUTR/DEUTH024281A0K61X </v>
          </cell>
          <cell r="CK2745" t="str">
            <v>2024-10-07</v>
          </cell>
          <cell r="CL2745">
            <v>38171.703999999998</v>
          </cell>
          <cell r="CM2745" t="str">
            <v xml:space="preserve">NFT-/XUTR/DEUTH024281A0KN4X </v>
          </cell>
          <cell r="CN2745" t="str">
            <v>2024-10-07</v>
          </cell>
          <cell r="CO2745">
            <v>2879.7379999999998</v>
          </cell>
        </row>
        <row r="2746">
          <cell r="CJ2746" t="str">
            <v xml:space="preserve">NFT-/XUTR/DEUTH024281A0K61X </v>
          </cell>
          <cell r="CK2746" t="str">
            <v>2024-10-07</v>
          </cell>
          <cell r="CL2746">
            <v>15648.552</v>
          </cell>
          <cell r="CM2746" t="str">
            <v xml:space="preserve">NFT-/XUTR/DEUTH024281A0KN4X </v>
          </cell>
          <cell r="CN2746" t="str">
            <v>2024-10-07</v>
          </cell>
          <cell r="CO2746">
            <v>828.14099999999996</v>
          </cell>
        </row>
        <row r="2747">
          <cell r="CJ2747" t="str">
            <v xml:space="preserve">NFT-/XUTR/DEUTH024281A0K61X </v>
          </cell>
          <cell r="CK2747" t="str">
            <v>2024-10-07</v>
          </cell>
          <cell r="CL2747">
            <v>15326.156000000001</v>
          </cell>
          <cell r="CM2747" t="str">
            <v xml:space="preserve">NFT-/XUTR/DEUTH024281A0KN4X </v>
          </cell>
          <cell r="CN2747" t="str">
            <v>2024-10-07</v>
          </cell>
          <cell r="CO2747">
            <v>1159.9770000000001</v>
          </cell>
        </row>
        <row r="2748">
          <cell r="CJ2748" t="str">
            <v xml:space="preserve">NFT-/XUTR/DEUTH024281A0K61X </v>
          </cell>
          <cell r="CK2748" t="str">
            <v>2024-10-07</v>
          </cell>
          <cell r="CL2748">
            <v>15326.156000000001</v>
          </cell>
          <cell r="CM2748" t="str">
            <v xml:space="preserve">NFT-/XUTR/DEUTH024281A0KN4X </v>
          </cell>
          <cell r="CN2748" t="str">
            <v>2024-10-07</v>
          </cell>
          <cell r="CO2748">
            <v>1159.9770000000001</v>
          </cell>
        </row>
        <row r="2749">
          <cell r="CJ2749" t="str">
            <v xml:space="preserve">NFT-/XUTR/DEUTH024281A0K61X </v>
          </cell>
          <cell r="CK2749" t="str">
            <v>2024-10-07</v>
          </cell>
          <cell r="CL2749">
            <v>38171.703000000001</v>
          </cell>
          <cell r="CM2749" t="str">
            <v xml:space="preserve">NFT-/XUTR/DEUTH024281A0KN4X </v>
          </cell>
          <cell r="CN2749" t="str">
            <v>2024-10-07</v>
          </cell>
          <cell r="CO2749">
            <v>2879.7379999999998</v>
          </cell>
        </row>
        <row r="2750">
          <cell r="CJ2750" t="str">
            <v xml:space="preserve">NFT-/XUTR/DEUTH024281A0K61X </v>
          </cell>
          <cell r="CK2750" t="str">
            <v>2024-10-07</v>
          </cell>
          <cell r="CL2750">
            <v>38152.822999999997</v>
          </cell>
          <cell r="CM2750" t="str">
            <v xml:space="preserve">NFT-/XUTR/DEUTH024281A0KN4X </v>
          </cell>
          <cell r="CN2750" t="str">
            <v>2024-10-07</v>
          </cell>
          <cell r="CO2750">
            <v>2879.7379999999998</v>
          </cell>
        </row>
        <row r="2751">
          <cell r="CJ2751" t="str">
            <v xml:space="preserve">NFT-/XUTR/DEUTH024281A0K61X </v>
          </cell>
          <cell r="CK2751" t="str">
            <v>2024-10-07</v>
          </cell>
          <cell r="CL2751">
            <v>38152.822999999997</v>
          </cell>
          <cell r="CM2751" t="str">
            <v xml:space="preserve">NFT-/XUTR/DEUTH024281A0KN4X </v>
          </cell>
          <cell r="CN2751" t="str">
            <v>2024-10-07</v>
          </cell>
          <cell r="CO2751">
            <v>2879.7379999999998</v>
          </cell>
        </row>
        <row r="2752">
          <cell r="CJ2752" t="str">
            <v xml:space="preserve">NFT-/XUTR/DEUTH024281A0K61X </v>
          </cell>
          <cell r="CK2752" t="str">
            <v>2024-10-07</v>
          </cell>
          <cell r="CL2752">
            <v>5102.7879999999996</v>
          </cell>
          <cell r="CM2752" t="str">
            <v xml:space="preserve">NFT-/XUTR/DEUTH024281A0KN4X </v>
          </cell>
          <cell r="CN2752" t="str">
            <v>2024-10-07</v>
          </cell>
          <cell r="CO2752">
            <v>389.54199999999997</v>
          </cell>
        </row>
        <row r="2753">
          <cell r="CJ2753" t="str">
            <v xml:space="preserve">NFT-/XUTR/DEUTH024281A0K61X </v>
          </cell>
          <cell r="CK2753" t="str">
            <v>2024-10-07</v>
          </cell>
          <cell r="CL2753">
            <v>10021.026</v>
          </cell>
          <cell r="CM2753" t="str">
            <v xml:space="preserve">NFT-/XUTR/DEUTH024281A0KN4X </v>
          </cell>
          <cell r="CN2753" t="str">
            <v>2024-10-07</v>
          </cell>
          <cell r="CO2753">
            <v>944.51900000000001</v>
          </cell>
        </row>
        <row r="2754">
          <cell r="CJ2754" t="str">
            <v xml:space="preserve">NFT-/XUTR/DEUTH024281A0K61X </v>
          </cell>
          <cell r="CK2754" t="str">
            <v>2024-10-07</v>
          </cell>
          <cell r="CL2754">
            <v>38152.822999999997</v>
          </cell>
          <cell r="CM2754" t="str">
            <v xml:space="preserve">NFT-/XUTR/DEUTH024281A0KN4X </v>
          </cell>
          <cell r="CN2754" t="str">
            <v>2024-10-07</v>
          </cell>
          <cell r="CO2754">
            <v>2879.7379999999998</v>
          </cell>
        </row>
        <row r="2755">
          <cell r="CJ2755" t="str">
            <v xml:space="preserve">NFT-/XUTR/DEUTH024281A0K61X </v>
          </cell>
          <cell r="CK2755" t="str">
            <v>2024-10-07</v>
          </cell>
          <cell r="CL2755">
            <v>38152.822999999997</v>
          </cell>
          <cell r="CM2755" t="str">
            <v xml:space="preserve">NFT-/XUTR/DEUTH024281A0KN4X </v>
          </cell>
          <cell r="CN2755" t="str">
            <v>2024-10-07</v>
          </cell>
          <cell r="CO2755">
            <v>2879.7379999999998</v>
          </cell>
        </row>
        <row r="2756">
          <cell r="CJ2756" t="str">
            <v xml:space="preserve">NFT-/XUTR/DEUTH024281A0K61X </v>
          </cell>
          <cell r="CK2756" t="str">
            <v>2024-10-07</v>
          </cell>
          <cell r="CL2756">
            <v>80852.259999999995</v>
          </cell>
        </row>
        <row r="2757">
          <cell r="CJ2757" t="str">
            <v xml:space="preserve">NFT-/XUTR/DEUTH024281A0K61X </v>
          </cell>
          <cell r="CK2757" t="str">
            <v>2024-10-07</v>
          </cell>
          <cell r="CL2757">
            <v>15307.276</v>
          </cell>
          <cell r="CM2757" t="str">
            <v xml:space="preserve">NFT-/XUTR/DEUTH024281A0KN4X </v>
          </cell>
          <cell r="CN2757" t="str">
            <v>2024-10-07</v>
          </cell>
          <cell r="CO2757">
            <v>1159.9770000000001</v>
          </cell>
        </row>
        <row r="2758">
          <cell r="CJ2758" t="str">
            <v xml:space="preserve">NFT-/XUTR/DEUTH024281A0K61X </v>
          </cell>
          <cell r="CK2758" t="str">
            <v>2024-10-07</v>
          </cell>
          <cell r="CL2758">
            <v>38984.631999999998</v>
          </cell>
          <cell r="CM2758" t="str">
            <v xml:space="preserve">NFT-/XUTR/DEUTH024281A0KN4X </v>
          </cell>
          <cell r="CN2758" t="str">
            <v>2024-10-07</v>
          </cell>
          <cell r="CO2758">
            <v>2057.37</v>
          </cell>
        </row>
        <row r="2759">
          <cell r="CJ2759" t="str">
            <v xml:space="preserve">NFT-/XUTR/DEUTH024281A0K61X </v>
          </cell>
          <cell r="CK2759" t="str">
            <v>2024-10-07</v>
          </cell>
          <cell r="CL2759">
            <v>15307.276</v>
          </cell>
          <cell r="CM2759" t="str">
            <v xml:space="preserve">NFT-/XUTR/DEUTH024281A0KN4X </v>
          </cell>
          <cell r="CN2759" t="str">
            <v>2024-10-07</v>
          </cell>
          <cell r="CO2759">
            <v>1159.9770000000001</v>
          </cell>
        </row>
        <row r="2760">
          <cell r="CJ2760" t="str">
            <v xml:space="preserve">NFT-/XUTR/DEUTH024281A0K61X </v>
          </cell>
          <cell r="CK2760" t="str">
            <v>2024-10-07</v>
          </cell>
          <cell r="CL2760">
            <v>7722.8379999999997</v>
          </cell>
          <cell r="CM2760" t="str">
            <v xml:space="preserve">NFT-/XUTR/DEUTH024281A0KN4X </v>
          </cell>
          <cell r="CN2760" t="str">
            <v>2024-10-07</v>
          </cell>
          <cell r="CO2760">
            <v>587.68200000000002</v>
          </cell>
        </row>
        <row r="2761">
          <cell r="CJ2761" t="str">
            <v xml:space="preserve">NFT-/XUTR/DEUTH024281A0K61X </v>
          </cell>
          <cell r="CK2761" t="str">
            <v>2024-10-07</v>
          </cell>
          <cell r="CL2761">
            <v>15307.276</v>
          </cell>
          <cell r="CM2761" t="str">
            <v xml:space="preserve">NFT-/XUTR/DEUTH024281A0KN4X </v>
          </cell>
          <cell r="CN2761" t="str">
            <v>2024-10-07</v>
          </cell>
          <cell r="CO2761">
            <v>1159.9770000000001</v>
          </cell>
        </row>
        <row r="2762">
          <cell r="CJ2762" t="str">
            <v xml:space="preserve">NFT-/XUTR/DEUTH024281A0K61X </v>
          </cell>
          <cell r="CK2762" t="str">
            <v>2024-10-07</v>
          </cell>
          <cell r="CL2762">
            <v>38152.822999999997</v>
          </cell>
          <cell r="CM2762" t="str">
            <v xml:space="preserve">NFT-/XUTR/DEUTH024281A0KN4X </v>
          </cell>
          <cell r="CN2762" t="str">
            <v>2024-10-07</v>
          </cell>
          <cell r="CO2762">
            <v>2879.7379999999998</v>
          </cell>
        </row>
        <row r="2763">
          <cell r="CJ2763" t="str">
            <v xml:space="preserve">NFT-/XUTR/DEUTH024281A0K61X </v>
          </cell>
          <cell r="CK2763" t="str">
            <v>2024-10-07</v>
          </cell>
          <cell r="CL2763">
            <v>20409.240000000002</v>
          </cell>
          <cell r="CM2763" t="str">
            <v xml:space="preserve">NFT-/XUTR/DEUTH024281A0KN4X </v>
          </cell>
          <cell r="CN2763" t="str">
            <v>2024-10-07</v>
          </cell>
          <cell r="CO2763">
            <v>1562.0219999999999</v>
          </cell>
        </row>
        <row r="2764">
          <cell r="CJ2764" t="str">
            <v xml:space="preserve">NFT-/XUTR/DEUTH024281A0K61X </v>
          </cell>
          <cell r="CK2764" t="str">
            <v>2024-10-07</v>
          </cell>
          <cell r="CL2764">
            <v>38152.822999999997</v>
          </cell>
          <cell r="CM2764" t="str">
            <v xml:space="preserve">NFT-/XUTR/DEUTH024281A0KN4X </v>
          </cell>
          <cell r="CN2764" t="str">
            <v>2024-10-07</v>
          </cell>
          <cell r="CO2764">
            <v>2879.7379999999998</v>
          </cell>
        </row>
        <row r="2765">
          <cell r="CJ2765" t="str">
            <v xml:space="preserve">NFT-/XUTR/DEUTH024281A0K61X </v>
          </cell>
          <cell r="CK2765" t="str">
            <v>2024-10-07</v>
          </cell>
          <cell r="CL2765">
            <v>38152.822999999997</v>
          </cell>
          <cell r="CM2765" t="str">
            <v xml:space="preserve">NFT-/XUTR/DEUTH024281A0KN4X </v>
          </cell>
          <cell r="CN2765" t="str">
            <v>2024-10-07</v>
          </cell>
          <cell r="CO2765">
            <v>2879.7379999999998</v>
          </cell>
        </row>
        <row r="2766">
          <cell r="CJ2766" t="str">
            <v xml:space="preserve">NFT-/XUTR/DEUTH024281A0K61X </v>
          </cell>
          <cell r="CK2766" t="str">
            <v>2024-10-07</v>
          </cell>
          <cell r="CL2766">
            <v>38171.703999999998</v>
          </cell>
          <cell r="CM2766" t="str">
            <v xml:space="preserve">NFT-/XUTR/DEUTH024281A0KN4X </v>
          </cell>
          <cell r="CN2766" t="str">
            <v>2024-10-07</v>
          </cell>
          <cell r="CO2766">
            <v>2879.7379999999998</v>
          </cell>
          <cell r="CP2766" t="str">
            <v xml:space="preserve">NFT-/XUTR/DEUTH02428867200X </v>
          </cell>
          <cell r="CQ2766" t="str">
            <v>2024-10-14</v>
          </cell>
          <cell r="CR2766">
            <v>-38171.703999999998</v>
          </cell>
          <cell r="CS2766" t="str">
            <v xml:space="preserve">NFT-/XUTR/DEUTH02428846801X </v>
          </cell>
          <cell r="CT2766" t="str">
            <v>2024-10-14</v>
          </cell>
          <cell r="CU2766">
            <v>-2879.7379999999998</v>
          </cell>
        </row>
        <row r="2767">
          <cell r="CJ2767" t="str">
            <v xml:space="preserve">NFT-/XUTR/DEUTH024281A0K61X </v>
          </cell>
          <cell r="CK2767" t="str">
            <v>2024-10-07</v>
          </cell>
          <cell r="CL2767">
            <v>38171.703000000001</v>
          </cell>
          <cell r="CM2767" t="str">
            <v xml:space="preserve">NFT-/XUTR/DEUTH024281A0KN4X </v>
          </cell>
          <cell r="CN2767" t="str">
            <v>2024-10-07</v>
          </cell>
          <cell r="CO2767">
            <v>2879.7379999999998</v>
          </cell>
        </row>
        <row r="2768">
          <cell r="CJ2768" t="str">
            <v xml:space="preserve">NFT-/XUTR/DEUTH024281A0K61X </v>
          </cell>
          <cell r="CK2768" t="str">
            <v>2024-10-07</v>
          </cell>
          <cell r="CL2768">
            <v>38152.822999999997</v>
          </cell>
          <cell r="CM2768" t="str">
            <v xml:space="preserve">NFT-/XUTR/DEUTH024281A0KN4X </v>
          </cell>
          <cell r="CN2768" t="str">
            <v>2024-10-07</v>
          </cell>
          <cell r="CO2768">
            <v>2879.7379999999998</v>
          </cell>
        </row>
        <row r="2769">
          <cell r="CJ2769" t="str">
            <v xml:space="preserve">NFT-/XUTR/DEUTH024281A0K61X </v>
          </cell>
          <cell r="CK2769" t="str">
            <v>2024-10-07</v>
          </cell>
          <cell r="CL2769">
            <v>15326.156000000001</v>
          </cell>
          <cell r="CM2769" t="str">
            <v xml:space="preserve">NFT-/XUTR/DEUTH024281A0KN4X </v>
          </cell>
          <cell r="CN2769" t="str">
            <v>2024-10-07</v>
          </cell>
          <cell r="CO2769">
            <v>1159.9770000000001</v>
          </cell>
        </row>
        <row r="2770">
          <cell r="CJ2770" t="str">
            <v xml:space="preserve">NFT-/XUTR/DEUTH024281A0K61X </v>
          </cell>
          <cell r="CK2770" t="str">
            <v>2024-10-07</v>
          </cell>
          <cell r="CL2770">
            <v>38152.822999999997</v>
          </cell>
          <cell r="CM2770" t="str">
            <v xml:space="preserve">NFT-/XUTR/DEUTH024281A0KN4X </v>
          </cell>
          <cell r="CN2770" t="str">
            <v>2024-10-07</v>
          </cell>
          <cell r="CO2770">
            <v>2879.7379999999998</v>
          </cell>
        </row>
        <row r="2771">
          <cell r="CJ2771" t="str">
            <v xml:space="preserve">NFT-/XUTR/DEUTH024281A0K61X </v>
          </cell>
          <cell r="CK2771" t="str">
            <v>2024-10-07</v>
          </cell>
          <cell r="CL2771">
            <v>10830.78</v>
          </cell>
          <cell r="CM2771" t="str">
            <v xml:space="preserve">NFT-/XUTR/DEUTH024281A0KN4X </v>
          </cell>
          <cell r="CN2771" t="str">
            <v>2024-10-07</v>
          </cell>
          <cell r="CO2771">
            <v>827.17399999999998</v>
          </cell>
        </row>
        <row r="2772">
          <cell r="CJ2772" t="str">
            <v xml:space="preserve">NFT-/XUTR/DEUTH024281A0K61X </v>
          </cell>
          <cell r="CK2772" t="str">
            <v>2024-10-07</v>
          </cell>
          <cell r="CL2772">
            <v>80804.168000000005</v>
          </cell>
          <cell r="CM2772" t="str">
            <v xml:space="preserve">NFT-/XUTR/DEUTH02428867200X </v>
          </cell>
          <cell r="CN2772" t="str">
            <v>2024-10-14</v>
          </cell>
          <cell r="CO2772">
            <v>-80804.168000000005</v>
          </cell>
        </row>
        <row r="2773">
          <cell r="CJ2773" t="str">
            <v xml:space="preserve">NFT-/XUTR/DEUTH024281A0K61X </v>
          </cell>
          <cell r="CK2773" t="str">
            <v>2024-10-07</v>
          </cell>
          <cell r="CL2773">
            <v>30652.312000000002</v>
          </cell>
          <cell r="CM2773" t="str">
            <v xml:space="preserve">NFT-/XUTR/DEUTH024281A0KN4X </v>
          </cell>
          <cell r="CN2773" t="str">
            <v>2024-10-07</v>
          </cell>
          <cell r="CO2773">
            <v>2319.9540000000002</v>
          </cell>
        </row>
        <row r="2774">
          <cell r="CJ2774" t="str">
            <v xml:space="preserve">NFT-/XUTR/DEUTH024281A0K61X </v>
          </cell>
          <cell r="CK2774" t="str">
            <v>2024-10-07</v>
          </cell>
          <cell r="CL2774">
            <v>30669.62</v>
          </cell>
          <cell r="CM2774" t="str">
            <v xml:space="preserve">NFT-/XUTR/DEUTH024281A0KN4X </v>
          </cell>
          <cell r="CN2774" t="str">
            <v>2024-10-07</v>
          </cell>
          <cell r="CO2774">
            <v>2302.6379999999999</v>
          </cell>
        </row>
        <row r="2775">
          <cell r="CJ2775" t="str">
            <v xml:space="preserve">NFT-/XUTR/DEUTH024281A0K61X </v>
          </cell>
          <cell r="CK2775" t="str">
            <v>2024-10-07</v>
          </cell>
          <cell r="CL2775">
            <v>38152.822999999997</v>
          </cell>
          <cell r="CM2775" t="str">
            <v xml:space="preserve">NFT-/XUTR/DEUTH024281A0KN4X </v>
          </cell>
          <cell r="CN2775" t="str">
            <v>2024-10-07</v>
          </cell>
          <cell r="CO2775">
            <v>2879.7379999999998</v>
          </cell>
        </row>
        <row r="2776">
          <cell r="CJ2776" t="str">
            <v xml:space="preserve">NFT-/XUTR/DEUTH024281A0K61X </v>
          </cell>
          <cell r="CK2776" t="str">
            <v>2024-10-07</v>
          </cell>
          <cell r="CL2776">
            <v>7722.8379999999997</v>
          </cell>
          <cell r="CM2776" t="str">
            <v xml:space="preserve">NFT-/XUTR/DEUTH024281A0KN4X </v>
          </cell>
          <cell r="CN2776" t="str">
            <v>2024-10-07</v>
          </cell>
          <cell r="CO2776">
            <v>587.68200000000002</v>
          </cell>
        </row>
        <row r="2777">
          <cell r="CJ2777" t="str">
            <v xml:space="preserve">NFT-/XUTR/DEUTH024281A0K61X </v>
          </cell>
          <cell r="CK2777" t="str">
            <v>2024-10-07</v>
          </cell>
          <cell r="CL2777">
            <v>77918.657999999996</v>
          </cell>
          <cell r="CM2777" t="str">
            <v xml:space="preserve">NFT-/XUTR/DEUTH024281A0KN4X </v>
          </cell>
          <cell r="CN2777" t="str">
            <v>2024-10-07</v>
          </cell>
          <cell r="CO2777">
            <v>2885.51</v>
          </cell>
        </row>
        <row r="2778">
          <cell r="CJ2778" t="str">
            <v xml:space="preserve">NFT-/XUTR/DEUTH024281A0K61X </v>
          </cell>
          <cell r="CK2778" t="str">
            <v>2024-10-07</v>
          </cell>
          <cell r="CL2778">
            <v>15307.406000000001</v>
          </cell>
          <cell r="CM2778" t="str">
            <v xml:space="preserve">NFT-/XUTR/DEUTH024281A0KN4X </v>
          </cell>
          <cell r="CN2778" t="str">
            <v>2024-10-07</v>
          </cell>
          <cell r="CO2778">
            <v>1171.5139999999999</v>
          </cell>
        </row>
        <row r="2779">
          <cell r="CJ2779" t="str">
            <v xml:space="preserve">NFT-/XUTR/DEUTH024281A0K61X </v>
          </cell>
          <cell r="CK2779" t="str">
            <v>2024-10-07</v>
          </cell>
          <cell r="CL2779">
            <v>79072.861999999994</v>
          </cell>
          <cell r="CM2779" t="str">
            <v xml:space="preserve">NFT-/XUTR/DEUTH024281A0KN4X </v>
          </cell>
          <cell r="CN2779" t="str">
            <v>2024-10-07</v>
          </cell>
          <cell r="CO2779">
            <v>2885.511</v>
          </cell>
        </row>
        <row r="2780">
          <cell r="CJ2780" t="str">
            <v xml:space="preserve">NFT-/XUTR/DEUTH024281A0K61X </v>
          </cell>
          <cell r="CK2780" t="str">
            <v>2024-10-07</v>
          </cell>
          <cell r="CL2780">
            <v>15307.276</v>
          </cell>
          <cell r="CM2780" t="str">
            <v xml:space="preserve">NFT-/XUTR/DEUTH024281A0KN4X </v>
          </cell>
          <cell r="CN2780" t="str">
            <v>2024-10-07</v>
          </cell>
          <cell r="CO2780">
            <v>1159.9770000000001</v>
          </cell>
        </row>
        <row r="2781">
          <cell r="CJ2781" t="str">
            <v xml:space="preserve">NFT-/XUTR/DEUTH024281A0K61X </v>
          </cell>
          <cell r="CK2781" t="str">
            <v>2024-10-07</v>
          </cell>
          <cell r="CL2781">
            <v>38171.703000000001</v>
          </cell>
          <cell r="CM2781" t="str">
            <v xml:space="preserve">NFT-/XUTR/DEUTH024281A0KN4X </v>
          </cell>
          <cell r="CN2781" t="str">
            <v>2024-10-07</v>
          </cell>
          <cell r="CO2781">
            <v>2879.7379999999998</v>
          </cell>
        </row>
        <row r="2782">
          <cell r="CJ2782" t="str">
            <v xml:space="preserve">NFT-/XUTR/DEUTH024281A0K61X </v>
          </cell>
          <cell r="CK2782" t="str">
            <v>2024-10-07</v>
          </cell>
          <cell r="CL2782">
            <v>30669.62</v>
          </cell>
          <cell r="CM2782" t="str">
            <v xml:space="preserve">NFT-/XUTR/DEUTH024281A0KN4X </v>
          </cell>
          <cell r="CN2782" t="str">
            <v>2024-10-07</v>
          </cell>
          <cell r="CO2782">
            <v>2302.6379999999999</v>
          </cell>
        </row>
        <row r="2783">
          <cell r="CJ2783" t="str">
            <v xml:space="preserve">NFT-/XUTR/DEUTH024281A0K61X </v>
          </cell>
          <cell r="CK2783" t="str">
            <v>2024-10-07</v>
          </cell>
          <cell r="CL2783">
            <v>5810.1019999999999</v>
          </cell>
        </row>
        <row r="2784">
          <cell r="CJ2784" t="str">
            <v xml:space="preserve">NFT-/XUTR/DEUTH024281A0K61X </v>
          </cell>
          <cell r="CK2784" t="str">
            <v>2024-10-07</v>
          </cell>
          <cell r="CL2784">
            <v>7727.6450000000004</v>
          </cell>
          <cell r="CM2784" t="str">
            <v xml:space="preserve">NFT-/XUTR/DEUTH024281A0KN4X </v>
          </cell>
          <cell r="CN2784" t="str">
            <v>2024-10-07</v>
          </cell>
          <cell r="CO2784">
            <v>582.87400000000002</v>
          </cell>
        </row>
        <row r="2785">
          <cell r="CJ2785" t="str">
            <v xml:space="preserve">NFT-/XUTR/DEUTH024281A0K61X </v>
          </cell>
          <cell r="CK2785" t="str">
            <v>2024-10-07</v>
          </cell>
          <cell r="CL2785">
            <v>38171.703000000001</v>
          </cell>
          <cell r="CM2785" t="str">
            <v xml:space="preserve">NFT-/XUTR/DEUTH024281A0KN4X </v>
          </cell>
          <cell r="CN2785" t="str">
            <v>2024-10-07</v>
          </cell>
          <cell r="CO2785">
            <v>2879.7379999999998</v>
          </cell>
        </row>
        <row r="2786">
          <cell r="CJ2786" t="str">
            <v xml:space="preserve">NFT-/XUTR/DEUTH024281A0K61X </v>
          </cell>
          <cell r="CK2786" t="str">
            <v>2024-10-07</v>
          </cell>
          <cell r="CL2786">
            <v>5828.982</v>
          </cell>
        </row>
        <row r="2787">
          <cell r="CJ2787" t="str">
            <v xml:space="preserve">NFT-/XUTR/DEUTH024281A0K61X </v>
          </cell>
          <cell r="CK2787" t="str">
            <v>2024-10-07</v>
          </cell>
          <cell r="CL2787">
            <v>15307.276</v>
          </cell>
          <cell r="CM2787" t="str">
            <v xml:space="preserve">NFT-/XUTR/DEUTH024281A0KN4X </v>
          </cell>
          <cell r="CN2787" t="str">
            <v>2024-10-07</v>
          </cell>
          <cell r="CO2787">
            <v>1159.9770000000001</v>
          </cell>
        </row>
        <row r="2788">
          <cell r="CJ2788" t="str">
            <v xml:space="preserve">NFT-/XUTR/DEUTH024281A0K61X </v>
          </cell>
          <cell r="CK2788" t="str">
            <v>2024-10-07</v>
          </cell>
          <cell r="CL2788">
            <v>38152.822999999997</v>
          </cell>
          <cell r="CM2788" t="str">
            <v xml:space="preserve">NFT-/XUTR/DEUTH024281A0KN4X </v>
          </cell>
          <cell r="CN2788" t="str">
            <v>2024-10-07</v>
          </cell>
          <cell r="CO2788">
            <v>2879.7379999999998</v>
          </cell>
        </row>
        <row r="2789">
          <cell r="CJ2789" t="str">
            <v xml:space="preserve">NFT-/XUTR/DEUTH024281A0K61X </v>
          </cell>
          <cell r="CK2789" t="str">
            <v>2024-10-07</v>
          </cell>
          <cell r="CL2789">
            <v>38171.703999999998</v>
          </cell>
          <cell r="CM2789" t="str">
            <v xml:space="preserve">NFT-/XUTR/DEUTH024281A0KN4X </v>
          </cell>
          <cell r="CN2789" t="str">
            <v>2024-10-07</v>
          </cell>
          <cell r="CO2789">
            <v>2879.7379999999998</v>
          </cell>
        </row>
        <row r="2790">
          <cell r="CJ2790" t="str">
            <v xml:space="preserve">NFT-/XUTR/DEUTH024281A0K61X </v>
          </cell>
          <cell r="CK2790" t="str">
            <v>2024-10-07</v>
          </cell>
          <cell r="CL2790">
            <v>38152.822999999997</v>
          </cell>
          <cell r="CM2790" t="str">
            <v xml:space="preserve">NFT-/XUTR/DEUTH024281A0KN4X </v>
          </cell>
          <cell r="CN2790" t="str">
            <v>2024-10-07</v>
          </cell>
          <cell r="CO2790">
            <v>2879.7379999999998</v>
          </cell>
        </row>
        <row r="2791">
          <cell r="CJ2791" t="str">
            <v xml:space="preserve">NFT-/XUTR/DEUTH024281A0K61X </v>
          </cell>
          <cell r="CK2791" t="str">
            <v>2024-10-07</v>
          </cell>
          <cell r="CL2791">
            <v>5416.3490000000002</v>
          </cell>
          <cell r="CM2791" t="str">
            <v xml:space="preserve">NFT-/XUTR/DEUTH024281A0KN4X </v>
          </cell>
          <cell r="CN2791" t="str">
            <v>2024-10-07</v>
          </cell>
          <cell r="CO2791">
            <v>412.63299999999998</v>
          </cell>
        </row>
        <row r="2792">
          <cell r="CJ2792" t="str">
            <v xml:space="preserve">NFT-/XUTR/DEUTH024281A0K61X </v>
          </cell>
          <cell r="CK2792" t="str">
            <v>2024-10-07</v>
          </cell>
          <cell r="CL2792">
            <v>20531.864000000001</v>
          </cell>
          <cell r="CM2792" t="str">
            <v xml:space="preserve">NFT-/XUTR/DEUTH024281A0KN4X </v>
          </cell>
          <cell r="CN2792" t="str">
            <v>2024-10-07</v>
          </cell>
          <cell r="CO2792">
            <v>1436.9839999999999</v>
          </cell>
        </row>
        <row r="2793">
          <cell r="CJ2793" t="str">
            <v xml:space="preserve">NFT-/XUTR/DEUTH024281A0K61X </v>
          </cell>
          <cell r="CK2793" t="str">
            <v>2024-10-07</v>
          </cell>
          <cell r="CL2793">
            <v>38152.822999999997</v>
          </cell>
          <cell r="CM2793" t="str">
            <v xml:space="preserve">NFT-/XUTR/DEUTH024281A0KN4X </v>
          </cell>
          <cell r="CN2793" t="str">
            <v>2024-10-07</v>
          </cell>
          <cell r="CO2793">
            <v>2879.7379999999998</v>
          </cell>
        </row>
        <row r="2794">
          <cell r="CJ2794" t="str">
            <v xml:space="preserve">NFT-/XUTR/DEUTH024281A0K61X </v>
          </cell>
          <cell r="CK2794" t="str">
            <v>2024-10-07</v>
          </cell>
          <cell r="CL2794">
            <v>15326.156000000001</v>
          </cell>
          <cell r="CM2794" t="str">
            <v xml:space="preserve">NFT-/XUTR/DEUTH024281A0KN4X </v>
          </cell>
          <cell r="CN2794" t="str">
            <v>2024-10-07</v>
          </cell>
          <cell r="CO2794">
            <v>1159.9770000000001</v>
          </cell>
        </row>
        <row r="2795">
          <cell r="CJ2795" t="str">
            <v xml:space="preserve">NFT-/XUTR/DEUTH024281A0K61X </v>
          </cell>
          <cell r="CK2795" t="str">
            <v>2024-10-07</v>
          </cell>
          <cell r="CL2795">
            <v>77918.657999999996</v>
          </cell>
          <cell r="CM2795" t="str">
            <v xml:space="preserve">NFT-/XUTR/DEUTH024281A0KN4X </v>
          </cell>
          <cell r="CN2795" t="str">
            <v>2024-10-07</v>
          </cell>
          <cell r="CO2795">
            <v>2885.51</v>
          </cell>
        </row>
        <row r="2796">
          <cell r="CJ2796" t="str">
            <v xml:space="preserve">NFT-/XUTR/DEUTH024281A0K61X </v>
          </cell>
          <cell r="CK2796" t="str">
            <v>2024-10-07</v>
          </cell>
          <cell r="CL2796">
            <v>77899.777000000002</v>
          </cell>
          <cell r="CM2796" t="str">
            <v xml:space="preserve">NFT-/XUTR/DEUTH024281A0KN4X </v>
          </cell>
          <cell r="CN2796" t="str">
            <v>2024-10-07</v>
          </cell>
          <cell r="CO2796">
            <v>2885.511</v>
          </cell>
        </row>
        <row r="2797">
          <cell r="CJ2797" t="str">
            <v xml:space="preserve">NFT-/XUTR/DEUTH024281A0K61X </v>
          </cell>
          <cell r="CK2797" t="str">
            <v>2024-10-07</v>
          </cell>
          <cell r="CL2797">
            <v>7727.6450000000004</v>
          </cell>
          <cell r="CM2797" t="str">
            <v xml:space="preserve">NFT-/XUTR/DEUTH024281A0KN4X </v>
          </cell>
          <cell r="CN2797" t="str">
            <v>2024-10-07</v>
          </cell>
          <cell r="CO2797">
            <v>582.87400000000002</v>
          </cell>
        </row>
        <row r="2798">
          <cell r="CJ2798" t="str">
            <v xml:space="preserve">NFT-/XUTR/DEUTH024281A0K61X </v>
          </cell>
          <cell r="CK2798" t="str">
            <v>2024-10-07</v>
          </cell>
          <cell r="CL2798">
            <v>38152.822999999997</v>
          </cell>
          <cell r="CM2798" t="str">
            <v xml:space="preserve">NFT-/XUTR/DEUTH024281A0KN4X </v>
          </cell>
          <cell r="CN2798" t="str">
            <v>2024-10-07</v>
          </cell>
          <cell r="CO2798">
            <v>2879.7379999999998</v>
          </cell>
        </row>
        <row r="2799">
          <cell r="CJ2799" t="str">
            <v xml:space="preserve">NFT-/XUTR/DEUTH024281A0K61X </v>
          </cell>
          <cell r="CK2799" t="str">
            <v>2024-10-07</v>
          </cell>
          <cell r="CL2799">
            <v>7727.6450000000004</v>
          </cell>
          <cell r="CM2799" t="str">
            <v xml:space="preserve">NFT-/XUTR/DEUTH024281A0KN4X </v>
          </cell>
          <cell r="CN2799" t="str">
            <v>2024-10-07</v>
          </cell>
          <cell r="CO2799">
            <v>582.87400000000002</v>
          </cell>
        </row>
        <row r="2800">
          <cell r="CJ2800" t="str">
            <v xml:space="preserve">NFT-/XUTR/DEUTH024281A0K61X </v>
          </cell>
          <cell r="CK2800" t="str">
            <v>2024-10-07</v>
          </cell>
          <cell r="CL2800">
            <v>77899.777000000002</v>
          </cell>
          <cell r="CM2800" t="str">
            <v xml:space="preserve">NFT-/XUTR/DEUTH024281A0KN4X </v>
          </cell>
          <cell r="CN2800" t="str">
            <v>2024-10-07</v>
          </cell>
          <cell r="CO2800">
            <v>2885.511</v>
          </cell>
        </row>
        <row r="2801">
          <cell r="CJ2801" t="str">
            <v xml:space="preserve">NFT-/XUTR/DEUTH024281A0K61X </v>
          </cell>
          <cell r="CK2801" t="str">
            <v>2024-10-07</v>
          </cell>
          <cell r="CL2801">
            <v>38152.822999999997</v>
          </cell>
          <cell r="CM2801" t="str">
            <v xml:space="preserve">NFT-/XUTR/DEUTH024281A0KN4X </v>
          </cell>
          <cell r="CN2801" t="str">
            <v>2024-10-07</v>
          </cell>
          <cell r="CO2801">
            <v>2879.7379999999998</v>
          </cell>
        </row>
        <row r="2802">
          <cell r="CJ2802" t="str">
            <v xml:space="preserve">NFT-/XUTR/DEUTH024281A0K61X </v>
          </cell>
          <cell r="CK2802" t="str">
            <v>2024-10-07</v>
          </cell>
          <cell r="CL2802">
            <v>15307.276</v>
          </cell>
          <cell r="CM2802" t="str">
            <v xml:space="preserve">NFT-/XUTR/DEUTH024281A0KN4X </v>
          </cell>
          <cell r="CN2802" t="str">
            <v>2024-10-07</v>
          </cell>
          <cell r="CO2802">
            <v>1159.9770000000001</v>
          </cell>
        </row>
        <row r="2803">
          <cell r="CJ2803" t="str">
            <v xml:space="preserve">NFT-/XUTR/DEUTH024281A0K61X </v>
          </cell>
          <cell r="CK2803" t="str">
            <v>2024-10-07</v>
          </cell>
          <cell r="CL2803">
            <v>38171.703999999998</v>
          </cell>
          <cell r="CM2803" t="str">
            <v xml:space="preserve">NFT-/XUTR/DEUTH024281A0KN4X </v>
          </cell>
          <cell r="CN2803" t="str">
            <v>2024-10-07</v>
          </cell>
          <cell r="CO2803">
            <v>2879.7379999999998</v>
          </cell>
        </row>
        <row r="2804">
          <cell r="CJ2804" t="str">
            <v xml:space="preserve">NFT-/XUTR/DEUTH024281A0K61X </v>
          </cell>
          <cell r="CK2804" t="str">
            <v>2024-10-07</v>
          </cell>
          <cell r="CL2804">
            <v>15326.156000000001</v>
          </cell>
          <cell r="CM2804" t="str">
            <v xml:space="preserve">NFT-/XUTR/DEUTH024281A0KN4X </v>
          </cell>
          <cell r="CN2804" t="str">
            <v>2024-10-07</v>
          </cell>
          <cell r="CO2804">
            <v>1159.9770000000001</v>
          </cell>
        </row>
        <row r="2805">
          <cell r="CJ2805" t="str">
            <v xml:space="preserve">NFT-/XUTR/DEUTH024281A0K61X </v>
          </cell>
          <cell r="CK2805" t="str">
            <v>2024-10-07</v>
          </cell>
          <cell r="CL2805">
            <v>10209.183000000001</v>
          </cell>
          <cell r="CM2805" t="str">
            <v xml:space="preserve">NFT-/XUTR/DEUTH024281A0KN4X </v>
          </cell>
          <cell r="CN2805" t="str">
            <v>2024-10-07</v>
          </cell>
          <cell r="CO2805">
            <v>775.24300000000005</v>
          </cell>
        </row>
        <row r="2806">
          <cell r="CJ2806" t="str">
            <v xml:space="preserve">NFT-/XUTR/DEUTH024281A0K61X </v>
          </cell>
          <cell r="CK2806" t="str">
            <v>2024-10-07</v>
          </cell>
          <cell r="CL2806">
            <v>20520.808000000001</v>
          </cell>
          <cell r="CM2806" t="str">
            <v xml:space="preserve">NFT-/XUTR/DEUTH024281A0KN4X </v>
          </cell>
          <cell r="CN2806" t="str">
            <v>2024-10-07</v>
          </cell>
          <cell r="CO2806">
            <v>1450.45</v>
          </cell>
        </row>
        <row r="2807">
          <cell r="CJ2807" t="str">
            <v xml:space="preserve">NFT-/XUTR/DEUTH024281A0K61X </v>
          </cell>
          <cell r="CK2807" t="str">
            <v>2024-10-07</v>
          </cell>
          <cell r="CL2807">
            <v>38152.822999999997</v>
          </cell>
          <cell r="CM2807" t="str">
            <v xml:space="preserve">NFT-/XUTR/DEUTH024281A0KN4X </v>
          </cell>
          <cell r="CN2807" t="str">
            <v>2024-10-07</v>
          </cell>
          <cell r="CO2807">
            <v>2879.7379999999998</v>
          </cell>
        </row>
        <row r="2808">
          <cell r="CJ2808" t="str">
            <v xml:space="preserve">NFT-/XUTR/DEUTH024281A0K61X </v>
          </cell>
          <cell r="CK2808" t="str">
            <v>2024-10-07</v>
          </cell>
          <cell r="CL2808">
            <v>38152.822999999997</v>
          </cell>
          <cell r="CM2808" t="str">
            <v xml:space="preserve">NFT-/XUTR/DEUTH024281A0KN4X </v>
          </cell>
          <cell r="CN2808" t="str">
            <v>2024-10-07</v>
          </cell>
          <cell r="CO2808">
            <v>2879.7379999999998</v>
          </cell>
        </row>
        <row r="2809">
          <cell r="CJ2809" t="str">
            <v xml:space="preserve">NFT-/XUTR/DEUTH024281A0K61X </v>
          </cell>
          <cell r="CK2809" t="str">
            <v>2024-10-07</v>
          </cell>
          <cell r="CL2809">
            <v>38171.703000000001</v>
          </cell>
          <cell r="CM2809" t="str">
            <v xml:space="preserve">NFT-/XUTR/DEUTH024281A0KN4X </v>
          </cell>
          <cell r="CN2809" t="str">
            <v>2024-10-07</v>
          </cell>
          <cell r="CO2809">
            <v>2879.7379999999998</v>
          </cell>
        </row>
        <row r="2810">
          <cell r="CJ2810" t="str">
            <v xml:space="preserve">NFT-/XUTR/DEUTH024281A0K61X </v>
          </cell>
          <cell r="CK2810" t="str">
            <v>2024-10-07</v>
          </cell>
          <cell r="CL2810">
            <v>9975.4609999999993</v>
          </cell>
          <cell r="CM2810" t="str">
            <v xml:space="preserve">NFT-/XUTR/DEUTH024281A0KN4X </v>
          </cell>
          <cell r="CN2810" t="str">
            <v>2024-10-07</v>
          </cell>
          <cell r="CO2810">
            <v>1326.377</v>
          </cell>
        </row>
        <row r="2811">
          <cell r="CJ2811" t="str">
            <v xml:space="preserve">NFT-/XUTR/DEUTH024281A0K61X </v>
          </cell>
          <cell r="CK2811" t="str">
            <v>2024-10-07</v>
          </cell>
          <cell r="CL2811">
            <v>38171.703999999998</v>
          </cell>
          <cell r="CM2811" t="str">
            <v xml:space="preserve">NFT-/XUTR/DEUTH024281A0KN4X </v>
          </cell>
          <cell r="CN2811" t="str">
            <v>2024-10-07</v>
          </cell>
          <cell r="CO2811">
            <v>2879.7379999999998</v>
          </cell>
        </row>
        <row r="2812">
          <cell r="CJ2812" t="str">
            <v xml:space="preserve">NFT-/XUTR/DEUTH024281A0K61X </v>
          </cell>
          <cell r="CK2812" t="str">
            <v>2024-10-07</v>
          </cell>
          <cell r="CL2812">
            <v>30669.62</v>
          </cell>
          <cell r="CM2812" t="str">
            <v xml:space="preserve">NFT-/XUTR/DEUTH024281A0KN4X </v>
          </cell>
          <cell r="CN2812" t="str">
            <v>2024-10-07</v>
          </cell>
          <cell r="CO2812">
            <v>2302.6379999999999</v>
          </cell>
        </row>
        <row r="2813">
          <cell r="CJ2813" t="str">
            <v xml:space="preserve">NFT-/XUTR/DEUTH024281A0K61X </v>
          </cell>
          <cell r="CK2813" t="str">
            <v>2024-10-07</v>
          </cell>
          <cell r="CL2813">
            <v>38171.703000000001</v>
          </cell>
          <cell r="CM2813" t="str">
            <v xml:space="preserve">NFT-/XUTR/DEUTH024281A0KN4X </v>
          </cell>
          <cell r="CN2813" t="str">
            <v>2024-10-07</v>
          </cell>
          <cell r="CO2813">
            <v>2879.7379999999998</v>
          </cell>
        </row>
        <row r="2814">
          <cell r="CJ2814" t="str">
            <v xml:space="preserve">NFT-/XUTR/DEUTH024281A0K61X </v>
          </cell>
          <cell r="CK2814" t="str">
            <v>2024-10-07</v>
          </cell>
          <cell r="CL2814">
            <v>37926.436999999998</v>
          </cell>
          <cell r="CM2814" t="str">
            <v xml:space="preserve">NFT-/XUTR/DEUTH024281A0KN4X </v>
          </cell>
          <cell r="CN2814" t="str">
            <v>2024-10-07</v>
          </cell>
          <cell r="CO2814">
            <v>3125.0039999999999</v>
          </cell>
          <cell r="CP2814" t="str">
            <v xml:space="preserve">NFT-/XUTR/DEUTH02428867200X </v>
          </cell>
          <cell r="CQ2814" t="str">
            <v>2024-10-14</v>
          </cell>
          <cell r="CR2814">
            <v>-37926.436999999998</v>
          </cell>
          <cell r="CS2814" t="str">
            <v xml:space="preserve">NFT-/XUTR/DEUTH02428846801X </v>
          </cell>
          <cell r="CT2814" t="str">
            <v>2024-10-14</v>
          </cell>
          <cell r="CU2814">
            <v>-3125.0039999999999</v>
          </cell>
        </row>
        <row r="2815">
          <cell r="CJ2815" t="str">
            <v xml:space="preserve">NFT-/XUTR/DEUTH024281A0K61X </v>
          </cell>
          <cell r="CK2815" t="str">
            <v>2024-10-07</v>
          </cell>
          <cell r="CL2815">
            <v>38152.822999999997</v>
          </cell>
          <cell r="CM2815" t="str">
            <v xml:space="preserve">NFT-/XUTR/DEUTH024281A0KN4X </v>
          </cell>
          <cell r="CN2815" t="str">
            <v>2024-10-07</v>
          </cell>
          <cell r="CO2815">
            <v>2879.7379999999998</v>
          </cell>
          <cell r="CP2815" t="str">
            <v xml:space="preserve">NFT-/XUTR/DEUTH02428867200X </v>
          </cell>
          <cell r="CQ2815" t="str">
            <v>2024-10-14</v>
          </cell>
          <cell r="CR2815">
            <v>-38152.822999999997</v>
          </cell>
          <cell r="CS2815" t="str">
            <v xml:space="preserve">NFT-/XUTR/DEUTH02428846801X </v>
          </cell>
          <cell r="CT2815" t="str">
            <v>2024-10-14</v>
          </cell>
          <cell r="CU2815">
            <v>-2879.7379999999998</v>
          </cell>
        </row>
        <row r="2816">
          <cell r="CJ2816" t="str">
            <v xml:space="preserve">NFT-/XUTR/DEUTH024281A0K61X </v>
          </cell>
          <cell r="CK2816" t="str">
            <v>2024-10-07</v>
          </cell>
          <cell r="CL2816">
            <v>38152.822999999997</v>
          </cell>
          <cell r="CM2816" t="str">
            <v xml:space="preserve">NFT-/XUTR/DEUTH024281A0KN4X </v>
          </cell>
          <cell r="CN2816" t="str">
            <v>2024-10-07</v>
          </cell>
          <cell r="CO2816">
            <v>2879.7379999999998</v>
          </cell>
        </row>
        <row r="2817">
          <cell r="CJ2817" t="str">
            <v xml:space="preserve">NFT-/XUTR/DEUTH024281A0K61X </v>
          </cell>
          <cell r="CK2817" t="str">
            <v>2024-10-07</v>
          </cell>
          <cell r="CL2817">
            <v>38171.703000000001</v>
          </cell>
          <cell r="CM2817" t="str">
            <v xml:space="preserve">NFT-/XUTR/DEUTH024281A0KN4X </v>
          </cell>
          <cell r="CN2817" t="str">
            <v>2024-10-07</v>
          </cell>
          <cell r="CO2817">
            <v>2879.7379999999998</v>
          </cell>
        </row>
        <row r="2818">
          <cell r="CJ2818" t="str">
            <v xml:space="preserve">NFT-/XUTR/DEUTH024281A0K61X </v>
          </cell>
          <cell r="CK2818" t="str">
            <v>2024-10-07</v>
          </cell>
          <cell r="CL2818">
            <v>38152.822999999997</v>
          </cell>
          <cell r="CM2818" t="str">
            <v xml:space="preserve">NFT-/XUTR/DEUTH024281A0KN4X </v>
          </cell>
          <cell r="CN2818" t="str">
            <v>2024-10-07</v>
          </cell>
          <cell r="CO2818">
            <v>2879.7379999999998</v>
          </cell>
        </row>
        <row r="2819">
          <cell r="CJ2819" t="str">
            <v xml:space="preserve">NFT-/XUTR/DEUTH024281A0K61X </v>
          </cell>
          <cell r="CK2819" t="str">
            <v>2024-10-07</v>
          </cell>
          <cell r="CL2819">
            <v>9975.4609999999993</v>
          </cell>
          <cell r="CM2819" t="str">
            <v xml:space="preserve">NFT-/XUTR/DEUTH024281A0KN4X </v>
          </cell>
          <cell r="CN2819" t="str">
            <v>2024-10-07</v>
          </cell>
          <cell r="CO2819">
            <v>1326.377</v>
          </cell>
        </row>
        <row r="2820">
          <cell r="CJ2820" t="str">
            <v xml:space="preserve">NFT-/XUTR/DEUTH024281A0K61X </v>
          </cell>
          <cell r="CK2820" t="str">
            <v>2024-10-07</v>
          </cell>
          <cell r="CL2820">
            <v>38152.822999999997</v>
          </cell>
          <cell r="CM2820" t="str">
            <v xml:space="preserve">NFT-/XUTR/DEUTH024281A0KN4X </v>
          </cell>
          <cell r="CN2820" t="str">
            <v>2024-10-07</v>
          </cell>
          <cell r="CO2820">
            <v>2879.7379999999998</v>
          </cell>
        </row>
        <row r="2821">
          <cell r="CJ2821" t="str">
            <v xml:space="preserve">NFT-/XUTR/DEUTH024281A0K61X </v>
          </cell>
          <cell r="CK2821" t="str">
            <v>2024-10-07</v>
          </cell>
          <cell r="CL2821">
            <v>15326.156000000001</v>
          </cell>
          <cell r="CM2821" t="str">
            <v xml:space="preserve">NFT-/XUTR/DEUTH024281A0KN4X </v>
          </cell>
          <cell r="CN2821" t="str">
            <v>2024-10-07</v>
          </cell>
          <cell r="CO2821">
            <v>1159.9770000000001</v>
          </cell>
        </row>
        <row r="2822">
          <cell r="CJ2822" t="str">
            <v xml:space="preserve">NFT-/XUTR/DEUTH024281A0K61X </v>
          </cell>
          <cell r="CK2822" t="str">
            <v>2024-10-07</v>
          </cell>
          <cell r="CL2822">
            <v>14799.066999999999</v>
          </cell>
          <cell r="CM2822" t="str">
            <v xml:space="preserve">NFT-/XUTR/DEUTH024281A0KN4X </v>
          </cell>
          <cell r="CN2822" t="str">
            <v>2024-10-07</v>
          </cell>
          <cell r="CO2822">
            <v>1687.067</v>
          </cell>
        </row>
        <row r="2823">
          <cell r="CJ2823" t="str">
            <v xml:space="preserve">NFT-/XUTR/DEUTH024281A0K61X </v>
          </cell>
          <cell r="CK2823" t="str">
            <v>2024-10-07</v>
          </cell>
          <cell r="CL2823">
            <v>15326.156000000001</v>
          </cell>
          <cell r="CM2823" t="str">
            <v xml:space="preserve">NFT-/XUTR/DEUTH024281A0KN4X </v>
          </cell>
          <cell r="CN2823" t="str">
            <v>2024-10-07</v>
          </cell>
          <cell r="CO2823">
            <v>1159.9770000000001</v>
          </cell>
        </row>
        <row r="2824">
          <cell r="CJ2824" t="str">
            <v xml:space="preserve">NFT-/XUTR/DEUTH024281A0K61X </v>
          </cell>
          <cell r="CK2824" t="str">
            <v>2024-10-07</v>
          </cell>
          <cell r="CL2824">
            <v>15326.156000000001</v>
          </cell>
          <cell r="CM2824" t="str">
            <v xml:space="preserve">NFT-/XUTR/DEUTH024281A0KN4X </v>
          </cell>
          <cell r="CN2824" t="str">
            <v>2024-10-07</v>
          </cell>
          <cell r="CO2824">
            <v>1159.9770000000001</v>
          </cell>
        </row>
        <row r="2825">
          <cell r="CJ2825" t="str">
            <v xml:space="preserve">NFT-/XUTR/DEUTH024281A0K61X </v>
          </cell>
          <cell r="CK2825" t="str">
            <v>2024-10-07</v>
          </cell>
          <cell r="CL2825">
            <v>38171.703000000001</v>
          </cell>
          <cell r="CM2825" t="str">
            <v xml:space="preserve">NFT-/XUTR/DEUTH024281A0KN4X </v>
          </cell>
          <cell r="CN2825" t="str">
            <v>2024-10-07</v>
          </cell>
          <cell r="CO2825">
            <v>2879.7379999999998</v>
          </cell>
        </row>
        <row r="2826">
          <cell r="CJ2826" t="str">
            <v xml:space="preserve">NFT-/XUTR/DEUTH024281A0K61X </v>
          </cell>
          <cell r="CK2826" t="str">
            <v>2024-10-07</v>
          </cell>
          <cell r="CL2826">
            <v>38171.703000000001</v>
          </cell>
          <cell r="CM2826" t="str">
            <v xml:space="preserve">NFT-/XUTR/DEUTH024281A0KN4X </v>
          </cell>
          <cell r="CN2826" t="str">
            <v>2024-10-07</v>
          </cell>
          <cell r="CO2826">
            <v>2879.7379999999998</v>
          </cell>
        </row>
        <row r="2827">
          <cell r="CJ2827" t="str">
            <v xml:space="preserve">NFT-/XUTR/DEUTH024281A0K61X </v>
          </cell>
          <cell r="CK2827" t="str">
            <v>2024-10-07</v>
          </cell>
          <cell r="CL2827">
            <v>15307.276</v>
          </cell>
          <cell r="CM2827" t="str">
            <v xml:space="preserve">NFT-/XUTR/DEUTH024281A0KN4X </v>
          </cell>
          <cell r="CN2827" t="str">
            <v>2024-10-07</v>
          </cell>
          <cell r="CO2827">
            <v>1159.9770000000001</v>
          </cell>
        </row>
        <row r="2828">
          <cell r="CJ2828" t="str">
            <v xml:space="preserve">NFT-/XUTR/DEUTH024281A0K61X </v>
          </cell>
          <cell r="CK2828" t="str">
            <v>2024-10-07</v>
          </cell>
          <cell r="CL2828">
            <v>15307.276</v>
          </cell>
          <cell r="CM2828" t="str">
            <v xml:space="preserve">NFT-/XUTR/DEUTH024281A0KN4X </v>
          </cell>
          <cell r="CN2828" t="str">
            <v>2024-10-07</v>
          </cell>
          <cell r="CO2828">
            <v>1159.9770000000001</v>
          </cell>
        </row>
        <row r="2829">
          <cell r="CJ2829" t="str">
            <v xml:space="preserve">NFT-/XUTR/DEUTH024281A0K61X </v>
          </cell>
          <cell r="CK2829" t="str">
            <v>2024-10-07</v>
          </cell>
          <cell r="CL2829">
            <v>5107.6040000000003</v>
          </cell>
          <cell r="CM2829" t="str">
            <v xml:space="preserve">NFT-/XUTR/DEUTH024281A0KN4X </v>
          </cell>
          <cell r="CN2829" t="str">
            <v>2024-10-07</v>
          </cell>
          <cell r="CO2829">
            <v>384.73399999999998</v>
          </cell>
        </row>
        <row r="2830">
          <cell r="CJ2830" t="str">
            <v xml:space="preserve">NFT-/XUTR/DEUTH024281A0K61X </v>
          </cell>
          <cell r="CK2830" t="str">
            <v>2024-10-07</v>
          </cell>
          <cell r="CL2830">
            <v>38354.815999999999</v>
          </cell>
          <cell r="CM2830" t="str">
            <v xml:space="preserve">NFT-/XUTR/DEUTH024281A0KN4X </v>
          </cell>
          <cell r="CN2830" t="str">
            <v>2024-10-07</v>
          </cell>
          <cell r="CO2830">
            <v>2677.7559999999999</v>
          </cell>
        </row>
        <row r="2831">
          <cell r="CJ2831" t="str">
            <v xml:space="preserve">NFT-/XUTR/DEUTH024281A0K61X </v>
          </cell>
          <cell r="CK2831" t="str">
            <v>2024-10-07</v>
          </cell>
          <cell r="CL2831">
            <v>38152.822999999997</v>
          </cell>
          <cell r="CM2831" t="str">
            <v xml:space="preserve">NFT-/XUTR/DEUTH024281A0KN4X </v>
          </cell>
          <cell r="CN2831" t="str">
            <v>2024-10-07</v>
          </cell>
          <cell r="CO2831">
            <v>2879.7379999999998</v>
          </cell>
        </row>
        <row r="2832">
          <cell r="CJ2832" t="str">
            <v xml:space="preserve">NFT-/XUTR/DEUTH024281A0K61X </v>
          </cell>
          <cell r="CK2832" t="str">
            <v>2024-10-07</v>
          </cell>
          <cell r="CL2832">
            <v>38152.822999999997</v>
          </cell>
          <cell r="CM2832" t="str">
            <v xml:space="preserve">NFT-/XUTR/DEUTH024281A0KN4X </v>
          </cell>
          <cell r="CN2832" t="str">
            <v>2024-10-07</v>
          </cell>
          <cell r="CO2832">
            <v>2879.7379999999998</v>
          </cell>
        </row>
        <row r="2833">
          <cell r="CJ2833" t="str">
            <v xml:space="preserve">NFT-/XUTR/DEUTH024281A0K61X </v>
          </cell>
          <cell r="CK2833" t="str">
            <v>2024-10-07</v>
          </cell>
          <cell r="CL2833">
            <v>38152.822999999997</v>
          </cell>
          <cell r="CM2833" t="str">
            <v xml:space="preserve">NFT-/XUTR/DEUTH024281A0KN4X </v>
          </cell>
          <cell r="CN2833" t="str">
            <v>2024-10-07</v>
          </cell>
          <cell r="CO2833">
            <v>2879.7379999999998</v>
          </cell>
        </row>
        <row r="2834">
          <cell r="CJ2834" t="str">
            <v xml:space="preserve">NFT-/XUTR/DEUTH024281A0K61X </v>
          </cell>
          <cell r="CK2834" t="str">
            <v>2024-10-07</v>
          </cell>
          <cell r="CL2834">
            <v>16467.254000000001</v>
          </cell>
        </row>
        <row r="2835">
          <cell r="CJ2835" t="str">
            <v xml:space="preserve">NFT-/XUTR/DEUTH024281A0K61X </v>
          </cell>
          <cell r="CK2835" t="str">
            <v>2024-10-07</v>
          </cell>
          <cell r="CL2835">
            <v>38152.822999999997</v>
          </cell>
          <cell r="CM2835" t="str">
            <v xml:space="preserve">NFT-/XUTR/DEUTH024281A0KN4X </v>
          </cell>
          <cell r="CN2835" t="str">
            <v>2024-10-07</v>
          </cell>
          <cell r="CO2835">
            <v>2879.7379999999998</v>
          </cell>
        </row>
        <row r="2836">
          <cell r="CJ2836" t="str">
            <v xml:space="preserve">NFT-/XUTR/DEUTH024281A0K61X </v>
          </cell>
          <cell r="CK2836" t="str">
            <v>2024-10-07</v>
          </cell>
          <cell r="CL2836">
            <v>38152.822999999997</v>
          </cell>
          <cell r="CM2836" t="str">
            <v xml:space="preserve">NFT-/XUTR/DEUTH024281A0KN4X </v>
          </cell>
          <cell r="CN2836" t="str">
            <v>2024-10-07</v>
          </cell>
          <cell r="CO2836">
            <v>2879.7379999999998</v>
          </cell>
          <cell r="CP2836" t="str">
            <v xml:space="preserve">NFT-/XUTR/DEUTH02428867200X </v>
          </cell>
          <cell r="CQ2836" t="str">
            <v>2024-10-14</v>
          </cell>
          <cell r="CR2836">
            <v>-38152.822999999997</v>
          </cell>
          <cell r="CS2836" t="str">
            <v xml:space="preserve">NFT-/XUTR/DEUTH02428846801X </v>
          </cell>
          <cell r="CT2836" t="str">
            <v>2024-10-14</v>
          </cell>
          <cell r="CU2836">
            <v>-2879.7379999999998</v>
          </cell>
        </row>
        <row r="2837">
          <cell r="CJ2837" t="str">
            <v xml:space="preserve">NFT-/XUTR/DEUTH024281A0K61X </v>
          </cell>
          <cell r="CK2837" t="str">
            <v>2024-10-07</v>
          </cell>
          <cell r="CL2837">
            <v>30634.398000000001</v>
          </cell>
          <cell r="CM2837" t="str">
            <v xml:space="preserve">NFT-/XUTR/DEUTH024281A0KN4X </v>
          </cell>
          <cell r="CN2837" t="str">
            <v>2024-10-07</v>
          </cell>
          <cell r="CO2837">
            <v>2318.0219999999999</v>
          </cell>
        </row>
        <row r="2838">
          <cell r="CJ2838" t="str">
            <v xml:space="preserve">NFT-/XUTR/DEUTH024281A0K61X </v>
          </cell>
          <cell r="CK2838" t="str">
            <v>2024-10-07</v>
          </cell>
          <cell r="CL2838">
            <v>5828.982</v>
          </cell>
        </row>
        <row r="2839">
          <cell r="CJ2839" t="str">
            <v xml:space="preserve">NFT-/XUTR/DEUTH024281A0K61X </v>
          </cell>
          <cell r="CK2839" t="str">
            <v>2024-10-07</v>
          </cell>
          <cell r="CL2839">
            <v>38171.703999999998</v>
          </cell>
          <cell r="CM2839" t="str">
            <v xml:space="preserve">NFT-/XUTR/DEUTH024281A0KN4X </v>
          </cell>
          <cell r="CN2839" t="str">
            <v>2024-10-07</v>
          </cell>
          <cell r="CO2839">
            <v>2879.7379999999998</v>
          </cell>
          <cell r="CP2839" t="str">
            <v xml:space="preserve">NFT-/XUTR/DEUTH02428867200X </v>
          </cell>
          <cell r="CQ2839" t="str">
            <v>2024-10-14</v>
          </cell>
          <cell r="CR2839">
            <v>-38171.703999999998</v>
          </cell>
          <cell r="CS2839" t="str">
            <v xml:space="preserve">NFT-/XUTR/DEUTH02428846801X </v>
          </cell>
          <cell r="CT2839" t="str">
            <v>2024-10-14</v>
          </cell>
          <cell r="CU2839">
            <v>-2879.7379999999998</v>
          </cell>
        </row>
        <row r="2840">
          <cell r="CJ2840" t="str">
            <v xml:space="preserve">NFT-/XUTR/DEUTH024281A0K61X </v>
          </cell>
          <cell r="CK2840" t="str">
            <v>2024-10-07</v>
          </cell>
          <cell r="CL2840">
            <v>10491.364</v>
          </cell>
          <cell r="CM2840" t="str">
            <v xml:space="preserve">NFT-/XUTR/DEUTH024281A0KN4X </v>
          </cell>
          <cell r="CN2840" t="str">
            <v>2024-10-07</v>
          </cell>
          <cell r="CO2840">
            <v>791.59500000000003</v>
          </cell>
        </row>
        <row r="2841">
          <cell r="CJ2841" t="str">
            <v xml:space="preserve">NFT-/XUTR/DEUTH024281A0K61X </v>
          </cell>
          <cell r="CK2841" t="str">
            <v>2024-10-07</v>
          </cell>
          <cell r="CL2841">
            <v>15326.156000000001</v>
          </cell>
          <cell r="CM2841" t="str">
            <v xml:space="preserve">NFT-/XUTR/DEUTH024281A0KN4X </v>
          </cell>
          <cell r="CN2841" t="str">
            <v>2024-10-07</v>
          </cell>
          <cell r="CO2841">
            <v>1159.9770000000001</v>
          </cell>
        </row>
        <row r="2842">
          <cell r="CJ2842" t="str">
            <v xml:space="preserve">NFT-/XUTR/DEUTH024281A0K61X </v>
          </cell>
          <cell r="CK2842" t="str">
            <v>2024-10-07</v>
          </cell>
          <cell r="CL2842">
            <v>38152.822999999997</v>
          </cell>
          <cell r="CM2842" t="str">
            <v xml:space="preserve">NFT-/XUTR/DEUTH024281A0KN4X </v>
          </cell>
          <cell r="CN2842" t="str">
            <v>2024-10-07</v>
          </cell>
          <cell r="CO2842">
            <v>2879.7379999999998</v>
          </cell>
        </row>
        <row r="2843">
          <cell r="CJ2843" t="str">
            <v xml:space="preserve">NFT-/XUTR/DEUTH024281A0K61X </v>
          </cell>
          <cell r="CK2843" t="str">
            <v>2024-10-07</v>
          </cell>
          <cell r="CL2843">
            <v>10485.591</v>
          </cell>
          <cell r="CM2843" t="str">
            <v xml:space="preserve">NFT-/XUTR/DEUTH024281A0KN4X </v>
          </cell>
          <cell r="CN2843" t="str">
            <v>2024-10-07</v>
          </cell>
          <cell r="CO2843">
            <v>797.36699999999996</v>
          </cell>
        </row>
        <row r="2844">
          <cell r="CJ2844" t="str">
            <v xml:space="preserve">NFT-/XUTR/DEUTH024281A0K61X </v>
          </cell>
          <cell r="CK2844" t="str">
            <v>2024-10-07</v>
          </cell>
          <cell r="CL2844">
            <v>15307.276</v>
          </cell>
          <cell r="CM2844" t="str">
            <v xml:space="preserve">NFT-/XUTR/DEUTH024281A0KN4X </v>
          </cell>
          <cell r="CN2844" t="str">
            <v>2024-10-07</v>
          </cell>
          <cell r="CO2844">
            <v>1159.9770000000001</v>
          </cell>
        </row>
        <row r="2845">
          <cell r="CJ2845" t="str">
            <v xml:space="preserve">NFT-/XUTR/DEUTH024281A0K61X </v>
          </cell>
          <cell r="CK2845" t="str">
            <v>2024-10-07</v>
          </cell>
          <cell r="CL2845">
            <v>38152.822999999997</v>
          </cell>
          <cell r="CM2845" t="str">
            <v xml:space="preserve">NFT-/XUTR/DEUTH024281A0KN4X </v>
          </cell>
          <cell r="CN2845" t="str">
            <v>2024-10-07</v>
          </cell>
          <cell r="CO2845">
            <v>2879.7379999999998</v>
          </cell>
        </row>
        <row r="2846">
          <cell r="CJ2846" t="str">
            <v xml:space="preserve">NFT-/XUTR/DEUTH024281A0K61X </v>
          </cell>
          <cell r="CK2846" t="str">
            <v>2024-10-07</v>
          </cell>
          <cell r="CL2846">
            <v>38152.822999999997</v>
          </cell>
          <cell r="CM2846" t="str">
            <v xml:space="preserve">NFT-/XUTR/DEUTH024281A0KN4X </v>
          </cell>
          <cell r="CN2846" t="str">
            <v>2024-10-07</v>
          </cell>
          <cell r="CO2846">
            <v>2879.7379999999998</v>
          </cell>
        </row>
        <row r="2847">
          <cell r="CJ2847" t="str">
            <v xml:space="preserve">NFT-/XUTR/DEUTH024281A0K61X </v>
          </cell>
          <cell r="CK2847" t="str">
            <v>2024-10-07</v>
          </cell>
          <cell r="CL2847">
            <v>38152.822999999997</v>
          </cell>
          <cell r="CM2847" t="str">
            <v xml:space="preserve">NFT-/XUTR/DEUTH024281A0KN4X </v>
          </cell>
          <cell r="CN2847" t="str">
            <v>2024-10-07</v>
          </cell>
          <cell r="CO2847">
            <v>2879.7379999999998</v>
          </cell>
        </row>
        <row r="2848">
          <cell r="CJ2848" t="str">
            <v xml:space="preserve">NFT-/XUTR/DEUTH024281A0K61X </v>
          </cell>
          <cell r="CK2848" t="str">
            <v>2024-10-07</v>
          </cell>
          <cell r="CL2848">
            <v>38152.822999999997</v>
          </cell>
          <cell r="CM2848" t="str">
            <v xml:space="preserve">NFT-/XUTR/DEUTH024281A0KN4X </v>
          </cell>
          <cell r="CN2848" t="str">
            <v>2024-10-07</v>
          </cell>
          <cell r="CO2848">
            <v>2879.7379999999998</v>
          </cell>
        </row>
        <row r="2849">
          <cell r="CJ2849" t="str">
            <v xml:space="preserve">NFT-/XUTR/DEUTH024281A0K61X </v>
          </cell>
          <cell r="CK2849" t="str">
            <v>2024-10-07</v>
          </cell>
          <cell r="CL2849">
            <v>38171.703000000001</v>
          </cell>
          <cell r="CM2849" t="str">
            <v xml:space="preserve">NFT-/XUTR/DEUTH024281A0KN4X </v>
          </cell>
          <cell r="CN2849" t="str">
            <v>2024-10-07</v>
          </cell>
          <cell r="CO2849">
            <v>2879.7379999999998</v>
          </cell>
        </row>
        <row r="2850">
          <cell r="CJ2850" t="str">
            <v xml:space="preserve">NFT-/XUTR/DEUTH024281A0K61X </v>
          </cell>
          <cell r="CK2850" t="str">
            <v>2024-10-07</v>
          </cell>
          <cell r="CL2850">
            <v>15307.276</v>
          </cell>
          <cell r="CM2850" t="str">
            <v xml:space="preserve">NFT-/XUTR/DEUTH024281A0KN4X </v>
          </cell>
          <cell r="CN2850" t="str">
            <v>2024-10-07</v>
          </cell>
          <cell r="CO2850">
            <v>1159.9770000000001</v>
          </cell>
        </row>
        <row r="2851">
          <cell r="CJ2851" t="str">
            <v xml:space="preserve">NFT-/XUTR/DEUTH024281A0K61X </v>
          </cell>
          <cell r="CK2851" t="str">
            <v>2024-10-07</v>
          </cell>
          <cell r="CL2851">
            <v>38152.822999999997</v>
          </cell>
          <cell r="CM2851" t="str">
            <v xml:space="preserve">NFT-/XUTR/DEUTH024281A0KN4X </v>
          </cell>
          <cell r="CN2851" t="str">
            <v>2024-10-07</v>
          </cell>
          <cell r="CO2851">
            <v>2879.7379999999998</v>
          </cell>
        </row>
        <row r="2852">
          <cell r="CJ2852" t="str">
            <v xml:space="preserve">NFT-/XUTR/DEUTH024281A0K61X </v>
          </cell>
          <cell r="CK2852" t="str">
            <v>2024-10-07</v>
          </cell>
          <cell r="CL2852">
            <v>38152.822999999997</v>
          </cell>
          <cell r="CM2852" t="str">
            <v xml:space="preserve">NFT-/XUTR/DEUTH024281A0KN4X </v>
          </cell>
          <cell r="CN2852" t="str">
            <v>2024-10-07</v>
          </cell>
          <cell r="CO2852">
            <v>2879.7379999999998</v>
          </cell>
        </row>
        <row r="2853">
          <cell r="CJ2853" t="str">
            <v xml:space="preserve">NFT-/XUTR/DEUTH024281A0K61X </v>
          </cell>
          <cell r="CK2853" t="str">
            <v>2024-10-07</v>
          </cell>
          <cell r="CL2853">
            <v>38171.703999999998</v>
          </cell>
          <cell r="CM2853" t="str">
            <v xml:space="preserve">NFT-/XUTR/DEUTH024281A0KN4X </v>
          </cell>
          <cell r="CN2853" t="str">
            <v>2024-10-07</v>
          </cell>
          <cell r="CO2853">
            <v>2879.7379999999998</v>
          </cell>
        </row>
        <row r="2854">
          <cell r="CJ2854" t="str">
            <v xml:space="preserve">NFT-/XUTR/DEUTH024281A0K61X </v>
          </cell>
          <cell r="CK2854" t="str">
            <v>2024-10-07</v>
          </cell>
          <cell r="CL2854">
            <v>38152.822999999997</v>
          </cell>
          <cell r="CM2854" t="str">
            <v xml:space="preserve">NFT-/XUTR/DEUTH024281A0KN4X </v>
          </cell>
          <cell r="CN2854" t="str">
            <v>2024-10-07</v>
          </cell>
          <cell r="CO2854">
            <v>2879.7379999999998</v>
          </cell>
        </row>
        <row r="2856">
          <cell r="CJ2856" t="str">
            <v xml:space="preserve">NFT-/XUTR/DEUTH024281A0K61X </v>
          </cell>
          <cell r="CK2856" t="str">
            <v>2024-10-07</v>
          </cell>
          <cell r="CL2856">
            <v>15307.276</v>
          </cell>
          <cell r="CM2856" t="str">
            <v xml:space="preserve">NFT-/XUTR/DEUTH024281A0KN4X </v>
          </cell>
          <cell r="CN2856" t="str">
            <v>2024-10-07</v>
          </cell>
          <cell r="CO2856">
            <v>1159.9770000000001</v>
          </cell>
          <cell r="CP2856" t="str">
            <v xml:space="preserve">NFT-/XUTR/DEUTH02428867200X </v>
          </cell>
          <cell r="CQ2856" t="str">
            <v>2024-10-14</v>
          </cell>
          <cell r="CR2856">
            <v>-15307.276</v>
          </cell>
          <cell r="CS2856" t="str">
            <v xml:space="preserve">NFT-/XUTR/DEUTH02428846801X </v>
          </cell>
          <cell r="CT2856" t="str">
            <v>2024-10-14</v>
          </cell>
          <cell r="CU2856">
            <v>-1159.9770000000001</v>
          </cell>
        </row>
        <row r="2857">
          <cell r="CP2857" t="str">
            <v xml:space="preserve">NFT-/XUTR/DEUTH02428359373X </v>
          </cell>
          <cell r="CQ2857" t="str">
            <v>2024-10-09</v>
          </cell>
          <cell r="CR2857">
            <v>78608.331000000006</v>
          </cell>
          <cell r="CS2857" t="str">
            <v xml:space="preserve">NFT-/XUTR/DEUTH02428371058X </v>
          </cell>
          <cell r="CT2857" t="str">
            <v>2024-10-09</v>
          </cell>
          <cell r="CU2857">
            <v>2911.7240000000002</v>
          </cell>
        </row>
        <row r="2858">
          <cell r="CP2858" t="str">
            <v xml:space="preserve">NFT-/XUTR/DEUTH02428359373X </v>
          </cell>
          <cell r="CQ2858" t="str">
            <v>2024-10-09</v>
          </cell>
          <cell r="CR2858">
            <v>78608.331000000006</v>
          </cell>
          <cell r="CS2858" t="str">
            <v xml:space="preserve">NFT-/XUTR/DEUTH02428371058X </v>
          </cell>
          <cell r="CT2858" t="str">
            <v>2024-10-09</v>
          </cell>
          <cell r="CU2858">
            <v>2911.7240000000002</v>
          </cell>
        </row>
        <row r="2859">
          <cell r="CP2859" t="str">
            <v xml:space="preserve">NFT-/XUTR/DEUTH02428359373X </v>
          </cell>
          <cell r="CQ2859" t="str">
            <v>2024-10-09</v>
          </cell>
          <cell r="CR2859">
            <v>15447.204</v>
          </cell>
          <cell r="CS2859" t="str">
            <v xml:space="preserve">NFT-/XUTR/DEUTH02428371058X </v>
          </cell>
          <cell r="CT2859" t="str">
            <v>2024-10-09</v>
          </cell>
          <cell r="CU2859">
            <v>1170.5150000000001</v>
          </cell>
        </row>
        <row r="2860">
          <cell r="CP2860" t="str">
            <v xml:space="preserve">NFT-/XUTR/DEUTH02428359373X </v>
          </cell>
          <cell r="CQ2860" t="str">
            <v>2024-10-09</v>
          </cell>
          <cell r="CR2860">
            <v>38519.173000000003</v>
          </cell>
          <cell r="CS2860" t="str">
            <v xml:space="preserve">NFT-/XUTR/DEUTH02428371058X </v>
          </cell>
          <cell r="CT2860" t="str">
            <v>2024-10-09</v>
          </cell>
          <cell r="CU2860">
            <v>2905.8989999999999</v>
          </cell>
        </row>
        <row r="2861">
          <cell r="CJ2861" t="str">
            <v xml:space="preserve">NFT-/XUTR/DEUTH02428867200X </v>
          </cell>
          <cell r="CK2861" t="str">
            <v>2024-10-14</v>
          </cell>
          <cell r="CL2861">
            <v>-2505.0239999999999</v>
          </cell>
          <cell r="CP2861" t="str">
            <v xml:space="preserve">NFT-/XUTR/DEUTH02428359373X </v>
          </cell>
          <cell r="CQ2861" t="str">
            <v>2024-10-09</v>
          </cell>
          <cell r="CR2861">
            <v>2505.0239999999999</v>
          </cell>
        </row>
        <row r="2862">
          <cell r="CP2862" t="str">
            <v xml:space="preserve">NFT-/XUTR/DEUTH02428359373X </v>
          </cell>
          <cell r="CQ2862" t="str">
            <v>2024-10-09</v>
          </cell>
          <cell r="CR2862">
            <v>15302.592000000001</v>
          </cell>
          <cell r="CS2862" t="str">
            <v xml:space="preserve">NFT-/XUTR/DEUTH02428371058X </v>
          </cell>
          <cell r="CT2862" t="str">
            <v>2024-10-09</v>
          </cell>
          <cell r="CU2862">
            <v>1159.8389999999999</v>
          </cell>
        </row>
        <row r="2863">
          <cell r="CP2863" t="str">
            <v xml:space="preserve">NFT-/XUTR/DEUTH02428359373X </v>
          </cell>
          <cell r="CQ2863" t="str">
            <v>2024-10-09</v>
          </cell>
          <cell r="CR2863">
            <v>78627.210999999996</v>
          </cell>
          <cell r="CS2863" t="str">
            <v xml:space="preserve">NFT-/XUTR/DEUTH02428371058X </v>
          </cell>
          <cell r="CT2863" t="str">
            <v>2024-10-09</v>
          </cell>
          <cell r="CU2863">
            <v>2911.7240000000002</v>
          </cell>
        </row>
        <row r="2864">
          <cell r="CP2864" t="str">
            <v xml:space="preserve">NFT-/XUTR/DEUTH02428359373X </v>
          </cell>
          <cell r="CQ2864" t="str">
            <v>2024-10-09</v>
          </cell>
          <cell r="CR2864">
            <v>15447.204</v>
          </cell>
          <cell r="CS2864" t="str">
            <v xml:space="preserve">NFT-/XUTR/DEUTH02428371058X </v>
          </cell>
          <cell r="CT2864" t="str">
            <v>2024-10-09</v>
          </cell>
          <cell r="CU2864">
            <v>1170.5150000000001</v>
          </cell>
        </row>
        <row r="2865">
          <cell r="CJ2865" t="str">
            <v xml:space="preserve">NFT-/XUTR/DEUTH02428867200X </v>
          </cell>
          <cell r="CK2865" t="str">
            <v>2024-10-14</v>
          </cell>
          <cell r="CL2865">
            <v>-165407.24</v>
          </cell>
          <cell r="CP2865" t="str">
            <v xml:space="preserve">NFT-/XUTR/DEUTH02428359373X </v>
          </cell>
          <cell r="CQ2865" t="str">
            <v>2024-10-09</v>
          </cell>
          <cell r="CR2865">
            <v>165407.24</v>
          </cell>
        </row>
        <row r="2866">
          <cell r="CP2866" t="str">
            <v xml:space="preserve">NFT-/XUTR/DEUTH02428359373X </v>
          </cell>
          <cell r="CQ2866" t="str">
            <v>2024-10-09</v>
          </cell>
          <cell r="CR2866">
            <v>15447.204</v>
          </cell>
          <cell r="CS2866" t="str">
            <v xml:space="preserve">NFT-/XUTR/DEUTH02428371058X </v>
          </cell>
          <cell r="CT2866" t="str">
            <v>2024-10-09</v>
          </cell>
          <cell r="CU2866">
            <v>1170.5150000000001</v>
          </cell>
        </row>
        <row r="2867">
          <cell r="CJ2867" t="str">
            <v xml:space="preserve">NFT-/XUTR/DEUTH02428867200X </v>
          </cell>
          <cell r="CK2867" t="str">
            <v>2024-10-14</v>
          </cell>
          <cell r="CL2867">
            <v>-15447.204</v>
          </cell>
          <cell r="CM2867" t="str">
            <v xml:space="preserve">NFT-/XUTR/DEUTH02428846801X </v>
          </cell>
          <cell r="CN2867" t="str">
            <v>2024-10-14</v>
          </cell>
          <cell r="CO2867">
            <v>-1170.5150000000001</v>
          </cell>
          <cell r="CP2867" t="str">
            <v xml:space="preserve">NFT-/XUTR/DEUTH02428359373X </v>
          </cell>
          <cell r="CQ2867" t="str">
            <v>2024-10-09</v>
          </cell>
          <cell r="CR2867">
            <v>15447.204</v>
          </cell>
          <cell r="CS2867" t="str">
            <v xml:space="preserve">NFT-/XUTR/DEUTH02428371058X </v>
          </cell>
          <cell r="CT2867" t="str">
            <v>2024-10-09</v>
          </cell>
          <cell r="CU2867">
            <v>1170.5150000000001</v>
          </cell>
        </row>
        <row r="2868">
          <cell r="CP2868" t="str">
            <v xml:space="preserve">NFT-/XUTR/DEUTH02428359373X </v>
          </cell>
          <cell r="CQ2868" t="str">
            <v>2024-10-09</v>
          </cell>
          <cell r="CR2868">
            <v>15466.084000000001</v>
          </cell>
          <cell r="CS2868" t="str">
            <v xml:space="preserve">NFT-/XUTR/DEUTH02428371058X </v>
          </cell>
          <cell r="CT2868" t="str">
            <v>2024-10-09</v>
          </cell>
          <cell r="CU2868">
            <v>1170.5150000000001</v>
          </cell>
        </row>
        <row r="2869">
          <cell r="CP2869" t="str">
            <v xml:space="preserve">NFT-/XUTR/DEUTH02428359373X </v>
          </cell>
          <cell r="CQ2869" t="str">
            <v>2024-10-09</v>
          </cell>
          <cell r="CR2869">
            <v>38500.292999999998</v>
          </cell>
          <cell r="CS2869" t="str">
            <v xml:space="preserve">NFT-/XUTR/DEUTH02428371058X </v>
          </cell>
          <cell r="CT2869" t="str">
            <v>2024-10-09</v>
          </cell>
          <cell r="CU2869">
            <v>2905.8989999999999</v>
          </cell>
        </row>
        <row r="2870">
          <cell r="CP2870" t="str">
            <v xml:space="preserve">NFT-/XUTR/DEUTH02428359373X </v>
          </cell>
          <cell r="CQ2870" t="str">
            <v>2024-10-09</v>
          </cell>
          <cell r="CR2870">
            <v>10591.419</v>
          </cell>
          <cell r="CS2870" t="str">
            <v xml:space="preserve">NFT-/XUTR/DEUTH02428371058X </v>
          </cell>
          <cell r="CT2870" t="str">
            <v>2024-10-09</v>
          </cell>
          <cell r="CU2870">
            <v>804.61099999999999</v>
          </cell>
        </row>
        <row r="2871">
          <cell r="CP2871" t="str">
            <v xml:space="preserve">NFT-/XUTR/DEUTH02428359373X </v>
          </cell>
          <cell r="CQ2871" t="str">
            <v>2024-10-09</v>
          </cell>
          <cell r="CR2871">
            <v>15466.084000000001</v>
          </cell>
          <cell r="CS2871" t="str">
            <v xml:space="preserve">NFT-/XUTR/DEUTH02428371058X </v>
          </cell>
          <cell r="CT2871" t="str">
            <v>2024-10-09</v>
          </cell>
          <cell r="CU2871">
            <v>1170.5150000000001</v>
          </cell>
        </row>
        <row r="2872">
          <cell r="CP2872" t="str">
            <v xml:space="preserve">NFT-/XUTR/DEUTH02428359373X </v>
          </cell>
          <cell r="CQ2872" t="str">
            <v>2024-10-09</v>
          </cell>
          <cell r="CR2872">
            <v>78627.212</v>
          </cell>
          <cell r="CS2872" t="str">
            <v xml:space="preserve">NFT-/XUTR/DEUTH02428371058X </v>
          </cell>
          <cell r="CT2872" t="str">
            <v>2024-10-09</v>
          </cell>
          <cell r="CU2872">
            <v>2911.723</v>
          </cell>
        </row>
        <row r="2874">
          <cell r="CP2874" t="str">
            <v xml:space="preserve">NFT-/XUTR/DEUTH02428359373X </v>
          </cell>
          <cell r="CQ2874" t="str">
            <v>2024-10-09</v>
          </cell>
          <cell r="CR2874">
            <v>38500.292999999998</v>
          </cell>
          <cell r="CS2874" t="str">
            <v xml:space="preserve">NFT-/XUTR/DEUTH02428371058X </v>
          </cell>
          <cell r="CT2874" t="str">
            <v>2024-10-09</v>
          </cell>
          <cell r="CU2874">
            <v>2905.8989999999999</v>
          </cell>
        </row>
        <row r="2875">
          <cell r="CP2875" t="str">
            <v xml:space="preserve">NFT-/XUTR/DEUTH02428359373X </v>
          </cell>
          <cell r="CQ2875" t="str">
            <v>2024-10-09</v>
          </cell>
          <cell r="CR2875">
            <v>78627.212</v>
          </cell>
          <cell r="CS2875" t="str">
            <v xml:space="preserve">NFT-/XUTR/DEUTH02428371058X </v>
          </cell>
          <cell r="CT2875" t="str">
            <v>2024-10-09</v>
          </cell>
          <cell r="CU2875">
            <v>2911.723</v>
          </cell>
        </row>
        <row r="2876">
          <cell r="CP2876" t="str">
            <v xml:space="preserve">NFT-/XUTR/DEUTH02428359373X </v>
          </cell>
          <cell r="CQ2876" t="str">
            <v>2024-10-09</v>
          </cell>
          <cell r="CR2876">
            <v>38519.173000000003</v>
          </cell>
          <cell r="CS2876" t="str">
            <v xml:space="preserve">NFT-/XUTR/DEUTH02428371058X </v>
          </cell>
          <cell r="CT2876" t="str">
            <v>2024-10-09</v>
          </cell>
          <cell r="CU2876">
            <v>2905.8989999999999</v>
          </cell>
        </row>
        <row r="2877">
          <cell r="CP2877" t="str">
            <v xml:space="preserve">NFT-/XUTR/DEUTH02428359373X </v>
          </cell>
          <cell r="CQ2877" t="str">
            <v>2024-10-09</v>
          </cell>
          <cell r="CR2877">
            <v>38500.292999999998</v>
          </cell>
          <cell r="CS2877" t="str">
            <v xml:space="preserve">NFT-/XUTR/DEUTH02428371058X </v>
          </cell>
          <cell r="CT2877" t="str">
            <v>2024-10-09</v>
          </cell>
          <cell r="CU2877">
            <v>2905.8989999999999</v>
          </cell>
        </row>
        <row r="2878">
          <cell r="CP2878" t="str">
            <v xml:space="preserve">NFT-/XUTR/DEUTH02428359373X </v>
          </cell>
          <cell r="CQ2878" t="str">
            <v>2024-10-09</v>
          </cell>
          <cell r="CR2878">
            <v>10293.457</v>
          </cell>
          <cell r="CS2878" t="str">
            <v xml:space="preserve">NFT-/XUTR/DEUTH02428371058X </v>
          </cell>
          <cell r="CT2878" t="str">
            <v>2024-10-09</v>
          </cell>
          <cell r="CU2878">
            <v>782.28399999999999</v>
          </cell>
        </row>
        <row r="2879">
          <cell r="CP2879" t="str">
            <v xml:space="preserve">NFT-/XUTR/DEUTH02428359373X </v>
          </cell>
          <cell r="CQ2879" t="str">
            <v>2024-10-09</v>
          </cell>
          <cell r="CR2879">
            <v>15447.204</v>
          </cell>
          <cell r="CS2879" t="str">
            <v xml:space="preserve">NFT-/XUTR/DEUTH02428371058X </v>
          </cell>
          <cell r="CT2879" t="str">
            <v>2024-10-09</v>
          </cell>
          <cell r="CU2879">
            <v>1170.5150000000001</v>
          </cell>
        </row>
        <row r="2880">
          <cell r="CP2880" t="str">
            <v xml:space="preserve">NFT-/XUTR/DEUTH02428359373X </v>
          </cell>
          <cell r="CQ2880" t="str">
            <v>2024-10-09</v>
          </cell>
          <cell r="CR2880">
            <v>15466.084000000001</v>
          </cell>
          <cell r="CS2880" t="str">
            <v xml:space="preserve">NFT-/XUTR/DEUTH02428371058X </v>
          </cell>
          <cell r="CT2880" t="str">
            <v>2024-10-09</v>
          </cell>
          <cell r="CU2880">
            <v>1170.5150000000001</v>
          </cell>
        </row>
        <row r="2881">
          <cell r="CP2881" t="str">
            <v xml:space="preserve">NFT-/XUTR/DEUTH02428359373X </v>
          </cell>
          <cell r="CQ2881" t="str">
            <v>2024-10-09</v>
          </cell>
          <cell r="CR2881">
            <v>38519.173000000003</v>
          </cell>
          <cell r="CS2881" t="str">
            <v xml:space="preserve">NFT-/XUTR/DEUTH02428371058X </v>
          </cell>
          <cell r="CT2881" t="str">
            <v>2024-10-09</v>
          </cell>
          <cell r="CU2881">
            <v>2905.8989999999999</v>
          </cell>
        </row>
        <row r="2882">
          <cell r="CP2882" t="str">
            <v xml:space="preserve">NFT-/XUTR/DEUTH02428359373X </v>
          </cell>
          <cell r="CQ2882" t="str">
            <v>2024-10-09</v>
          </cell>
          <cell r="CR2882">
            <v>15447.204</v>
          </cell>
          <cell r="CS2882" t="str">
            <v xml:space="preserve">NFT-/XUTR/DEUTH02428371058X </v>
          </cell>
          <cell r="CT2882" t="str">
            <v>2024-10-09</v>
          </cell>
          <cell r="CU2882">
            <v>1170.5150000000001</v>
          </cell>
        </row>
        <row r="2883">
          <cell r="CP2883" t="str">
            <v xml:space="preserve">NFT-/XUTR/DEUTH02428359373X </v>
          </cell>
          <cell r="CQ2883" t="str">
            <v>2024-10-09</v>
          </cell>
          <cell r="CR2883">
            <v>38500.292999999998</v>
          </cell>
          <cell r="CS2883" t="str">
            <v xml:space="preserve">NFT-/XUTR/DEUTH02428371058X </v>
          </cell>
          <cell r="CT2883" t="str">
            <v>2024-10-09</v>
          </cell>
          <cell r="CU2883">
            <v>2905.8989999999999</v>
          </cell>
        </row>
        <row r="2884">
          <cell r="CP2884" t="str">
            <v xml:space="preserve">NFT-/XUTR/DEUTH02428359373X </v>
          </cell>
          <cell r="CQ2884" t="str">
            <v>2024-10-09</v>
          </cell>
          <cell r="CR2884">
            <v>30914.263999999999</v>
          </cell>
          <cell r="CS2884" t="str">
            <v xml:space="preserve">NFT-/XUTR/DEUTH02428371058X </v>
          </cell>
          <cell r="CT2884" t="str">
            <v>2024-10-09</v>
          </cell>
          <cell r="CU2884">
            <v>2339.08</v>
          </cell>
        </row>
        <row r="2885">
          <cell r="CP2885" t="str">
            <v xml:space="preserve">NFT-/XUTR/DEUTH02428359373X </v>
          </cell>
          <cell r="CQ2885" t="str">
            <v>2024-10-09</v>
          </cell>
          <cell r="CR2885">
            <v>15447.204</v>
          </cell>
          <cell r="CS2885" t="str">
            <v xml:space="preserve">NFT-/XUTR/DEUTH02428371058X </v>
          </cell>
          <cell r="CT2885" t="str">
            <v>2024-10-09</v>
          </cell>
          <cell r="CU2885">
            <v>1170.5150000000001</v>
          </cell>
        </row>
        <row r="2886">
          <cell r="CP2886" t="str">
            <v xml:space="preserve">NFT-/XUTR/DEUTH02428359373X </v>
          </cell>
          <cell r="CQ2886" t="str">
            <v>2024-10-09</v>
          </cell>
          <cell r="CR2886">
            <v>38500.292999999998</v>
          </cell>
          <cell r="CS2886" t="str">
            <v xml:space="preserve">NFT-/XUTR/DEUTH02428371058X </v>
          </cell>
          <cell r="CT2886" t="str">
            <v>2024-10-09</v>
          </cell>
          <cell r="CU2886">
            <v>2905.8989999999999</v>
          </cell>
        </row>
        <row r="2887">
          <cell r="CP2887" t="str">
            <v xml:space="preserve">NFT-/XUTR/DEUTH02428359373X </v>
          </cell>
          <cell r="CQ2887" t="str">
            <v>2024-10-09</v>
          </cell>
          <cell r="CR2887">
            <v>30990.398000000001</v>
          </cell>
          <cell r="CS2887" t="str">
            <v xml:space="preserve">NFT-/XUTR/DEUTH02428371058X </v>
          </cell>
          <cell r="CT2887" t="str">
            <v>2024-10-09</v>
          </cell>
          <cell r="CU2887">
            <v>2282.79</v>
          </cell>
        </row>
        <row r="2888">
          <cell r="CP2888" t="str">
            <v xml:space="preserve">NFT-/XUTR/DEUTH02428359373X </v>
          </cell>
          <cell r="CQ2888" t="str">
            <v>2024-10-09</v>
          </cell>
          <cell r="CR2888">
            <v>15466.084000000001</v>
          </cell>
          <cell r="CS2888" t="str">
            <v xml:space="preserve">NFT-/XUTR/DEUTH02428371058X </v>
          </cell>
          <cell r="CT2888" t="str">
            <v>2024-10-09</v>
          </cell>
          <cell r="CU2888">
            <v>1170.5150000000001</v>
          </cell>
        </row>
        <row r="2889">
          <cell r="CP2889" t="str">
            <v xml:space="preserve">NFT-/XUTR/DEUTH02428359373X </v>
          </cell>
          <cell r="CQ2889" t="str">
            <v>2024-10-09</v>
          </cell>
          <cell r="CR2889">
            <v>14542.623</v>
          </cell>
          <cell r="CS2889" t="str">
            <v xml:space="preserve">NFT-/XUTR/DEUTH02428371058X </v>
          </cell>
          <cell r="CT2889" t="str">
            <v>2024-10-09</v>
          </cell>
          <cell r="CU2889">
            <v>1919.798</v>
          </cell>
        </row>
        <row r="2890">
          <cell r="CP2890" t="str">
            <v xml:space="preserve">NFT-/XUTR/DEUTH02428359373X </v>
          </cell>
          <cell r="CQ2890" t="str">
            <v>2024-10-09</v>
          </cell>
          <cell r="CR2890">
            <v>38519.173999999999</v>
          </cell>
          <cell r="CS2890" t="str">
            <v xml:space="preserve">NFT-/XUTR/DEUTH02428371058X </v>
          </cell>
          <cell r="CT2890" t="str">
            <v>2024-10-09</v>
          </cell>
          <cell r="CU2890">
            <v>2905.8989999999999</v>
          </cell>
        </row>
        <row r="2891">
          <cell r="CP2891" t="str">
            <v xml:space="preserve">NFT-/XUTR/DEUTH02428359373X </v>
          </cell>
          <cell r="CQ2891" t="str">
            <v>2024-10-09</v>
          </cell>
          <cell r="CR2891">
            <v>15213.739</v>
          </cell>
          <cell r="CS2891" t="str">
            <v xml:space="preserve">NFT-/XUTR/DEUTH02428371058X </v>
          </cell>
          <cell r="CT2891" t="str">
            <v>2024-10-09</v>
          </cell>
          <cell r="CU2891">
            <v>1422.8610000000001</v>
          </cell>
        </row>
        <row r="2892">
          <cell r="CP2892" t="str">
            <v xml:space="preserve">NFT-/XUTR/DEUTH02428359373X </v>
          </cell>
          <cell r="CQ2892" t="str">
            <v>2024-10-09</v>
          </cell>
          <cell r="CR2892">
            <v>15447.204</v>
          </cell>
          <cell r="CS2892" t="str">
            <v xml:space="preserve">NFT-/XUTR/DEUTH02428371058X </v>
          </cell>
          <cell r="CT2892" t="str">
            <v>2024-10-09</v>
          </cell>
          <cell r="CU2892">
            <v>1170.5150000000001</v>
          </cell>
        </row>
        <row r="2893">
          <cell r="CP2893" t="str">
            <v xml:space="preserve">NFT-/XUTR/DEUTH02428359373X </v>
          </cell>
          <cell r="CQ2893" t="str">
            <v>2024-10-09</v>
          </cell>
          <cell r="CR2893">
            <v>38500.292999999998</v>
          </cell>
          <cell r="CS2893" t="str">
            <v xml:space="preserve">NFT-/XUTR/DEUTH02428371058X </v>
          </cell>
          <cell r="CT2893" t="str">
            <v>2024-10-09</v>
          </cell>
          <cell r="CU2893">
            <v>2905.8989999999999</v>
          </cell>
        </row>
        <row r="2894">
          <cell r="CP2894" t="str">
            <v xml:space="preserve">NFT-/XUTR/DEUTH02428359373X </v>
          </cell>
          <cell r="CQ2894" t="str">
            <v>2024-10-09</v>
          </cell>
          <cell r="CR2894">
            <v>38500.292999999998</v>
          </cell>
          <cell r="CS2894" t="str">
            <v xml:space="preserve">NFT-/XUTR/DEUTH02428371058X </v>
          </cell>
          <cell r="CT2894" t="str">
            <v>2024-10-09</v>
          </cell>
          <cell r="CU2894">
            <v>2905.8989999999999</v>
          </cell>
        </row>
        <row r="2895">
          <cell r="CP2895" t="str">
            <v xml:space="preserve">NFT-/XUTR/DEUTH02428359373X </v>
          </cell>
          <cell r="CQ2895" t="str">
            <v>2024-10-09</v>
          </cell>
          <cell r="CR2895">
            <v>15466.084000000001</v>
          </cell>
          <cell r="CS2895" t="str">
            <v xml:space="preserve">NFT-/XUTR/DEUTH02428371058X </v>
          </cell>
          <cell r="CT2895" t="str">
            <v>2024-10-09</v>
          </cell>
          <cell r="CU2895">
            <v>1170.5150000000001</v>
          </cell>
        </row>
        <row r="2896">
          <cell r="CP2896" t="str">
            <v xml:space="preserve">NFT-/XUTR/DEUTH02428359373X </v>
          </cell>
          <cell r="CQ2896" t="str">
            <v>2024-10-09</v>
          </cell>
          <cell r="CR2896">
            <v>15515.146000000001</v>
          </cell>
          <cell r="CS2896" t="str">
            <v xml:space="preserve">NFT-/XUTR/DEUTH02428371058X </v>
          </cell>
          <cell r="CT2896" t="str">
            <v>2024-10-09</v>
          </cell>
          <cell r="CU2896">
            <v>1102.5719999999999</v>
          </cell>
        </row>
        <row r="2897">
          <cell r="CP2897" t="str">
            <v xml:space="preserve">NFT-/XUTR/DEUTH02428359373X </v>
          </cell>
          <cell r="CQ2897" t="str">
            <v>2024-10-09</v>
          </cell>
          <cell r="CR2897">
            <v>81568.584000000003</v>
          </cell>
        </row>
        <row r="2898">
          <cell r="CP2898" t="str">
            <v xml:space="preserve">NFT-/XUTR/DEUTH02428359373X </v>
          </cell>
          <cell r="CQ2898" t="str">
            <v>2024-10-09</v>
          </cell>
          <cell r="CR2898">
            <v>7793.6930000000002</v>
          </cell>
          <cell r="CS2898" t="str">
            <v xml:space="preserve">NFT-/XUTR/DEUTH02428371058X </v>
          </cell>
          <cell r="CT2898" t="str">
            <v>2024-10-09</v>
          </cell>
          <cell r="CU2898">
            <v>593.02099999999996</v>
          </cell>
        </row>
        <row r="2899">
          <cell r="CP2899" t="str">
            <v xml:space="preserve">NFT-/XUTR/DEUTH02428359373X </v>
          </cell>
          <cell r="CQ2899" t="str">
            <v>2024-10-09</v>
          </cell>
          <cell r="CR2899">
            <v>7774.8130000000001</v>
          </cell>
          <cell r="CS2899" t="str">
            <v xml:space="preserve">NFT-/XUTR/DEUTH02428371058X </v>
          </cell>
          <cell r="CT2899" t="str">
            <v>2024-10-09</v>
          </cell>
          <cell r="CU2899">
            <v>593.02099999999996</v>
          </cell>
        </row>
        <row r="2900">
          <cell r="CP2900" t="str">
            <v xml:space="preserve">NFT-/XUTR/DEUTH02428359373X </v>
          </cell>
          <cell r="CQ2900" t="str">
            <v>2024-10-09</v>
          </cell>
          <cell r="CR2900">
            <v>30933.144</v>
          </cell>
          <cell r="CS2900" t="str">
            <v xml:space="preserve">NFT-/XUTR/DEUTH02428371058X </v>
          </cell>
          <cell r="CT2900" t="str">
            <v>2024-10-09</v>
          </cell>
          <cell r="CU2900">
            <v>2341.0300000000002</v>
          </cell>
        </row>
        <row r="2901">
          <cell r="CP2901" t="str">
            <v xml:space="preserve">NFT-/XUTR/DEUTH02428359373X </v>
          </cell>
          <cell r="CQ2901" t="str">
            <v>2024-10-09</v>
          </cell>
          <cell r="CR2901">
            <v>38519.173999999999</v>
          </cell>
          <cell r="CS2901" t="str">
            <v xml:space="preserve">NFT-/XUTR/DEUTH02428371058X </v>
          </cell>
          <cell r="CT2901" t="str">
            <v>2024-10-09</v>
          </cell>
          <cell r="CU2901">
            <v>2905.8989999999999</v>
          </cell>
        </row>
        <row r="2902">
          <cell r="CP2902" t="str">
            <v xml:space="preserve">NFT-/XUTR/DEUTH02428359373X </v>
          </cell>
          <cell r="CQ2902" t="str">
            <v>2024-10-09</v>
          </cell>
          <cell r="CR2902">
            <v>15447.204</v>
          </cell>
          <cell r="CS2902" t="str">
            <v xml:space="preserve">NFT-/XUTR/DEUTH02428371058X </v>
          </cell>
          <cell r="CT2902" t="str">
            <v>2024-10-09</v>
          </cell>
          <cell r="CU2902">
            <v>1170.5150000000001</v>
          </cell>
        </row>
        <row r="2903">
          <cell r="CP2903" t="str">
            <v xml:space="preserve">NFT-/XUTR/DEUTH02428359373X </v>
          </cell>
          <cell r="CQ2903" t="str">
            <v>2024-10-09</v>
          </cell>
          <cell r="CR2903">
            <v>7793.6930000000002</v>
          </cell>
          <cell r="CS2903" t="str">
            <v xml:space="preserve">NFT-/XUTR/DEUTH02428371058X </v>
          </cell>
          <cell r="CT2903" t="str">
            <v>2024-10-09</v>
          </cell>
          <cell r="CU2903">
            <v>593.02099999999996</v>
          </cell>
        </row>
        <row r="2904">
          <cell r="CP2904" t="str">
            <v xml:space="preserve">NFT-/XUTR/DEUTH02428359373X </v>
          </cell>
          <cell r="CQ2904" t="str">
            <v>2024-10-09</v>
          </cell>
          <cell r="CR2904">
            <v>15466.084000000001</v>
          </cell>
          <cell r="CS2904" t="str">
            <v xml:space="preserve">NFT-/XUTR/DEUTH02428371058X </v>
          </cell>
          <cell r="CT2904" t="str">
            <v>2024-10-09</v>
          </cell>
          <cell r="CU2904">
            <v>1170.5150000000001</v>
          </cell>
        </row>
        <row r="2905">
          <cell r="CP2905" t="str">
            <v xml:space="preserve">NFT-/XUTR/DEUTH02428359373X </v>
          </cell>
          <cell r="CQ2905" t="str">
            <v>2024-10-09</v>
          </cell>
          <cell r="CR2905">
            <v>38500.292999999998</v>
          </cell>
          <cell r="CS2905" t="str">
            <v xml:space="preserve">NFT-/XUTR/DEUTH02428371058X </v>
          </cell>
          <cell r="CT2905" t="str">
            <v>2024-10-09</v>
          </cell>
          <cell r="CU2905">
            <v>2905.8989999999999</v>
          </cell>
        </row>
        <row r="2906">
          <cell r="CP2906" t="str">
            <v xml:space="preserve">NFT-/XUTR/DEUTH02428359373X </v>
          </cell>
          <cell r="CQ2906" t="str">
            <v>2024-10-09</v>
          </cell>
          <cell r="CR2906">
            <v>15447.204</v>
          </cell>
          <cell r="CS2906" t="str">
            <v xml:space="preserve">NFT-/XUTR/DEUTH02428371058X </v>
          </cell>
          <cell r="CT2906" t="str">
            <v>2024-10-09</v>
          </cell>
          <cell r="CU2906">
            <v>1170.5150000000001</v>
          </cell>
        </row>
        <row r="2907">
          <cell r="CP2907" t="str">
            <v xml:space="preserve">NFT-/XUTR/DEUTH02428359373X </v>
          </cell>
          <cell r="CQ2907" t="str">
            <v>2024-10-09</v>
          </cell>
          <cell r="CR2907">
            <v>15466.084000000001</v>
          </cell>
          <cell r="CS2907" t="str">
            <v xml:space="preserve">NFT-/XUTR/DEUTH02428371058X </v>
          </cell>
          <cell r="CT2907" t="str">
            <v>2024-10-09</v>
          </cell>
          <cell r="CU2907">
            <v>1170.5150000000001</v>
          </cell>
        </row>
        <row r="2908">
          <cell r="CP2908" t="str">
            <v xml:space="preserve">NFT-/XUTR/DEUTH02428359373X </v>
          </cell>
          <cell r="CQ2908" t="str">
            <v>2024-10-09</v>
          </cell>
          <cell r="CR2908">
            <v>38519.173000000003</v>
          </cell>
          <cell r="CS2908" t="str">
            <v xml:space="preserve">NFT-/XUTR/DEUTH02428371058X </v>
          </cell>
          <cell r="CT2908" t="str">
            <v>2024-10-09</v>
          </cell>
          <cell r="CU2908">
            <v>2905.8989999999999</v>
          </cell>
        </row>
        <row r="2909">
          <cell r="CP2909" t="str">
            <v xml:space="preserve">NFT-/XUTR/DEUTH02428359373X </v>
          </cell>
          <cell r="CQ2909" t="str">
            <v>2024-10-09</v>
          </cell>
          <cell r="CR2909">
            <v>15447.204</v>
          </cell>
          <cell r="CS2909" t="str">
            <v xml:space="preserve">NFT-/XUTR/DEUTH02428371058X </v>
          </cell>
          <cell r="CT2909" t="str">
            <v>2024-10-09</v>
          </cell>
          <cell r="CU2909">
            <v>1170.5150000000001</v>
          </cell>
        </row>
        <row r="2910">
          <cell r="CP2910" t="str">
            <v xml:space="preserve">NFT-/XUTR/DEUTH02428359373X </v>
          </cell>
          <cell r="CQ2910" t="str">
            <v>2024-10-09</v>
          </cell>
          <cell r="CR2910">
            <v>15447.204</v>
          </cell>
          <cell r="CS2910" t="str">
            <v xml:space="preserve">NFT-/XUTR/DEUTH02428371058X </v>
          </cell>
          <cell r="CT2910" t="str">
            <v>2024-10-09</v>
          </cell>
          <cell r="CU2910">
            <v>1170.5150000000001</v>
          </cell>
        </row>
        <row r="2911">
          <cell r="CP2911" t="str">
            <v xml:space="preserve">NFT-/XUTR/DEUTH02428359373X </v>
          </cell>
          <cell r="CQ2911" t="str">
            <v>2024-10-09</v>
          </cell>
          <cell r="CR2911">
            <v>38500.292999999998</v>
          </cell>
          <cell r="CS2911" t="str">
            <v xml:space="preserve">NFT-/XUTR/DEUTH02428371058X </v>
          </cell>
          <cell r="CT2911" t="str">
            <v>2024-10-09</v>
          </cell>
          <cell r="CU2911">
            <v>2905.8989999999999</v>
          </cell>
        </row>
        <row r="2912">
          <cell r="CP2912" t="str">
            <v xml:space="preserve">NFT-/XUTR/DEUTH02428359373X </v>
          </cell>
          <cell r="CQ2912" t="str">
            <v>2024-10-09</v>
          </cell>
          <cell r="CR2912">
            <v>1346.817</v>
          </cell>
        </row>
        <row r="2913">
          <cell r="CJ2913" t="str">
            <v xml:space="preserve">NFT-/XUTR/DEUTH02428867200X </v>
          </cell>
          <cell r="CK2913" t="str">
            <v>2024-10-14</v>
          </cell>
          <cell r="CL2913">
            <v>15466.084000000001</v>
          </cell>
          <cell r="CM2913" t="str">
            <v xml:space="preserve">NFT-/XUTR/DEUTH02428846801X </v>
          </cell>
          <cell r="CN2913" t="str">
            <v>2024-10-14</v>
          </cell>
          <cell r="CO2913">
            <v>1170.5150000000001</v>
          </cell>
        </row>
        <row r="2914">
          <cell r="CP2914" t="str">
            <v xml:space="preserve">NFT-/XUTR/DEUTH02428359373X </v>
          </cell>
          <cell r="CQ2914" t="str">
            <v>2024-10-09</v>
          </cell>
          <cell r="CR2914">
            <v>15366.647999999999</v>
          </cell>
          <cell r="CS2914" t="str">
            <v xml:space="preserve">NFT-/XUTR/DEUTH02428371058X </v>
          </cell>
          <cell r="CT2914" t="str">
            <v>2024-10-09</v>
          </cell>
          <cell r="CU2914">
            <v>1251.0719999999999</v>
          </cell>
        </row>
        <row r="2915">
          <cell r="CP2915" t="str">
            <v xml:space="preserve">NFT-/XUTR/DEUTH02428359373X </v>
          </cell>
          <cell r="CQ2915" t="str">
            <v>2024-10-09</v>
          </cell>
          <cell r="CR2915">
            <v>38536.648999999998</v>
          </cell>
          <cell r="CS2915" t="str">
            <v xml:space="preserve">NFT-/XUTR/DEUTH02428371058X </v>
          </cell>
          <cell r="CT2915" t="str">
            <v>2024-10-09</v>
          </cell>
          <cell r="CU2915">
            <v>2888.4349999999999</v>
          </cell>
        </row>
        <row r="2916">
          <cell r="CP2916" t="str">
            <v xml:space="preserve">NFT-/XUTR/DEUTH02428359373X </v>
          </cell>
          <cell r="CQ2916" t="str">
            <v>2024-10-09</v>
          </cell>
          <cell r="CR2916">
            <v>15447.204</v>
          </cell>
          <cell r="CS2916" t="str">
            <v xml:space="preserve">NFT-/XUTR/DEUTH02428371058X </v>
          </cell>
          <cell r="CT2916" t="str">
            <v>2024-10-09</v>
          </cell>
          <cell r="CU2916">
            <v>1170.5150000000001</v>
          </cell>
        </row>
        <row r="2917">
          <cell r="CP2917" t="str">
            <v xml:space="preserve">NFT-/XUTR/DEUTH02428359373X </v>
          </cell>
          <cell r="CQ2917" t="str">
            <v>2024-10-09</v>
          </cell>
          <cell r="CR2917">
            <v>15466.084000000001</v>
          </cell>
          <cell r="CS2917" t="str">
            <v xml:space="preserve">NFT-/XUTR/DEUTH02428371058X </v>
          </cell>
          <cell r="CT2917" t="str">
            <v>2024-10-09</v>
          </cell>
          <cell r="CU2917">
            <v>1170.5150000000001</v>
          </cell>
        </row>
        <row r="2918">
          <cell r="CP2918" t="str">
            <v xml:space="preserve">NFT-/XUTR/DEUTH02428359373X </v>
          </cell>
          <cell r="CQ2918" t="str">
            <v>2024-10-09</v>
          </cell>
          <cell r="CR2918">
            <v>38519.173999999999</v>
          </cell>
          <cell r="CS2918" t="str">
            <v xml:space="preserve">NFT-/XUTR/DEUTH02428371058X </v>
          </cell>
          <cell r="CT2918" t="str">
            <v>2024-10-09</v>
          </cell>
          <cell r="CU2918">
            <v>2905.8989999999999</v>
          </cell>
        </row>
        <row r="2919">
          <cell r="CP2919" t="str">
            <v xml:space="preserve">NFT-/XUTR/DEUTH02428359373X </v>
          </cell>
          <cell r="CQ2919" t="str">
            <v>2024-10-09</v>
          </cell>
          <cell r="CR2919">
            <v>15466.084000000001</v>
          </cell>
          <cell r="CS2919" t="str">
            <v xml:space="preserve">NFT-/XUTR/DEUTH02428371058X </v>
          </cell>
          <cell r="CT2919" t="str">
            <v>2024-10-09</v>
          </cell>
          <cell r="CU2919">
            <v>1170.5150000000001</v>
          </cell>
        </row>
        <row r="2920">
          <cell r="CP2920" t="str">
            <v xml:space="preserve">NFT-/XUTR/DEUTH02428359373X </v>
          </cell>
          <cell r="CQ2920" t="str">
            <v>2024-10-09</v>
          </cell>
          <cell r="CR2920">
            <v>2700.6179999999999</v>
          </cell>
        </row>
        <row r="2921">
          <cell r="CP2921" t="str">
            <v xml:space="preserve">NFT-/XUTR/DEUTH02428359373X </v>
          </cell>
          <cell r="CQ2921" t="str">
            <v>2024-10-09</v>
          </cell>
          <cell r="CR2921">
            <v>30933.144</v>
          </cell>
          <cell r="CS2921" t="str">
            <v xml:space="preserve">NFT-/XUTR/DEUTH02428371058X </v>
          </cell>
          <cell r="CT2921" t="str">
            <v>2024-10-09</v>
          </cell>
          <cell r="CU2921">
            <v>2341.0300000000002</v>
          </cell>
        </row>
        <row r="2922">
          <cell r="CP2922" t="str">
            <v xml:space="preserve">NFT-/XUTR/DEUTH02428359373X </v>
          </cell>
          <cell r="CQ2922" t="str">
            <v>2024-10-09</v>
          </cell>
          <cell r="CR2922">
            <v>15375.816999999999</v>
          </cell>
          <cell r="CS2922" t="str">
            <v xml:space="preserve">NFT-/XUTR/DEUTH02428371058X </v>
          </cell>
          <cell r="CT2922" t="str">
            <v>2024-10-09</v>
          </cell>
          <cell r="CU2922">
            <v>1260.7739999999999</v>
          </cell>
        </row>
        <row r="2923">
          <cell r="CP2923" t="str">
            <v xml:space="preserve">NFT-/XUTR/DEUTH02428359373X </v>
          </cell>
          <cell r="CQ2923" t="str">
            <v>2024-10-09</v>
          </cell>
          <cell r="CR2923">
            <v>15307.276</v>
          </cell>
          <cell r="CS2923" t="str">
            <v xml:space="preserve">NFT-/XUTR/DEUTH02428371058X </v>
          </cell>
          <cell r="CT2923" t="str">
            <v>2024-10-09</v>
          </cell>
          <cell r="CU2923">
            <v>1159.9770000000001</v>
          </cell>
        </row>
        <row r="2924">
          <cell r="CP2924" t="str">
            <v xml:space="preserve">NFT-/XUTR/DEUTH02428359373X </v>
          </cell>
          <cell r="CQ2924" t="str">
            <v>2024-10-09</v>
          </cell>
          <cell r="CR2924">
            <v>30933.144</v>
          </cell>
          <cell r="CS2924" t="str">
            <v xml:space="preserve">NFT-/XUTR/DEUTH02428371058X </v>
          </cell>
          <cell r="CT2924" t="str">
            <v>2024-10-09</v>
          </cell>
          <cell r="CU2924">
            <v>2341.0300000000002</v>
          </cell>
        </row>
        <row r="2925">
          <cell r="CP2925" t="str">
            <v xml:space="preserve">NFT-/XUTR/DEUTH02428359373X </v>
          </cell>
          <cell r="CQ2925" t="str">
            <v>2024-10-09</v>
          </cell>
          <cell r="CR2925">
            <v>38519.173000000003</v>
          </cell>
          <cell r="CS2925" t="str">
            <v xml:space="preserve">NFT-/XUTR/DEUTH02428371058X </v>
          </cell>
          <cell r="CT2925" t="str">
            <v>2024-10-09</v>
          </cell>
          <cell r="CU2925">
            <v>2905.8989999999999</v>
          </cell>
        </row>
        <row r="2927">
          <cell r="CP2927" t="str">
            <v xml:space="preserve">NFT-/XUTR/DEUTH02428359373X </v>
          </cell>
          <cell r="CQ2927" t="str">
            <v>2024-10-09</v>
          </cell>
          <cell r="CR2927">
            <v>30914.263999999999</v>
          </cell>
          <cell r="CS2927" t="str">
            <v xml:space="preserve">NFT-/XUTR/DEUTH02428371058X </v>
          </cell>
          <cell r="CT2927" t="str">
            <v>2024-10-09</v>
          </cell>
          <cell r="CU2927">
            <v>2341.0300000000002</v>
          </cell>
        </row>
        <row r="2928">
          <cell r="CP2928" t="str">
            <v xml:space="preserve">NFT-/XUTR/DEUTH02428359373X </v>
          </cell>
          <cell r="CQ2928" t="str">
            <v>2024-10-09</v>
          </cell>
          <cell r="CR2928">
            <v>38500.292999999998</v>
          </cell>
          <cell r="CS2928" t="str">
            <v xml:space="preserve">NFT-/XUTR/DEUTH02428371058X </v>
          </cell>
          <cell r="CT2928" t="str">
            <v>2024-10-09</v>
          </cell>
          <cell r="CU2928">
            <v>2905.8989999999999</v>
          </cell>
        </row>
        <row r="2929">
          <cell r="CP2929" t="str">
            <v xml:space="preserve">NFT-/XUTR/DEUTH02428359373X </v>
          </cell>
          <cell r="CQ2929" t="str">
            <v>2024-10-09</v>
          </cell>
          <cell r="CR2929">
            <v>38500.292999999998</v>
          </cell>
          <cell r="CS2929" t="str">
            <v xml:space="preserve">NFT-/XUTR/DEUTH02428371058X </v>
          </cell>
          <cell r="CT2929" t="str">
            <v>2024-10-09</v>
          </cell>
          <cell r="CU2929">
            <v>2905.8989999999999</v>
          </cell>
        </row>
        <row r="2930">
          <cell r="CP2930" t="str">
            <v xml:space="preserve">NFT-/XUTR/DEUTH02428359373X </v>
          </cell>
          <cell r="CQ2930" t="str">
            <v>2024-10-09</v>
          </cell>
          <cell r="CR2930">
            <v>77746.894</v>
          </cell>
          <cell r="CS2930" t="str">
            <v xml:space="preserve">NFT-/XUTR/DEUTH02428371058X </v>
          </cell>
          <cell r="CT2930" t="str">
            <v>2024-10-09</v>
          </cell>
          <cell r="CU2930">
            <v>3792.03</v>
          </cell>
        </row>
        <row r="2931">
          <cell r="CP2931" t="str">
            <v xml:space="preserve">NFT-/XUTR/DEUTH02428359373X </v>
          </cell>
          <cell r="CQ2931" t="str">
            <v>2024-10-09</v>
          </cell>
          <cell r="CR2931">
            <v>15447.204</v>
          </cell>
          <cell r="CS2931" t="str">
            <v xml:space="preserve">NFT-/XUTR/DEUTH02428371058X </v>
          </cell>
          <cell r="CT2931" t="str">
            <v>2024-10-09</v>
          </cell>
          <cell r="CU2931">
            <v>1170.5150000000001</v>
          </cell>
        </row>
        <row r="2932">
          <cell r="CP2932" t="str">
            <v xml:space="preserve">NFT-/XUTR/DEUTH02428359373X </v>
          </cell>
          <cell r="CQ2932" t="str">
            <v>2024-10-09</v>
          </cell>
          <cell r="CR2932">
            <v>38519.173000000003</v>
          </cell>
          <cell r="CS2932" t="str">
            <v xml:space="preserve">NFT-/XUTR/DEUTH02428371058X </v>
          </cell>
          <cell r="CT2932" t="str">
            <v>2024-10-09</v>
          </cell>
          <cell r="CU2932">
            <v>2905.8989999999999</v>
          </cell>
        </row>
        <row r="2933">
          <cell r="CJ2933" t="str">
            <v xml:space="preserve">NFT-/XUTR/DEUTH02428867200X </v>
          </cell>
          <cell r="CK2933" t="str">
            <v>2024-10-14</v>
          </cell>
          <cell r="CL2933">
            <v>-15447.204</v>
          </cell>
          <cell r="CM2933" t="str">
            <v xml:space="preserve">NFT-/XUTR/DEUTH02428846801X </v>
          </cell>
          <cell r="CN2933" t="str">
            <v>2024-10-14</v>
          </cell>
          <cell r="CO2933">
            <v>-1170.5150000000001</v>
          </cell>
          <cell r="CP2933" t="str">
            <v xml:space="preserve">NFT-/XUTR/DEUTH02428359373X </v>
          </cell>
          <cell r="CQ2933" t="str">
            <v>2024-10-09</v>
          </cell>
          <cell r="CR2933">
            <v>15447.204</v>
          </cell>
          <cell r="CS2933" t="str">
            <v xml:space="preserve">NFT-/XUTR/DEUTH02428371058X </v>
          </cell>
          <cell r="CT2933" t="str">
            <v>2024-10-09</v>
          </cell>
          <cell r="CU2933">
            <v>1170.5150000000001</v>
          </cell>
        </row>
        <row r="2934">
          <cell r="CP2934" t="str">
            <v xml:space="preserve">NFT-/XUTR/DEUTH02428359373X </v>
          </cell>
          <cell r="CQ2934" t="str">
            <v>2024-10-09</v>
          </cell>
          <cell r="CR2934">
            <v>78627.212</v>
          </cell>
          <cell r="CS2934" t="str">
            <v xml:space="preserve">NFT-/XUTR/DEUTH02428371058X </v>
          </cell>
          <cell r="CT2934" t="str">
            <v>2024-10-09</v>
          </cell>
          <cell r="CU2934">
            <v>2911.723</v>
          </cell>
        </row>
        <row r="2935">
          <cell r="CP2935" t="str">
            <v xml:space="preserve">NFT-/XUTR/DEUTH02428359373X </v>
          </cell>
          <cell r="CQ2935" t="str">
            <v>2024-10-09</v>
          </cell>
          <cell r="CR2935">
            <v>7774.8130000000001</v>
          </cell>
          <cell r="CS2935" t="str">
            <v xml:space="preserve">NFT-/XUTR/DEUTH02428371058X </v>
          </cell>
          <cell r="CT2935" t="str">
            <v>2024-10-09</v>
          </cell>
          <cell r="CU2935">
            <v>593.02099999999996</v>
          </cell>
        </row>
        <row r="2936">
          <cell r="CP2936" t="str">
            <v xml:space="preserve">NFT-/XUTR/DEUTH02428359373X </v>
          </cell>
          <cell r="CQ2936" t="str">
            <v>2024-10-09</v>
          </cell>
          <cell r="CR2936">
            <v>30933.144</v>
          </cell>
          <cell r="CS2936" t="str">
            <v xml:space="preserve">NFT-/XUTR/DEUTH02428371058X </v>
          </cell>
          <cell r="CT2936" t="str">
            <v>2024-10-09</v>
          </cell>
          <cell r="CU2936">
            <v>2341.0300000000002</v>
          </cell>
        </row>
        <row r="2937">
          <cell r="CP2937" t="str">
            <v xml:space="preserve">NFT-/XUTR/DEUTH02428359373X </v>
          </cell>
          <cell r="CQ2937" t="str">
            <v>2024-10-09</v>
          </cell>
          <cell r="CR2937">
            <v>78608.331000000006</v>
          </cell>
          <cell r="CS2937" t="str">
            <v xml:space="preserve">NFT-/XUTR/DEUTH02428371058X </v>
          </cell>
          <cell r="CT2937" t="str">
            <v>2024-10-09</v>
          </cell>
          <cell r="CU2937">
            <v>2911.7240000000002</v>
          </cell>
        </row>
        <row r="2938">
          <cell r="CJ2938" t="str">
            <v xml:space="preserve">NFT-/XUTR/DEUTH02428867200X </v>
          </cell>
          <cell r="CK2938" t="str">
            <v>2024-10-14</v>
          </cell>
          <cell r="CL2938">
            <v>30949.633999999998</v>
          </cell>
          <cell r="CM2938" t="str">
            <v xml:space="preserve">NFT-/XUTR/DEUTH02428846801X </v>
          </cell>
          <cell r="CN2938" t="str">
            <v>2024-10-14</v>
          </cell>
          <cell r="CO2938">
            <v>2323.5540000000001</v>
          </cell>
        </row>
        <row r="2939">
          <cell r="CJ2939" t="str">
            <v xml:space="preserve">NFT-/XUTR/DEUTH02428867200X </v>
          </cell>
          <cell r="CK2939" t="str">
            <v>2024-10-14</v>
          </cell>
          <cell r="CL2939">
            <v>15466.084000000001</v>
          </cell>
          <cell r="CM2939" t="str">
            <v xml:space="preserve">NFT-/XUTR/DEUTH02428846801X </v>
          </cell>
          <cell r="CN2939" t="str">
            <v>2024-10-14</v>
          </cell>
          <cell r="CO2939">
            <v>1170.5150000000001</v>
          </cell>
        </row>
        <row r="2940">
          <cell r="CJ2940" t="str">
            <v xml:space="preserve">NFT-/XUTR/DEUTH02428867200X </v>
          </cell>
          <cell r="CK2940" t="str">
            <v>2024-10-14</v>
          </cell>
          <cell r="CL2940">
            <v>15447.204</v>
          </cell>
          <cell r="CM2940" t="str">
            <v xml:space="preserve">NFT-/XUTR/DEUTH02428846801X </v>
          </cell>
          <cell r="CN2940" t="str">
            <v>2024-10-14</v>
          </cell>
          <cell r="CO2940">
            <v>1170.5150000000001</v>
          </cell>
        </row>
        <row r="2941">
          <cell r="CJ2941" t="str">
            <v xml:space="preserve">NFT-/XUTR/DEUTH02428867200X </v>
          </cell>
          <cell r="CK2941" t="str">
            <v>2024-10-14</v>
          </cell>
          <cell r="CL2941">
            <v>30933.144</v>
          </cell>
          <cell r="CM2941" t="str">
            <v xml:space="preserve">NFT-/XUTR/DEUTH02428846801X </v>
          </cell>
          <cell r="CN2941" t="str">
            <v>2024-10-14</v>
          </cell>
          <cell r="CO2941">
            <v>2341.0300000000002</v>
          </cell>
        </row>
        <row r="2942">
          <cell r="CJ2942" t="str">
            <v xml:space="preserve">NFT-/XUTR/DEUTH02428867200X </v>
          </cell>
          <cell r="CK2942" t="str">
            <v>2024-10-14</v>
          </cell>
          <cell r="CL2942">
            <v>15466.084000000001</v>
          </cell>
          <cell r="CM2942" t="str">
            <v xml:space="preserve">NFT-/XUTR/DEUTH02428846801X </v>
          </cell>
          <cell r="CN2942" t="str">
            <v>2024-10-14</v>
          </cell>
          <cell r="CO2942">
            <v>1170.5150000000001</v>
          </cell>
        </row>
        <row r="2943">
          <cell r="CJ2943" t="str">
            <v xml:space="preserve">NFT-/XUTR/DEUTH02428867200X </v>
          </cell>
          <cell r="CK2943" t="str">
            <v>2024-10-14</v>
          </cell>
          <cell r="CL2943">
            <v>15447.204</v>
          </cell>
          <cell r="CM2943" t="str">
            <v xml:space="preserve">NFT-/XUTR/DEUTH02428846801X </v>
          </cell>
          <cell r="CN2943" t="str">
            <v>2024-10-14</v>
          </cell>
          <cell r="CO2943">
            <v>1170.5150000000001</v>
          </cell>
        </row>
        <row r="2944">
          <cell r="CJ2944" t="str">
            <v xml:space="preserve">NFT-/XUTR/DEUTH02428867200X </v>
          </cell>
          <cell r="CK2944" t="str">
            <v>2024-10-14</v>
          </cell>
          <cell r="CL2944">
            <v>15466.084000000001</v>
          </cell>
          <cell r="CM2944" t="str">
            <v xml:space="preserve">NFT-/XUTR/DEUTH02428846801X </v>
          </cell>
          <cell r="CN2944" t="str">
            <v>2024-10-14</v>
          </cell>
          <cell r="CO2944">
            <v>1170.5150000000001</v>
          </cell>
        </row>
        <row r="2945">
          <cell r="CJ2945" t="str">
            <v xml:space="preserve">NFT-/XUTR/DEUTH02428867200X </v>
          </cell>
          <cell r="CK2945" t="str">
            <v>2024-10-14</v>
          </cell>
          <cell r="CL2945">
            <v>15447.204</v>
          </cell>
          <cell r="CM2945" t="str">
            <v xml:space="preserve">NFT-/XUTR/DEUTH02428846801X </v>
          </cell>
          <cell r="CN2945" t="str">
            <v>2024-10-14</v>
          </cell>
          <cell r="CO2945">
            <v>1170.5150000000001</v>
          </cell>
        </row>
        <row r="2946">
          <cell r="CJ2946" t="str">
            <v xml:space="preserve">NFT-/XUTR/DEUTH02428867200X </v>
          </cell>
          <cell r="CK2946" t="str">
            <v>2024-10-14</v>
          </cell>
          <cell r="CL2946">
            <v>15176.41</v>
          </cell>
          <cell r="CM2946" t="str">
            <v xml:space="preserve">NFT-/XUTR/DEUTH02428846801X </v>
          </cell>
          <cell r="CN2946" t="str">
            <v>2024-10-14</v>
          </cell>
          <cell r="CO2946">
            <v>1441.3009999999999</v>
          </cell>
        </row>
        <row r="2948">
          <cell r="CJ2948" t="str">
            <v xml:space="preserve">NFT-/XUTR/DEUTH02428867200X </v>
          </cell>
          <cell r="CK2948" t="str">
            <v>2024-10-14</v>
          </cell>
          <cell r="CL2948">
            <v>30933.144</v>
          </cell>
          <cell r="CM2948" t="str">
            <v xml:space="preserve">NFT-/XUTR/DEUTH02428846801X </v>
          </cell>
          <cell r="CN2948" t="str">
            <v>2024-10-14</v>
          </cell>
          <cell r="CO2948">
            <v>2339.08</v>
          </cell>
        </row>
        <row r="2949">
          <cell r="CJ2949" t="str">
            <v xml:space="preserve">NFT-/XUTR/DEUTH02428867200X </v>
          </cell>
          <cell r="CK2949" t="str">
            <v>2024-10-14</v>
          </cell>
          <cell r="CL2949">
            <v>15466.084000000001</v>
          </cell>
          <cell r="CM2949" t="str">
            <v xml:space="preserve">NFT-/XUTR/DEUTH02428846801X </v>
          </cell>
          <cell r="CN2949" t="str">
            <v>2024-10-14</v>
          </cell>
          <cell r="CO2949">
            <v>1170.5150000000001</v>
          </cell>
        </row>
        <row r="2950">
          <cell r="CJ2950" t="str">
            <v xml:space="preserve">NFT-/XUTR/DEUTH02428867200X </v>
          </cell>
          <cell r="CK2950" t="str">
            <v>2024-10-14</v>
          </cell>
          <cell r="CL2950">
            <v>15466.084000000001</v>
          </cell>
          <cell r="CM2950" t="str">
            <v xml:space="preserve">NFT-/XUTR/DEUTH02428846801X </v>
          </cell>
          <cell r="CN2950" t="str">
            <v>2024-10-14</v>
          </cell>
          <cell r="CO2950">
            <v>1170.5150000000001</v>
          </cell>
        </row>
        <row r="2951">
          <cell r="CJ2951" t="str">
            <v xml:space="preserve">NFT-/XUTR/DEUTH02428867200X </v>
          </cell>
          <cell r="CK2951" t="str">
            <v>2024-10-14</v>
          </cell>
          <cell r="CL2951">
            <v>15466.084000000001</v>
          </cell>
          <cell r="CM2951" t="str">
            <v xml:space="preserve">NFT-/XUTR/DEUTH02428846801X </v>
          </cell>
          <cell r="CN2951" t="str">
            <v>2024-10-14</v>
          </cell>
          <cell r="CO2951">
            <v>1170.5150000000001</v>
          </cell>
        </row>
        <row r="2952">
          <cell r="CJ2952" t="str">
            <v xml:space="preserve">NFT-/XUTR/DEUTH02428867200X </v>
          </cell>
          <cell r="CK2952" t="str">
            <v>2024-10-14</v>
          </cell>
          <cell r="CL2952">
            <v>79773.020999999993</v>
          </cell>
          <cell r="CM2952" t="str">
            <v xml:space="preserve">NFT-/XUTR/DEUTH02428846801X </v>
          </cell>
          <cell r="CN2952" t="str">
            <v>2024-10-14</v>
          </cell>
          <cell r="CO2952">
            <v>2911.7240000000002</v>
          </cell>
        </row>
        <row r="2953">
          <cell r="CJ2953" t="str">
            <v xml:space="preserve">NFT-/XUTR/DEUTH02428867200X </v>
          </cell>
          <cell r="CK2953" t="str">
            <v>2024-10-14</v>
          </cell>
          <cell r="CL2953">
            <v>7774.8130000000001</v>
          </cell>
          <cell r="CM2953" t="str">
            <v xml:space="preserve">NFT-/XUTR/DEUTH02428846801X </v>
          </cell>
          <cell r="CN2953" t="str">
            <v>2024-10-14</v>
          </cell>
          <cell r="CO2953">
            <v>593.02099999999996</v>
          </cell>
        </row>
        <row r="2954">
          <cell r="CJ2954" t="str">
            <v xml:space="preserve">NFT-/XUTR/DEUTH02428867200X </v>
          </cell>
          <cell r="CK2954" t="str">
            <v>2024-10-14</v>
          </cell>
          <cell r="CL2954">
            <v>15447.204</v>
          </cell>
          <cell r="CM2954" t="str">
            <v xml:space="preserve">NFT-/XUTR/DEUTH02428846801X </v>
          </cell>
          <cell r="CN2954" t="str">
            <v>2024-10-14</v>
          </cell>
          <cell r="CO2954">
            <v>1170.5150000000001</v>
          </cell>
        </row>
        <row r="2955">
          <cell r="CJ2955" t="str">
            <v xml:space="preserve">NFT-/XUTR/DEUTH02428867200X </v>
          </cell>
          <cell r="CK2955" t="str">
            <v>2024-10-14</v>
          </cell>
          <cell r="CL2955">
            <v>15466.084000000001</v>
          </cell>
          <cell r="CM2955" t="str">
            <v xml:space="preserve">NFT-/XUTR/DEUTH02428846801X </v>
          </cell>
          <cell r="CN2955" t="str">
            <v>2024-10-14</v>
          </cell>
          <cell r="CO2955">
            <v>1170.5150000000001</v>
          </cell>
        </row>
        <row r="2956">
          <cell r="CJ2956" t="str">
            <v xml:space="preserve">NFT-/XUTR/DEUTH02428867200X </v>
          </cell>
          <cell r="CK2956" t="str">
            <v>2024-10-14</v>
          </cell>
          <cell r="CL2956">
            <v>15466.084000000001</v>
          </cell>
          <cell r="CM2956" t="str">
            <v xml:space="preserve">NFT-/XUTR/DEUTH02428846801X </v>
          </cell>
          <cell r="CN2956" t="str">
            <v>2024-10-14</v>
          </cell>
          <cell r="CO2956">
            <v>1170.5150000000001</v>
          </cell>
        </row>
        <row r="2957">
          <cell r="CJ2957" t="str">
            <v xml:space="preserve">NFT-/XUTR/DEUTH02428867200X </v>
          </cell>
          <cell r="CK2957" t="str">
            <v>2024-10-14</v>
          </cell>
          <cell r="CL2957">
            <v>46964.629000000001</v>
          </cell>
          <cell r="CM2957" t="str">
            <v xml:space="preserve">NFT-/XUTR/DEUTH02428846801X </v>
          </cell>
          <cell r="CN2957" t="str">
            <v>2024-10-14</v>
          </cell>
          <cell r="CO2957">
            <v>2926.288</v>
          </cell>
        </row>
        <row r="2958">
          <cell r="CJ2958" t="str">
            <v xml:space="preserve">NFT-/XUTR/DEUTH02428867200X </v>
          </cell>
          <cell r="CK2958" t="str">
            <v>2024-10-14</v>
          </cell>
          <cell r="CL2958">
            <v>15466.084000000001</v>
          </cell>
          <cell r="CM2958" t="str">
            <v xml:space="preserve">NFT-/XUTR/DEUTH02428846801X </v>
          </cell>
          <cell r="CN2958" t="str">
            <v>2024-10-14</v>
          </cell>
          <cell r="CO2958">
            <v>1170.5150000000001</v>
          </cell>
        </row>
        <row r="2959">
          <cell r="CJ2959" t="str">
            <v xml:space="preserve">NFT-/XUTR/DEUTH02428867200X </v>
          </cell>
          <cell r="CK2959" t="str">
            <v>2024-10-14</v>
          </cell>
          <cell r="CL2959">
            <v>15466.084000000001</v>
          </cell>
          <cell r="CM2959" t="str">
            <v xml:space="preserve">NFT-/XUTR/DEUTH02428846801X </v>
          </cell>
          <cell r="CN2959" t="str">
            <v>2024-10-14</v>
          </cell>
          <cell r="CO2959">
            <v>1170.5150000000001</v>
          </cell>
        </row>
        <row r="2960">
          <cell r="CJ2960" t="str">
            <v xml:space="preserve">NFT-/XUTR/DEUTH02428867200X </v>
          </cell>
          <cell r="CK2960" t="str">
            <v>2024-10-14</v>
          </cell>
          <cell r="CL2960">
            <v>15447.204</v>
          </cell>
          <cell r="CM2960" t="str">
            <v xml:space="preserve">NFT-/XUTR/DEUTH02428846801X </v>
          </cell>
          <cell r="CN2960" t="str">
            <v>2024-10-14</v>
          </cell>
          <cell r="CO2960">
            <v>1170.5150000000001</v>
          </cell>
        </row>
        <row r="2961">
          <cell r="CJ2961" t="str">
            <v xml:space="preserve">NFT-/XUTR/DEUTH02428867200X </v>
          </cell>
          <cell r="CK2961" t="str">
            <v>2024-10-14</v>
          </cell>
          <cell r="CL2961">
            <v>15447.204</v>
          </cell>
          <cell r="CM2961" t="str">
            <v xml:space="preserve">NFT-/XUTR/DEUTH02428846801X </v>
          </cell>
          <cell r="CN2961" t="str">
            <v>2024-10-14</v>
          </cell>
          <cell r="CO2961">
            <v>1170.5150000000001</v>
          </cell>
        </row>
        <row r="2962">
          <cell r="CJ2962" t="str">
            <v xml:space="preserve">NFT-/XUTR/DEUTH02428867200X </v>
          </cell>
          <cell r="CK2962" t="str">
            <v>2024-10-14</v>
          </cell>
          <cell r="CL2962">
            <v>15447.204</v>
          </cell>
          <cell r="CM2962" t="str">
            <v xml:space="preserve">NFT-/XUTR/DEUTH02428846801X </v>
          </cell>
          <cell r="CN2962" t="str">
            <v>2024-10-14</v>
          </cell>
          <cell r="CO2962">
            <v>1170.5150000000001</v>
          </cell>
        </row>
        <row r="2963">
          <cell r="CJ2963" t="str">
            <v xml:space="preserve">NFT-/XUTR/DEUTH02428867200X </v>
          </cell>
          <cell r="CK2963" t="str">
            <v>2024-10-14</v>
          </cell>
          <cell r="CL2963">
            <v>15466.084000000001</v>
          </cell>
          <cell r="CM2963" t="str">
            <v xml:space="preserve">NFT-/XUTR/DEUTH02428846801X </v>
          </cell>
          <cell r="CN2963" t="str">
            <v>2024-10-14</v>
          </cell>
          <cell r="CO2963">
            <v>1170.5150000000001</v>
          </cell>
        </row>
        <row r="2964">
          <cell r="CJ2964" t="str">
            <v xml:space="preserve">NFT-/XUTR/DEUTH02428867200X </v>
          </cell>
          <cell r="CK2964" t="str">
            <v>2024-10-14</v>
          </cell>
          <cell r="CL2964">
            <v>15466.084000000001</v>
          </cell>
          <cell r="CM2964" t="str">
            <v xml:space="preserve">NFT-/XUTR/DEUTH02428846801X </v>
          </cell>
          <cell r="CN2964" t="str">
            <v>2024-10-14</v>
          </cell>
          <cell r="CO2964">
            <v>1170.5150000000001</v>
          </cell>
        </row>
        <row r="2965">
          <cell r="CJ2965" t="str">
            <v xml:space="preserve">NFT-/XUTR/DEUTH02428867200X </v>
          </cell>
          <cell r="CK2965" t="str">
            <v>2024-10-14</v>
          </cell>
          <cell r="CL2965">
            <v>15447.204</v>
          </cell>
          <cell r="CM2965" t="str">
            <v xml:space="preserve">NFT-/XUTR/DEUTH02428846801X </v>
          </cell>
          <cell r="CN2965" t="str">
            <v>2024-10-14</v>
          </cell>
          <cell r="CO2965">
            <v>1170.5150000000001</v>
          </cell>
        </row>
        <row r="2966">
          <cell r="CJ2966" t="str">
            <v xml:space="preserve">NFT-/XUTR/DEUTH02428867200X </v>
          </cell>
          <cell r="CK2966" t="str">
            <v>2024-10-14</v>
          </cell>
          <cell r="CL2966">
            <v>30914.263999999999</v>
          </cell>
          <cell r="CM2966" t="str">
            <v xml:space="preserve">NFT-/XUTR/DEUTH02428846801X </v>
          </cell>
          <cell r="CN2966" t="str">
            <v>2024-10-14</v>
          </cell>
          <cell r="CO2966">
            <v>2341.0300000000002</v>
          </cell>
        </row>
        <row r="2967">
          <cell r="CJ2967" t="str">
            <v xml:space="preserve">NFT-/XUTR/DEUTH02428867200X </v>
          </cell>
          <cell r="CK2967" t="str">
            <v>2024-10-14</v>
          </cell>
          <cell r="CL2967">
            <v>15466.084000000001</v>
          </cell>
          <cell r="CM2967" t="str">
            <v xml:space="preserve">NFT-/XUTR/DEUTH02428846801X </v>
          </cell>
          <cell r="CN2967" t="str">
            <v>2024-10-14</v>
          </cell>
          <cell r="CO2967">
            <v>1170.5150000000001</v>
          </cell>
        </row>
        <row r="2968">
          <cell r="CJ2968" t="str">
            <v xml:space="preserve">NFT-/XUTR/DEUTH02428867200X </v>
          </cell>
          <cell r="CK2968" t="str">
            <v>2024-10-14</v>
          </cell>
          <cell r="CL2968">
            <v>15466.084000000001</v>
          </cell>
          <cell r="CM2968" t="str">
            <v xml:space="preserve">NFT-/XUTR/DEUTH02428846801X </v>
          </cell>
          <cell r="CN2968" t="str">
            <v>2024-10-14</v>
          </cell>
          <cell r="CO2968">
            <v>1170.5150000000001</v>
          </cell>
        </row>
        <row r="2969">
          <cell r="CJ2969" t="str">
            <v xml:space="preserve">NFT-/XUTR/DEUTH02428867200X </v>
          </cell>
          <cell r="CK2969" t="str">
            <v>2024-10-14</v>
          </cell>
          <cell r="CL2969">
            <v>30933.144</v>
          </cell>
          <cell r="CM2969" t="str">
            <v xml:space="preserve">NFT-/XUTR/DEUTH02428846801X </v>
          </cell>
          <cell r="CN2969" t="str">
            <v>2024-10-14</v>
          </cell>
          <cell r="CO2969">
            <v>2339.08</v>
          </cell>
        </row>
        <row r="2970">
          <cell r="CJ2970" t="str">
            <v xml:space="preserve">NFT-/XUTR/DEUTH02428867200X </v>
          </cell>
          <cell r="CK2970" t="str">
            <v>2024-10-14</v>
          </cell>
          <cell r="CL2970">
            <v>10600.596</v>
          </cell>
          <cell r="CM2970" t="str">
            <v xml:space="preserve">NFT-/XUTR/DEUTH02428846801X </v>
          </cell>
          <cell r="CN2970" t="str">
            <v>2024-10-14</v>
          </cell>
          <cell r="CO2970">
            <v>804.61099999999999</v>
          </cell>
          <cell r="CP2970" t="str">
            <v xml:space="preserve">NFT-/XUTR/DEUTH02429213780X </v>
          </cell>
          <cell r="CQ2970" t="str">
            <v>2024-10-18</v>
          </cell>
          <cell r="CR2970">
            <v>-10600.596</v>
          </cell>
          <cell r="CS2970" t="str">
            <v xml:space="preserve">NFT-/XUTR/DEUTH02429215994X </v>
          </cell>
          <cell r="CT2970" t="str">
            <v>2024-10-18</v>
          </cell>
          <cell r="CU2970">
            <v>-804.61099999999999</v>
          </cell>
        </row>
        <row r="2971">
          <cell r="CJ2971" t="str">
            <v xml:space="preserve">NFT-/XUTR/DEUTH02428867200X </v>
          </cell>
          <cell r="CK2971" t="str">
            <v>2024-10-14</v>
          </cell>
          <cell r="CL2971">
            <v>15466.084000000001</v>
          </cell>
          <cell r="CM2971" t="str">
            <v xml:space="preserve">NFT-/XUTR/DEUTH02428846801X </v>
          </cell>
          <cell r="CN2971" t="str">
            <v>2024-10-14</v>
          </cell>
          <cell r="CO2971">
            <v>1170.5150000000001</v>
          </cell>
        </row>
        <row r="2972">
          <cell r="CJ2972" t="str">
            <v xml:space="preserve">NFT-/XUTR/DEUTH02428867200X </v>
          </cell>
          <cell r="CK2972" t="str">
            <v>2024-10-14</v>
          </cell>
          <cell r="CL2972">
            <v>15447.204</v>
          </cell>
          <cell r="CM2972" t="str">
            <v xml:space="preserve">NFT-/XUTR/DEUTH02428846801X </v>
          </cell>
          <cell r="CN2972" t="str">
            <v>2024-10-14</v>
          </cell>
          <cell r="CO2972">
            <v>1170.5150000000001</v>
          </cell>
        </row>
        <row r="2973">
          <cell r="CJ2973" t="str">
            <v xml:space="preserve">NFT-/XUTR/DEUTH02428867200X </v>
          </cell>
          <cell r="CK2973" t="str">
            <v>2024-10-14</v>
          </cell>
          <cell r="CL2973">
            <v>15466.084000000001</v>
          </cell>
          <cell r="CM2973" t="str">
            <v xml:space="preserve">NFT-/XUTR/DEUTH02428846801X </v>
          </cell>
          <cell r="CN2973" t="str">
            <v>2024-10-14</v>
          </cell>
          <cell r="CO2973">
            <v>1170.5150000000001</v>
          </cell>
        </row>
        <row r="2974">
          <cell r="CJ2974" t="str">
            <v xml:space="preserve">NFT-/XUTR/DEUTH02428867200X </v>
          </cell>
          <cell r="CK2974" t="str">
            <v>2024-10-14</v>
          </cell>
          <cell r="CL2974">
            <v>15466.084000000001</v>
          </cell>
          <cell r="CM2974" t="str">
            <v xml:space="preserve">NFT-/XUTR/DEUTH02428846801X </v>
          </cell>
          <cell r="CN2974" t="str">
            <v>2024-10-14</v>
          </cell>
          <cell r="CO2974">
            <v>1170.5150000000001</v>
          </cell>
        </row>
        <row r="2975">
          <cell r="CJ2975" t="str">
            <v xml:space="preserve">NFT-/XUTR/DEUTH02428867200X </v>
          </cell>
          <cell r="CK2975" t="str">
            <v>2024-10-14</v>
          </cell>
          <cell r="CL2975">
            <v>15447.204</v>
          </cell>
          <cell r="CM2975" t="str">
            <v xml:space="preserve">NFT-/XUTR/DEUTH02428846801X </v>
          </cell>
          <cell r="CN2975" t="str">
            <v>2024-10-14</v>
          </cell>
          <cell r="CO2975">
            <v>1170.5150000000001</v>
          </cell>
        </row>
        <row r="2976">
          <cell r="CJ2976" t="str">
            <v xml:space="preserve">NFT-/XUTR/DEUTH02428867200X </v>
          </cell>
          <cell r="CK2976" t="str">
            <v>2024-10-14</v>
          </cell>
          <cell r="CL2976">
            <v>15447.204</v>
          </cell>
          <cell r="CM2976" t="str">
            <v xml:space="preserve">NFT-/XUTR/DEUTH02428846801X </v>
          </cell>
          <cell r="CN2976" t="str">
            <v>2024-10-14</v>
          </cell>
          <cell r="CO2976">
            <v>1170.5150000000001</v>
          </cell>
        </row>
        <row r="2977">
          <cell r="CJ2977" t="str">
            <v xml:space="preserve">NFT-/XUTR/DEUTH02428867200X </v>
          </cell>
          <cell r="CK2977" t="str">
            <v>2024-10-14</v>
          </cell>
          <cell r="CL2977">
            <v>15447.204</v>
          </cell>
          <cell r="CM2977" t="str">
            <v xml:space="preserve">NFT-/XUTR/DEUTH02428846801X </v>
          </cell>
          <cell r="CN2977" t="str">
            <v>2024-10-14</v>
          </cell>
          <cell r="CO2977">
            <v>1170.5150000000001</v>
          </cell>
        </row>
        <row r="2978">
          <cell r="CJ2978" t="str">
            <v xml:space="preserve">NFT-/XUTR/DEUTH02428867200X </v>
          </cell>
          <cell r="CK2978" t="str">
            <v>2024-10-14</v>
          </cell>
          <cell r="CL2978">
            <v>78627.212</v>
          </cell>
          <cell r="CM2978" t="str">
            <v xml:space="preserve">NFT-/XUTR/DEUTH02428846801X </v>
          </cell>
          <cell r="CN2978" t="str">
            <v>2024-10-14</v>
          </cell>
          <cell r="CO2978">
            <v>2911.723</v>
          </cell>
        </row>
        <row r="2979">
          <cell r="CJ2979" t="str">
            <v xml:space="preserve">NFT-/XUTR/DEUTH02428867200X </v>
          </cell>
          <cell r="CK2979" t="str">
            <v>2024-10-14</v>
          </cell>
          <cell r="CL2979">
            <v>7798.5439999999999</v>
          </cell>
          <cell r="CM2979" t="str">
            <v xml:space="preserve">NFT-/XUTR/DEUTH02428846801X </v>
          </cell>
          <cell r="CN2979" t="str">
            <v>2024-10-14</v>
          </cell>
          <cell r="CO2979">
            <v>588.16999999999996</v>
          </cell>
        </row>
        <row r="2981">
          <cell r="CJ2981" t="str">
            <v xml:space="preserve">NFT-/XUTR/DEUTH02428867200X </v>
          </cell>
          <cell r="CK2981" t="str">
            <v>2024-10-14</v>
          </cell>
          <cell r="CL2981">
            <v>15447.204</v>
          </cell>
          <cell r="CM2981" t="str">
            <v xml:space="preserve">NFT-/XUTR/DEUTH02428846801X </v>
          </cell>
          <cell r="CN2981" t="str">
            <v>2024-10-14</v>
          </cell>
          <cell r="CO2981">
            <v>1170.5150000000001</v>
          </cell>
        </row>
        <row r="2982">
          <cell r="CJ2982" t="str">
            <v xml:space="preserve">NFT-/XUTR/DEUTH02428867200X </v>
          </cell>
          <cell r="CK2982" t="str">
            <v>2024-10-14</v>
          </cell>
          <cell r="CL2982">
            <v>15447.204</v>
          </cell>
          <cell r="CM2982" t="str">
            <v xml:space="preserve">NFT-/XUTR/DEUTH02428846801X </v>
          </cell>
          <cell r="CN2982" t="str">
            <v>2024-10-14</v>
          </cell>
          <cell r="CO2982">
            <v>1170.5150000000001</v>
          </cell>
        </row>
        <row r="2983">
          <cell r="CJ2983" t="str">
            <v xml:space="preserve">NFT-/XUTR/DEUTH02428867200X </v>
          </cell>
          <cell r="CK2983" t="str">
            <v>2024-10-14</v>
          </cell>
          <cell r="CL2983">
            <v>15447.204</v>
          </cell>
          <cell r="CM2983" t="str">
            <v xml:space="preserve">NFT-/XUTR/DEUTH02428846801X </v>
          </cell>
          <cell r="CN2983" t="str">
            <v>2024-10-14</v>
          </cell>
          <cell r="CO2983">
            <v>1170.5150000000001</v>
          </cell>
        </row>
        <row r="2984">
          <cell r="CJ2984" t="str">
            <v xml:space="preserve">NFT-/XUTR/DEUTH02428867200X </v>
          </cell>
          <cell r="CK2984" t="str">
            <v>2024-10-14</v>
          </cell>
          <cell r="CL2984">
            <v>31176.7</v>
          </cell>
          <cell r="CM2984" t="str">
            <v xml:space="preserve">NFT-/XUTR/DEUTH02428846801X </v>
          </cell>
          <cell r="CN2984" t="str">
            <v>2024-10-14</v>
          </cell>
          <cell r="CO2984">
            <v>2372.0839999999998</v>
          </cell>
        </row>
        <row r="2985">
          <cell r="CJ2985" t="str">
            <v xml:space="preserve">NFT-/XUTR/DEUTH02428867200X </v>
          </cell>
          <cell r="CK2985" t="str">
            <v>2024-10-14</v>
          </cell>
          <cell r="CL2985">
            <v>38500.292999999998</v>
          </cell>
          <cell r="CM2985" t="str">
            <v xml:space="preserve">NFT-/XUTR/DEUTH02428846801X </v>
          </cell>
          <cell r="CN2985" t="str">
            <v>2024-10-14</v>
          </cell>
          <cell r="CO2985">
            <v>2905.8989999999999</v>
          </cell>
        </row>
        <row r="2986">
          <cell r="CJ2986" t="str">
            <v xml:space="preserve">NFT-/XUTR/DEUTH02428867200X </v>
          </cell>
          <cell r="CK2986" t="str">
            <v>2024-10-14</v>
          </cell>
          <cell r="CL2986">
            <v>7775.777</v>
          </cell>
          <cell r="CM2986" t="str">
            <v xml:space="preserve">NFT-/XUTR/DEUTH02428846801X </v>
          </cell>
          <cell r="CN2986" t="str">
            <v>2024-10-14</v>
          </cell>
          <cell r="CO2986">
            <v>592.04700000000003</v>
          </cell>
        </row>
        <row r="2987">
          <cell r="CJ2987" t="str">
            <v xml:space="preserve">NFT-/XUTR/DEUTH02428867200X </v>
          </cell>
          <cell r="CK2987" t="str">
            <v>2024-10-14</v>
          </cell>
          <cell r="CL2987">
            <v>15326.156000000001</v>
          </cell>
          <cell r="CM2987" t="str">
            <v xml:space="preserve">NFT-/XUTR/DEUTH02428846801X </v>
          </cell>
          <cell r="CN2987" t="str">
            <v>2024-10-14</v>
          </cell>
          <cell r="CO2987">
            <v>1159.9770000000001</v>
          </cell>
        </row>
        <row r="2989">
          <cell r="CJ2989" t="str">
            <v xml:space="preserve">NFT-/XUTR/DEUTH02428867200X </v>
          </cell>
          <cell r="CK2989" t="str">
            <v>2024-10-14</v>
          </cell>
          <cell r="CL2989">
            <v>30933.144</v>
          </cell>
          <cell r="CM2989" t="str">
            <v xml:space="preserve">NFT-/XUTR/DEUTH02428846801X </v>
          </cell>
          <cell r="CN2989" t="str">
            <v>2024-10-14</v>
          </cell>
          <cell r="CO2989">
            <v>2339.08</v>
          </cell>
        </row>
        <row r="2990">
          <cell r="CJ2990" t="str">
            <v xml:space="preserve">NFT-/XUTR/DEUTH02428867200X </v>
          </cell>
          <cell r="CK2990" t="str">
            <v>2024-10-14</v>
          </cell>
          <cell r="CL2990">
            <v>30933.144</v>
          </cell>
          <cell r="CM2990" t="str">
            <v xml:space="preserve">NFT-/XUTR/DEUTH02428846801X </v>
          </cell>
          <cell r="CN2990" t="str">
            <v>2024-10-14</v>
          </cell>
          <cell r="CO2990">
            <v>2341.0300000000002</v>
          </cell>
        </row>
        <row r="2991">
          <cell r="CJ2991" t="str">
            <v xml:space="preserve">NFT-/XUTR/DEUTH02428867200X </v>
          </cell>
          <cell r="CK2991" t="str">
            <v>2024-10-14</v>
          </cell>
          <cell r="CL2991">
            <v>38519.173000000003</v>
          </cell>
          <cell r="CM2991" t="str">
            <v xml:space="preserve">NFT-/XUTR/DEUTH02428846801X </v>
          </cell>
          <cell r="CN2991" t="str">
            <v>2024-10-14</v>
          </cell>
          <cell r="CO2991">
            <v>2905.8989999999999</v>
          </cell>
        </row>
        <row r="2992">
          <cell r="CJ2992" t="str">
            <v xml:space="preserve">NFT-/XUTR/DEUTH02428867200X </v>
          </cell>
          <cell r="CK2992" t="str">
            <v>2024-10-14</v>
          </cell>
          <cell r="CL2992">
            <v>78627.212</v>
          </cell>
          <cell r="CM2992" t="str">
            <v xml:space="preserve">NFT-/XUTR/DEUTH02428846801X </v>
          </cell>
          <cell r="CN2992" t="str">
            <v>2024-10-14</v>
          </cell>
          <cell r="CO2992">
            <v>2911.723</v>
          </cell>
        </row>
        <row r="2993">
          <cell r="CJ2993" t="str">
            <v xml:space="preserve">NFT-/XUTR/DEUTH02428867200X </v>
          </cell>
          <cell r="CK2993" t="str">
            <v>2024-10-14</v>
          </cell>
          <cell r="CL2993">
            <v>15307.276</v>
          </cell>
          <cell r="CM2993" t="str">
            <v xml:space="preserve">NFT-/XUTR/DEUTH02428846801X </v>
          </cell>
          <cell r="CN2993" t="str">
            <v>2024-10-14</v>
          </cell>
          <cell r="CO2993">
            <v>1159.9770000000001</v>
          </cell>
        </row>
        <row r="2994">
          <cell r="CJ2994" t="str">
            <v xml:space="preserve">NFT-/XUTR/DEUTH02428867200X </v>
          </cell>
          <cell r="CK2994" t="str">
            <v>2024-10-14</v>
          </cell>
          <cell r="CL2994">
            <v>7774.8130000000001</v>
          </cell>
          <cell r="CM2994" t="str">
            <v xml:space="preserve">NFT-/XUTR/DEUTH02428846801X </v>
          </cell>
          <cell r="CN2994" t="str">
            <v>2024-10-14</v>
          </cell>
          <cell r="CO2994">
            <v>593.02099999999996</v>
          </cell>
        </row>
        <row r="2995">
          <cell r="CJ2995" t="str">
            <v xml:space="preserve">NFT-/XUTR/DEUTH02428867200X </v>
          </cell>
          <cell r="CK2995" t="str">
            <v>2024-10-14</v>
          </cell>
          <cell r="CL2995">
            <v>15447.204</v>
          </cell>
          <cell r="CM2995" t="str">
            <v xml:space="preserve">NFT-/XUTR/DEUTH02428846801X </v>
          </cell>
          <cell r="CN2995" t="str">
            <v>2024-10-14</v>
          </cell>
          <cell r="CO2995">
            <v>1170.5150000000001</v>
          </cell>
        </row>
        <row r="2997">
          <cell r="CJ2997" t="str">
            <v xml:space="preserve">NFT-/XUTR/DEUTH02428867200X </v>
          </cell>
          <cell r="CK2997" t="str">
            <v>2024-10-14</v>
          </cell>
          <cell r="CL2997">
            <v>38519.173999999999</v>
          </cell>
          <cell r="CM2997" t="str">
            <v xml:space="preserve">NFT-/XUTR/DEUTH02428846801X </v>
          </cell>
          <cell r="CN2997" t="str">
            <v>2024-10-14</v>
          </cell>
          <cell r="CO2997">
            <v>2905.8989999999999</v>
          </cell>
        </row>
        <row r="2998">
          <cell r="CJ2998" t="str">
            <v xml:space="preserve">NFT-/XUTR/DEUTH02428867200X </v>
          </cell>
          <cell r="CK2998" t="str">
            <v>2024-10-14</v>
          </cell>
          <cell r="CL2998">
            <v>38500.292999999998</v>
          </cell>
          <cell r="CM2998" t="str">
            <v xml:space="preserve">NFT-/XUTR/DEUTH02428846801X </v>
          </cell>
          <cell r="CN2998" t="str">
            <v>2024-10-14</v>
          </cell>
          <cell r="CO2998">
            <v>2905.8989999999999</v>
          </cell>
        </row>
        <row r="2999">
          <cell r="CJ2999" t="str">
            <v xml:space="preserve">NFT-/XUTR/DEUTH02428867200X </v>
          </cell>
          <cell r="CK2999" t="str">
            <v>2024-10-14</v>
          </cell>
          <cell r="CL2999">
            <v>15326.156000000001</v>
          </cell>
          <cell r="CM2999" t="str">
            <v xml:space="preserve">NFT-/XUTR/DEUTH02428846801X </v>
          </cell>
          <cell r="CN2999" t="str">
            <v>2024-10-14</v>
          </cell>
          <cell r="CO2999">
            <v>1159.9770000000001</v>
          </cell>
        </row>
        <row r="3000">
          <cell r="CJ3000" t="str">
            <v xml:space="preserve">NFT-/XUTR/DEUTH02428867200X </v>
          </cell>
          <cell r="CK3000" t="str">
            <v>2024-10-14</v>
          </cell>
          <cell r="CL3000">
            <v>15466.084000000001</v>
          </cell>
          <cell r="CM3000" t="str">
            <v xml:space="preserve">NFT-/XUTR/DEUTH02428846801X </v>
          </cell>
          <cell r="CN3000" t="str">
            <v>2024-10-14</v>
          </cell>
          <cell r="CO3000">
            <v>1170.5150000000001</v>
          </cell>
        </row>
        <row r="3002">
          <cell r="CJ3002" t="str">
            <v xml:space="preserve">NFT-/XUTR/DEUTH02428867200X </v>
          </cell>
          <cell r="CK3002" t="str">
            <v>2024-10-14</v>
          </cell>
          <cell r="CL3002">
            <v>37616.726000000002</v>
          </cell>
          <cell r="CM3002" t="str">
            <v xml:space="preserve">NFT-/XUTR/DEUTH02428846801X </v>
          </cell>
          <cell r="CN3002" t="str">
            <v>2024-10-14</v>
          </cell>
          <cell r="CO3002">
            <v>3434.7150000000001</v>
          </cell>
          <cell r="CP3002" t="str">
            <v xml:space="preserve">NFT-/XUTR/DEUTH02429213780X </v>
          </cell>
          <cell r="CQ3002" t="str">
            <v>2024-10-18</v>
          </cell>
          <cell r="CR3002">
            <v>-37616.726000000002</v>
          </cell>
          <cell r="CS3002" t="str">
            <v xml:space="preserve">NFT-/XUTR/DEUTH02429215994X </v>
          </cell>
          <cell r="CT3002" t="str">
            <v>2024-10-18</v>
          </cell>
          <cell r="CU3002">
            <v>-3434.7150000000001</v>
          </cell>
        </row>
        <row r="3003">
          <cell r="CJ3003" t="str">
            <v xml:space="preserve">NFT-/XUTR/DEUTH02428867200X </v>
          </cell>
          <cell r="CK3003" t="str">
            <v>2024-10-14</v>
          </cell>
          <cell r="CL3003">
            <v>38519.173999999999</v>
          </cell>
          <cell r="CM3003" t="str">
            <v xml:space="preserve">NFT-/XUTR/DEUTH02428846801X </v>
          </cell>
          <cell r="CN3003" t="str">
            <v>2024-10-14</v>
          </cell>
          <cell r="CO3003">
            <v>2905.8989999999999</v>
          </cell>
        </row>
        <row r="3004">
          <cell r="CJ3004" t="str">
            <v xml:space="preserve">NFT-/XUTR/DEUTH02428867200X </v>
          </cell>
          <cell r="CK3004" t="str">
            <v>2024-10-14</v>
          </cell>
          <cell r="CL3004">
            <v>77724.36</v>
          </cell>
          <cell r="CM3004" t="str">
            <v xml:space="preserve">NFT-/XUTR/DEUTH02428846801X </v>
          </cell>
          <cell r="CN3004" t="str">
            <v>2024-10-14</v>
          </cell>
          <cell r="CO3004">
            <v>3079.799</v>
          </cell>
        </row>
        <row r="3005">
          <cell r="CJ3005" t="str">
            <v xml:space="preserve">NFT-/XUTR/DEUTH02428867200X </v>
          </cell>
          <cell r="CK3005" t="str">
            <v>2024-10-14</v>
          </cell>
          <cell r="CL3005">
            <v>38519.173000000003</v>
          </cell>
          <cell r="CM3005" t="str">
            <v xml:space="preserve">NFT-/XUTR/DEUTH02428846801X </v>
          </cell>
          <cell r="CN3005" t="str">
            <v>2024-10-14</v>
          </cell>
          <cell r="CO3005">
            <v>2905.8989999999999</v>
          </cell>
        </row>
        <row r="3006">
          <cell r="CJ3006" t="str">
            <v xml:space="preserve">NFT-/XUTR/DEUTH02428867200X </v>
          </cell>
          <cell r="CK3006" t="str">
            <v>2024-10-14</v>
          </cell>
          <cell r="CL3006">
            <v>30933.144</v>
          </cell>
          <cell r="CM3006" t="str">
            <v xml:space="preserve">NFT-/XUTR/DEUTH02428846801X </v>
          </cell>
          <cell r="CN3006" t="str">
            <v>2024-10-14</v>
          </cell>
          <cell r="CO3006">
            <v>2339.08</v>
          </cell>
          <cell r="CP3006" t="str">
            <v xml:space="preserve">NFT-/XUTR/DEUTH02429023615X </v>
          </cell>
          <cell r="CQ3006" t="str">
            <v>2024-10-16</v>
          </cell>
          <cell r="CR3006">
            <v>-30933.144</v>
          </cell>
          <cell r="CS3006" t="str">
            <v xml:space="preserve">NFT-/XUTR/DEUTH02429026181X </v>
          </cell>
          <cell r="CT3006" t="str">
            <v>2024-10-16</v>
          </cell>
          <cell r="CU3006">
            <v>-2339.08</v>
          </cell>
        </row>
        <row r="3007">
          <cell r="CJ3007" t="str">
            <v xml:space="preserve">NFT-/XUTR/DEUTH02428867200X </v>
          </cell>
          <cell r="CK3007" t="str">
            <v>2024-10-14</v>
          </cell>
          <cell r="CL3007">
            <v>7774.8130000000001</v>
          </cell>
          <cell r="CM3007" t="str">
            <v xml:space="preserve">NFT-/XUTR/DEUTH02428846801X </v>
          </cell>
          <cell r="CN3007" t="str">
            <v>2024-10-14</v>
          </cell>
          <cell r="CO3007">
            <v>593.02099999999996</v>
          </cell>
        </row>
        <row r="3008">
          <cell r="CJ3008" t="str">
            <v xml:space="preserve">NFT-/XUTR/DEUTH02428867200X </v>
          </cell>
          <cell r="CK3008" t="str">
            <v>2024-10-14</v>
          </cell>
          <cell r="CL3008">
            <v>78608.331000000006</v>
          </cell>
          <cell r="CM3008" t="str">
            <v xml:space="preserve">NFT-/XUTR/DEUTH02428846801X </v>
          </cell>
          <cell r="CN3008" t="str">
            <v>2024-10-14</v>
          </cell>
          <cell r="CO3008">
            <v>2911.7240000000002</v>
          </cell>
        </row>
        <row r="3009">
          <cell r="CJ3009" t="str">
            <v xml:space="preserve">NFT-/XUTR/DEUTH02428867200X </v>
          </cell>
          <cell r="CK3009" t="str">
            <v>2024-10-14</v>
          </cell>
          <cell r="CL3009">
            <v>15447.204</v>
          </cell>
          <cell r="CM3009" t="str">
            <v xml:space="preserve">NFT-/XUTR/DEUTH02428846801X </v>
          </cell>
          <cell r="CN3009" t="str">
            <v>2024-10-14</v>
          </cell>
          <cell r="CO3009">
            <v>1170.5150000000001</v>
          </cell>
        </row>
        <row r="3010">
          <cell r="CJ3010" t="str">
            <v xml:space="preserve">NFT-/XUTR/DEUTH02428867200X </v>
          </cell>
          <cell r="CK3010" t="str">
            <v>2024-10-14</v>
          </cell>
          <cell r="CL3010">
            <v>15569.47</v>
          </cell>
          <cell r="CM3010" t="str">
            <v xml:space="preserve">NFT-/XUTR/DEUTH02428846801X </v>
          </cell>
          <cell r="CN3010" t="str">
            <v>2024-10-14</v>
          </cell>
          <cell r="CO3010">
            <v>1186.0419999999999</v>
          </cell>
        </row>
        <row r="3011">
          <cell r="CJ3011" t="str">
            <v xml:space="preserve">NFT-/XUTR/DEUTH02428867200X </v>
          </cell>
          <cell r="CK3011" t="str">
            <v>2024-10-14</v>
          </cell>
          <cell r="CL3011">
            <v>30933.144</v>
          </cell>
          <cell r="CM3011" t="str">
            <v xml:space="preserve">NFT-/XUTR/DEUTH02428846801X </v>
          </cell>
          <cell r="CN3011" t="str">
            <v>2024-10-14</v>
          </cell>
          <cell r="CO3011">
            <v>2341.0300000000002</v>
          </cell>
        </row>
        <row r="3012">
          <cell r="CJ3012" t="str">
            <v xml:space="preserve">NFT-/XUTR/DEUTH02428867200X </v>
          </cell>
          <cell r="CK3012" t="str">
            <v>2024-10-14</v>
          </cell>
          <cell r="CL3012">
            <v>38519.173000000003</v>
          </cell>
          <cell r="CM3012" t="str">
            <v xml:space="preserve">NFT-/XUTR/DEUTH02428846801X </v>
          </cell>
          <cell r="CN3012" t="str">
            <v>2024-10-14</v>
          </cell>
          <cell r="CO3012">
            <v>2905.8989999999999</v>
          </cell>
        </row>
        <row r="3013">
          <cell r="CJ3013" t="str">
            <v xml:space="preserve">NFT-/XUTR/DEUTH02428867200X </v>
          </cell>
          <cell r="CK3013" t="str">
            <v>2024-10-14</v>
          </cell>
          <cell r="CL3013">
            <v>15127.357</v>
          </cell>
          <cell r="CM3013" t="str">
            <v xml:space="preserve">NFT-/XUTR/DEUTH02428846801X </v>
          </cell>
          <cell r="CN3013" t="str">
            <v>2024-10-14</v>
          </cell>
          <cell r="CO3013">
            <v>1509.242</v>
          </cell>
        </row>
        <row r="3015">
          <cell r="CJ3015" t="str">
            <v xml:space="preserve">NFT-/XUTR/DEUTH02428867200X </v>
          </cell>
          <cell r="CK3015" t="str">
            <v>2024-10-14</v>
          </cell>
          <cell r="CL3015">
            <v>30933.144</v>
          </cell>
          <cell r="CM3015" t="str">
            <v xml:space="preserve">NFT-/XUTR/DEUTH02428846801X </v>
          </cell>
          <cell r="CN3015" t="str">
            <v>2024-10-14</v>
          </cell>
          <cell r="CO3015">
            <v>2341.0300000000002</v>
          </cell>
        </row>
        <row r="3016">
          <cell r="CJ3016" t="str">
            <v xml:space="preserve">NFT-/XUTR/DEUTH02428867200X </v>
          </cell>
          <cell r="CK3016" t="str">
            <v>2024-10-14</v>
          </cell>
          <cell r="CL3016">
            <v>38500.292999999998</v>
          </cell>
          <cell r="CM3016" t="str">
            <v xml:space="preserve">NFT-/XUTR/DEUTH02428846801X </v>
          </cell>
          <cell r="CN3016" t="str">
            <v>2024-10-14</v>
          </cell>
          <cell r="CO3016">
            <v>2905.8989999999999</v>
          </cell>
        </row>
        <row r="3017">
          <cell r="CJ3017" t="str">
            <v xml:space="preserve">NFT-/XUTR/DEUTH02428867200X </v>
          </cell>
          <cell r="CK3017" t="str">
            <v>2024-10-14</v>
          </cell>
          <cell r="CL3017">
            <v>15307.276</v>
          </cell>
          <cell r="CM3017" t="str">
            <v xml:space="preserve">NFT-/XUTR/DEUTH02428846801X </v>
          </cell>
          <cell r="CN3017" t="str">
            <v>2024-10-14</v>
          </cell>
          <cell r="CO3017">
            <v>1159.9770000000001</v>
          </cell>
        </row>
        <row r="3018">
          <cell r="CJ3018" t="str">
            <v xml:space="preserve">NFT-/XUTR/DEUTH02428867200X </v>
          </cell>
          <cell r="CK3018" t="str">
            <v>2024-10-14</v>
          </cell>
          <cell r="CL3018">
            <v>15457.347</v>
          </cell>
          <cell r="CM3018" t="str">
            <v xml:space="preserve">NFT-/XUTR/DEUTH02428846801X </v>
          </cell>
          <cell r="CN3018" t="str">
            <v>2024-10-14</v>
          </cell>
          <cell r="CO3018">
            <v>1179.251</v>
          </cell>
        </row>
        <row r="3019">
          <cell r="CJ3019" t="str">
            <v xml:space="preserve">NFT-/XUTR/DEUTH02428867200X </v>
          </cell>
          <cell r="CK3019" t="str">
            <v>2024-10-14</v>
          </cell>
          <cell r="CL3019">
            <v>30933.144</v>
          </cell>
          <cell r="CM3019" t="str">
            <v xml:space="preserve">NFT-/XUTR/DEUTH02428846801X </v>
          </cell>
          <cell r="CN3019" t="str">
            <v>2024-10-14</v>
          </cell>
          <cell r="CO3019">
            <v>2339.08</v>
          </cell>
        </row>
        <row r="3020">
          <cell r="CJ3020" t="str">
            <v xml:space="preserve">NFT-/XUTR/DEUTH02428867200X </v>
          </cell>
          <cell r="CK3020" t="str">
            <v>2024-10-14</v>
          </cell>
          <cell r="CL3020">
            <v>15326.156000000001</v>
          </cell>
          <cell r="CM3020" t="str">
            <v xml:space="preserve">NFT-/XUTR/DEUTH02428846801X </v>
          </cell>
          <cell r="CN3020" t="str">
            <v>2024-10-14</v>
          </cell>
          <cell r="CO3020">
            <v>1159.9770000000001</v>
          </cell>
        </row>
        <row r="3021">
          <cell r="CJ3021" t="str">
            <v xml:space="preserve">NFT-/XUTR/DEUTH02428867200X </v>
          </cell>
          <cell r="CK3021" t="str">
            <v>2024-10-14</v>
          </cell>
          <cell r="CL3021">
            <v>15466.084000000001</v>
          </cell>
          <cell r="CM3021" t="str">
            <v xml:space="preserve">NFT-/XUTR/DEUTH02428846801X </v>
          </cell>
          <cell r="CN3021" t="str">
            <v>2024-10-14</v>
          </cell>
          <cell r="CO3021">
            <v>1170.5150000000001</v>
          </cell>
        </row>
        <row r="3023">
          <cell r="CJ3023" t="str">
            <v xml:space="preserve">NFT-/XUTR/DEUTH02428867200X </v>
          </cell>
          <cell r="CK3023" t="str">
            <v>2024-10-14</v>
          </cell>
          <cell r="CL3023">
            <v>30933.144</v>
          </cell>
          <cell r="CM3023" t="str">
            <v xml:space="preserve">NFT-/XUTR/DEUTH02428846801X </v>
          </cell>
          <cell r="CN3023" t="str">
            <v>2024-10-14</v>
          </cell>
          <cell r="CO3023">
            <v>2339.08</v>
          </cell>
        </row>
        <row r="3024">
          <cell r="CJ3024" t="str">
            <v xml:space="preserve">NFT-/XUTR/DEUTH02428867200X </v>
          </cell>
          <cell r="CK3024" t="str">
            <v>2024-10-14</v>
          </cell>
          <cell r="CL3024">
            <v>38500.292999999998</v>
          </cell>
          <cell r="CM3024" t="str">
            <v xml:space="preserve">NFT-/XUTR/DEUTH02428846801X </v>
          </cell>
          <cell r="CN3024" t="str">
            <v>2024-10-14</v>
          </cell>
          <cell r="CO3024">
            <v>2905.8989999999999</v>
          </cell>
        </row>
        <row r="3026">
          <cell r="CJ3026" t="str">
            <v xml:space="preserve">NFT-/XUTR/DEUTH02428867200X </v>
          </cell>
          <cell r="CK3026" t="str">
            <v>2024-10-14</v>
          </cell>
          <cell r="CL3026">
            <v>30933.144</v>
          </cell>
          <cell r="CM3026" t="str">
            <v xml:space="preserve">NFT-/XUTR/DEUTH02428846801X </v>
          </cell>
          <cell r="CN3026" t="str">
            <v>2024-10-14</v>
          </cell>
          <cell r="CO3026">
            <v>2339.08</v>
          </cell>
        </row>
        <row r="3027">
          <cell r="CJ3027" t="str">
            <v xml:space="preserve">NFT-/XUTR/DEUTH02428867200X </v>
          </cell>
          <cell r="CK3027" t="str">
            <v>2024-10-14</v>
          </cell>
          <cell r="CL3027">
            <v>30933.144</v>
          </cell>
          <cell r="CM3027" t="str">
            <v xml:space="preserve">NFT-/XUTR/DEUTH02428846801X </v>
          </cell>
          <cell r="CN3027" t="str">
            <v>2024-10-14</v>
          </cell>
          <cell r="CO3027">
            <v>2341.0300000000002</v>
          </cell>
        </row>
        <row r="3028">
          <cell r="CJ3028" t="str">
            <v xml:space="preserve">NFT-/XUTR/DEUTH02428867200X </v>
          </cell>
          <cell r="CK3028" t="str">
            <v>2024-10-14</v>
          </cell>
          <cell r="CL3028">
            <v>38500.292999999998</v>
          </cell>
          <cell r="CM3028" t="str">
            <v xml:space="preserve">NFT-/XUTR/DEUTH02428846801X </v>
          </cell>
          <cell r="CN3028" t="str">
            <v>2024-10-14</v>
          </cell>
          <cell r="CO3028">
            <v>2905.8989999999999</v>
          </cell>
        </row>
        <row r="3029">
          <cell r="CJ3029" t="str">
            <v xml:space="preserve">NFT-/XUTR/DEUTH02428867200X </v>
          </cell>
          <cell r="CK3029" t="str">
            <v>2024-10-14</v>
          </cell>
          <cell r="CL3029">
            <v>15396.204</v>
          </cell>
          <cell r="CM3029" t="str">
            <v xml:space="preserve">NFT-/XUTR/DEUTH02428846801X </v>
          </cell>
          <cell r="CN3029" t="str">
            <v>2024-10-14</v>
          </cell>
          <cell r="CO3029">
            <v>1240.395</v>
          </cell>
        </row>
        <row r="3030">
          <cell r="CJ3030" t="str">
            <v xml:space="preserve">NFT-/XUTR/DEUTH02428867200X </v>
          </cell>
          <cell r="CK3030" t="str">
            <v>2024-10-14</v>
          </cell>
          <cell r="CL3030">
            <v>15466.084000000001</v>
          </cell>
          <cell r="CM3030" t="str">
            <v xml:space="preserve">NFT-/XUTR/DEUTH02428846801X </v>
          </cell>
          <cell r="CN3030" t="str">
            <v>2024-10-14</v>
          </cell>
          <cell r="CO3030">
            <v>1170.5150000000001</v>
          </cell>
        </row>
        <row r="3031">
          <cell r="CJ3031" t="str">
            <v xml:space="preserve">NFT-/XUTR/DEUTH02428867200X </v>
          </cell>
          <cell r="CK3031" t="str">
            <v>2024-10-14</v>
          </cell>
          <cell r="CL3031">
            <v>38519.173999999999</v>
          </cell>
          <cell r="CM3031" t="str">
            <v xml:space="preserve">NFT-/XUTR/DEUTH02428846801X </v>
          </cell>
          <cell r="CN3031" t="str">
            <v>2024-10-14</v>
          </cell>
          <cell r="CO3031">
            <v>2905.8989999999999</v>
          </cell>
        </row>
        <row r="3032">
          <cell r="CJ3032" t="str">
            <v xml:space="preserve">NFT-/XUTR/DEUTH02428867200X </v>
          </cell>
          <cell r="CK3032" t="str">
            <v>2024-10-14</v>
          </cell>
          <cell r="CL3032">
            <v>30933.144</v>
          </cell>
          <cell r="CM3032" t="str">
            <v xml:space="preserve">NFT-/XUTR/DEUTH02428846801X </v>
          </cell>
          <cell r="CN3032" t="str">
            <v>2024-10-14</v>
          </cell>
          <cell r="CO3032">
            <v>2339.08</v>
          </cell>
        </row>
        <row r="3033">
          <cell r="CJ3033" t="str">
            <v xml:space="preserve">NFT-/XUTR/DEUTH02428867200X </v>
          </cell>
          <cell r="CK3033" t="str">
            <v>2024-10-14</v>
          </cell>
          <cell r="CL3033">
            <v>7793.6930000000002</v>
          </cell>
          <cell r="CM3033" t="str">
            <v xml:space="preserve">NFT-/XUTR/DEUTH02428846801X </v>
          </cell>
          <cell r="CN3033" t="str">
            <v>2024-10-14</v>
          </cell>
          <cell r="CO3033">
            <v>593.02099999999996</v>
          </cell>
        </row>
        <row r="3034">
          <cell r="CJ3034" t="str">
            <v xml:space="preserve">NFT-/XUTR/DEUTH02428867200X </v>
          </cell>
          <cell r="CK3034" t="str">
            <v>2024-10-14</v>
          </cell>
          <cell r="CL3034">
            <v>6295.99</v>
          </cell>
          <cell r="CM3034" t="str">
            <v xml:space="preserve">NFT-/XUTR/DEUTH02428846801X </v>
          </cell>
          <cell r="CN3034" t="str">
            <v>2024-10-14</v>
          </cell>
          <cell r="CO3034">
            <v>499.84</v>
          </cell>
        </row>
        <row r="3035">
          <cell r="CJ3035" t="str">
            <v xml:space="preserve">NFT-/XUTR/DEUTH02428867200X </v>
          </cell>
          <cell r="CK3035" t="str">
            <v>2024-10-14</v>
          </cell>
          <cell r="CL3035">
            <v>38519.173000000003</v>
          </cell>
          <cell r="CM3035" t="str">
            <v xml:space="preserve">NFT-/XUTR/DEUTH02428846801X </v>
          </cell>
          <cell r="CN3035" t="str">
            <v>2024-10-14</v>
          </cell>
          <cell r="CO3035">
            <v>2905.8989999999999</v>
          </cell>
        </row>
        <row r="3036">
          <cell r="CJ3036" t="str">
            <v xml:space="preserve">NFT-/XUTR/DEUTH02428867200X </v>
          </cell>
          <cell r="CK3036" t="str">
            <v>2024-10-14</v>
          </cell>
          <cell r="CL3036">
            <v>15447.204</v>
          </cell>
          <cell r="CM3036" t="str">
            <v xml:space="preserve">NFT-/XUTR/DEUTH02428846801X </v>
          </cell>
          <cell r="CN3036" t="str">
            <v>2024-10-14</v>
          </cell>
          <cell r="CO3036">
            <v>1170.5150000000001</v>
          </cell>
        </row>
        <row r="3037">
          <cell r="CJ3037" t="str">
            <v xml:space="preserve">NFT-/XUTR/DEUTH02428867200X </v>
          </cell>
          <cell r="CK3037" t="str">
            <v>2024-10-14</v>
          </cell>
          <cell r="CL3037">
            <v>30933.144</v>
          </cell>
          <cell r="CM3037" t="str">
            <v xml:space="preserve">NFT-/XUTR/DEUTH02428846801X </v>
          </cell>
          <cell r="CN3037" t="str">
            <v>2024-10-14</v>
          </cell>
          <cell r="CO3037">
            <v>2341.0300000000002</v>
          </cell>
        </row>
        <row r="3038">
          <cell r="CJ3038" t="str">
            <v xml:space="preserve">NFT-/XUTR/DEUTH02428867200X </v>
          </cell>
          <cell r="CK3038" t="str">
            <v>2024-10-14</v>
          </cell>
          <cell r="CL3038">
            <v>7775.777</v>
          </cell>
          <cell r="CM3038" t="str">
            <v xml:space="preserve">NFT-/XUTR/DEUTH02428846801X </v>
          </cell>
          <cell r="CN3038" t="str">
            <v>2024-10-14</v>
          </cell>
          <cell r="CO3038">
            <v>592.04700000000003</v>
          </cell>
        </row>
        <row r="3039">
          <cell r="CJ3039" t="str">
            <v xml:space="preserve">NFT-/XUTR/DEUTH02428867200X </v>
          </cell>
          <cell r="CK3039" t="str">
            <v>2024-10-14</v>
          </cell>
          <cell r="CL3039">
            <v>78656.86</v>
          </cell>
          <cell r="CM3039" t="str">
            <v xml:space="preserve">NFT-/XUTR/DEUTH02428846801X </v>
          </cell>
          <cell r="CN3039" t="str">
            <v>2024-10-14</v>
          </cell>
          <cell r="CO3039">
            <v>2911.7240000000002</v>
          </cell>
        </row>
        <row r="3040">
          <cell r="CJ3040" t="str">
            <v xml:space="preserve">NFT-/XUTR/DEUTH02428867200X </v>
          </cell>
          <cell r="CK3040" t="str">
            <v>2024-10-14</v>
          </cell>
          <cell r="CL3040">
            <v>78608.331000000006</v>
          </cell>
          <cell r="CM3040" t="str">
            <v xml:space="preserve">NFT-/XUTR/DEUTH02428846801X </v>
          </cell>
          <cell r="CN3040" t="str">
            <v>2024-10-14</v>
          </cell>
          <cell r="CO3040">
            <v>2911.7240000000002</v>
          </cell>
        </row>
        <row r="3041">
          <cell r="CJ3041" t="str">
            <v xml:space="preserve">NFT-/XUTR/DEUTH02428867200X </v>
          </cell>
          <cell r="CK3041" t="str">
            <v>2024-10-14</v>
          </cell>
          <cell r="CL3041">
            <v>10591.419</v>
          </cell>
          <cell r="CM3041" t="str">
            <v xml:space="preserve">NFT-/XUTR/DEUTH02428846801X </v>
          </cell>
          <cell r="CN3041" t="str">
            <v>2024-10-14</v>
          </cell>
          <cell r="CO3041">
            <v>804.61099999999999</v>
          </cell>
        </row>
        <row r="3042">
          <cell r="CJ3042" t="str">
            <v xml:space="preserve">NFT-/XUTR/DEUTH02428867200X </v>
          </cell>
          <cell r="CK3042" t="str">
            <v>2024-10-14</v>
          </cell>
          <cell r="CL3042">
            <v>7792.2539999999999</v>
          </cell>
          <cell r="CM3042" t="str">
            <v xml:space="preserve">NFT-/XUTR/DEUTH02428846801X </v>
          </cell>
          <cell r="CN3042" t="str">
            <v>2024-10-14</v>
          </cell>
          <cell r="CO3042">
            <v>588.16999999999996</v>
          </cell>
        </row>
        <row r="3043">
          <cell r="CJ3043" t="str">
            <v xml:space="preserve">NFT-/XUTR/DEUTH02428867200X </v>
          </cell>
          <cell r="CK3043" t="str">
            <v>2024-10-14</v>
          </cell>
          <cell r="CL3043">
            <v>30493.031999999999</v>
          </cell>
          <cell r="CM3043" t="str">
            <v xml:space="preserve">NFT-/XUTR/DEUTH02428846801X </v>
          </cell>
          <cell r="CN3043" t="str">
            <v>2024-10-14</v>
          </cell>
          <cell r="CO3043">
            <v>2760.3139999999999</v>
          </cell>
        </row>
        <row r="3044">
          <cell r="CJ3044" t="str">
            <v xml:space="preserve">NFT-/XUTR/DEUTH02428867200X </v>
          </cell>
          <cell r="CK3044" t="str">
            <v>2024-10-14</v>
          </cell>
          <cell r="CL3044">
            <v>15466.084000000001</v>
          </cell>
          <cell r="CM3044" t="str">
            <v xml:space="preserve">NFT-/XUTR/DEUTH02428846801X </v>
          </cell>
          <cell r="CN3044" t="str">
            <v>2024-10-14</v>
          </cell>
          <cell r="CO3044">
            <v>1170.5150000000001</v>
          </cell>
        </row>
        <row r="3045">
          <cell r="CJ3045" t="str">
            <v xml:space="preserve">NFT-/XUTR/DEUTH02428867200X </v>
          </cell>
          <cell r="CK3045" t="str">
            <v>2024-10-14</v>
          </cell>
          <cell r="CL3045">
            <v>30913.288</v>
          </cell>
          <cell r="CM3045" t="str">
            <v xml:space="preserve">NFT-/XUTR/DEUTH02428846801X </v>
          </cell>
          <cell r="CN3045" t="str">
            <v>2024-10-14</v>
          </cell>
          <cell r="CO3045">
            <v>2341.0300000000002</v>
          </cell>
        </row>
        <row r="3046">
          <cell r="CJ3046" t="str">
            <v xml:space="preserve">NFT-/XUTR/DEUTH02428867200X </v>
          </cell>
          <cell r="CK3046" t="str">
            <v>2024-10-14</v>
          </cell>
          <cell r="CL3046">
            <v>78608.331000000006</v>
          </cell>
          <cell r="CM3046" t="str">
            <v xml:space="preserve">NFT-/XUTR/DEUTH02428846801X </v>
          </cell>
          <cell r="CN3046" t="str">
            <v>2024-10-14</v>
          </cell>
          <cell r="CO3046">
            <v>2911.7240000000002</v>
          </cell>
        </row>
        <row r="3047">
          <cell r="CJ3047" t="str">
            <v xml:space="preserve">NFT-/XUTR/DEUTH02428867200X </v>
          </cell>
          <cell r="CK3047" t="str">
            <v>2024-10-14</v>
          </cell>
          <cell r="CL3047">
            <v>7793.6930000000002</v>
          </cell>
          <cell r="CM3047" t="str">
            <v xml:space="preserve">NFT-/XUTR/DEUTH02428846801X </v>
          </cell>
          <cell r="CN3047" t="str">
            <v>2024-10-14</v>
          </cell>
          <cell r="CO3047">
            <v>593.02099999999996</v>
          </cell>
        </row>
        <row r="3048">
          <cell r="CJ3048" t="str">
            <v xml:space="preserve">NFT-/XUTR/DEUTH02428867200X </v>
          </cell>
          <cell r="CK3048" t="str">
            <v>2024-10-14</v>
          </cell>
          <cell r="CL3048">
            <v>30937.044000000002</v>
          </cell>
          <cell r="CM3048" t="str">
            <v xml:space="preserve">NFT-/XUTR/DEUTH02428846801X </v>
          </cell>
          <cell r="CN3048" t="str">
            <v>2024-10-14</v>
          </cell>
          <cell r="CO3048">
            <v>2323.5540000000001</v>
          </cell>
        </row>
        <row r="3049">
          <cell r="CJ3049" t="str">
            <v xml:space="preserve">NFT-/XUTR/DEUTH02428867200X </v>
          </cell>
          <cell r="CK3049" t="str">
            <v>2024-10-14</v>
          </cell>
          <cell r="CL3049">
            <v>15447.204</v>
          </cell>
          <cell r="CM3049" t="str">
            <v xml:space="preserve">NFT-/XUTR/DEUTH02428846801X </v>
          </cell>
          <cell r="CN3049" t="str">
            <v>2024-10-14</v>
          </cell>
          <cell r="CO3049">
            <v>1170.5150000000001</v>
          </cell>
        </row>
        <row r="3050">
          <cell r="CJ3050" t="str">
            <v xml:space="preserve">NFT-/XUTR/DEUTH02428867200X </v>
          </cell>
          <cell r="CK3050" t="str">
            <v>2024-10-14</v>
          </cell>
          <cell r="CL3050">
            <v>15466.084000000001</v>
          </cell>
          <cell r="CM3050" t="str">
            <v xml:space="preserve">NFT-/XUTR/DEUTH02428846801X </v>
          </cell>
          <cell r="CN3050" t="str">
            <v>2024-10-14</v>
          </cell>
          <cell r="CO3050">
            <v>1170.5150000000001</v>
          </cell>
        </row>
        <row r="3051">
          <cell r="CJ3051" t="str">
            <v xml:space="preserve">NFT-/XUTR/DEUTH02428867200X </v>
          </cell>
          <cell r="CK3051" t="str">
            <v>2024-10-14</v>
          </cell>
          <cell r="CL3051">
            <v>15466.084000000001</v>
          </cell>
          <cell r="CM3051" t="str">
            <v xml:space="preserve">NFT-/XUTR/DEUTH02428846801X </v>
          </cell>
          <cell r="CN3051" t="str">
            <v>2024-10-14</v>
          </cell>
          <cell r="CO3051">
            <v>1170.5150000000001</v>
          </cell>
        </row>
        <row r="3052">
          <cell r="CJ3052" t="str">
            <v xml:space="preserve">NFT-/XUTR/DEUTH02428867200X </v>
          </cell>
          <cell r="CK3052" t="str">
            <v>2024-10-14</v>
          </cell>
          <cell r="CL3052">
            <v>15447.204</v>
          </cell>
          <cell r="CM3052" t="str">
            <v xml:space="preserve">NFT-/XUTR/DEUTH02428846801X </v>
          </cell>
          <cell r="CN3052" t="str">
            <v>2024-10-14</v>
          </cell>
          <cell r="CO3052">
            <v>1170.5150000000001</v>
          </cell>
        </row>
        <row r="3053">
          <cell r="CJ3053" t="str">
            <v xml:space="preserve">NFT-/XUTR/DEUTH02428867200X </v>
          </cell>
          <cell r="CK3053" t="str">
            <v>2024-10-14</v>
          </cell>
          <cell r="CL3053">
            <v>15466.084000000001</v>
          </cell>
          <cell r="CM3053" t="str">
            <v xml:space="preserve">NFT-/XUTR/DEUTH02428846801X </v>
          </cell>
          <cell r="CN3053" t="str">
            <v>2024-10-14</v>
          </cell>
          <cell r="CO3053">
            <v>1170.5150000000001</v>
          </cell>
        </row>
        <row r="3054">
          <cell r="CJ3054" t="str">
            <v xml:space="preserve">NFT-/XUTR/DEUTH02428867200X </v>
          </cell>
          <cell r="CK3054" t="str">
            <v>2024-10-14</v>
          </cell>
          <cell r="CL3054">
            <v>15064.266</v>
          </cell>
          <cell r="CM3054" t="str">
            <v xml:space="preserve">NFT-/XUTR/DEUTH02428846801X </v>
          </cell>
          <cell r="CN3054" t="str">
            <v>2024-10-14</v>
          </cell>
          <cell r="CO3054">
            <v>1572.3330000000001</v>
          </cell>
        </row>
        <row r="3055">
          <cell r="CJ3055" t="str">
            <v xml:space="preserve">NFT-/XUTR/DEUTH02428867200X </v>
          </cell>
          <cell r="CK3055" t="str">
            <v>2024-10-14</v>
          </cell>
          <cell r="CL3055">
            <v>78608.331000000006</v>
          </cell>
          <cell r="CM3055" t="str">
            <v xml:space="preserve">NFT-/XUTR/DEUTH02428846801X </v>
          </cell>
          <cell r="CN3055" t="str">
            <v>2024-10-14</v>
          </cell>
          <cell r="CO3055">
            <v>2911.7240000000002</v>
          </cell>
        </row>
        <row r="3056">
          <cell r="CJ3056" t="str">
            <v xml:space="preserve">NFT-/XUTR/DEUTH02428867200X </v>
          </cell>
          <cell r="CK3056" t="str">
            <v>2024-10-14</v>
          </cell>
          <cell r="CL3056">
            <v>15447.204</v>
          </cell>
          <cell r="CM3056" t="str">
            <v xml:space="preserve">NFT-/XUTR/DEUTH02428846801X </v>
          </cell>
          <cell r="CN3056" t="str">
            <v>2024-10-14</v>
          </cell>
          <cell r="CO3056">
            <v>1170.5150000000001</v>
          </cell>
        </row>
        <row r="3057">
          <cell r="CJ3057" t="str">
            <v xml:space="preserve">NFT-/XUTR/DEUTH02428867200X </v>
          </cell>
          <cell r="CK3057" t="str">
            <v>2024-10-14</v>
          </cell>
          <cell r="CL3057">
            <v>10365.276</v>
          </cell>
          <cell r="CM3057" t="str">
            <v xml:space="preserve">NFT-/XUTR/DEUTH02428846801X </v>
          </cell>
          <cell r="CN3057" t="str">
            <v>2024-10-14</v>
          </cell>
          <cell r="CO3057">
            <v>1030.7529999999999</v>
          </cell>
        </row>
        <row r="3058">
          <cell r="CJ3058" t="str">
            <v xml:space="preserve">NFT-/XUTR/DEUTH02428867200X </v>
          </cell>
          <cell r="CK3058" t="str">
            <v>2024-10-14</v>
          </cell>
          <cell r="CL3058">
            <v>15466.084000000001</v>
          </cell>
          <cell r="CM3058" t="str">
            <v xml:space="preserve">NFT-/XUTR/DEUTH02428846801X </v>
          </cell>
          <cell r="CN3058" t="str">
            <v>2024-10-14</v>
          </cell>
          <cell r="CO3058">
            <v>1170.5150000000001</v>
          </cell>
          <cell r="CP3058" t="str">
            <v xml:space="preserve">NFT-/XUTR/DEUTH02429023615X </v>
          </cell>
          <cell r="CQ3058" t="str">
            <v>2024-10-16</v>
          </cell>
          <cell r="CR3058">
            <v>-15466.084000000001</v>
          </cell>
          <cell r="CS3058" t="str">
            <v xml:space="preserve">NFT-/XUTR/DEUTH02429026181X </v>
          </cell>
          <cell r="CT3058" t="str">
            <v>2024-10-16</v>
          </cell>
          <cell r="CU3058">
            <v>-1170.5150000000001</v>
          </cell>
        </row>
        <row r="3059">
          <cell r="CJ3059" t="str">
            <v xml:space="preserve">NFT-/XUTR/DEUTH02428867200X </v>
          </cell>
          <cell r="CK3059" t="str">
            <v>2024-10-14</v>
          </cell>
          <cell r="CL3059">
            <v>15447.204</v>
          </cell>
          <cell r="CM3059" t="str">
            <v xml:space="preserve">NFT-/XUTR/DEUTH02428846801X </v>
          </cell>
          <cell r="CN3059" t="str">
            <v>2024-10-14</v>
          </cell>
          <cell r="CO3059">
            <v>1170.5150000000001</v>
          </cell>
        </row>
        <row r="3060">
          <cell r="CJ3060" t="str">
            <v xml:space="preserve">NFT-/XUTR/DEUTH02428867200X </v>
          </cell>
          <cell r="CK3060" t="str">
            <v>2024-10-14</v>
          </cell>
          <cell r="CL3060">
            <v>30936.998</v>
          </cell>
          <cell r="CM3060" t="str">
            <v xml:space="preserve">NFT-/XUTR/DEUTH02428846801X </v>
          </cell>
          <cell r="CN3060" t="str">
            <v>2024-10-14</v>
          </cell>
          <cell r="CO3060">
            <v>2346.8449999999998</v>
          </cell>
        </row>
        <row r="3061">
          <cell r="CJ3061" t="str">
            <v xml:space="preserve">NFT-/XUTR/DEUTH02428867200X </v>
          </cell>
          <cell r="CK3061" t="str">
            <v>2024-10-14</v>
          </cell>
          <cell r="CL3061">
            <v>78627.210999999996</v>
          </cell>
          <cell r="CM3061" t="str">
            <v xml:space="preserve">NFT-/XUTR/DEUTH02428846801X </v>
          </cell>
          <cell r="CN3061" t="str">
            <v>2024-10-14</v>
          </cell>
          <cell r="CO3061">
            <v>2911.7240000000002</v>
          </cell>
        </row>
        <row r="3062">
          <cell r="CJ3062" t="str">
            <v xml:space="preserve">NFT-/XUTR/DEUTH02428867200X </v>
          </cell>
          <cell r="CK3062" t="str">
            <v>2024-10-14</v>
          </cell>
          <cell r="CL3062">
            <v>15447.204</v>
          </cell>
          <cell r="CM3062" t="str">
            <v xml:space="preserve">NFT-/XUTR/DEUTH02428846801X </v>
          </cell>
          <cell r="CN3062" t="str">
            <v>2024-10-14</v>
          </cell>
          <cell r="CO3062">
            <v>1170.5150000000001</v>
          </cell>
        </row>
        <row r="3063">
          <cell r="CJ3063" t="str">
            <v xml:space="preserve">NFT-/XUTR/DEUTH02428867200X </v>
          </cell>
          <cell r="CK3063" t="str">
            <v>2024-10-14</v>
          </cell>
          <cell r="CL3063">
            <v>15302.592000000001</v>
          </cell>
          <cell r="CM3063" t="str">
            <v xml:space="preserve">NFT-/XUTR/DEUTH02428846801X </v>
          </cell>
          <cell r="CN3063" t="str">
            <v>2024-10-14</v>
          </cell>
          <cell r="CO3063">
            <v>1159.8389999999999</v>
          </cell>
        </row>
        <row r="3064">
          <cell r="CJ3064" t="str">
            <v xml:space="preserve">NFT-/XUTR/DEUTH02428867200X </v>
          </cell>
          <cell r="CK3064" t="str">
            <v>2024-10-14</v>
          </cell>
          <cell r="CL3064">
            <v>6295.99</v>
          </cell>
          <cell r="CM3064" t="str">
            <v xml:space="preserve">NFT-/XUTR/DEUTH02428846801X </v>
          </cell>
          <cell r="CN3064" t="str">
            <v>2024-10-14</v>
          </cell>
          <cell r="CO3064">
            <v>504.70499999999998</v>
          </cell>
        </row>
        <row r="3065">
          <cell r="CJ3065" t="str">
            <v xml:space="preserve">NFT-/XUTR/DEUTH02428867200X </v>
          </cell>
          <cell r="CK3065" t="str">
            <v>2024-10-14</v>
          </cell>
          <cell r="CL3065">
            <v>78608.331000000006</v>
          </cell>
          <cell r="CM3065" t="str">
            <v xml:space="preserve">NFT-/XUTR/DEUTH02428846801X </v>
          </cell>
          <cell r="CN3065" t="str">
            <v>2024-10-14</v>
          </cell>
          <cell r="CO3065">
            <v>2911.7240000000002</v>
          </cell>
        </row>
        <row r="3066">
          <cell r="CJ3066" t="str">
            <v xml:space="preserve">NFT-/XUTR/DEUTH02428867200X </v>
          </cell>
          <cell r="CK3066" t="str">
            <v>2024-10-14</v>
          </cell>
          <cell r="CL3066">
            <v>78608.331000000006</v>
          </cell>
          <cell r="CM3066" t="str">
            <v xml:space="preserve">NFT-/XUTR/DEUTH02428846801X </v>
          </cell>
          <cell r="CN3066" t="str">
            <v>2024-10-14</v>
          </cell>
          <cell r="CO3066">
            <v>2911.7240000000002</v>
          </cell>
        </row>
        <row r="3067">
          <cell r="CJ3067" t="str">
            <v xml:space="preserve">NFT-/XUTR/DEUTH02428867200X </v>
          </cell>
          <cell r="CK3067" t="str">
            <v>2024-10-14</v>
          </cell>
          <cell r="CL3067">
            <v>38500.292999999998</v>
          </cell>
          <cell r="CM3067" t="str">
            <v xml:space="preserve">NFT-/XUTR/DEUTH02428846801X </v>
          </cell>
          <cell r="CN3067" t="str">
            <v>2024-10-14</v>
          </cell>
          <cell r="CO3067">
            <v>2905.8989999999999</v>
          </cell>
        </row>
        <row r="3068">
          <cell r="CJ3068" t="str">
            <v xml:space="preserve">NFT-/XUTR/DEUTH02428867200X </v>
          </cell>
          <cell r="CK3068" t="str">
            <v>2024-10-14</v>
          </cell>
          <cell r="CL3068">
            <v>7793.6930000000002</v>
          </cell>
          <cell r="CM3068" t="str">
            <v xml:space="preserve">NFT-/XUTR/DEUTH02428846801X </v>
          </cell>
          <cell r="CN3068" t="str">
            <v>2024-10-14</v>
          </cell>
          <cell r="CO3068">
            <v>593.02099999999996</v>
          </cell>
        </row>
        <row r="3069">
          <cell r="CJ3069" t="str">
            <v xml:space="preserve">NFT-/XUTR/DEUTH02428867200X </v>
          </cell>
          <cell r="CK3069" t="str">
            <v>2024-10-14</v>
          </cell>
          <cell r="CL3069">
            <v>15447.204</v>
          </cell>
          <cell r="CM3069" t="str">
            <v xml:space="preserve">NFT-/XUTR/DEUTH02428846801X </v>
          </cell>
          <cell r="CN3069" t="str">
            <v>2024-10-14</v>
          </cell>
          <cell r="CO3069">
            <v>1170.5150000000001</v>
          </cell>
        </row>
        <row r="3070">
          <cell r="CJ3070" t="str">
            <v xml:space="preserve">NFT-/XUTR/DEUTH02428867200X </v>
          </cell>
          <cell r="CK3070" t="str">
            <v>2024-10-14</v>
          </cell>
          <cell r="CL3070">
            <v>15447.204</v>
          </cell>
          <cell r="CM3070" t="str">
            <v xml:space="preserve">NFT-/XUTR/DEUTH02428846801X </v>
          </cell>
          <cell r="CN3070" t="str">
            <v>2024-10-14</v>
          </cell>
          <cell r="CO3070">
            <v>1170.5150000000001</v>
          </cell>
        </row>
        <row r="3071">
          <cell r="CJ3071" t="str">
            <v xml:space="preserve">NFT-/XUTR/DEUTH02428867200X </v>
          </cell>
          <cell r="CK3071" t="str">
            <v>2024-10-14</v>
          </cell>
          <cell r="CL3071">
            <v>15306.468999999999</v>
          </cell>
          <cell r="CM3071" t="str">
            <v xml:space="preserve">NFT-/XUTR/DEUTH02428846801X </v>
          </cell>
          <cell r="CN3071" t="str">
            <v>2024-10-14</v>
          </cell>
          <cell r="CO3071">
            <v>1155.952</v>
          </cell>
        </row>
        <row r="3072">
          <cell r="CJ3072" t="str">
            <v xml:space="preserve">NFT-/XUTR/DEUTH02428867200X </v>
          </cell>
          <cell r="CK3072" t="str">
            <v>2024-10-14</v>
          </cell>
          <cell r="CL3072">
            <v>7747.6360000000004</v>
          </cell>
          <cell r="CM3072" t="str">
            <v xml:space="preserve">NFT-/XUTR/DEUTH02428846801X </v>
          </cell>
          <cell r="CN3072" t="str">
            <v>2024-10-14</v>
          </cell>
          <cell r="CO3072">
            <v>591.08299999999997</v>
          </cell>
        </row>
        <row r="3073">
          <cell r="CJ3073" t="str">
            <v xml:space="preserve">NFT-/XUTR/DEUTH02428867200X </v>
          </cell>
          <cell r="CK3073" t="str">
            <v>2024-10-14</v>
          </cell>
          <cell r="CL3073">
            <v>7766.5159999999996</v>
          </cell>
          <cell r="CM3073" t="str">
            <v xml:space="preserve">NFT-/XUTR/DEUTH02428846801X </v>
          </cell>
          <cell r="CN3073" t="str">
            <v>2024-10-14</v>
          </cell>
          <cell r="CO3073">
            <v>591.08299999999997</v>
          </cell>
        </row>
        <row r="3074">
          <cell r="CJ3074" t="str">
            <v xml:space="preserve">NFT-/XUTR/DEUTH02428867200X </v>
          </cell>
          <cell r="CK3074" t="str">
            <v>2024-10-14</v>
          </cell>
          <cell r="CL3074">
            <v>78307.447</v>
          </cell>
          <cell r="CM3074" t="str">
            <v xml:space="preserve">NFT-/XUTR/DEUTH02428846801X </v>
          </cell>
          <cell r="CN3074" t="str">
            <v>2024-10-14</v>
          </cell>
          <cell r="CO3074">
            <v>2911.7240000000002</v>
          </cell>
        </row>
        <row r="3075">
          <cell r="CJ3075" t="str">
            <v xml:space="preserve">NFT-/XUTR/DEUTH02428867200X </v>
          </cell>
          <cell r="CK3075" t="str">
            <v>2024-10-14</v>
          </cell>
          <cell r="CL3075">
            <v>15392.851000000001</v>
          </cell>
          <cell r="CM3075" t="str">
            <v xml:space="preserve">NFT-/XUTR/DEUTH02428846801X </v>
          </cell>
          <cell r="CN3075" t="str">
            <v>2024-10-14</v>
          </cell>
          <cell r="CO3075">
            <v>1166.6279999999999</v>
          </cell>
        </row>
        <row r="3076">
          <cell r="CJ3076" t="str">
            <v xml:space="preserve">NFT-/XUTR/DEUTH02428867200X </v>
          </cell>
          <cell r="CK3076" t="str">
            <v>2024-10-14</v>
          </cell>
          <cell r="CL3076">
            <v>15411.731</v>
          </cell>
          <cell r="CM3076" t="str">
            <v xml:space="preserve">NFT-/XUTR/DEUTH02428846801X </v>
          </cell>
          <cell r="CN3076" t="str">
            <v>2024-10-14</v>
          </cell>
          <cell r="CO3076">
            <v>1166.6279999999999</v>
          </cell>
        </row>
        <row r="3077">
          <cell r="CJ3077" t="str">
            <v xml:space="preserve">NFT-/XUTR/DEUTH02428867200X </v>
          </cell>
          <cell r="CK3077" t="str">
            <v>2024-10-14</v>
          </cell>
          <cell r="CL3077">
            <v>15228.825000000001</v>
          </cell>
          <cell r="CM3077" t="str">
            <v xml:space="preserve">NFT-/XUTR/DEUTH02428846801X </v>
          </cell>
          <cell r="CN3077" t="str">
            <v>2024-10-14</v>
          </cell>
          <cell r="CO3077">
            <v>1330.654</v>
          </cell>
        </row>
        <row r="3078">
          <cell r="CJ3078" t="str">
            <v xml:space="preserve">NFT-/XUTR/DEUTH02428867200X </v>
          </cell>
          <cell r="CK3078" t="str">
            <v>2024-10-14</v>
          </cell>
          <cell r="CL3078">
            <v>15411.731</v>
          </cell>
          <cell r="CM3078" t="str">
            <v xml:space="preserve">NFT-/XUTR/DEUTH02428846801X </v>
          </cell>
          <cell r="CN3078" t="str">
            <v>2024-10-14</v>
          </cell>
          <cell r="CO3078">
            <v>1166.6279999999999</v>
          </cell>
        </row>
        <row r="3080">
          <cell r="CJ3080" t="str">
            <v xml:space="preserve">NFT-/XUTR/DEUTH02428867200X </v>
          </cell>
          <cell r="CK3080" t="str">
            <v>2024-10-14</v>
          </cell>
          <cell r="CL3080">
            <v>78384.567999999999</v>
          </cell>
          <cell r="CM3080" t="str">
            <v xml:space="preserve">NFT-/XUTR/DEUTH02428846801X </v>
          </cell>
          <cell r="CN3080" t="str">
            <v>2024-10-14</v>
          </cell>
          <cell r="CO3080">
            <v>2911.7240000000002</v>
          </cell>
        </row>
        <row r="3081">
          <cell r="CJ3081" t="str">
            <v xml:space="preserve">NFT-/XUTR/DEUTH02428867200X </v>
          </cell>
          <cell r="CK3081" t="str">
            <v>2024-10-14</v>
          </cell>
          <cell r="CL3081">
            <v>15411.731</v>
          </cell>
          <cell r="CM3081" t="str">
            <v xml:space="preserve">NFT-/XUTR/DEUTH02428846801X </v>
          </cell>
          <cell r="CN3081" t="str">
            <v>2024-10-14</v>
          </cell>
          <cell r="CO3081">
            <v>1166.6279999999999</v>
          </cell>
        </row>
        <row r="3082">
          <cell r="CJ3082" t="str">
            <v xml:space="preserve">NFT-/XUTR/DEUTH02428867200X </v>
          </cell>
          <cell r="CK3082" t="str">
            <v>2024-10-14</v>
          </cell>
          <cell r="CL3082">
            <v>15392.851000000001</v>
          </cell>
          <cell r="CM3082" t="str">
            <v xml:space="preserve">NFT-/XUTR/DEUTH02428846801X </v>
          </cell>
          <cell r="CN3082" t="str">
            <v>2024-10-14</v>
          </cell>
          <cell r="CO3082">
            <v>1166.6279999999999</v>
          </cell>
        </row>
        <row r="3083">
          <cell r="CJ3083" t="str">
            <v xml:space="preserve">NFT-/XUTR/DEUTH02428867200X </v>
          </cell>
          <cell r="CK3083" t="str">
            <v>2024-10-14</v>
          </cell>
          <cell r="CL3083">
            <v>15405.203</v>
          </cell>
          <cell r="CM3083" t="str">
            <v xml:space="preserve">NFT-/XUTR/DEUTH02428846801X </v>
          </cell>
          <cell r="CN3083" t="str">
            <v>2024-10-14</v>
          </cell>
          <cell r="CO3083">
            <v>1163.7159999999999</v>
          </cell>
        </row>
        <row r="3084">
          <cell r="CJ3084" t="str">
            <v xml:space="preserve">NFT-/XUTR/DEUTH02428867200X </v>
          </cell>
          <cell r="CK3084" t="str">
            <v>2024-10-14</v>
          </cell>
          <cell r="CL3084">
            <v>30933.144</v>
          </cell>
          <cell r="CM3084" t="str">
            <v xml:space="preserve">NFT-/XUTR/DEUTH02428846801X </v>
          </cell>
          <cell r="CN3084" t="str">
            <v>2024-10-14</v>
          </cell>
          <cell r="CO3084">
            <v>2341.0300000000002</v>
          </cell>
        </row>
        <row r="3085">
          <cell r="CJ3085" t="str">
            <v xml:space="preserve">NFT-/XUTR/DEUTH02428867200X </v>
          </cell>
          <cell r="CK3085" t="str">
            <v>2024-10-14</v>
          </cell>
          <cell r="CL3085">
            <v>10547.207</v>
          </cell>
          <cell r="CM3085" t="str">
            <v xml:space="preserve">NFT-/XUTR/DEUTH02428846801X </v>
          </cell>
          <cell r="CN3085" t="str">
            <v>2024-10-14</v>
          </cell>
          <cell r="CO3085">
            <v>799.75</v>
          </cell>
        </row>
        <row r="3086">
          <cell r="CJ3086" t="str">
            <v xml:space="preserve">NFT-/XUTR/DEUTH02428867200X </v>
          </cell>
          <cell r="CK3086" t="str">
            <v>2024-10-14</v>
          </cell>
          <cell r="CL3086">
            <v>38311.03</v>
          </cell>
          <cell r="CM3086" t="str">
            <v xml:space="preserve">NFT-/XUTR/DEUTH02428846801X </v>
          </cell>
          <cell r="CN3086" t="str">
            <v>2024-10-14</v>
          </cell>
          <cell r="CO3086">
            <v>2939.875</v>
          </cell>
        </row>
        <row r="3087">
          <cell r="CJ3087" t="str">
            <v xml:space="preserve">NFT-/XUTR/DEUTH02428867200X </v>
          </cell>
          <cell r="CK3087" t="str">
            <v>2024-10-14</v>
          </cell>
          <cell r="CL3087">
            <v>38356.656000000003</v>
          </cell>
          <cell r="CM3087" t="str">
            <v xml:space="preserve">NFT-/XUTR/DEUTH02428846801X </v>
          </cell>
          <cell r="CN3087" t="str">
            <v>2024-10-14</v>
          </cell>
          <cell r="CO3087">
            <v>2894.2489999999998</v>
          </cell>
        </row>
        <row r="3089">
          <cell r="CJ3089" t="str">
            <v xml:space="preserve">NFT-/XUTR/DEUTH02428867200X </v>
          </cell>
          <cell r="CK3089" t="str">
            <v>2024-10-14</v>
          </cell>
          <cell r="CL3089">
            <v>37833.946000000004</v>
          </cell>
          <cell r="CM3089" t="str">
            <v xml:space="preserve">NFT-/XUTR/DEUTH02428846801X </v>
          </cell>
          <cell r="CN3089" t="str">
            <v>2024-10-14</v>
          </cell>
          <cell r="CO3089">
            <v>2853.4940000000001</v>
          </cell>
        </row>
        <row r="3090">
          <cell r="CJ3090" t="str">
            <v xml:space="preserve">NFT-/XUTR/DEUTH02428867200X </v>
          </cell>
          <cell r="CK3090" t="str">
            <v>2024-10-14</v>
          </cell>
          <cell r="CL3090">
            <v>38375.536</v>
          </cell>
          <cell r="CM3090" t="str">
            <v xml:space="preserve">NFT-/XUTR/DEUTH02428846801X </v>
          </cell>
          <cell r="CN3090" t="str">
            <v>2024-10-14</v>
          </cell>
          <cell r="CO3090">
            <v>2894.2489999999998</v>
          </cell>
        </row>
        <row r="3091">
          <cell r="CJ3091" t="str">
            <v xml:space="preserve">NFT-/XUTR/DEUTH02428867200X </v>
          </cell>
          <cell r="CK3091" t="str">
            <v>2024-10-14</v>
          </cell>
          <cell r="CL3091">
            <v>37815.065999999999</v>
          </cell>
          <cell r="CM3091" t="str">
            <v xml:space="preserve">NFT-/XUTR/DEUTH02428846801X </v>
          </cell>
          <cell r="CN3091" t="str">
            <v>2024-10-14</v>
          </cell>
          <cell r="CO3091">
            <v>2853.4940000000001</v>
          </cell>
        </row>
        <row r="3092">
          <cell r="CJ3092" t="str">
            <v xml:space="preserve">NFT-/XUTR/DEUTH02428867200X </v>
          </cell>
          <cell r="CK3092" t="str">
            <v>2024-10-14</v>
          </cell>
          <cell r="CL3092">
            <v>38356.656000000003</v>
          </cell>
          <cell r="CM3092" t="str">
            <v xml:space="preserve">NFT-/XUTR/DEUTH02428846801X </v>
          </cell>
          <cell r="CN3092" t="str">
            <v>2024-10-14</v>
          </cell>
          <cell r="CO3092">
            <v>2894.2489999999998</v>
          </cell>
        </row>
        <row r="3093">
          <cell r="CJ3093" t="str">
            <v xml:space="preserve">NFT-/XUTR/DEUTH02428867200X </v>
          </cell>
          <cell r="CK3093" t="str">
            <v>2024-10-14</v>
          </cell>
          <cell r="CL3093">
            <v>11346.967000000001</v>
          </cell>
        </row>
        <row r="3094">
          <cell r="CJ3094" t="str">
            <v xml:space="preserve">NFT-/XUTR/DEUTH02428867200X </v>
          </cell>
          <cell r="CK3094" t="str">
            <v>2024-10-14</v>
          </cell>
          <cell r="CL3094">
            <v>7763.1379999999999</v>
          </cell>
          <cell r="CM3094" t="str">
            <v xml:space="preserve">NFT-/XUTR/DEUTH02428846801X </v>
          </cell>
          <cell r="CN3094" t="str">
            <v>2024-10-14</v>
          </cell>
          <cell r="CO3094">
            <v>588.16999999999996</v>
          </cell>
        </row>
        <row r="3095">
          <cell r="CJ3095" t="str">
            <v xml:space="preserve">NFT-/XUTR/DEUTH02428867200X </v>
          </cell>
          <cell r="CK3095" t="str">
            <v>2024-10-14</v>
          </cell>
          <cell r="CL3095">
            <v>78307.447</v>
          </cell>
          <cell r="CM3095" t="str">
            <v xml:space="preserve">NFT-/XUTR/DEUTH02428846801X </v>
          </cell>
          <cell r="CN3095" t="str">
            <v>2024-10-14</v>
          </cell>
          <cell r="CO3095">
            <v>2911.7240000000002</v>
          </cell>
        </row>
        <row r="3096">
          <cell r="CJ3096" t="str">
            <v xml:space="preserve">NFT-/XUTR/DEUTH02428867200X </v>
          </cell>
          <cell r="CK3096" t="str">
            <v>2024-10-14</v>
          </cell>
          <cell r="CL3096">
            <v>37815.065999999999</v>
          </cell>
          <cell r="CM3096" t="str">
            <v xml:space="preserve">NFT-/XUTR/DEUTH02428846801X </v>
          </cell>
          <cell r="CN3096" t="str">
            <v>2024-10-14</v>
          </cell>
          <cell r="CO3096">
            <v>2853.4940000000001</v>
          </cell>
        </row>
        <row r="3097">
          <cell r="CJ3097" t="str">
            <v xml:space="preserve">NFT-/XUTR/DEUTH02428867200X </v>
          </cell>
          <cell r="CK3097" t="str">
            <v>2024-10-14</v>
          </cell>
          <cell r="CL3097">
            <v>23301.489000000001</v>
          </cell>
          <cell r="CM3097" t="str">
            <v xml:space="preserve">NFT-/XUTR/DEUTH02428846801X </v>
          </cell>
          <cell r="CN3097" t="str">
            <v>2024-10-14</v>
          </cell>
          <cell r="CO3097">
            <v>1770.327</v>
          </cell>
        </row>
        <row r="3098">
          <cell r="CJ3098" t="str">
            <v xml:space="preserve">NFT-/XUTR/DEUTH02428867200X </v>
          </cell>
          <cell r="CK3098" t="str">
            <v>2024-10-14</v>
          </cell>
          <cell r="CL3098">
            <v>15411.731</v>
          </cell>
          <cell r="CM3098" t="str">
            <v xml:space="preserve">NFT-/XUTR/DEUTH02428846801X </v>
          </cell>
          <cell r="CN3098" t="str">
            <v>2024-10-14</v>
          </cell>
          <cell r="CO3098">
            <v>1166.6279999999999</v>
          </cell>
        </row>
        <row r="3099">
          <cell r="CJ3099" t="str">
            <v xml:space="preserve">NFT-/XUTR/DEUTH02428867200X </v>
          </cell>
          <cell r="CK3099" t="str">
            <v>2024-10-14</v>
          </cell>
          <cell r="CL3099">
            <v>15392.851000000001</v>
          </cell>
          <cell r="CM3099" t="str">
            <v xml:space="preserve">NFT-/XUTR/DEUTH02428846801X </v>
          </cell>
          <cell r="CN3099" t="str">
            <v>2024-10-14</v>
          </cell>
          <cell r="CO3099">
            <v>1166.6279999999999</v>
          </cell>
          <cell r="CP3099" t="str">
            <v xml:space="preserve">NFT-/XUTR/DEUTH02429023615X </v>
          </cell>
          <cell r="CQ3099" t="str">
            <v>2024-10-16</v>
          </cell>
          <cell r="CR3099">
            <v>-15392.851000000001</v>
          </cell>
          <cell r="CS3099" t="str">
            <v xml:space="preserve">NFT-/XUTR/DEUTH02429026181X </v>
          </cell>
          <cell r="CT3099" t="str">
            <v>2024-10-16</v>
          </cell>
          <cell r="CU3099">
            <v>-1166.6279999999999</v>
          </cell>
        </row>
        <row r="3100">
          <cell r="CJ3100" t="str">
            <v xml:space="preserve">NFT-/XUTR/DEUTH02428867200X </v>
          </cell>
          <cell r="CK3100" t="str">
            <v>2024-10-14</v>
          </cell>
          <cell r="CL3100">
            <v>15411.731</v>
          </cell>
          <cell r="CM3100" t="str">
            <v xml:space="preserve">NFT-/XUTR/DEUTH02428846801X </v>
          </cell>
          <cell r="CN3100" t="str">
            <v>2024-10-14</v>
          </cell>
          <cell r="CO3100">
            <v>1166.6279999999999</v>
          </cell>
        </row>
        <row r="3101">
          <cell r="CJ3101" t="str">
            <v xml:space="preserve">NFT-/XUTR/DEUTH02428867200X </v>
          </cell>
          <cell r="CK3101" t="str">
            <v>2024-10-14</v>
          </cell>
          <cell r="CL3101">
            <v>78384.567999999999</v>
          </cell>
          <cell r="CM3101" t="str">
            <v xml:space="preserve">NFT-/XUTR/DEUTH02428846801X </v>
          </cell>
          <cell r="CN3101" t="str">
            <v>2024-10-14</v>
          </cell>
          <cell r="CO3101">
            <v>2911.7240000000002</v>
          </cell>
        </row>
        <row r="3102">
          <cell r="CJ3102" t="str">
            <v xml:space="preserve">NFT-/XUTR/DEUTH02428867200X </v>
          </cell>
          <cell r="CK3102" t="str">
            <v>2024-10-14</v>
          </cell>
          <cell r="CL3102">
            <v>15392.851000000001</v>
          </cell>
          <cell r="CM3102" t="str">
            <v xml:space="preserve">NFT-/XUTR/DEUTH02428846801X </v>
          </cell>
          <cell r="CN3102" t="str">
            <v>2024-10-14</v>
          </cell>
          <cell r="CO3102">
            <v>1166.6279999999999</v>
          </cell>
        </row>
        <row r="3103">
          <cell r="CJ3103" t="str">
            <v xml:space="preserve">NFT-/XUTR/DEUTH02428867200X </v>
          </cell>
          <cell r="CK3103" t="str">
            <v>2024-10-14</v>
          </cell>
          <cell r="CL3103">
            <v>15249.201999999999</v>
          </cell>
          <cell r="CM3103" t="str">
            <v xml:space="preserve">NFT-/XUTR/DEUTH02428846801X </v>
          </cell>
          <cell r="CN3103" t="str">
            <v>2024-10-14</v>
          </cell>
          <cell r="CO3103">
            <v>1154.9880000000001</v>
          </cell>
        </row>
        <row r="3104">
          <cell r="CJ3104" t="str">
            <v xml:space="preserve">NFT-/XUTR/DEUTH02428867200X </v>
          </cell>
          <cell r="CK3104" t="str">
            <v>2024-10-14</v>
          </cell>
          <cell r="CL3104">
            <v>66078.205000000002</v>
          </cell>
        </row>
        <row r="3105">
          <cell r="CJ3105" t="str">
            <v xml:space="preserve">NFT-/XUTR/DEUTH02428867200X </v>
          </cell>
          <cell r="CK3105" t="str">
            <v>2024-10-14</v>
          </cell>
          <cell r="CL3105">
            <v>15569.47</v>
          </cell>
          <cell r="CM3105" t="str">
            <v xml:space="preserve">NFT-/XUTR/DEUTH02428846801X </v>
          </cell>
          <cell r="CN3105" t="str">
            <v>2024-10-14</v>
          </cell>
          <cell r="CO3105">
            <v>1186.0419999999999</v>
          </cell>
        </row>
        <row r="3106">
          <cell r="CJ3106" t="str">
            <v xml:space="preserve">NFT-/XUTR/DEUTH02428867200X </v>
          </cell>
          <cell r="CK3106" t="str">
            <v>2024-10-14</v>
          </cell>
          <cell r="CL3106">
            <v>78307.447</v>
          </cell>
          <cell r="CM3106" t="str">
            <v xml:space="preserve">NFT-/XUTR/DEUTH02428846801X </v>
          </cell>
          <cell r="CN3106" t="str">
            <v>2024-10-14</v>
          </cell>
          <cell r="CO3106">
            <v>2911.7240000000002</v>
          </cell>
        </row>
        <row r="3107">
          <cell r="CJ3107" t="str">
            <v xml:space="preserve">NFT-/XUTR/DEUTH02428867200X </v>
          </cell>
          <cell r="CK3107" t="str">
            <v>2024-10-14</v>
          </cell>
          <cell r="CL3107">
            <v>30933.144</v>
          </cell>
          <cell r="CM3107" t="str">
            <v xml:space="preserve">NFT-/XUTR/DEUTH02428846801X </v>
          </cell>
          <cell r="CN3107" t="str">
            <v>2024-10-14</v>
          </cell>
          <cell r="CO3107">
            <v>2341.0300000000002</v>
          </cell>
        </row>
        <row r="3108">
          <cell r="CJ3108" t="str">
            <v xml:space="preserve">NFT-/XUTR/DEUTH02428867200X </v>
          </cell>
          <cell r="CK3108" t="str">
            <v>2024-10-14</v>
          </cell>
          <cell r="CL3108">
            <v>38356.656000000003</v>
          </cell>
          <cell r="CM3108" t="str">
            <v xml:space="preserve">NFT-/XUTR/DEUTH02428846801X </v>
          </cell>
          <cell r="CN3108" t="str">
            <v>2024-10-14</v>
          </cell>
          <cell r="CO3108">
            <v>2894.2489999999998</v>
          </cell>
        </row>
        <row r="3109">
          <cell r="CJ3109" t="str">
            <v xml:space="preserve">NFT-/XUTR/DEUTH02428867200X </v>
          </cell>
          <cell r="CK3109" t="str">
            <v>2024-10-14</v>
          </cell>
          <cell r="CL3109">
            <v>78326.327000000005</v>
          </cell>
          <cell r="CM3109" t="str">
            <v xml:space="preserve">NFT-/XUTR/DEUTH02428846801X </v>
          </cell>
          <cell r="CN3109" t="str">
            <v>2024-10-14</v>
          </cell>
          <cell r="CO3109">
            <v>2911.723</v>
          </cell>
        </row>
        <row r="3110">
          <cell r="CJ3110" t="str">
            <v xml:space="preserve">NFT-/XUTR/DEUTH02428867200X </v>
          </cell>
          <cell r="CK3110" t="str">
            <v>2024-10-14</v>
          </cell>
          <cell r="CL3110">
            <v>15084.214</v>
          </cell>
          <cell r="CM3110" t="str">
            <v xml:space="preserve">NFT-/XUTR/DEUTH02428846801X </v>
          </cell>
          <cell r="CN3110" t="str">
            <v>2024-10-14</v>
          </cell>
          <cell r="CO3110">
            <v>1533.5070000000001</v>
          </cell>
        </row>
        <row r="3111">
          <cell r="CJ3111" t="str">
            <v xml:space="preserve">NFT-/XUTR/DEUTH02428867200X </v>
          </cell>
          <cell r="CK3111" t="str">
            <v>2024-10-14</v>
          </cell>
          <cell r="CL3111">
            <v>78307.447</v>
          </cell>
          <cell r="CM3111" t="str">
            <v xml:space="preserve">NFT-/XUTR/DEUTH02428846801X </v>
          </cell>
          <cell r="CN3111" t="str">
            <v>2024-10-14</v>
          </cell>
          <cell r="CO3111">
            <v>2911.7240000000002</v>
          </cell>
        </row>
        <row r="3112">
          <cell r="CJ3112" t="str">
            <v xml:space="preserve">NFT-/XUTR/DEUTH02428867200X </v>
          </cell>
          <cell r="CK3112" t="str">
            <v>2024-10-14</v>
          </cell>
          <cell r="CL3112">
            <v>78307.447</v>
          </cell>
          <cell r="CM3112" t="str">
            <v xml:space="preserve">NFT-/XUTR/DEUTH02428846801X </v>
          </cell>
          <cell r="CN3112" t="str">
            <v>2024-10-14</v>
          </cell>
          <cell r="CO3112">
            <v>2911.7240000000002</v>
          </cell>
        </row>
        <row r="3113">
          <cell r="CJ3113" t="str">
            <v xml:space="preserve">NFT-/XUTR/DEUTH02428867200X </v>
          </cell>
          <cell r="CK3113" t="str">
            <v>2024-10-14</v>
          </cell>
          <cell r="CL3113">
            <v>37815.065999999999</v>
          </cell>
          <cell r="CM3113" t="str">
            <v xml:space="preserve">NFT-/XUTR/DEUTH02428846801X </v>
          </cell>
          <cell r="CN3113" t="str">
            <v>2024-10-14</v>
          </cell>
          <cell r="CO3113">
            <v>2853.4940000000001</v>
          </cell>
        </row>
        <row r="3114">
          <cell r="CJ3114" t="str">
            <v xml:space="preserve">NFT-/XUTR/DEUTH02428867200X </v>
          </cell>
          <cell r="CK3114" t="str">
            <v>2024-10-14</v>
          </cell>
          <cell r="CL3114">
            <v>7747.6360000000004</v>
          </cell>
          <cell r="CM3114" t="str">
            <v xml:space="preserve">NFT-/XUTR/DEUTH02428846801X </v>
          </cell>
          <cell r="CN3114" t="str">
            <v>2024-10-14</v>
          </cell>
          <cell r="CO3114">
            <v>591.08299999999997</v>
          </cell>
        </row>
        <row r="3115">
          <cell r="CJ3115" t="str">
            <v xml:space="preserve">NFT-/XUTR/DEUTH02428867200X </v>
          </cell>
          <cell r="CK3115" t="str">
            <v>2024-10-14</v>
          </cell>
          <cell r="CL3115">
            <v>7747.6360000000004</v>
          </cell>
          <cell r="CM3115" t="str">
            <v xml:space="preserve">NFT-/XUTR/DEUTH02428846801X </v>
          </cell>
          <cell r="CN3115" t="str">
            <v>2024-10-14</v>
          </cell>
          <cell r="CO3115">
            <v>591.08299999999997</v>
          </cell>
        </row>
        <row r="3116">
          <cell r="CJ3116" t="str">
            <v xml:space="preserve">NFT-/XUTR/DEUTH02428867200X </v>
          </cell>
          <cell r="CK3116" t="str">
            <v>2024-10-14</v>
          </cell>
          <cell r="CL3116">
            <v>7747.6360000000004</v>
          </cell>
          <cell r="CM3116" t="str">
            <v xml:space="preserve">NFT-/XUTR/DEUTH02428846801X </v>
          </cell>
          <cell r="CN3116" t="str">
            <v>2024-10-14</v>
          </cell>
          <cell r="CO3116">
            <v>591.08299999999997</v>
          </cell>
        </row>
        <row r="3117">
          <cell r="CJ3117" t="str">
            <v xml:space="preserve">NFT-/XUTR/DEUTH02428867200X </v>
          </cell>
          <cell r="CK3117" t="str">
            <v>2024-10-14</v>
          </cell>
          <cell r="CL3117">
            <v>30820.583999999999</v>
          </cell>
          <cell r="CM3117" t="str">
            <v xml:space="preserve">NFT-/XUTR/DEUTH02428846801X </v>
          </cell>
          <cell r="CN3117" t="str">
            <v>2024-10-14</v>
          </cell>
          <cell r="CO3117">
            <v>2323.5540000000001</v>
          </cell>
        </row>
        <row r="3119">
          <cell r="CJ3119" t="str">
            <v xml:space="preserve">NFT-/XUTR/DEUTH02428867200X </v>
          </cell>
          <cell r="CK3119" t="str">
            <v>2024-10-14</v>
          </cell>
          <cell r="CL3119">
            <v>78307.447</v>
          </cell>
          <cell r="CM3119" t="str">
            <v xml:space="preserve">NFT-/XUTR/DEUTH02428846801X </v>
          </cell>
          <cell r="CN3119" t="str">
            <v>2024-10-14</v>
          </cell>
          <cell r="CO3119">
            <v>2911.7240000000002</v>
          </cell>
          <cell r="CP3119" t="str">
            <v xml:space="preserve">NFT-/XUTR/DEUTH02429023615X </v>
          </cell>
          <cell r="CQ3119" t="str">
            <v>2024-10-16</v>
          </cell>
          <cell r="CR3119">
            <v>-78307.447</v>
          </cell>
          <cell r="CS3119" t="str">
            <v xml:space="preserve">NFT-/XUTR/DEUTH02429026181X </v>
          </cell>
          <cell r="CT3119" t="str">
            <v>2024-10-16</v>
          </cell>
          <cell r="CU3119">
            <v>-2911.7240000000002</v>
          </cell>
        </row>
        <row r="3121">
          <cell r="CJ3121" t="str">
            <v xml:space="preserve">NFT-/XUTR/DEUTH02428867200X </v>
          </cell>
          <cell r="CK3121" t="str">
            <v>2024-10-14</v>
          </cell>
          <cell r="CL3121">
            <v>15392.851000000001</v>
          </cell>
          <cell r="CM3121" t="str">
            <v xml:space="preserve">NFT-/XUTR/DEUTH02428846801X </v>
          </cell>
          <cell r="CN3121" t="str">
            <v>2024-10-14</v>
          </cell>
          <cell r="CO3121">
            <v>1166.6279999999999</v>
          </cell>
        </row>
        <row r="3122">
          <cell r="CJ3122" t="str">
            <v xml:space="preserve">NFT-/XUTR/DEUTH02428867200X </v>
          </cell>
          <cell r="CK3122" t="str">
            <v>2024-10-14</v>
          </cell>
          <cell r="CL3122">
            <v>16559.478999999999</v>
          </cell>
        </row>
        <row r="3123">
          <cell r="CJ3123" t="str">
            <v xml:space="preserve">NFT-/XUTR/DEUTH02428867200X </v>
          </cell>
          <cell r="CK3123" t="str">
            <v>2024-10-14</v>
          </cell>
          <cell r="CL3123">
            <v>15411.731</v>
          </cell>
          <cell r="CM3123" t="str">
            <v xml:space="preserve">NFT-/XUTR/DEUTH02428846801X </v>
          </cell>
          <cell r="CN3123" t="str">
            <v>2024-10-14</v>
          </cell>
          <cell r="CO3123">
            <v>1166.6289999999999</v>
          </cell>
        </row>
        <row r="3124">
          <cell r="CJ3124" t="str">
            <v xml:space="preserve">NFT-/XUTR/DEUTH02428867200X </v>
          </cell>
          <cell r="CK3124" t="str">
            <v>2024-10-14</v>
          </cell>
          <cell r="CL3124">
            <v>7766.5159999999996</v>
          </cell>
          <cell r="CM3124" t="str">
            <v xml:space="preserve">NFT-/XUTR/DEUTH02428846801X </v>
          </cell>
          <cell r="CN3124" t="str">
            <v>2024-10-14</v>
          </cell>
          <cell r="CO3124">
            <v>591.08299999999997</v>
          </cell>
        </row>
        <row r="3125">
          <cell r="CJ3125" t="str">
            <v xml:space="preserve">NFT-/XUTR/DEUTH02428867200X </v>
          </cell>
          <cell r="CK3125" t="str">
            <v>2024-10-14</v>
          </cell>
          <cell r="CL3125">
            <v>78365.687999999995</v>
          </cell>
          <cell r="CM3125" t="str">
            <v xml:space="preserve">NFT-/XUTR/DEUTH02428846801X </v>
          </cell>
          <cell r="CN3125" t="str">
            <v>2024-10-14</v>
          </cell>
          <cell r="CO3125">
            <v>2911.7240000000002</v>
          </cell>
        </row>
        <row r="3127">
          <cell r="CJ3127" t="str">
            <v xml:space="preserve">NFT-/XUTR/DEUTH02428867200X </v>
          </cell>
          <cell r="CK3127" t="str">
            <v>2024-10-14</v>
          </cell>
          <cell r="CL3127">
            <v>50296.279000000002</v>
          </cell>
          <cell r="CM3127" t="str">
            <v xml:space="preserve">NFT-/XUTR/DEUTH02428846801X </v>
          </cell>
          <cell r="CN3127" t="str">
            <v>2024-10-14</v>
          </cell>
          <cell r="CO3127">
            <v>2911.7240000000002</v>
          </cell>
        </row>
        <row r="3128">
          <cell r="CJ3128" t="str">
            <v xml:space="preserve">NFT-/XUTR/DEUTH02428867200X </v>
          </cell>
          <cell r="CK3128" t="str">
            <v>2024-10-14</v>
          </cell>
          <cell r="CL3128">
            <v>15268.082</v>
          </cell>
          <cell r="CM3128" t="str">
            <v xml:space="preserve">NFT-/XUTR/DEUTH02428846801X </v>
          </cell>
          <cell r="CN3128" t="str">
            <v>2024-10-14</v>
          </cell>
          <cell r="CO3128">
            <v>1154.9880000000001</v>
          </cell>
        </row>
        <row r="3129">
          <cell r="CJ3129" t="str">
            <v xml:space="preserve">NFT-/XUTR/DEUTH02428867200X </v>
          </cell>
          <cell r="CK3129" t="str">
            <v>2024-10-14</v>
          </cell>
          <cell r="CL3129">
            <v>63166.48</v>
          </cell>
          <cell r="CM3129" t="str">
            <v xml:space="preserve">NFT-/XUTR/DEUTH02428846801X </v>
          </cell>
          <cell r="CN3129" t="str">
            <v>2024-10-14</v>
          </cell>
          <cell r="CO3129">
            <v>2911.7240000000002</v>
          </cell>
        </row>
        <row r="3130">
          <cell r="CJ3130" t="str">
            <v xml:space="preserve">NFT-/XUTR/DEUTH02428867200X </v>
          </cell>
          <cell r="CK3130" t="str">
            <v>2024-10-14</v>
          </cell>
          <cell r="CL3130">
            <v>15515.116</v>
          </cell>
          <cell r="CM3130" t="str">
            <v xml:space="preserve">NFT-/XUTR/DEUTH02428846801X </v>
          </cell>
          <cell r="CN3130" t="str">
            <v>2024-10-14</v>
          </cell>
          <cell r="CO3130">
            <v>1182.1659999999999</v>
          </cell>
        </row>
        <row r="3131">
          <cell r="CJ3131" t="str">
            <v xml:space="preserve">NFT-/XUTR/DEUTH02428867200X </v>
          </cell>
          <cell r="CK3131" t="str">
            <v>2024-10-14</v>
          </cell>
          <cell r="CL3131">
            <v>81296.292000000001</v>
          </cell>
        </row>
        <row r="3132">
          <cell r="CJ3132" t="str">
            <v xml:space="preserve">NFT-/XUTR/DEUTH02428867200X </v>
          </cell>
          <cell r="CK3132" t="str">
            <v>2024-10-14</v>
          </cell>
          <cell r="CL3132">
            <v>38375.536</v>
          </cell>
          <cell r="CM3132" t="str">
            <v xml:space="preserve">NFT-/XUTR/DEUTH02428846801X </v>
          </cell>
          <cell r="CN3132" t="str">
            <v>2024-10-14</v>
          </cell>
          <cell r="CO3132">
            <v>2894.2489999999998</v>
          </cell>
        </row>
        <row r="3133">
          <cell r="CJ3133" t="str">
            <v xml:space="preserve">NFT-/XUTR/DEUTH02428867200X </v>
          </cell>
          <cell r="CK3133" t="str">
            <v>2024-10-14</v>
          </cell>
          <cell r="CL3133">
            <v>38356.656000000003</v>
          </cell>
          <cell r="CM3133" t="str">
            <v xml:space="preserve">NFT-/XUTR/DEUTH02428846801X </v>
          </cell>
          <cell r="CN3133" t="str">
            <v>2024-10-14</v>
          </cell>
          <cell r="CO3133">
            <v>2894.2489999999998</v>
          </cell>
        </row>
        <row r="3134">
          <cell r="CJ3134" t="str">
            <v xml:space="preserve">NFT-/XUTR/DEUTH02428867200X </v>
          </cell>
          <cell r="CK3134" t="str">
            <v>2024-10-14</v>
          </cell>
          <cell r="CL3134">
            <v>11346.967000000001</v>
          </cell>
        </row>
        <row r="3135">
          <cell r="CJ3135" t="str">
            <v xml:space="preserve">NFT-/XUTR/DEUTH02428867200X </v>
          </cell>
          <cell r="CK3135" t="str">
            <v>2024-10-14</v>
          </cell>
          <cell r="CL3135">
            <v>38356.656000000003</v>
          </cell>
          <cell r="CM3135" t="str">
            <v xml:space="preserve">NFT-/XUTR/DEUTH02428846801X </v>
          </cell>
          <cell r="CN3135" t="str">
            <v>2024-10-14</v>
          </cell>
          <cell r="CO3135">
            <v>2894.2489999999998</v>
          </cell>
        </row>
        <row r="3136">
          <cell r="CJ3136" t="str">
            <v xml:space="preserve">NFT-/XUTR/DEUTH02428867200X </v>
          </cell>
          <cell r="CK3136" t="str">
            <v>2024-10-14</v>
          </cell>
          <cell r="CL3136">
            <v>38356.656000000003</v>
          </cell>
          <cell r="CM3136" t="str">
            <v xml:space="preserve">NFT-/XUTR/DEUTH02428846801X </v>
          </cell>
          <cell r="CN3136" t="str">
            <v>2024-10-14</v>
          </cell>
          <cell r="CO3136">
            <v>2894.2489999999998</v>
          </cell>
        </row>
        <row r="3137">
          <cell r="CJ3137" t="str">
            <v xml:space="preserve">NFT-/XUTR/DEUTH02428867200X </v>
          </cell>
          <cell r="CK3137" t="str">
            <v>2024-10-14</v>
          </cell>
          <cell r="CL3137">
            <v>23301.489000000001</v>
          </cell>
          <cell r="CM3137" t="str">
            <v xml:space="preserve">NFT-/XUTR/DEUTH02428846801X </v>
          </cell>
          <cell r="CN3137" t="str">
            <v>2024-10-14</v>
          </cell>
          <cell r="CO3137">
            <v>1770.327</v>
          </cell>
        </row>
        <row r="3138">
          <cell r="CJ3138" t="str">
            <v xml:space="preserve">NFT-/XUTR/DEUTH02428867200X </v>
          </cell>
          <cell r="CK3138" t="str">
            <v>2024-10-14</v>
          </cell>
          <cell r="CL3138">
            <v>23301.489000000001</v>
          </cell>
          <cell r="CM3138" t="str">
            <v xml:space="preserve">NFT-/XUTR/DEUTH02428846801X </v>
          </cell>
          <cell r="CN3138" t="str">
            <v>2024-10-14</v>
          </cell>
          <cell r="CO3138">
            <v>1773.239</v>
          </cell>
        </row>
        <row r="3139">
          <cell r="CJ3139" t="str">
            <v xml:space="preserve">NFT-/XUTR/DEUTH02428867200X </v>
          </cell>
          <cell r="CK3139" t="str">
            <v>2024-10-14</v>
          </cell>
          <cell r="CL3139">
            <v>78326.327000000005</v>
          </cell>
          <cell r="CM3139" t="str">
            <v xml:space="preserve">NFT-/XUTR/DEUTH02428846801X </v>
          </cell>
          <cell r="CN3139" t="str">
            <v>2024-10-14</v>
          </cell>
          <cell r="CO3139">
            <v>2911.7240000000002</v>
          </cell>
        </row>
        <row r="3140">
          <cell r="CJ3140" t="str">
            <v xml:space="preserve">NFT-/XUTR/DEUTH02428867200X </v>
          </cell>
          <cell r="CK3140" t="str">
            <v>2024-10-14</v>
          </cell>
          <cell r="CL3140">
            <v>7766.5159999999996</v>
          </cell>
          <cell r="CM3140" t="str">
            <v xml:space="preserve">NFT-/XUTR/DEUTH02428846801X </v>
          </cell>
          <cell r="CN3140" t="str">
            <v>2024-10-14</v>
          </cell>
          <cell r="CO3140">
            <v>591.08299999999997</v>
          </cell>
        </row>
        <row r="3141">
          <cell r="CJ3141" t="str">
            <v xml:space="preserve">NFT-/XUTR/DEUTH02428867200X </v>
          </cell>
          <cell r="CK3141" t="str">
            <v>2024-10-14</v>
          </cell>
          <cell r="CL3141">
            <v>37815.065999999999</v>
          </cell>
          <cell r="CM3141" t="str">
            <v xml:space="preserve">NFT-/XUTR/DEUTH02428846801X </v>
          </cell>
          <cell r="CN3141" t="str">
            <v>2024-10-14</v>
          </cell>
          <cell r="CO3141">
            <v>2853.4940000000001</v>
          </cell>
        </row>
        <row r="3142">
          <cell r="CJ3142" t="str">
            <v xml:space="preserve">NFT-/XUTR/DEUTH02428867200X </v>
          </cell>
          <cell r="CK3142" t="str">
            <v>2024-10-14</v>
          </cell>
          <cell r="CL3142">
            <v>15392.851000000001</v>
          </cell>
          <cell r="CM3142" t="str">
            <v xml:space="preserve">NFT-/XUTR/DEUTH02428846801X </v>
          </cell>
          <cell r="CN3142" t="str">
            <v>2024-10-14</v>
          </cell>
          <cell r="CO3142">
            <v>1166.6279999999999</v>
          </cell>
        </row>
        <row r="3143">
          <cell r="CJ3143" t="str">
            <v xml:space="preserve">NFT-/XUTR/DEUTH02428867200X </v>
          </cell>
          <cell r="CK3143" t="str">
            <v>2024-10-14</v>
          </cell>
          <cell r="CL3143">
            <v>46804.482000000004</v>
          </cell>
          <cell r="CM3143" t="str">
            <v xml:space="preserve">NFT-/XUTR/DEUTH02428846801X </v>
          </cell>
          <cell r="CN3143" t="str">
            <v>2024-10-14</v>
          </cell>
          <cell r="CO3143">
            <v>2911.7249999999999</v>
          </cell>
        </row>
        <row r="3144">
          <cell r="CJ3144" t="str">
            <v xml:space="preserve">NFT-/XUTR/DEUTH02428867200X </v>
          </cell>
          <cell r="CK3144" t="str">
            <v>2024-10-14</v>
          </cell>
          <cell r="CL3144">
            <v>15392.851000000001</v>
          </cell>
          <cell r="CM3144" t="str">
            <v xml:space="preserve">NFT-/XUTR/DEUTH02428846801X </v>
          </cell>
          <cell r="CN3144" t="str">
            <v>2024-10-14</v>
          </cell>
          <cell r="CO3144">
            <v>1166.6279999999999</v>
          </cell>
        </row>
        <row r="3145">
          <cell r="CJ3145" t="str">
            <v xml:space="preserve">NFT-/XUTR/DEUTH02428867200X </v>
          </cell>
          <cell r="CK3145" t="str">
            <v>2024-10-14</v>
          </cell>
          <cell r="CL3145">
            <v>16578.36</v>
          </cell>
        </row>
        <row r="3146">
          <cell r="CJ3146" t="str">
            <v xml:space="preserve">NFT-/XUTR/DEUTH02428867200X </v>
          </cell>
          <cell r="CK3146" t="str">
            <v>2024-10-14</v>
          </cell>
          <cell r="CL3146">
            <v>15411.731</v>
          </cell>
          <cell r="CM3146" t="str">
            <v xml:space="preserve">NFT-/XUTR/DEUTH02428846801X </v>
          </cell>
          <cell r="CN3146" t="str">
            <v>2024-10-14</v>
          </cell>
          <cell r="CO3146">
            <v>1166.6289999999999</v>
          </cell>
        </row>
        <row r="3147">
          <cell r="CJ3147" t="str">
            <v xml:space="preserve">NFT-/XUTR/DEUTH02428867200X </v>
          </cell>
          <cell r="CK3147" t="str">
            <v>2024-10-14</v>
          </cell>
          <cell r="CL3147">
            <v>15392.851000000001</v>
          </cell>
          <cell r="CM3147" t="str">
            <v xml:space="preserve">NFT-/XUTR/DEUTH02428846801X </v>
          </cell>
          <cell r="CN3147" t="str">
            <v>2024-10-14</v>
          </cell>
          <cell r="CO3147">
            <v>1166.6279999999999</v>
          </cell>
        </row>
        <row r="3148">
          <cell r="CJ3148" t="str">
            <v xml:space="preserve">NFT-/XUTR/DEUTH02428867200X </v>
          </cell>
          <cell r="CK3148" t="str">
            <v>2024-10-14</v>
          </cell>
          <cell r="CL3148">
            <v>15411.731</v>
          </cell>
          <cell r="CM3148" t="str">
            <v xml:space="preserve">NFT-/XUTR/DEUTH02428846801X </v>
          </cell>
          <cell r="CN3148" t="str">
            <v>2024-10-14</v>
          </cell>
          <cell r="CO3148">
            <v>1166.6279999999999</v>
          </cell>
        </row>
        <row r="3149">
          <cell r="CJ3149" t="str">
            <v xml:space="preserve">NFT-/XUTR/DEUTH02428867200X </v>
          </cell>
          <cell r="CK3149" t="str">
            <v>2024-10-14</v>
          </cell>
          <cell r="CL3149">
            <v>15411.731</v>
          </cell>
          <cell r="CM3149" t="str">
            <v xml:space="preserve">NFT-/XUTR/DEUTH02428846801X </v>
          </cell>
          <cell r="CN3149" t="str">
            <v>2024-10-14</v>
          </cell>
          <cell r="CO3149">
            <v>1166.6289999999999</v>
          </cell>
        </row>
        <row r="3150">
          <cell r="CJ3150" t="str">
            <v xml:space="preserve">NFT-/XUTR/DEUTH02428867200X </v>
          </cell>
          <cell r="CK3150" t="str">
            <v>2024-10-14</v>
          </cell>
          <cell r="CL3150">
            <v>63166.48</v>
          </cell>
          <cell r="CM3150" t="str">
            <v xml:space="preserve">NFT-/XUTR/DEUTH02428846801X </v>
          </cell>
          <cell r="CN3150" t="str">
            <v>2024-10-14</v>
          </cell>
          <cell r="CO3150">
            <v>2911.7240000000002</v>
          </cell>
        </row>
        <row r="3152">
          <cell r="CJ3152" t="str">
            <v xml:space="preserve">NFT-/XUTR/DEUTH02428867200X </v>
          </cell>
          <cell r="CK3152" t="str">
            <v>2024-10-14</v>
          </cell>
          <cell r="CL3152">
            <v>7747.6360000000004</v>
          </cell>
          <cell r="CM3152" t="str">
            <v xml:space="preserve">NFT-/XUTR/DEUTH02428846801X </v>
          </cell>
          <cell r="CN3152" t="str">
            <v>2024-10-14</v>
          </cell>
          <cell r="CO3152">
            <v>591.08299999999997</v>
          </cell>
        </row>
        <row r="3154">
          <cell r="CJ3154" t="str">
            <v xml:space="preserve">NFT-/XUTR/DEUTH02428867200X </v>
          </cell>
          <cell r="CK3154" t="str">
            <v>2024-10-14</v>
          </cell>
          <cell r="CL3154">
            <v>30805.556</v>
          </cell>
          <cell r="CM3154" t="str">
            <v xml:space="preserve">NFT-/XUTR/DEUTH02428846801X </v>
          </cell>
          <cell r="CN3154" t="str">
            <v>2024-10-14</v>
          </cell>
          <cell r="CO3154">
            <v>2331.3180000000002</v>
          </cell>
        </row>
        <row r="3155">
          <cell r="CJ3155" t="str">
            <v xml:space="preserve">NFT-/XUTR/DEUTH02428867200X </v>
          </cell>
          <cell r="CK3155" t="str">
            <v>2024-10-14</v>
          </cell>
          <cell r="CL3155">
            <v>15447.204</v>
          </cell>
          <cell r="CM3155" t="str">
            <v xml:space="preserve">NFT-/XUTR/DEUTH02428846801X </v>
          </cell>
          <cell r="CN3155" t="str">
            <v>2024-10-14</v>
          </cell>
          <cell r="CO3155">
            <v>1170.5150000000001</v>
          </cell>
        </row>
        <row r="3156">
          <cell r="CJ3156" t="str">
            <v xml:space="preserve">NFT-/XUTR/DEUTH02428867200X </v>
          </cell>
          <cell r="CK3156" t="str">
            <v>2024-10-14</v>
          </cell>
          <cell r="CL3156">
            <v>38375.536</v>
          </cell>
          <cell r="CM3156" t="str">
            <v xml:space="preserve">NFT-/XUTR/DEUTH02428846801X </v>
          </cell>
          <cell r="CN3156" t="str">
            <v>2024-10-14</v>
          </cell>
          <cell r="CO3156">
            <v>2894.2489999999998</v>
          </cell>
        </row>
        <row r="3157">
          <cell r="CJ3157" t="str">
            <v xml:space="preserve">NFT-/XUTR/DEUTH02428867200X </v>
          </cell>
          <cell r="CK3157" t="str">
            <v>2024-10-14</v>
          </cell>
          <cell r="CL3157">
            <v>7781.6019999999999</v>
          </cell>
          <cell r="CM3157" t="str">
            <v xml:space="preserve">NFT-/XUTR/DEUTH02428846801X </v>
          </cell>
          <cell r="CN3157" t="str">
            <v>2024-10-14</v>
          </cell>
          <cell r="CO3157">
            <v>557.10699999999997</v>
          </cell>
        </row>
        <row r="3158">
          <cell r="CJ3158" t="str">
            <v xml:space="preserve">NFT-/XUTR/DEUTH02428867200X </v>
          </cell>
          <cell r="CK3158" t="str">
            <v>2024-10-14</v>
          </cell>
          <cell r="CL3158">
            <v>15880.075999999999</v>
          </cell>
          <cell r="CM3158" t="str">
            <v xml:space="preserve">NFT-/XUTR/DEUTH02428846801X </v>
          </cell>
          <cell r="CN3158" t="str">
            <v>2024-10-14</v>
          </cell>
          <cell r="CO3158">
            <v>679.40200000000004</v>
          </cell>
        </row>
        <row r="3159">
          <cell r="CJ3159" t="str">
            <v xml:space="preserve">NFT-/XUTR/DEUTH02428867200X </v>
          </cell>
          <cell r="CK3159" t="str">
            <v>2024-10-14</v>
          </cell>
          <cell r="CL3159">
            <v>10857.33</v>
          </cell>
          <cell r="CM3159" t="str">
            <v xml:space="preserve">NFT-/XUTR/DEUTH02428846801X </v>
          </cell>
          <cell r="CN3159" t="str">
            <v>2024-10-14</v>
          </cell>
          <cell r="CO3159">
            <v>830.81200000000001</v>
          </cell>
        </row>
        <row r="3160">
          <cell r="CJ3160" t="str">
            <v xml:space="preserve">NFT-/XUTR/DEUTH02428867200X </v>
          </cell>
          <cell r="CK3160" t="str">
            <v>2024-10-14</v>
          </cell>
          <cell r="CL3160">
            <v>7766.5159999999996</v>
          </cell>
          <cell r="CM3160" t="str">
            <v xml:space="preserve">NFT-/XUTR/DEUTH02428846801X </v>
          </cell>
          <cell r="CN3160" t="str">
            <v>2024-10-14</v>
          </cell>
          <cell r="CO3160">
            <v>591.08299999999997</v>
          </cell>
        </row>
        <row r="3161">
          <cell r="CJ3161" t="str">
            <v xml:space="preserve">NFT-/XUTR/DEUTH02428867200X </v>
          </cell>
          <cell r="CK3161" t="str">
            <v>2024-10-14</v>
          </cell>
          <cell r="CL3161">
            <v>37815.065999999999</v>
          </cell>
          <cell r="CM3161" t="str">
            <v xml:space="preserve">NFT-/XUTR/DEUTH02428846801X </v>
          </cell>
          <cell r="CN3161" t="str">
            <v>2024-10-14</v>
          </cell>
          <cell r="CO3161">
            <v>2853.4940000000001</v>
          </cell>
        </row>
        <row r="3162">
          <cell r="CJ3162" t="str">
            <v xml:space="preserve">NFT-/XUTR/DEUTH02428867200X </v>
          </cell>
          <cell r="CK3162" t="str">
            <v>2024-10-14</v>
          </cell>
          <cell r="CL3162">
            <v>38356.656000000003</v>
          </cell>
          <cell r="CM3162" t="str">
            <v xml:space="preserve">NFT-/XUTR/DEUTH02428846801X </v>
          </cell>
          <cell r="CN3162" t="str">
            <v>2024-10-14</v>
          </cell>
          <cell r="CO3162">
            <v>2894.2489999999998</v>
          </cell>
        </row>
        <row r="3163">
          <cell r="CJ3163" t="str">
            <v xml:space="preserve">NFT-/XUTR/DEUTH02428867200X </v>
          </cell>
          <cell r="CK3163" t="str">
            <v>2024-10-14</v>
          </cell>
          <cell r="CL3163">
            <v>38356.656000000003</v>
          </cell>
          <cell r="CM3163" t="str">
            <v xml:space="preserve">NFT-/XUTR/DEUTH02428846801X </v>
          </cell>
          <cell r="CN3163" t="str">
            <v>2024-10-14</v>
          </cell>
          <cell r="CO3163">
            <v>2894.2489999999998</v>
          </cell>
        </row>
        <row r="3164">
          <cell r="CJ3164" t="str">
            <v xml:space="preserve">NFT-/XUTR/DEUTH02428867200X </v>
          </cell>
          <cell r="CK3164" t="str">
            <v>2024-10-14</v>
          </cell>
          <cell r="CL3164">
            <v>15392.851000000001</v>
          </cell>
          <cell r="CM3164" t="str">
            <v xml:space="preserve">NFT-/XUTR/DEUTH02428846801X </v>
          </cell>
          <cell r="CN3164" t="str">
            <v>2024-10-14</v>
          </cell>
          <cell r="CO3164">
            <v>1166.6279999999999</v>
          </cell>
        </row>
        <row r="3165">
          <cell r="CJ3165" t="str">
            <v xml:space="preserve">NFT-/XUTR/DEUTH02428867200X </v>
          </cell>
          <cell r="CK3165" t="str">
            <v>2024-10-14</v>
          </cell>
          <cell r="CL3165">
            <v>15382.174000000001</v>
          </cell>
          <cell r="CM3165" t="str">
            <v xml:space="preserve">NFT-/XUTR/DEUTH02428846801X </v>
          </cell>
          <cell r="CN3165" t="str">
            <v>2024-10-14</v>
          </cell>
          <cell r="CO3165">
            <v>1177.3040000000001</v>
          </cell>
        </row>
        <row r="3166">
          <cell r="CJ3166" t="str">
            <v xml:space="preserve">NFT-/XUTR/DEUTH02428867200X </v>
          </cell>
          <cell r="CK3166" t="str">
            <v>2024-10-14</v>
          </cell>
          <cell r="CL3166">
            <v>15411.731</v>
          </cell>
          <cell r="CM3166" t="str">
            <v xml:space="preserve">NFT-/XUTR/DEUTH02428846801X </v>
          </cell>
          <cell r="CN3166" t="str">
            <v>2024-10-14</v>
          </cell>
          <cell r="CO3166">
            <v>1166.6279999999999</v>
          </cell>
        </row>
        <row r="3167">
          <cell r="CJ3167" t="str">
            <v xml:space="preserve">NFT-/XUTR/DEUTH02428867200X </v>
          </cell>
          <cell r="CK3167" t="str">
            <v>2024-10-14</v>
          </cell>
          <cell r="CL3167">
            <v>15392.851000000001</v>
          </cell>
          <cell r="CM3167" t="str">
            <v xml:space="preserve">NFT-/XUTR/DEUTH02428846801X </v>
          </cell>
          <cell r="CN3167" t="str">
            <v>2024-10-14</v>
          </cell>
          <cell r="CO3167">
            <v>1166.6279999999999</v>
          </cell>
        </row>
        <row r="3168">
          <cell r="CJ3168" t="str">
            <v xml:space="preserve">NFT-/XUTR/DEUTH02428867200X </v>
          </cell>
          <cell r="CK3168" t="str">
            <v>2024-10-14</v>
          </cell>
          <cell r="CL3168">
            <v>15411.731</v>
          </cell>
          <cell r="CM3168" t="str">
            <v xml:space="preserve">NFT-/XUTR/DEUTH02428846801X </v>
          </cell>
          <cell r="CN3168" t="str">
            <v>2024-10-14</v>
          </cell>
          <cell r="CO3168">
            <v>1166.6289999999999</v>
          </cell>
        </row>
        <row r="3169">
          <cell r="CJ3169" t="str">
            <v xml:space="preserve">NFT-/XUTR/DEUTH02428867200X </v>
          </cell>
          <cell r="CK3169" t="str">
            <v>2024-10-14</v>
          </cell>
          <cell r="CL3169">
            <v>2466.741</v>
          </cell>
        </row>
        <row r="3170">
          <cell r="CJ3170" t="str">
            <v xml:space="preserve">NFT-/XUTR/DEUTH02428867200X </v>
          </cell>
          <cell r="CK3170" t="str">
            <v>2024-10-14</v>
          </cell>
          <cell r="CL3170">
            <v>15392.851000000001</v>
          </cell>
          <cell r="CM3170" t="str">
            <v xml:space="preserve">NFT-/XUTR/DEUTH02428846801X </v>
          </cell>
          <cell r="CN3170" t="str">
            <v>2024-10-14</v>
          </cell>
          <cell r="CO3170">
            <v>1166.6279999999999</v>
          </cell>
        </row>
        <row r="3171">
          <cell r="CJ3171" t="str">
            <v xml:space="preserve">NFT-/XUTR/DEUTH02428867200X </v>
          </cell>
          <cell r="CK3171" t="str">
            <v>2024-10-14</v>
          </cell>
          <cell r="CL3171">
            <v>15268.082</v>
          </cell>
          <cell r="CM3171" t="str">
            <v xml:space="preserve">NFT-/XUTR/DEUTH02428846801X </v>
          </cell>
          <cell r="CN3171" t="str">
            <v>2024-10-14</v>
          </cell>
          <cell r="CO3171">
            <v>1154.9880000000001</v>
          </cell>
        </row>
        <row r="3172">
          <cell r="CJ3172" t="str">
            <v xml:space="preserve">NFT-/XUTR/DEUTH02428867200X </v>
          </cell>
          <cell r="CK3172" t="str">
            <v>2024-10-14</v>
          </cell>
          <cell r="CL3172">
            <v>15411.731</v>
          </cell>
          <cell r="CM3172" t="str">
            <v xml:space="preserve">NFT-/XUTR/DEUTH02428846801X </v>
          </cell>
          <cell r="CN3172" t="str">
            <v>2024-10-14</v>
          </cell>
          <cell r="CO3172">
            <v>1166.6279999999999</v>
          </cell>
        </row>
        <row r="3173">
          <cell r="CJ3173" t="str">
            <v xml:space="preserve">NFT-/XUTR/DEUTH02428867200X </v>
          </cell>
          <cell r="CK3173" t="str">
            <v>2024-10-14</v>
          </cell>
          <cell r="CL3173">
            <v>15392.851000000001</v>
          </cell>
          <cell r="CM3173" t="str">
            <v xml:space="preserve">NFT-/XUTR/DEUTH02428846801X </v>
          </cell>
          <cell r="CN3173" t="str">
            <v>2024-10-14</v>
          </cell>
          <cell r="CO3173">
            <v>1166.6279999999999</v>
          </cell>
        </row>
        <row r="3174">
          <cell r="CJ3174" t="str">
            <v xml:space="preserve">NFT-/XUTR/DEUTH02428867200X </v>
          </cell>
          <cell r="CK3174" t="str">
            <v>2024-10-14</v>
          </cell>
          <cell r="CL3174">
            <v>63166.48</v>
          </cell>
          <cell r="CM3174" t="str">
            <v xml:space="preserve">NFT-/XUTR/DEUTH02428846801X </v>
          </cell>
          <cell r="CN3174" t="str">
            <v>2024-10-14</v>
          </cell>
          <cell r="CO3174">
            <v>2911.7240000000002</v>
          </cell>
        </row>
        <row r="3176">
          <cell r="CJ3176" t="str">
            <v xml:space="preserve">NFT-/XUTR/DEUTH02428867200X </v>
          </cell>
          <cell r="CK3176" t="str">
            <v>2024-10-14</v>
          </cell>
          <cell r="CL3176">
            <v>16617.72</v>
          </cell>
        </row>
        <row r="3177">
          <cell r="CJ3177" t="str">
            <v xml:space="preserve">NFT-/XUTR/DEUTH02428867200X </v>
          </cell>
          <cell r="CK3177" t="str">
            <v>2024-10-14</v>
          </cell>
          <cell r="CL3177">
            <v>7747.6360000000004</v>
          </cell>
          <cell r="CM3177" t="str">
            <v xml:space="preserve">NFT-/XUTR/DEUTH02428846801X </v>
          </cell>
          <cell r="CN3177" t="str">
            <v>2024-10-14</v>
          </cell>
          <cell r="CO3177">
            <v>591.08299999999997</v>
          </cell>
        </row>
        <row r="3178">
          <cell r="CJ3178" t="str">
            <v xml:space="preserve">NFT-/XUTR/DEUTH02428867200X </v>
          </cell>
          <cell r="CK3178" t="str">
            <v>2024-10-14</v>
          </cell>
          <cell r="CL3178">
            <v>78307.447</v>
          </cell>
          <cell r="CM3178" t="str">
            <v xml:space="preserve">NFT-/XUTR/DEUTH02428846801X </v>
          </cell>
          <cell r="CN3178" t="str">
            <v>2024-10-14</v>
          </cell>
          <cell r="CO3178">
            <v>2911.7240000000002</v>
          </cell>
        </row>
        <row r="3179">
          <cell r="CJ3179" t="str">
            <v xml:space="preserve">NFT-/XUTR/DEUTH02428867200X </v>
          </cell>
          <cell r="CK3179" t="str">
            <v>2024-10-14</v>
          </cell>
          <cell r="CL3179">
            <v>32572.004000000001</v>
          </cell>
          <cell r="CM3179" t="str">
            <v xml:space="preserve">NFT-/XUTR/DEUTH02428846801X </v>
          </cell>
          <cell r="CN3179" t="str">
            <v>2024-10-14</v>
          </cell>
          <cell r="CO3179">
            <v>566.82000000000005</v>
          </cell>
        </row>
        <row r="3180">
          <cell r="CJ3180" t="str">
            <v xml:space="preserve">NFT-/XUTR/DEUTH02428867200X </v>
          </cell>
          <cell r="CK3180" t="str">
            <v>2024-10-14</v>
          </cell>
          <cell r="CL3180">
            <v>78307.447</v>
          </cell>
          <cell r="CM3180" t="str">
            <v xml:space="preserve">NFT-/XUTR/DEUTH02428846801X </v>
          </cell>
          <cell r="CN3180" t="str">
            <v>2024-10-14</v>
          </cell>
          <cell r="CO3180">
            <v>2911.7240000000002</v>
          </cell>
        </row>
        <row r="3181">
          <cell r="CJ3181" t="str">
            <v xml:space="preserve">NFT-/XUTR/DEUTH02428867200X </v>
          </cell>
          <cell r="CK3181" t="str">
            <v>2024-10-14</v>
          </cell>
          <cell r="CL3181">
            <v>30805.556</v>
          </cell>
          <cell r="CM3181" t="str">
            <v xml:space="preserve">NFT-/XUTR/DEUTH02428846801X </v>
          </cell>
          <cell r="CN3181" t="str">
            <v>2024-10-14</v>
          </cell>
          <cell r="CO3181">
            <v>2331.3180000000002</v>
          </cell>
        </row>
        <row r="3182">
          <cell r="CJ3182" t="str">
            <v xml:space="preserve">NFT-/XUTR/DEUTH02428867200X </v>
          </cell>
          <cell r="CK3182" t="str">
            <v>2024-10-14</v>
          </cell>
          <cell r="CL3182">
            <v>78268.63</v>
          </cell>
          <cell r="CM3182" t="str">
            <v xml:space="preserve">NFT-/XUTR/DEUTH02428846801X </v>
          </cell>
          <cell r="CN3182" t="str">
            <v>2024-10-14</v>
          </cell>
          <cell r="CO3182">
            <v>3008.7820000000002</v>
          </cell>
        </row>
        <row r="3183">
          <cell r="CJ3183" t="str">
            <v xml:space="preserve">NFT-/XUTR/DEUTH02428867200X </v>
          </cell>
          <cell r="CK3183" t="str">
            <v>2024-10-14</v>
          </cell>
          <cell r="CL3183">
            <v>38664.319000000003</v>
          </cell>
          <cell r="CM3183" t="str">
            <v xml:space="preserve">NFT-/XUTR/DEUTH02428846801X </v>
          </cell>
          <cell r="CN3183" t="str">
            <v>2024-10-14</v>
          </cell>
          <cell r="CO3183">
            <v>2586.5859999999998</v>
          </cell>
        </row>
        <row r="3184">
          <cell r="CJ3184" t="str">
            <v xml:space="preserve">NFT-/XUTR/DEUTH02428867200X </v>
          </cell>
          <cell r="CK3184" t="str">
            <v>2024-10-14</v>
          </cell>
          <cell r="CL3184">
            <v>7766.5159999999996</v>
          </cell>
          <cell r="CM3184" t="str">
            <v xml:space="preserve">NFT-/XUTR/DEUTH02428846801X </v>
          </cell>
          <cell r="CN3184" t="str">
            <v>2024-10-14</v>
          </cell>
          <cell r="CO3184">
            <v>591.08299999999997</v>
          </cell>
        </row>
        <row r="3185">
          <cell r="CJ3185" t="str">
            <v xml:space="preserve">NFT-/XUTR/DEUTH02428867200X </v>
          </cell>
          <cell r="CK3185" t="str">
            <v>2024-10-14</v>
          </cell>
          <cell r="CL3185">
            <v>37833.946000000004</v>
          </cell>
          <cell r="CM3185" t="str">
            <v xml:space="preserve">NFT-/XUTR/DEUTH02428846801X </v>
          </cell>
          <cell r="CN3185" t="str">
            <v>2024-10-14</v>
          </cell>
          <cell r="CO3185">
            <v>2853.4940000000001</v>
          </cell>
        </row>
        <row r="3186">
          <cell r="CJ3186" t="str">
            <v xml:space="preserve">NFT-/XUTR/DEUTH02428867200X </v>
          </cell>
          <cell r="CK3186" t="str">
            <v>2024-10-14</v>
          </cell>
          <cell r="CL3186">
            <v>38356.656000000003</v>
          </cell>
          <cell r="CM3186" t="str">
            <v xml:space="preserve">NFT-/XUTR/DEUTH02428846801X </v>
          </cell>
          <cell r="CN3186" t="str">
            <v>2024-10-14</v>
          </cell>
          <cell r="CO3186">
            <v>2894.2489999999998</v>
          </cell>
        </row>
        <row r="3187">
          <cell r="CJ3187" t="str">
            <v xml:space="preserve">NFT-/XUTR/DEUTH02428867200X </v>
          </cell>
          <cell r="CK3187" t="str">
            <v>2024-10-14</v>
          </cell>
          <cell r="CL3187">
            <v>7747.6360000000004</v>
          </cell>
          <cell r="CM3187" t="str">
            <v xml:space="preserve">NFT-/XUTR/DEUTH02428846801X </v>
          </cell>
          <cell r="CN3187" t="str">
            <v>2024-10-14</v>
          </cell>
          <cell r="CO3187">
            <v>591.08299999999997</v>
          </cell>
        </row>
        <row r="3188">
          <cell r="CJ3188" t="str">
            <v xml:space="preserve">NFT-/XUTR/DEUTH02428867200X </v>
          </cell>
          <cell r="CK3188" t="str">
            <v>2024-10-14</v>
          </cell>
          <cell r="CL3188">
            <v>38356.656000000003</v>
          </cell>
          <cell r="CM3188" t="str">
            <v xml:space="preserve">NFT-/XUTR/DEUTH02428846801X </v>
          </cell>
          <cell r="CN3188" t="str">
            <v>2024-10-14</v>
          </cell>
          <cell r="CO3188">
            <v>2894.2489999999998</v>
          </cell>
        </row>
        <row r="3189">
          <cell r="CJ3189" t="str">
            <v xml:space="preserve">NFT-/XUTR/DEUTH02428867200X </v>
          </cell>
          <cell r="CK3189" t="str">
            <v>2024-10-14</v>
          </cell>
          <cell r="CL3189">
            <v>15392.851000000001</v>
          </cell>
          <cell r="CM3189" t="str">
            <v xml:space="preserve">NFT-/XUTR/DEUTH02428846801X </v>
          </cell>
          <cell r="CN3189" t="str">
            <v>2024-10-14</v>
          </cell>
          <cell r="CO3189">
            <v>1166.6279999999999</v>
          </cell>
        </row>
        <row r="3190">
          <cell r="CJ3190" t="str">
            <v xml:space="preserve">NFT-/XUTR/DEUTH02428867200X </v>
          </cell>
          <cell r="CK3190" t="str">
            <v>2024-10-14</v>
          </cell>
          <cell r="CL3190">
            <v>15342.383</v>
          </cell>
          <cell r="CM3190" t="str">
            <v xml:space="preserve">NFT-/XUTR/DEUTH02428846801X </v>
          </cell>
          <cell r="CN3190" t="str">
            <v>2024-10-14</v>
          </cell>
          <cell r="CO3190">
            <v>1217.095</v>
          </cell>
        </row>
        <row r="3192">
          <cell r="CJ3192" t="str">
            <v xml:space="preserve">NFT-/XUTR/DEUTH02428867200X </v>
          </cell>
          <cell r="CK3192" t="str">
            <v>2024-10-14</v>
          </cell>
          <cell r="CL3192">
            <v>15411.731</v>
          </cell>
          <cell r="CM3192" t="str">
            <v xml:space="preserve">NFT-/XUTR/DEUTH02428846801X </v>
          </cell>
          <cell r="CN3192" t="str">
            <v>2024-10-14</v>
          </cell>
          <cell r="CO3192">
            <v>1166.6279999999999</v>
          </cell>
        </row>
        <row r="3193">
          <cell r="CJ3193" t="str">
            <v xml:space="preserve">NFT-/XUTR/DEUTH02428867200X </v>
          </cell>
          <cell r="CK3193" t="str">
            <v>2024-10-14</v>
          </cell>
          <cell r="CL3193">
            <v>15411.731</v>
          </cell>
          <cell r="CM3193" t="str">
            <v xml:space="preserve">NFT-/XUTR/DEUTH02428846801X </v>
          </cell>
          <cell r="CN3193" t="str">
            <v>2024-10-14</v>
          </cell>
          <cell r="CO3193">
            <v>1166.6279999999999</v>
          </cell>
        </row>
        <row r="3194">
          <cell r="CJ3194" t="str">
            <v xml:space="preserve">NFT-/XUTR/DEUTH02428867200X </v>
          </cell>
          <cell r="CK3194" t="str">
            <v>2024-10-14</v>
          </cell>
          <cell r="CL3194">
            <v>15392.851000000001</v>
          </cell>
          <cell r="CM3194" t="str">
            <v xml:space="preserve">NFT-/XUTR/DEUTH02428846801X </v>
          </cell>
          <cell r="CN3194" t="str">
            <v>2024-10-14</v>
          </cell>
          <cell r="CO3194">
            <v>1166.6279999999999</v>
          </cell>
        </row>
        <row r="3195">
          <cell r="CJ3195" t="str">
            <v xml:space="preserve">NFT-/XUTR/DEUTH02428867200X </v>
          </cell>
          <cell r="CK3195" t="str">
            <v>2024-10-14</v>
          </cell>
          <cell r="CL3195">
            <v>15411.731</v>
          </cell>
          <cell r="CM3195" t="str">
            <v xml:space="preserve">NFT-/XUTR/DEUTH02428846801X </v>
          </cell>
          <cell r="CN3195" t="str">
            <v>2024-10-14</v>
          </cell>
          <cell r="CO3195">
            <v>1166.6279999999999</v>
          </cell>
        </row>
        <row r="3196">
          <cell r="CJ3196" t="str">
            <v xml:space="preserve">NFT-/XUTR/DEUTH02428867200X </v>
          </cell>
          <cell r="CK3196" t="str">
            <v>2024-10-14</v>
          </cell>
          <cell r="CL3196">
            <v>15411.731</v>
          </cell>
          <cell r="CM3196" t="str">
            <v xml:space="preserve">NFT-/XUTR/DEUTH02428846801X </v>
          </cell>
          <cell r="CN3196" t="str">
            <v>2024-10-14</v>
          </cell>
          <cell r="CO3196">
            <v>1166.6279999999999</v>
          </cell>
        </row>
        <row r="3197">
          <cell r="CJ3197" t="str">
            <v xml:space="preserve">NFT-/XUTR/DEUTH02428867200X </v>
          </cell>
          <cell r="CK3197" t="str">
            <v>2024-10-14</v>
          </cell>
          <cell r="CL3197">
            <v>15411.731</v>
          </cell>
          <cell r="CM3197" t="str">
            <v xml:space="preserve">NFT-/XUTR/DEUTH02428846801X </v>
          </cell>
          <cell r="CN3197" t="str">
            <v>2024-10-14</v>
          </cell>
          <cell r="CO3197">
            <v>1166.6279999999999</v>
          </cell>
        </row>
        <row r="3198">
          <cell r="CJ3198" t="str">
            <v xml:space="preserve">NFT-/XUTR/DEUTH02428867200X </v>
          </cell>
          <cell r="CK3198" t="str">
            <v>2024-10-14</v>
          </cell>
          <cell r="CL3198">
            <v>78384.566999999995</v>
          </cell>
          <cell r="CM3198" t="str">
            <v xml:space="preserve">NFT-/XUTR/DEUTH02428846801X </v>
          </cell>
          <cell r="CN3198" t="str">
            <v>2024-10-14</v>
          </cell>
          <cell r="CO3198">
            <v>2911.723</v>
          </cell>
        </row>
        <row r="3199">
          <cell r="CJ3199" t="str">
            <v xml:space="preserve">NFT-/XUTR/DEUTH02428867200X </v>
          </cell>
          <cell r="CK3199" t="str">
            <v>2024-10-14</v>
          </cell>
          <cell r="CL3199">
            <v>15411.731</v>
          </cell>
          <cell r="CM3199" t="str">
            <v xml:space="preserve">NFT-/XUTR/DEUTH02428846801X </v>
          </cell>
          <cell r="CN3199" t="str">
            <v>2024-10-14</v>
          </cell>
          <cell r="CO3199">
            <v>1166.6279999999999</v>
          </cell>
        </row>
        <row r="3200">
          <cell r="CJ3200" t="str">
            <v xml:space="preserve">NFT-/XUTR/DEUTH02428867200X </v>
          </cell>
          <cell r="CK3200" t="str">
            <v>2024-10-14</v>
          </cell>
          <cell r="CL3200">
            <v>15411.731</v>
          </cell>
          <cell r="CM3200" t="str">
            <v xml:space="preserve">NFT-/XUTR/DEUTH02428846801X </v>
          </cell>
          <cell r="CN3200" t="str">
            <v>2024-10-14</v>
          </cell>
          <cell r="CO3200">
            <v>1166.6279999999999</v>
          </cell>
        </row>
        <row r="3201">
          <cell r="CJ3201" t="str">
            <v xml:space="preserve">NFT-/XUTR/DEUTH02428867200X </v>
          </cell>
          <cell r="CK3201" t="str">
            <v>2024-10-14</v>
          </cell>
          <cell r="CL3201">
            <v>63166.48</v>
          </cell>
          <cell r="CM3201" t="str">
            <v xml:space="preserve">NFT-/XUTR/DEUTH02428846801X </v>
          </cell>
          <cell r="CN3201" t="str">
            <v>2024-10-14</v>
          </cell>
          <cell r="CO3201">
            <v>2911.7240000000002</v>
          </cell>
        </row>
        <row r="3202">
          <cell r="CJ3202" t="str">
            <v xml:space="preserve">NFT-/XUTR/DEUTH02428867200X </v>
          </cell>
          <cell r="CK3202" t="str">
            <v>2024-10-14</v>
          </cell>
          <cell r="CL3202">
            <v>15411.731</v>
          </cell>
          <cell r="CM3202" t="str">
            <v xml:space="preserve">NFT-/XUTR/DEUTH02428846801X </v>
          </cell>
          <cell r="CN3202" t="str">
            <v>2024-10-14</v>
          </cell>
          <cell r="CO3202">
            <v>1166.6279999999999</v>
          </cell>
        </row>
        <row r="3203">
          <cell r="CJ3203" t="str">
            <v xml:space="preserve">NFT-/XUTR/DEUTH02428867200X </v>
          </cell>
          <cell r="CK3203" t="str">
            <v>2024-10-14</v>
          </cell>
          <cell r="CL3203">
            <v>15392.851000000001</v>
          </cell>
          <cell r="CM3203" t="str">
            <v xml:space="preserve">NFT-/XUTR/DEUTH02428846801X </v>
          </cell>
          <cell r="CN3203" t="str">
            <v>2024-10-14</v>
          </cell>
          <cell r="CO3203">
            <v>1166.6279999999999</v>
          </cell>
        </row>
        <row r="3204">
          <cell r="CJ3204" t="str">
            <v xml:space="preserve">NFT-/XUTR/DEUTH02428867200X </v>
          </cell>
          <cell r="CK3204" t="str">
            <v>2024-10-14</v>
          </cell>
          <cell r="CL3204">
            <v>8338.7189999999991</v>
          </cell>
        </row>
        <row r="3205">
          <cell r="CJ3205" t="str">
            <v xml:space="preserve">NFT-/XUTR/DEUTH02428867200X </v>
          </cell>
          <cell r="CK3205" t="str">
            <v>2024-10-14</v>
          </cell>
          <cell r="CL3205">
            <v>38356.656000000003</v>
          </cell>
          <cell r="CM3205" t="str">
            <v xml:space="preserve">NFT-/XUTR/DEUTH02428846801X </v>
          </cell>
          <cell r="CN3205" t="str">
            <v>2024-10-14</v>
          </cell>
          <cell r="CO3205">
            <v>2894.2489999999998</v>
          </cell>
        </row>
        <row r="3206">
          <cell r="CJ3206" t="str">
            <v xml:space="preserve">NFT-/XUTR/DEUTH02428867200X </v>
          </cell>
          <cell r="CK3206" t="str">
            <v>2024-10-14</v>
          </cell>
          <cell r="CL3206">
            <v>10547.207</v>
          </cell>
          <cell r="CM3206" t="str">
            <v xml:space="preserve">NFT-/XUTR/DEUTH02428846801X </v>
          </cell>
          <cell r="CN3206" t="str">
            <v>2024-10-14</v>
          </cell>
          <cell r="CO3206">
            <v>799.75</v>
          </cell>
        </row>
        <row r="3207">
          <cell r="CJ3207" t="str">
            <v xml:space="preserve">NFT-/XUTR/DEUTH02428867200X </v>
          </cell>
          <cell r="CK3207" t="str">
            <v>2024-10-14</v>
          </cell>
          <cell r="CL3207">
            <v>38356.656000000003</v>
          </cell>
          <cell r="CM3207" t="str">
            <v xml:space="preserve">NFT-/XUTR/DEUTH02428846801X </v>
          </cell>
          <cell r="CN3207" t="str">
            <v>2024-10-14</v>
          </cell>
          <cell r="CO3207">
            <v>2894.2489999999998</v>
          </cell>
        </row>
        <row r="3209">
          <cell r="CJ3209" t="str">
            <v xml:space="preserve">NFT-/XUTR/DEUTH02428867200X </v>
          </cell>
          <cell r="CK3209" t="str">
            <v>2024-10-14</v>
          </cell>
          <cell r="CL3209">
            <v>7767.4790000000003</v>
          </cell>
          <cell r="CM3209" t="str">
            <v xml:space="preserve">NFT-/XUTR/DEUTH02428846801X </v>
          </cell>
          <cell r="CN3209" t="str">
            <v>2024-10-14</v>
          </cell>
          <cell r="CO3209">
            <v>590.10799999999995</v>
          </cell>
        </row>
        <row r="3210">
          <cell r="CJ3210" t="str">
            <v xml:space="preserve">NFT-/XUTR/DEUTH02428867200X </v>
          </cell>
          <cell r="CK3210" t="str">
            <v>2024-10-14</v>
          </cell>
          <cell r="CL3210">
            <v>38375.536</v>
          </cell>
          <cell r="CM3210" t="str">
            <v xml:space="preserve">NFT-/XUTR/DEUTH02428846801X </v>
          </cell>
          <cell r="CN3210" t="str">
            <v>2024-10-14</v>
          </cell>
          <cell r="CO3210">
            <v>2894.2489999999998</v>
          </cell>
        </row>
        <row r="3211">
          <cell r="CJ3211" t="str">
            <v xml:space="preserve">NFT-/XUTR/DEUTH02428867200X </v>
          </cell>
          <cell r="CK3211" t="str">
            <v>2024-10-14</v>
          </cell>
          <cell r="CL3211">
            <v>78326.327000000005</v>
          </cell>
          <cell r="CM3211" t="str">
            <v xml:space="preserve">NFT-/XUTR/DEUTH02428846801X </v>
          </cell>
          <cell r="CN3211" t="str">
            <v>2024-10-14</v>
          </cell>
          <cell r="CO3211">
            <v>2911.7240000000002</v>
          </cell>
        </row>
        <row r="3212">
          <cell r="CJ3212" t="str">
            <v xml:space="preserve">NFT-/XUTR/DEUTH02428867200X </v>
          </cell>
          <cell r="CK3212" t="str">
            <v>2024-10-14</v>
          </cell>
          <cell r="CL3212">
            <v>15411.731</v>
          </cell>
          <cell r="CM3212" t="str">
            <v xml:space="preserve">NFT-/XUTR/DEUTH02428846801X </v>
          </cell>
          <cell r="CN3212" t="str">
            <v>2024-10-14</v>
          </cell>
          <cell r="CO3212">
            <v>1166.6279999999999</v>
          </cell>
        </row>
        <row r="3213">
          <cell r="CJ3213" t="str">
            <v xml:space="preserve">NFT-/XUTR/DEUTH02428867200X </v>
          </cell>
          <cell r="CK3213" t="str">
            <v>2024-10-14</v>
          </cell>
          <cell r="CL3213">
            <v>7766.5159999999996</v>
          </cell>
          <cell r="CM3213" t="str">
            <v xml:space="preserve">NFT-/XUTR/DEUTH02428846801X </v>
          </cell>
          <cell r="CN3213" t="str">
            <v>2024-10-14</v>
          </cell>
          <cell r="CO3213">
            <v>591.08299999999997</v>
          </cell>
        </row>
        <row r="3214">
          <cell r="CJ3214" t="str">
            <v xml:space="preserve">NFT-/XUTR/DEUTH02428867200X </v>
          </cell>
          <cell r="CK3214" t="str">
            <v>2024-10-14</v>
          </cell>
          <cell r="CL3214">
            <v>7747.6360000000004</v>
          </cell>
          <cell r="CM3214" t="str">
            <v xml:space="preserve">NFT-/XUTR/DEUTH02428846801X </v>
          </cell>
          <cell r="CN3214" t="str">
            <v>2024-10-14</v>
          </cell>
          <cell r="CO3214">
            <v>591.08299999999997</v>
          </cell>
        </row>
        <row r="3215">
          <cell r="CJ3215" t="str">
            <v xml:space="preserve">NFT-/XUTR/DEUTH02428867200X </v>
          </cell>
          <cell r="CK3215" t="str">
            <v>2024-10-14</v>
          </cell>
          <cell r="CL3215">
            <v>15411.731</v>
          </cell>
          <cell r="CM3215" t="str">
            <v xml:space="preserve">NFT-/XUTR/DEUTH02428846801X </v>
          </cell>
          <cell r="CN3215" t="str">
            <v>2024-10-14</v>
          </cell>
          <cell r="CO3215">
            <v>1166.6279999999999</v>
          </cell>
        </row>
        <row r="3216">
          <cell r="CJ3216" t="str">
            <v xml:space="preserve">NFT-/XUTR/DEUTH02428867200X </v>
          </cell>
          <cell r="CK3216" t="str">
            <v>2024-10-14</v>
          </cell>
          <cell r="CL3216">
            <v>7769.4290000000001</v>
          </cell>
          <cell r="CM3216" t="str">
            <v xml:space="preserve">NFT-/XUTR/DEUTH02428846801X </v>
          </cell>
          <cell r="CN3216" t="str">
            <v>2024-10-14</v>
          </cell>
          <cell r="CO3216">
            <v>588.16999999999996</v>
          </cell>
        </row>
        <row r="3217">
          <cell r="CJ3217" t="str">
            <v xml:space="preserve">NFT-/XUTR/DEUTH02428867200X </v>
          </cell>
          <cell r="CK3217" t="str">
            <v>2024-10-14</v>
          </cell>
          <cell r="CL3217">
            <v>7763.1379999999999</v>
          </cell>
          <cell r="CM3217" t="str">
            <v xml:space="preserve">NFT-/XUTR/DEUTH02428846801X </v>
          </cell>
          <cell r="CN3217" t="str">
            <v>2024-10-14</v>
          </cell>
          <cell r="CO3217">
            <v>588.16999999999996</v>
          </cell>
        </row>
        <row r="3218">
          <cell r="CJ3218" t="str">
            <v xml:space="preserve">NFT-/XUTR/DEUTH02428867200X </v>
          </cell>
          <cell r="CK3218" t="str">
            <v>2024-10-14</v>
          </cell>
          <cell r="CL3218">
            <v>15392.851000000001</v>
          </cell>
          <cell r="CM3218" t="str">
            <v xml:space="preserve">NFT-/XUTR/DEUTH02428846801X </v>
          </cell>
          <cell r="CN3218" t="str">
            <v>2024-10-14</v>
          </cell>
          <cell r="CO3218">
            <v>1166.6279999999999</v>
          </cell>
        </row>
        <row r="3219">
          <cell r="CJ3219" t="str">
            <v xml:space="preserve">NFT-/XUTR/DEUTH02428867200X </v>
          </cell>
          <cell r="CK3219" t="str">
            <v>2024-10-14</v>
          </cell>
          <cell r="CL3219">
            <v>15411.731</v>
          </cell>
          <cell r="CM3219" t="str">
            <v xml:space="preserve">NFT-/XUTR/DEUTH02428846801X </v>
          </cell>
          <cell r="CN3219" t="str">
            <v>2024-10-14</v>
          </cell>
          <cell r="CO3219">
            <v>1166.6279999999999</v>
          </cell>
        </row>
        <row r="3220">
          <cell r="CJ3220" t="str">
            <v xml:space="preserve">NFT-/XUTR/DEUTH02428867200X </v>
          </cell>
          <cell r="CK3220" t="str">
            <v>2024-10-14</v>
          </cell>
          <cell r="CL3220">
            <v>15087.116</v>
          </cell>
          <cell r="CM3220" t="str">
            <v xml:space="preserve">NFT-/XUTR/DEUTH02428846801X </v>
          </cell>
          <cell r="CN3220" t="str">
            <v>2024-10-14</v>
          </cell>
          <cell r="CO3220">
            <v>1472.3630000000001</v>
          </cell>
        </row>
        <row r="3222">
          <cell r="CJ3222" t="str">
            <v xml:space="preserve">NFT-/XUTR/DEUTH02428867200X </v>
          </cell>
          <cell r="CK3222" t="str">
            <v>2024-10-14</v>
          </cell>
          <cell r="CL3222">
            <v>15411.731</v>
          </cell>
          <cell r="CM3222" t="str">
            <v xml:space="preserve">NFT-/XUTR/DEUTH02428846801X </v>
          </cell>
          <cell r="CN3222" t="str">
            <v>2024-10-14</v>
          </cell>
          <cell r="CO3222">
            <v>1166.6279999999999</v>
          </cell>
        </row>
        <row r="3223">
          <cell r="CJ3223" t="str">
            <v xml:space="preserve">NFT-/XUTR/DEUTH02428867200X </v>
          </cell>
          <cell r="CK3223" t="str">
            <v>2024-10-14</v>
          </cell>
          <cell r="CL3223">
            <v>30824.436000000002</v>
          </cell>
          <cell r="CM3223" t="str">
            <v xml:space="preserve">NFT-/XUTR/DEUTH02428846801X </v>
          </cell>
          <cell r="CN3223" t="str">
            <v>2024-10-14</v>
          </cell>
          <cell r="CO3223">
            <v>2331.3180000000002</v>
          </cell>
        </row>
        <row r="3224">
          <cell r="CJ3224" t="str">
            <v xml:space="preserve">NFT-/XUTR/DEUTH02428867200X </v>
          </cell>
          <cell r="CK3224" t="str">
            <v>2024-10-14</v>
          </cell>
          <cell r="CL3224">
            <v>15466.084000000001</v>
          </cell>
          <cell r="CM3224" t="str">
            <v xml:space="preserve">NFT-/XUTR/DEUTH02428846801X </v>
          </cell>
          <cell r="CN3224" t="str">
            <v>2024-10-14</v>
          </cell>
          <cell r="CO3224">
            <v>1170.5150000000001</v>
          </cell>
        </row>
        <row r="3225">
          <cell r="CJ3225" t="str">
            <v xml:space="preserve">NFT-/XUTR/DEUTH02428867200X </v>
          </cell>
          <cell r="CK3225" t="str">
            <v>2024-10-14</v>
          </cell>
          <cell r="CL3225">
            <v>41787.974999999999</v>
          </cell>
        </row>
        <row r="3226">
          <cell r="CJ3226" t="str">
            <v xml:space="preserve">NFT-/XUTR/DEUTH02428867200X </v>
          </cell>
          <cell r="CK3226" t="str">
            <v>2024-10-14</v>
          </cell>
          <cell r="CL3226">
            <v>78326.327000000005</v>
          </cell>
          <cell r="CM3226" t="str">
            <v xml:space="preserve">NFT-/XUTR/DEUTH02428846801X </v>
          </cell>
          <cell r="CN3226" t="str">
            <v>2024-10-14</v>
          </cell>
          <cell r="CO3226">
            <v>2911.7240000000002</v>
          </cell>
        </row>
        <row r="3227">
          <cell r="CJ3227" t="str">
            <v xml:space="preserve">NFT-/XUTR/DEUTH02428867200X </v>
          </cell>
          <cell r="CK3227" t="str">
            <v>2024-10-14</v>
          </cell>
          <cell r="CL3227">
            <v>30933.144</v>
          </cell>
          <cell r="CM3227" t="str">
            <v xml:space="preserve">NFT-/XUTR/DEUTH02428846801X </v>
          </cell>
          <cell r="CN3227" t="str">
            <v>2024-10-14</v>
          </cell>
          <cell r="CO3227">
            <v>2341.0300000000002</v>
          </cell>
        </row>
        <row r="3229">
          <cell r="CJ3229" t="str">
            <v xml:space="preserve">NFT-/XUTR/DEUTH02428867200X </v>
          </cell>
          <cell r="CK3229" t="str">
            <v>2024-10-14</v>
          </cell>
          <cell r="CL3229">
            <v>15392.851000000001</v>
          </cell>
          <cell r="CM3229" t="str">
            <v xml:space="preserve">NFT-/XUTR/DEUTH02428846801X </v>
          </cell>
          <cell r="CN3229" t="str">
            <v>2024-10-14</v>
          </cell>
          <cell r="CO3229">
            <v>1166.6279999999999</v>
          </cell>
        </row>
        <row r="3231">
          <cell r="CJ3231" t="str">
            <v xml:space="preserve">NFT-/XUTR/DEUTH02428867200X </v>
          </cell>
          <cell r="CK3231" t="str">
            <v>2024-10-14</v>
          </cell>
          <cell r="CL3231">
            <v>38356.656000000003</v>
          </cell>
          <cell r="CM3231" t="str">
            <v xml:space="preserve">NFT-/XUTR/DEUTH02428846801X </v>
          </cell>
          <cell r="CN3231" t="str">
            <v>2024-10-14</v>
          </cell>
          <cell r="CO3231">
            <v>2894.2489999999998</v>
          </cell>
        </row>
        <row r="3232">
          <cell r="CJ3232" t="str">
            <v xml:space="preserve">NFT-/XUTR/DEUTH02428867200X </v>
          </cell>
          <cell r="CK3232" t="str">
            <v>2024-10-14</v>
          </cell>
          <cell r="CL3232">
            <v>30701.68</v>
          </cell>
          <cell r="CM3232" t="str">
            <v xml:space="preserve">NFT-/XUTR/DEUTH02428846801X </v>
          </cell>
          <cell r="CN3232" t="str">
            <v>2024-10-14</v>
          </cell>
          <cell r="CO3232">
            <v>2332.2919999999999</v>
          </cell>
        </row>
        <row r="3233">
          <cell r="CJ3233" t="str">
            <v xml:space="preserve">NFT-/XUTR/DEUTH02428867200X </v>
          </cell>
          <cell r="CK3233" t="str">
            <v>2024-10-14</v>
          </cell>
          <cell r="CL3233">
            <v>15411.731</v>
          </cell>
          <cell r="CM3233" t="str">
            <v xml:space="preserve">NFT-/XUTR/DEUTH02428846801X </v>
          </cell>
          <cell r="CN3233" t="str">
            <v>2024-10-14</v>
          </cell>
          <cell r="CO3233">
            <v>1166.6289999999999</v>
          </cell>
        </row>
        <row r="3234">
          <cell r="CJ3234" t="str">
            <v xml:space="preserve">NFT-/XUTR/DEUTH02428867200X </v>
          </cell>
          <cell r="CK3234" t="str">
            <v>2024-10-14</v>
          </cell>
          <cell r="CL3234">
            <v>10547.207</v>
          </cell>
          <cell r="CM3234" t="str">
            <v xml:space="preserve">NFT-/XUTR/DEUTH02428846801X </v>
          </cell>
          <cell r="CN3234" t="str">
            <v>2024-10-14</v>
          </cell>
          <cell r="CO3234">
            <v>799.75</v>
          </cell>
        </row>
        <row r="3235">
          <cell r="CJ3235" t="str">
            <v xml:space="preserve">NFT-/XUTR/DEUTH02428867200X </v>
          </cell>
          <cell r="CK3235" t="str">
            <v>2024-10-14</v>
          </cell>
          <cell r="CL3235">
            <v>77637.756999999998</v>
          </cell>
          <cell r="CM3235" t="str">
            <v xml:space="preserve">NFT-/XUTR/DEUTH02428846801X </v>
          </cell>
          <cell r="CN3235" t="str">
            <v>2024-10-14</v>
          </cell>
          <cell r="CO3235">
            <v>3581.424</v>
          </cell>
        </row>
        <row r="3236">
          <cell r="CJ3236" t="str">
            <v xml:space="preserve">NFT-/XUTR/DEUTH02428867200X </v>
          </cell>
          <cell r="CK3236" t="str">
            <v>2024-10-14</v>
          </cell>
          <cell r="CL3236">
            <v>78307.447</v>
          </cell>
          <cell r="CM3236" t="str">
            <v xml:space="preserve">NFT-/XUTR/DEUTH02428846801X </v>
          </cell>
          <cell r="CN3236" t="str">
            <v>2024-10-14</v>
          </cell>
          <cell r="CO3236">
            <v>2911.7240000000002</v>
          </cell>
        </row>
        <row r="3237">
          <cell r="CJ3237" t="str">
            <v xml:space="preserve">NFT-/XUTR/DEUTH02428867200X </v>
          </cell>
          <cell r="CK3237" t="str">
            <v>2024-10-14</v>
          </cell>
          <cell r="CL3237">
            <v>8338.7189999999991</v>
          </cell>
        </row>
        <row r="3238">
          <cell r="CJ3238" t="str">
            <v xml:space="preserve">NFT-/XUTR/DEUTH02428867200X </v>
          </cell>
          <cell r="CK3238" t="str">
            <v>2024-10-14</v>
          </cell>
          <cell r="CL3238">
            <v>37815.065999999999</v>
          </cell>
          <cell r="CM3238" t="str">
            <v xml:space="preserve">NFT-/XUTR/DEUTH02428846801X </v>
          </cell>
          <cell r="CN3238" t="str">
            <v>2024-10-14</v>
          </cell>
          <cell r="CO3238">
            <v>2853.4940000000001</v>
          </cell>
        </row>
        <row r="3239">
          <cell r="CJ3239" t="str">
            <v xml:space="preserve">NFT-/XUTR/DEUTH02428867200X </v>
          </cell>
          <cell r="CK3239" t="str">
            <v>2024-10-14</v>
          </cell>
          <cell r="CL3239">
            <v>30833.173999999999</v>
          </cell>
          <cell r="CM3239" t="str">
            <v xml:space="preserve">NFT-/XUTR/DEUTH02428846801X </v>
          </cell>
          <cell r="CN3239" t="str">
            <v>2024-10-14</v>
          </cell>
          <cell r="CO3239">
            <v>2323.556</v>
          </cell>
        </row>
        <row r="3240">
          <cell r="CJ3240" t="str">
            <v xml:space="preserve">NFT-/XUTR/DEUTH02428867200X </v>
          </cell>
          <cell r="CK3240" t="str">
            <v>2024-10-14</v>
          </cell>
          <cell r="CL3240">
            <v>30820.583999999999</v>
          </cell>
          <cell r="CM3240" t="str">
            <v xml:space="preserve">NFT-/XUTR/DEUTH02428846801X </v>
          </cell>
          <cell r="CN3240" t="str">
            <v>2024-10-14</v>
          </cell>
          <cell r="CO3240">
            <v>2323.5540000000001</v>
          </cell>
        </row>
        <row r="3241">
          <cell r="CJ3241" t="str">
            <v xml:space="preserve">NFT-/XUTR/DEUTH02428867200X </v>
          </cell>
          <cell r="CK3241" t="str">
            <v>2024-10-14</v>
          </cell>
          <cell r="CL3241">
            <v>15411.731</v>
          </cell>
          <cell r="CM3241" t="str">
            <v xml:space="preserve">NFT-/XUTR/DEUTH02428846801X </v>
          </cell>
          <cell r="CN3241" t="str">
            <v>2024-10-14</v>
          </cell>
          <cell r="CO3241">
            <v>1166.6279999999999</v>
          </cell>
        </row>
        <row r="3242">
          <cell r="CJ3242" t="str">
            <v xml:space="preserve">NFT-/XUTR/DEUTH02428867200X </v>
          </cell>
          <cell r="CK3242" t="str">
            <v>2024-10-14</v>
          </cell>
          <cell r="CL3242">
            <v>15411.731</v>
          </cell>
          <cell r="CM3242" t="str">
            <v xml:space="preserve">NFT-/XUTR/DEUTH02428846801X </v>
          </cell>
          <cell r="CN3242" t="str">
            <v>2024-10-14</v>
          </cell>
          <cell r="CO3242">
            <v>1166.6279999999999</v>
          </cell>
        </row>
        <row r="3243">
          <cell r="CJ3243" t="str">
            <v xml:space="preserve">NFT-/XUTR/DEUTH02428867200X </v>
          </cell>
          <cell r="CK3243" t="str">
            <v>2024-10-14</v>
          </cell>
          <cell r="CL3243">
            <v>15398.142</v>
          </cell>
          <cell r="CM3243" t="str">
            <v xml:space="preserve">NFT-/XUTR/DEUTH02428846801X </v>
          </cell>
          <cell r="CN3243" t="str">
            <v>2024-10-14</v>
          </cell>
          <cell r="CO3243">
            <v>1180.2159999999999</v>
          </cell>
        </row>
        <row r="3244">
          <cell r="CJ3244" t="str">
            <v xml:space="preserve">NFT-/XUTR/DEUTH02428867200X </v>
          </cell>
          <cell r="CK3244" t="str">
            <v>2024-10-14</v>
          </cell>
          <cell r="CL3244">
            <v>15411.731</v>
          </cell>
          <cell r="CM3244" t="str">
            <v xml:space="preserve">NFT-/XUTR/DEUTH02428846801X </v>
          </cell>
          <cell r="CN3244" t="str">
            <v>2024-10-14</v>
          </cell>
          <cell r="CO3244">
            <v>1166.6279999999999</v>
          </cell>
        </row>
        <row r="3246">
          <cell r="CJ3246" t="str">
            <v xml:space="preserve">NFT-/XUTR/DEUTH02428867200X </v>
          </cell>
          <cell r="CK3246" t="str">
            <v>2024-10-14</v>
          </cell>
          <cell r="CL3246">
            <v>7759.0140000000001</v>
          </cell>
          <cell r="CM3246" t="str">
            <v xml:space="preserve">NFT-/XUTR/DEUTH02428846801X </v>
          </cell>
          <cell r="CN3246" t="str">
            <v>2024-10-14</v>
          </cell>
          <cell r="CO3246">
            <v>589.14400000000001</v>
          </cell>
        </row>
        <row r="3248">
          <cell r="CJ3248" t="str">
            <v xml:space="preserve">NFT-/XUTR/DEUTH02428867200X </v>
          </cell>
          <cell r="CK3248" t="str">
            <v>2024-10-14</v>
          </cell>
          <cell r="CL3248">
            <v>38375.536</v>
          </cell>
          <cell r="CM3248" t="str">
            <v xml:space="preserve">NFT-/XUTR/DEUTH02428846801X </v>
          </cell>
          <cell r="CN3248" t="str">
            <v>2024-10-14</v>
          </cell>
          <cell r="CO3248">
            <v>2894.2489999999998</v>
          </cell>
        </row>
        <row r="3249">
          <cell r="CJ3249" t="str">
            <v xml:space="preserve">NFT-/XUTR/DEUTH02428867200X </v>
          </cell>
          <cell r="CK3249" t="str">
            <v>2024-10-14</v>
          </cell>
          <cell r="CL3249">
            <v>15392.851000000001</v>
          </cell>
          <cell r="CM3249" t="str">
            <v xml:space="preserve">NFT-/XUTR/DEUTH02428846801X </v>
          </cell>
          <cell r="CN3249" t="str">
            <v>2024-10-14</v>
          </cell>
          <cell r="CO3249">
            <v>1166.6279999999999</v>
          </cell>
        </row>
        <row r="3250">
          <cell r="CJ3250" t="str">
            <v xml:space="preserve">NFT-/XUTR/DEUTH02428867200X </v>
          </cell>
          <cell r="CK3250" t="str">
            <v>2024-10-14</v>
          </cell>
          <cell r="CL3250">
            <v>15392.851000000001</v>
          </cell>
          <cell r="CM3250" t="str">
            <v xml:space="preserve">NFT-/XUTR/DEUTH02428846801X </v>
          </cell>
          <cell r="CN3250" t="str">
            <v>2024-10-14</v>
          </cell>
          <cell r="CO3250">
            <v>1166.6279999999999</v>
          </cell>
        </row>
        <row r="3251">
          <cell r="CJ3251" t="str">
            <v xml:space="preserve">NFT-/XUTR/DEUTH02428867200X </v>
          </cell>
          <cell r="CK3251" t="str">
            <v>2024-10-14</v>
          </cell>
          <cell r="CL3251">
            <v>7747.6360000000004</v>
          </cell>
          <cell r="CM3251" t="str">
            <v xml:space="preserve">NFT-/XUTR/DEUTH02428846801X </v>
          </cell>
          <cell r="CN3251" t="str">
            <v>2024-10-14</v>
          </cell>
          <cell r="CO3251">
            <v>591.08299999999997</v>
          </cell>
        </row>
        <row r="3252">
          <cell r="CJ3252" t="str">
            <v xml:space="preserve">NFT-/XUTR/DEUTH02428867200X </v>
          </cell>
          <cell r="CK3252" t="str">
            <v>2024-10-14</v>
          </cell>
          <cell r="CL3252">
            <v>38876.25</v>
          </cell>
          <cell r="CM3252" t="str">
            <v xml:space="preserve">NFT-/XUTR/DEUTH02428846801X </v>
          </cell>
          <cell r="CN3252" t="str">
            <v>2024-10-14</v>
          </cell>
          <cell r="CO3252">
            <v>2911.72</v>
          </cell>
        </row>
        <row r="3253">
          <cell r="CJ3253" t="str">
            <v xml:space="preserve">NFT-/XUTR/DEUTH02428867200X </v>
          </cell>
          <cell r="CK3253" t="str">
            <v>2024-10-14</v>
          </cell>
          <cell r="CL3253">
            <v>7355.52</v>
          </cell>
          <cell r="CM3253" t="str">
            <v xml:space="preserve">NFT-/XUTR/DEUTH02428846801X </v>
          </cell>
          <cell r="CN3253" t="str">
            <v>2024-10-14</v>
          </cell>
          <cell r="CO3253">
            <v>983.18899999999996</v>
          </cell>
        </row>
        <row r="3254">
          <cell r="CJ3254" t="str">
            <v xml:space="preserve">NFT-/XUTR/DEUTH02428867200X </v>
          </cell>
          <cell r="CK3254" t="str">
            <v>2024-10-14</v>
          </cell>
          <cell r="CL3254">
            <v>8406.6509999999998</v>
          </cell>
        </row>
        <row r="3255">
          <cell r="CJ3255" t="str">
            <v xml:space="preserve">NFT-/XUTR/DEUTH02428867200X </v>
          </cell>
          <cell r="CK3255" t="str">
            <v>2024-10-14</v>
          </cell>
          <cell r="CL3255">
            <v>78976.614000000001</v>
          </cell>
          <cell r="CM3255" t="str">
            <v xml:space="preserve">NFT-/XUTR/DEUTH02428846801X </v>
          </cell>
          <cell r="CN3255" t="str">
            <v>2024-10-14</v>
          </cell>
          <cell r="CO3255">
            <v>2911.7240000000002</v>
          </cell>
        </row>
        <row r="3256">
          <cell r="CJ3256" t="str">
            <v xml:space="preserve">NFT-/XUTR/DEUTH02428867200X </v>
          </cell>
          <cell r="CK3256" t="str">
            <v>2024-10-14</v>
          </cell>
          <cell r="CL3256">
            <v>15392.851000000001</v>
          </cell>
          <cell r="CM3256" t="str">
            <v xml:space="preserve">NFT-/XUTR/DEUTH02428846801X </v>
          </cell>
          <cell r="CN3256" t="str">
            <v>2024-10-14</v>
          </cell>
          <cell r="CO3256">
            <v>1166.6279999999999</v>
          </cell>
        </row>
        <row r="3257">
          <cell r="CJ3257" t="str">
            <v xml:space="preserve">NFT-/XUTR/DEUTH02428867200X </v>
          </cell>
          <cell r="CK3257" t="str">
            <v>2024-10-14</v>
          </cell>
          <cell r="CL3257">
            <v>15510.296</v>
          </cell>
          <cell r="CM3257" t="str">
            <v xml:space="preserve">NFT-/XUTR/DEUTH02428846801X </v>
          </cell>
          <cell r="CN3257" t="str">
            <v>2024-10-14</v>
          </cell>
          <cell r="CO3257">
            <v>1175.365</v>
          </cell>
        </row>
        <row r="3258">
          <cell r="CJ3258" t="str">
            <v xml:space="preserve">NFT-/XUTR/DEUTH02428867200X </v>
          </cell>
          <cell r="CK3258" t="str">
            <v>2024-10-14</v>
          </cell>
          <cell r="CL3258">
            <v>15182.675999999999</v>
          </cell>
          <cell r="CM3258" t="str">
            <v xml:space="preserve">NFT-/XUTR/DEUTH02428846801X </v>
          </cell>
          <cell r="CN3258" t="str">
            <v>2024-10-14</v>
          </cell>
          <cell r="CO3258">
            <v>1395.682</v>
          </cell>
        </row>
        <row r="3259">
          <cell r="CJ3259" t="str">
            <v xml:space="preserve">NFT-/XUTR/DEUTH02428867200X </v>
          </cell>
          <cell r="CK3259" t="str">
            <v>2024-10-14</v>
          </cell>
          <cell r="CL3259">
            <v>77806.099000000002</v>
          </cell>
          <cell r="CM3259" t="str">
            <v xml:space="preserve">NFT-/XUTR/DEUTH02428846801X </v>
          </cell>
          <cell r="CN3259" t="str">
            <v>2024-10-14</v>
          </cell>
          <cell r="CO3259">
            <v>3490.1819999999998</v>
          </cell>
        </row>
        <row r="3260">
          <cell r="CJ3260" t="str">
            <v xml:space="preserve">NFT-/XUTR/DEUTH02428867200X </v>
          </cell>
          <cell r="CK3260" t="str">
            <v>2024-10-14</v>
          </cell>
          <cell r="CL3260">
            <v>14729.95</v>
          </cell>
          <cell r="CM3260" t="str">
            <v xml:space="preserve">NFT-/XUTR/DEUTH02428846801X </v>
          </cell>
          <cell r="CN3260" t="str">
            <v>2024-10-14</v>
          </cell>
          <cell r="CO3260">
            <v>1955.711</v>
          </cell>
        </row>
        <row r="3261">
          <cell r="CJ3261" t="str">
            <v xml:space="preserve">NFT-/XUTR/DEUTH02428867200X </v>
          </cell>
          <cell r="CK3261" t="str">
            <v>2024-10-14</v>
          </cell>
          <cell r="CL3261">
            <v>30824.436000000002</v>
          </cell>
          <cell r="CM3261" t="str">
            <v xml:space="preserve">NFT-/XUTR/DEUTH02428846801X </v>
          </cell>
          <cell r="CN3261" t="str">
            <v>2024-10-14</v>
          </cell>
          <cell r="CO3261">
            <v>2331.3180000000002</v>
          </cell>
        </row>
        <row r="3262">
          <cell r="CJ3262" t="str">
            <v xml:space="preserve">NFT-/XUTR/DEUTH02428867200X </v>
          </cell>
          <cell r="CK3262" t="str">
            <v>2024-10-14</v>
          </cell>
          <cell r="CL3262">
            <v>15511.26</v>
          </cell>
          <cell r="CM3262" t="str">
            <v xml:space="preserve">NFT-/XUTR/DEUTH02428846801X </v>
          </cell>
          <cell r="CN3262" t="str">
            <v>2024-10-14</v>
          </cell>
          <cell r="CO3262">
            <v>1174.3910000000001</v>
          </cell>
        </row>
        <row r="3263">
          <cell r="CJ3263" t="str">
            <v xml:space="preserve">NFT-/XUTR/DEUTH02428867200X </v>
          </cell>
          <cell r="CK3263" t="str">
            <v>2024-10-14</v>
          </cell>
          <cell r="CL3263">
            <v>63185.36</v>
          </cell>
          <cell r="CM3263" t="str">
            <v xml:space="preserve">NFT-/XUTR/DEUTH02428846801X </v>
          </cell>
          <cell r="CN3263" t="str">
            <v>2024-10-14</v>
          </cell>
          <cell r="CO3263">
            <v>2911.723</v>
          </cell>
        </row>
        <row r="3264">
          <cell r="CJ3264" t="str">
            <v xml:space="preserve">NFT-/XUTR/DEUTH02428867200X </v>
          </cell>
          <cell r="CK3264" t="str">
            <v>2024-10-14</v>
          </cell>
          <cell r="CL3264">
            <v>78957.733999999997</v>
          </cell>
          <cell r="CM3264" t="str">
            <v xml:space="preserve">NFT-/XUTR/DEUTH02428846801X </v>
          </cell>
          <cell r="CN3264" t="str">
            <v>2024-10-14</v>
          </cell>
          <cell r="CO3264">
            <v>2911.7240000000002</v>
          </cell>
          <cell r="CP3264" t="str">
            <v xml:space="preserve">NFT-/XUTR/DEUTH02429023615X </v>
          </cell>
          <cell r="CQ3264" t="str">
            <v>2024-10-16</v>
          </cell>
          <cell r="CR3264">
            <v>-78957.733999999997</v>
          </cell>
          <cell r="CS3264" t="str">
            <v xml:space="preserve">NFT-/XUTR/DEUTH02429026181X </v>
          </cell>
          <cell r="CT3264" t="str">
            <v>2024-10-16</v>
          </cell>
          <cell r="CU3264">
            <v>-2911.7240000000002</v>
          </cell>
        </row>
        <row r="3266">
          <cell r="CJ3266" t="str">
            <v xml:space="preserve">NFT-/XUTR/DEUTH02428867200X </v>
          </cell>
          <cell r="CK3266" t="str">
            <v>2024-10-14</v>
          </cell>
          <cell r="CL3266">
            <v>15510.296</v>
          </cell>
          <cell r="CM3266" t="str">
            <v xml:space="preserve">NFT-/XUTR/DEUTH02428846801X </v>
          </cell>
          <cell r="CN3266" t="str">
            <v>2024-10-14</v>
          </cell>
          <cell r="CO3266">
            <v>1175.365</v>
          </cell>
        </row>
        <row r="3267">
          <cell r="CJ3267" t="str">
            <v xml:space="preserve">NFT-/XUTR/DEUTH02428867200X </v>
          </cell>
          <cell r="CK3267" t="str">
            <v>2024-10-14</v>
          </cell>
          <cell r="CL3267">
            <v>15510.296</v>
          </cell>
          <cell r="CM3267" t="str">
            <v xml:space="preserve">NFT-/XUTR/DEUTH02428846801X </v>
          </cell>
          <cell r="CN3267" t="str">
            <v>2024-10-14</v>
          </cell>
          <cell r="CO3267">
            <v>1175.365</v>
          </cell>
        </row>
        <row r="3268">
          <cell r="CJ3268" t="str">
            <v xml:space="preserve">NFT-/XUTR/DEUTH02428867200X </v>
          </cell>
          <cell r="CK3268" t="str">
            <v>2024-10-14</v>
          </cell>
          <cell r="CL3268">
            <v>15529.174999999999</v>
          </cell>
          <cell r="CM3268" t="str">
            <v xml:space="preserve">NFT-/XUTR/DEUTH02428846801X </v>
          </cell>
          <cell r="CN3268" t="str">
            <v>2024-10-14</v>
          </cell>
          <cell r="CO3268">
            <v>1175.366</v>
          </cell>
        </row>
        <row r="3269">
          <cell r="CJ3269" t="str">
            <v xml:space="preserve">NFT-/XUTR/DEUTH02428867200X </v>
          </cell>
          <cell r="CK3269" t="str">
            <v>2024-10-14</v>
          </cell>
          <cell r="CL3269">
            <v>79025.142999999996</v>
          </cell>
          <cell r="CM3269" t="str">
            <v xml:space="preserve">NFT-/XUTR/DEUTH02428846801X </v>
          </cell>
          <cell r="CN3269" t="str">
            <v>2024-10-14</v>
          </cell>
          <cell r="CO3269">
            <v>2911.7240000000002</v>
          </cell>
        </row>
        <row r="3271">
          <cell r="CJ3271" t="str">
            <v xml:space="preserve">NFT-/XUTR/DEUTH02428867200X </v>
          </cell>
          <cell r="CK3271" t="str">
            <v>2024-10-14</v>
          </cell>
          <cell r="CL3271">
            <v>15510.296</v>
          </cell>
          <cell r="CM3271" t="str">
            <v xml:space="preserve">NFT-/XUTR/DEUTH02428846801X </v>
          </cell>
          <cell r="CN3271" t="str">
            <v>2024-10-14</v>
          </cell>
          <cell r="CO3271">
            <v>1175.365</v>
          </cell>
        </row>
        <row r="3272">
          <cell r="CJ3272" t="str">
            <v xml:space="preserve">NFT-/XUTR/DEUTH02428867200X </v>
          </cell>
          <cell r="CK3272" t="str">
            <v>2024-10-14</v>
          </cell>
          <cell r="CL3272">
            <v>79025.142999999996</v>
          </cell>
          <cell r="CM3272" t="str">
            <v xml:space="preserve">NFT-/XUTR/DEUTH02428846801X </v>
          </cell>
          <cell r="CN3272" t="str">
            <v>2024-10-14</v>
          </cell>
          <cell r="CO3272">
            <v>2911.7240000000002</v>
          </cell>
        </row>
        <row r="3275">
          <cell r="CJ3275" t="str">
            <v xml:space="preserve">NFT-/XUTR/DEUTH02428867200X </v>
          </cell>
          <cell r="CK3275" t="str">
            <v>2024-10-14</v>
          </cell>
          <cell r="CL3275">
            <v>78307.447</v>
          </cell>
          <cell r="CM3275" t="str">
            <v xml:space="preserve">NFT-/XUTR/DEUTH02428846801X </v>
          </cell>
          <cell r="CN3275" t="str">
            <v>2024-10-14</v>
          </cell>
          <cell r="CO3275">
            <v>2911.7240000000002</v>
          </cell>
        </row>
        <row r="3276">
          <cell r="CJ3276" t="str">
            <v xml:space="preserve">NFT-/XUTR/DEUTH02428867200X </v>
          </cell>
          <cell r="CK3276" t="str">
            <v>2024-10-14</v>
          </cell>
          <cell r="CL3276">
            <v>78957.733999999997</v>
          </cell>
          <cell r="CM3276" t="str">
            <v xml:space="preserve">NFT-/XUTR/DEUTH02428846801X </v>
          </cell>
          <cell r="CN3276" t="str">
            <v>2024-10-14</v>
          </cell>
          <cell r="CO3276">
            <v>2911.7240000000002</v>
          </cell>
        </row>
        <row r="3277">
          <cell r="CJ3277" t="str">
            <v xml:space="preserve">NFT-/XUTR/DEUTH02428867200X </v>
          </cell>
          <cell r="CK3277" t="str">
            <v>2024-10-14</v>
          </cell>
          <cell r="CL3277">
            <v>15392.851000000001</v>
          </cell>
          <cell r="CM3277" t="str">
            <v xml:space="preserve">NFT-/XUTR/DEUTH02428846801X </v>
          </cell>
          <cell r="CN3277" t="str">
            <v>2024-10-14</v>
          </cell>
          <cell r="CO3277">
            <v>1166.6279999999999</v>
          </cell>
        </row>
        <row r="3278">
          <cell r="CJ3278" t="str">
            <v xml:space="preserve">NFT-/XUTR/DEUTH02428867200X </v>
          </cell>
          <cell r="CK3278" t="str">
            <v>2024-10-14</v>
          </cell>
          <cell r="CL3278">
            <v>31059.315999999999</v>
          </cell>
          <cell r="CM3278" t="str">
            <v xml:space="preserve">NFT-/XUTR/DEUTH02428846801X </v>
          </cell>
          <cell r="CN3278" t="str">
            <v>2024-10-14</v>
          </cell>
          <cell r="CO3278">
            <v>2348.7919999999999</v>
          </cell>
        </row>
        <row r="3279">
          <cell r="CJ3279" t="str">
            <v xml:space="preserve">NFT-/XUTR/DEUTH02428867200X </v>
          </cell>
          <cell r="CK3279" t="str">
            <v>2024-10-14</v>
          </cell>
          <cell r="CL3279">
            <v>78384.567999999999</v>
          </cell>
          <cell r="CM3279" t="str">
            <v xml:space="preserve">NFT-/XUTR/DEUTH02428846801X </v>
          </cell>
          <cell r="CN3279" t="str">
            <v>2024-10-14</v>
          </cell>
          <cell r="CO3279">
            <v>2911.7240000000002</v>
          </cell>
        </row>
        <row r="3280">
          <cell r="CJ3280" t="str">
            <v xml:space="preserve">NFT-/XUTR/DEUTH02428867200X </v>
          </cell>
          <cell r="CK3280" t="str">
            <v>2024-10-14</v>
          </cell>
          <cell r="CL3280">
            <v>15392.851000000001</v>
          </cell>
          <cell r="CM3280" t="str">
            <v xml:space="preserve">NFT-/XUTR/DEUTH02428846801X </v>
          </cell>
          <cell r="CN3280" t="str">
            <v>2024-10-14</v>
          </cell>
          <cell r="CO3280">
            <v>1166.6279999999999</v>
          </cell>
        </row>
        <row r="3281">
          <cell r="CJ3281" t="str">
            <v xml:space="preserve">NFT-/XUTR/DEUTH02428867200X </v>
          </cell>
          <cell r="CK3281" t="str">
            <v>2024-10-14</v>
          </cell>
          <cell r="CL3281">
            <v>15529.175999999999</v>
          </cell>
          <cell r="CM3281" t="str">
            <v xml:space="preserve">NFT-/XUTR/DEUTH02428846801X </v>
          </cell>
          <cell r="CN3281" t="str">
            <v>2024-10-14</v>
          </cell>
          <cell r="CO3281">
            <v>1175.365</v>
          </cell>
        </row>
        <row r="3282">
          <cell r="CJ3282" t="str">
            <v xml:space="preserve">NFT-/XUTR/DEUTH02428867200X </v>
          </cell>
          <cell r="CK3282" t="str">
            <v>2024-10-14</v>
          </cell>
          <cell r="CL3282">
            <v>38356.656000000003</v>
          </cell>
          <cell r="CM3282" t="str">
            <v xml:space="preserve">NFT-/XUTR/DEUTH02428846801X </v>
          </cell>
          <cell r="CN3282" t="str">
            <v>2024-10-14</v>
          </cell>
          <cell r="CO3282">
            <v>2894.2489999999998</v>
          </cell>
        </row>
        <row r="3283">
          <cell r="CJ3283" t="str">
            <v xml:space="preserve">NFT-/XUTR/DEUTH02428867200X </v>
          </cell>
          <cell r="CK3283" t="str">
            <v>2024-10-14</v>
          </cell>
          <cell r="CL3283">
            <v>78326.327000000005</v>
          </cell>
          <cell r="CM3283" t="str">
            <v xml:space="preserve">NFT-/XUTR/DEUTH02428846801X </v>
          </cell>
          <cell r="CN3283" t="str">
            <v>2024-10-14</v>
          </cell>
          <cell r="CO3283">
            <v>2911.723</v>
          </cell>
        </row>
        <row r="3284">
          <cell r="CJ3284" t="str">
            <v xml:space="preserve">NFT-/XUTR/DEUTH02428867200X </v>
          </cell>
          <cell r="CK3284" t="str">
            <v>2024-10-14</v>
          </cell>
          <cell r="CL3284">
            <v>7766.5159999999996</v>
          </cell>
          <cell r="CM3284" t="str">
            <v xml:space="preserve">NFT-/XUTR/DEUTH02428846801X </v>
          </cell>
          <cell r="CN3284" t="str">
            <v>2024-10-14</v>
          </cell>
          <cell r="CO3284">
            <v>591.08299999999997</v>
          </cell>
        </row>
        <row r="3286">
          <cell r="CJ3286" t="str">
            <v xml:space="preserve">NFT-/XUTR/DEUTH02428867200X </v>
          </cell>
          <cell r="CK3286" t="str">
            <v>2024-10-14</v>
          </cell>
          <cell r="CL3286">
            <v>15510.296</v>
          </cell>
          <cell r="CM3286" t="str">
            <v xml:space="preserve">NFT-/XUTR/DEUTH02428846801X </v>
          </cell>
          <cell r="CN3286" t="str">
            <v>2024-10-14</v>
          </cell>
          <cell r="CO3286">
            <v>1175.365</v>
          </cell>
        </row>
        <row r="3288">
          <cell r="CJ3288" t="str">
            <v xml:space="preserve">NFT-/XUTR/DEUTH02428867200X </v>
          </cell>
          <cell r="CK3288" t="str">
            <v>2024-10-14</v>
          </cell>
          <cell r="CL3288">
            <v>31059.315999999999</v>
          </cell>
          <cell r="CM3288" t="str">
            <v xml:space="preserve">NFT-/XUTR/DEUTH02428846801X </v>
          </cell>
          <cell r="CN3288" t="str">
            <v>2024-10-14</v>
          </cell>
          <cell r="CO3288">
            <v>2348.7919999999999</v>
          </cell>
        </row>
        <row r="3289">
          <cell r="CJ3289" t="str">
            <v xml:space="preserve">NFT-/XUTR/DEUTH02428867200X </v>
          </cell>
          <cell r="CK3289" t="str">
            <v>2024-10-14</v>
          </cell>
          <cell r="CL3289">
            <v>78365.687999999995</v>
          </cell>
          <cell r="CM3289" t="str">
            <v xml:space="preserve">NFT-/XUTR/DEUTH02428846801X </v>
          </cell>
          <cell r="CN3289" t="str">
            <v>2024-10-14</v>
          </cell>
          <cell r="CO3289">
            <v>2911.7240000000002</v>
          </cell>
        </row>
        <row r="3290">
          <cell r="CJ3290" t="str">
            <v xml:space="preserve">NFT-/XUTR/DEUTH02428867200X </v>
          </cell>
          <cell r="CK3290" t="str">
            <v>2024-10-14</v>
          </cell>
          <cell r="CL3290">
            <v>50201.159</v>
          </cell>
          <cell r="CM3290" t="str">
            <v xml:space="preserve">NFT-/XUTR/DEUTH02428846801X </v>
          </cell>
          <cell r="CN3290" t="str">
            <v>2024-10-14</v>
          </cell>
          <cell r="CO3290">
            <v>3055.3719999999998</v>
          </cell>
        </row>
        <row r="3291">
          <cell r="CJ3291" t="str">
            <v xml:space="preserve">NFT-/XUTR/DEUTH02428867200X </v>
          </cell>
          <cell r="CK3291" t="str">
            <v>2024-10-14</v>
          </cell>
          <cell r="CL3291">
            <v>15646.17</v>
          </cell>
          <cell r="CM3291" t="str">
            <v xml:space="preserve">NFT-/XUTR/DEUTH02428846801X </v>
          </cell>
          <cell r="CN3291" t="str">
            <v>2024-10-14</v>
          </cell>
          <cell r="CO3291">
            <v>1039.481</v>
          </cell>
        </row>
        <row r="3292">
          <cell r="CJ3292" t="str">
            <v xml:space="preserve">NFT-/XUTR/DEUTH02428867200X </v>
          </cell>
          <cell r="CK3292" t="str">
            <v>2024-10-14</v>
          </cell>
          <cell r="CL3292">
            <v>10249.245000000001</v>
          </cell>
          <cell r="CM3292" t="str">
            <v xml:space="preserve">NFT-/XUTR/DEUTH02428846801X </v>
          </cell>
          <cell r="CN3292" t="str">
            <v>2024-10-14</v>
          </cell>
          <cell r="CO3292">
            <v>777.43399999999997</v>
          </cell>
        </row>
        <row r="3293">
          <cell r="CJ3293" t="str">
            <v xml:space="preserve">NFT-/XUTR/DEUTH02428867200X </v>
          </cell>
          <cell r="CK3293" t="str">
            <v>2024-10-14</v>
          </cell>
          <cell r="CL3293">
            <v>7780.366</v>
          </cell>
          <cell r="CM3293" t="str">
            <v xml:space="preserve">NFT-/XUTR/DEUTH02428846801X </v>
          </cell>
          <cell r="CN3293" t="str">
            <v>2024-10-14</v>
          </cell>
          <cell r="CO3293">
            <v>567.78200000000004</v>
          </cell>
        </row>
        <row r="3294">
          <cell r="CJ3294" t="str">
            <v xml:space="preserve">NFT-/XUTR/DEUTH02428867200X </v>
          </cell>
          <cell r="CK3294" t="str">
            <v>2024-10-14</v>
          </cell>
          <cell r="CL3294">
            <v>30820.583999999999</v>
          </cell>
          <cell r="CM3294" t="str">
            <v xml:space="preserve">NFT-/XUTR/DEUTH02428846801X </v>
          </cell>
          <cell r="CN3294" t="str">
            <v>2024-10-14</v>
          </cell>
          <cell r="CO3294">
            <v>2323.5540000000001</v>
          </cell>
        </row>
        <row r="3295">
          <cell r="CJ3295" t="str">
            <v xml:space="preserve">NFT-/XUTR/DEUTH02428867200X </v>
          </cell>
          <cell r="CK3295" t="str">
            <v>2024-10-14</v>
          </cell>
          <cell r="CL3295">
            <v>7766.5159999999996</v>
          </cell>
          <cell r="CM3295" t="str">
            <v xml:space="preserve">NFT-/XUTR/DEUTH02428846801X </v>
          </cell>
          <cell r="CN3295" t="str">
            <v>2024-10-14</v>
          </cell>
          <cell r="CO3295">
            <v>591.08299999999997</v>
          </cell>
        </row>
        <row r="3296">
          <cell r="CJ3296" t="str">
            <v xml:space="preserve">NFT-/XUTR/DEUTH02428867200X </v>
          </cell>
          <cell r="CK3296" t="str">
            <v>2024-10-14</v>
          </cell>
          <cell r="CL3296">
            <v>15411.731</v>
          </cell>
          <cell r="CM3296" t="str">
            <v xml:space="preserve">NFT-/XUTR/DEUTH02428846801X </v>
          </cell>
          <cell r="CN3296" t="str">
            <v>2024-10-14</v>
          </cell>
          <cell r="CO3296">
            <v>1166.6279999999999</v>
          </cell>
        </row>
        <row r="3297">
          <cell r="CJ3297" t="str">
            <v xml:space="preserve">NFT-/XUTR/DEUTH02428867200X </v>
          </cell>
          <cell r="CK3297" t="str">
            <v>2024-10-14</v>
          </cell>
          <cell r="CL3297">
            <v>16685.662</v>
          </cell>
        </row>
        <row r="3298">
          <cell r="CJ3298" t="str">
            <v xml:space="preserve">NFT-/XUTR/DEUTH02428867200X </v>
          </cell>
          <cell r="CK3298" t="str">
            <v>2024-10-14</v>
          </cell>
          <cell r="CL3298">
            <v>15989.225</v>
          </cell>
          <cell r="CM3298" t="str">
            <v xml:space="preserve">NFT-/XUTR/DEUTH02428846801X </v>
          </cell>
          <cell r="CN3298" t="str">
            <v>2024-10-14</v>
          </cell>
          <cell r="CO3298">
            <v>589.14499999999998</v>
          </cell>
        </row>
        <row r="3299">
          <cell r="CJ3299" t="str">
            <v xml:space="preserve">NFT-/XUTR/DEUTH02428867200X </v>
          </cell>
          <cell r="CK3299" t="str">
            <v>2024-10-14</v>
          </cell>
          <cell r="CL3299">
            <v>31040.436000000002</v>
          </cell>
          <cell r="CM3299" t="str">
            <v xml:space="preserve">NFT-/XUTR/DEUTH02428846801X </v>
          </cell>
          <cell r="CN3299" t="str">
            <v>2024-10-14</v>
          </cell>
          <cell r="CO3299">
            <v>2350.73</v>
          </cell>
        </row>
        <row r="3300">
          <cell r="CJ3300" t="str">
            <v xml:space="preserve">NFT-/XUTR/DEUTH02428867200X </v>
          </cell>
          <cell r="CK3300" t="str">
            <v>2024-10-14</v>
          </cell>
          <cell r="CL3300">
            <v>10857.33</v>
          </cell>
          <cell r="CM3300" t="str">
            <v xml:space="preserve">NFT-/XUTR/DEUTH02428846801X </v>
          </cell>
          <cell r="CN3300" t="str">
            <v>2024-10-14</v>
          </cell>
          <cell r="CO3300">
            <v>830.81200000000001</v>
          </cell>
        </row>
        <row r="3301">
          <cell r="CJ3301" t="str">
            <v xml:space="preserve">NFT-/XUTR/DEUTH02428867200X </v>
          </cell>
          <cell r="CK3301" t="str">
            <v>2024-10-14</v>
          </cell>
          <cell r="CL3301">
            <v>37906.739000000001</v>
          </cell>
          <cell r="CM3301" t="str">
            <v xml:space="preserve">NFT-/XUTR/DEUTH02428846801X </v>
          </cell>
          <cell r="CN3301" t="str">
            <v>2024-10-14</v>
          </cell>
          <cell r="CO3301">
            <v>3363.0459999999998</v>
          </cell>
        </row>
        <row r="3302">
          <cell r="CJ3302" t="str">
            <v xml:space="preserve">NFT-/XUTR/DEUTH02428867200X </v>
          </cell>
          <cell r="CK3302" t="str">
            <v>2024-10-14</v>
          </cell>
          <cell r="CL3302">
            <v>15447.906999999999</v>
          </cell>
          <cell r="CM3302" t="str">
            <v xml:space="preserve">NFT-/XUTR/DEUTH02428846801X </v>
          </cell>
          <cell r="CN3302" t="str">
            <v>2024-10-14</v>
          </cell>
          <cell r="CO3302">
            <v>1121.0119999999999</v>
          </cell>
        </row>
        <row r="3303">
          <cell r="CJ3303" t="str">
            <v xml:space="preserve">NFT-/XUTR/DEUTH02428867200X </v>
          </cell>
          <cell r="CK3303" t="str">
            <v>2024-10-14</v>
          </cell>
          <cell r="CL3303">
            <v>7747.6360000000004</v>
          </cell>
          <cell r="CM3303" t="str">
            <v xml:space="preserve">NFT-/XUTR/DEUTH02428846801X </v>
          </cell>
          <cell r="CN3303" t="str">
            <v>2024-10-14</v>
          </cell>
          <cell r="CO3303">
            <v>591.08299999999997</v>
          </cell>
        </row>
        <row r="3304">
          <cell r="CJ3304" t="str">
            <v xml:space="preserve">NFT-/XUTR/DEUTH02428867200X </v>
          </cell>
          <cell r="CK3304" t="str">
            <v>2024-10-14</v>
          </cell>
          <cell r="CL3304">
            <v>7763.1379999999999</v>
          </cell>
          <cell r="CM3304" t="str">
            <v xml:space="preserve">NFT-/XUTR/DEUTH02428846801X </v>
          </cell>
          <cell r="CN3304" t="str">
            <v>2024-10-14</v>
          </cell>
          <cell r="CO3304">
            <v>588.16999999999996</v>
          </cell>
        </row>
        <row r="3305">
          <cell r="CJ3305" t="str">
            <v xml:space="preserve">NFT-/XUTR/DEUTH02428867200X </v>
          </cell>
          <cell r="CK3305" t="str">
            <v>2024-10-14</v>
          </cell>
          <cell r="CL3305">
            <v>31040.436000000002</v>
          </cell>
          <cell r="CM3305" t="str">
            <v xml:space="preserve">NFT-/XUTR/DEUTH02428846801X </v>
          </cell>
          <cell r="CN3305" t="str">
            <v>2024-10-14</v>
          </cell>
          <cell r="CO3305">
            <v>2348.7919999999999</v>
          </cell>
        </row>
        <row r="3306">
          <cell r="CJ3306" t="str">
            <v xml:space="preserve">NFT-/XUTR/DEUTH02428867200X </v>
          </cell>
          <cell r="CK3306" t="str">
            <v>2024-10-14</v>
          </cell>
          <cell r="CL3306">
            <v>15510.296</v>
          </cell>
          <cell r="CM3306" t="str">
            <v xml:space="preserve">NFT-/XUTR/DEUTH02428846801X </v>
          </cell>
          <cell r="CN3306" t="str">
            <v>2024-10-14</v>
          </cell>
          <cell r="CO3306">
            <v>1175.365</v>
          </cell>
        </row>
        <row r="3307">
          <cell r="CJ3307" t="str">
            <v xml:space="preserve">NFT-/XUTR/DEUTH02428867200X </v>
          </cell>
          <cell r="CK3307" t="str">
            <v>2024-10-14</v>
          </cell>
          <cell r="CL3307">
            <v>15392.851000000001</v>
          </cell>
          <cell r="CM3307" t="str">
            <v xml:space="preserve">NFT-/XUTR/DEUTH02428846801X </v>
          </cell>
          <cell r="CN3307" t="str">
            <v>2024-10-14</v>
          </cell>
          <cell r="CO3307">
            <v>1166.6279999999999</v>
          </cell>
          <cell r="CP3307" t="str">
            <v xml:space="preserve">NFT-/XUTR/DEUTH02429213780X </v>
          </cell>
          <cell r="CQ3307" t="str">
            <v>2024-10-18</v>
          </cell>
          <cell r="CR3307">
            <v>-15392.851000000001</v>
          </cell>
          <cell r="CS3307" t="str">
            <v xml:space="preserve">NFT-/XUTR/DEUTH02429215994X </v>
          </cell>
          <cell r="CT3307" t="str">
            <v>2024-10-18</v>
          </cell>
          <cell r="CU3307">
            <v>-1166.6279999999999</v>
          </cell>
        </row>
        <row r="3308">
          <cell r="CJ3308" t="str">
            <v xml:space="preserve">NFT-/XUTR/DEUTH02428867200X </v>
          </cell>
          <cell r="CK3308" t="str">
            <v>2024-10-14</v>
          </cell>
          <cell r="CL3308">
            <v>15416.582</v>
          </cell>
          <cell r="CM3308" t="str">
            <v xml:space="preserve">NFT-/XUTR/DEUTH02428846801X </v>
          </cell>
          <cell r="CN3308" t="str">
            <v>2024-10-14</v>
          </cell>
          <cell r="CO3308">
            <v>1161.777</v>
          </cell>
        </row>
        <row r="3311">
          <cell r="CJ3311" t="str">
            <v xml:space="preserve">NFT-/XUTR/DEUTH02428867200X </v>
          </cell>
          <cell r="CK3311" t="str">
            <v>2024-10-14</v>
          </cell>
          <cell r="CL3311">
            <v>7821.1310000000003</v>
          </cell>
          <cell r="CM3311" t="str">
            <v xml:space="preserve">NFT-/XUTR/DEUTH02428846801X </v>
          </cell>
          <cell r="CN3311" t="str">
            <v>2024-10-14</v>
          </cell>
          <cell r="CO3311">
            <v>594.95899999999995</v>
          </cell>
        </row>
        <row r="3312">
          <cell r="CJ3312" t="str">
            <v xml:space="preserve">NFT-/XUTR/DEUTH02428867200X </v>
          </cell>
          <cell r="CK3312" t="str">
            <v>2024-10-14</v>
          </cell>
          <cell r="CL3312">
            <v>78326.327000000005</v>
          </cell>
          <cell r="CM3312" t="str">
            <v xml:space="preserve">NFT-/XUTR/DEUTH02428846801X </v>
          </cell>
          <cell r="CN3312" t="str">
            <v>2024-10-14</v>
          </cell>
          <cell r="CO3312">
            <v>2911.723</v>
          </cell>
        </row>
        <row r="3313">
          <cell r="CJ3313" t="str">
            <v xml:space="preserve">NFT-/XUTR/DEUTH02428867200X </v>
          </cell>
          <cell r="CK3313" t="str">
            <v>2024-10-14</v>
          </cell>
          <cell r="CL3313">
            <v>31059.315999999999</v>
          </cell>
          <cell r="CM3313" t="str">
            <v xml:space="preserve">NFT-/XUTR/DEUTH02428846801X </v>
          </cell>
          <cell r="CN3313" t="str">
            <v>2024-10-14</v>
          </cell>
          <cell r="CO3313">
            <v>2348.7919999999999</v>
          </cell>
        </row>
        <row r="3314">
          <cell r="CJ3314" t="str">
            <v xml:space="preserve">NFT-/XUTR/DEUTH02428867200X </v>
          </cell>
          <cell r="CK3314" t="str">
            <v>2024-10-14</v>
          </cell>
          <cell r="CL3314">
            <v>7836.3959999999997</v>
          </cell>
          <cell r="CM3314" t="str">
            <v xml:space="preserve">NFT-/XUTR/DEUTH02428846801X </v>
          </cell>
          <cell r="CN3314" t="str">
            <v>2024-10-14</v>
          </cell>
          <cell r="CO3314">
            <v>589.14400000000001</v>
          </cell>
        </row>
        <row r="3315">
          <cell r="CJ3315" t="str">
            <v xml:space="preserve">NFT-/XUTR/DEUTH02428867200X </v>
          </cell>
          <cell r="CK3315" t="str">
            <v>2024-10-14</v>
          </cell>
          <cell r="CL3315">
            <v>15529.175999999999</v>
          </cell>
          <cell r="CM3315" t="str">
            <v xml:space="preserve">NFT-/XUTR/DEUTH02428846801X </v>
          </cell>
          <cell r="CN3315" t="str">
            <v>2024-10-14</v>
          </cell>
          <cell r="CO3315">
            <v>1175.365</v>
          </cell>
        </row>
        <row r="3316">
          <cell r="CJ3316" t="str">
            <v xml:space="preserve">NFT-/XUTR/DEUTH02428867200X </v>
          </cell>
          <cell r="CK3316" t="str">
            <v>2024-10-14</v>
          </cell>
          <cell r="CL3316">
            <v>78365.687999999995</v>
          </cell>
          <cell r="CM3316" t="str">
            <v xml:space="preserve">NFT-/XUTR/DEUTH02428846801X </v>
          </cell>
          <cell r="CN3316" t="str">
            <v>2024-10-14</v>
          </cell>
          <cell r="CO3316">
            <v>2911.7240000000002</v>
          </cell>
        </row>
        <row r="3317">
          <cell r="CJ3317" t="str">
            <v xml:space="preserve">NFT-/XUTR/DEUTH02428867200X </v>
          </cell>
          <cell r="CK3317" t="str">
            <v>2024-10-14</v>
          </cell>
          <cell r="CL3317">
            <v>78384.566999999995</v>
          </cell>
          <cell r="CM3317" t="str">
            <v xml:space="preserve">NFT-/XUTR/DEUTH02428846801X </v>
          </cell>
          <cell r="CN3317" t="str">
            <v>2024-10-14</v>
          </cell>
          <cell r="CO3317">
            <v>2911.723</v>
          </cell>
        </row>
        <row r="3318">
          <cell r="CJ3318" t="str">
            <v xml:space="preserve">NFT-/XUTR/DEUTH02428867200X </v>
          </cell>
          <cell r="CK3318" t="str">
            <v>2024-10-14</v>
          </cell>
          <cell r="CL3318">
            <v>15392.851000000001</v>
          </cell>
          <cell r="CM3318" t="str">
            <v xml:space="preserve">NFT-/XUTR/DEUTH02428846801X </v>
          </cell>
          <cell r="CN3318" t="str">
            <v>2024-10-14</v>
          </cell>
          <cell r="CO3318">
            <v>1166.6279999999999</v>
          </cell>
        </row>
        <row r="3319">
          <cell r="CJ3319" t="str">
            <v xml:space="preserve">NFT-/XUTR/DEUTH02428867200X </v>
          </cell>
          <cell r="CK3319" t="str">
            <v>2024-10-14</v>
          </cell>
          <cell r="CL3319">
            <v>63567.334000000003</v>
          </cell>
          <cell r="CM3319" t="str">
            <v xml:space="preserve">NFT-/XUTR/DEUTH02428846801X </v>
          </cell>
          <cell r="CN3319" t="str">
            <v>2024-10-14</v>
          </cell>
          <cell r="CO3319">
            <v>3034.9839999999999</v>
          </cell>
        </row>
        <row r="3321">
          <cell r="CJ3321" t="str">
            <v xml:space="preserve">NFT-/XUTR/DEUTH02428867200X </v>
          </cell>
          <cell r="CK3321" t="str">
            <v>2024-10-14</v>
          </cell>
          <cell r="CL3321">
            <v>78957.733999999997</v>
          </cell>
          <cell r="CM3321" t="str">
            <v xml:space="preserve">NFT-/XUTR/DEUTH02428846801X </v>
          </cell>
          <cell r="CN3321" t="str">
            <v>2024-10-14</v>
          </cell>
          <cell r="CO3321">
            <v>2911.7240000000002</v>
          </cell>
        </row>
        <row r="3322">
          <cell r="CJ3322" t="str">
            <v xml:space="preserve">NFT-/XUTR/DEUTH02428867200X </v>
          </cell>
          <cell r="CK3322" t="str">
            <v>2024-10-14</v>
          </cell>
          <cell r="CL3322">
            <v>15697.058000000001</v>
          </cell>
          <cell r="CM3322" t="str">
            <v xml:space="preserve">NFT-/XUTR/DEUTH02428846801X </v>
          </cell>
          <cell r="CN3322" t="str">
            <v>2024-10-14</v>
          </cell>
          <cell r="CO3322">
            <v>1017.164</v>
          </cell>
        </row>
        <row r="3323">
          <cell r="CJ3323" t="str">
            <v xml:space="preserve">NFT-/XUTR/DEUTH02428867200X </v>
          </cell>
          <cell r="CK3323" t="str">
            <v>2024-10-14</v>
          </cell>
          <cell r="CL3323">
            <v>78411.743000000002</v>
          </cell>
          <cell r="CM3323" t="str">
            <v xml:space="preserve">NFT-/XUTR/DEUTH02428846801X </v>
          </cell>
          <cell r="CN3323" t="str">
            <v>2024-10-14</v>
          </cell>
          <cell r="CO3323">
            <v>3476.5920000000001</v>
          </cell>
        </row>
        <row r="3324">
          <cell r="CJ3324" t="str">
            <v xml:space="preserve">NFT-/XUTR/DEUTH02428867200X </v>
          </cell>
          <cell r="CK3324" t="str">
            <v>2024-10-14</v>
          </cell>
          <cell r="CL3324">
            <v>15519.736000000001</v>
          </cell>
          <cell r="CM3324" t="str">
            <v xml:space="preserve">NFT-/XUTR/DEUTH02428846801X </v>
          </cell>
          <cell r="CN3324" t="str">
            <v>2024-10-14</v>
          </cell>
          <cell r="CO3324">
            <v>1175.365</v>
          </cell>
        </row>
        <row r="3325">
          <cell r="CJ3325" t="str">
            <v xml:space="preserve">NFT-/XUTR/DEUTH02428867200X </v>
          </cell>
          <cell r="CK3325" t="str">
            <v>2024-10-14</v>
          </cell>
          <cell r="CL3325">
            <v>7766.5159999999996</v>
          </cell>
          <cell r="CM3325" t="str">
            <v xml:space="preserve">NFT-/XUTR/DEUTH02428846801X </v>
          </cell>
          <cell r="CN3325" t="str">
            <v>2024-10-14</v>
          </cell>
          <cell r="CO3325">
            <v>591.08299999999997</v>
          </cell>
        </row>
        <row r="3326">
          <cell r="CJ3326" t="str">
            <v xml:space="preserve">NFT-/XUTR/DEUTH02428867200X </v>
          </cell>
          <cell r="CK3326" t="str">
            <v>2024-10-14</v>
          </cell>
          <cell r="CL3326">
            <v>15392.851000000001</v>
          </cell>
          <cell r="CM3326" t="str">
            <v xml:space="preserve">NFT-/XUTR/DEUTH02428846801X </v>
          </cell>
          <cell r="CN3326" t="str">
            <v>2024-10-14</v>
          </cell>
          <cell r="CO3326">
            <v>1166.6279999999999</v>
          </cell>
        </row>
        <row r="3328">
          <cell r="CJ3328" t="str">
            <v xml:space="preserve">NFT-/XUTR/DEUTH02428867200X </v>
          </cell>
          <cell r="CK3328" t="str">
            <v>2024-10-14</v>
          </cell>
          <cell r="CL3328">
            <v>15540.816000000001</v>
          </cell>
          <cell r="CM3328" t="str">
            <v xml:space="preserve">NFT-/XUTR/DEUTH02428846801X </v>
          </cell>
          <cell r="CN3328" t="str">
            <v>2024-10-14</v>
          </cell>
          <cell r="CO3328">
            <v>1163.7159999999999</v>
          </cell>
        </row>
        <row r="3329">
          <cell r="CJ3329" t="str">
            <v xml:space="preserve">NFT-/XUTR/DEUTH02428867200X </v>
          </cell>
          <cell r="CK3329" t="str">
            <v>2024-10-14</v>
          </cell>
          <cell r="CL3329">
            <v>30824.436000000002</v>
          </cell>
          <cell r="CM3329" t="str">
            <v xml:space="preserve">NFT-/XUTR/DEUTH02428846801X </v>
          </cell>
          <cell r="CN3329" t="str">
            <v>2024-10-14</v>
          </cell>
          <cell r="CO3329">
            <v>2331.3180000000002</v>
          </cell>
        </row>
        <row r="3330">
          <cell r="CJ3330" t="str">
            <v xml:space="preserve">NFT-/XUTR/DEUTH02428867200X </v>
          </cell>
          <cell r="CK3330" t="str">
            <v>2024-10-14</v>
          </cell>
          <cell r="CL3330">
            <v>78384.566999999995</v>
          </cell>
          <cell r="CM3330" t="str">
            <v xml:space="preserve">NFT-/XUTR/DEUTH02428846801X </v>
          </cell>
          <cell r="CN3330" t="str">
            <v>2024-10-14</v>
          </cell>
          <cell r="CO3330">
            <v>2911.723</v>
          </cell>
        </row>
        <row r="3331">
          <cell r="CJ3331" t="str">
            <v xml:space="preserve">NFT-/XUTR/DEUTH02428867200X </v>
          </cell>
          <cell r="CK3331" t="str">
            <v>2024-10-14</v>
          </cell>
          <cell r="CL3331">
            <v>15510.296</v>
          </cell>
          <cell r="CM3331" t="str">
            <v xml:space="preserve">NFT-/XUTR/DEUTH02428846801X </v>
          </cell>
          <cell r="CN3331" t="str">
            <v>2024-10-14</v>
          </cell>
          <cell r="CO3331">
            <v>1175.365</v>
          </cell>
        </row>
        <row r="3332">
          <cell r="CJ3332" t="str">
            <v xml:space="preserve">NFT-/XUTR/DEUTH02428867200X </v>
          </cell>
          <cell r="CK3332" t="str">
            <v>2024-10-14</v>
          </cell>
          <cell r="CL3332">
            <v>31040.436000000002</v>
          </cell>
          <cell r="CM3332" t="str">
            <v xml:space="preserve">NFT-/XUTR/DEUTH02428846801X </v>
          </cell>
          <cell r="CN3332" t="str">
            <v>2024-10-14</v>
          </cell>
          <cell r="CO3332">
            <v>2350.73</v>
          </cell>
        </row>
        <row r="3333">
          <cell r="CJ3333" t="str">
            <v xml:space="preserve">NFT-/XUTR/DEUTH02428867200X </v>
          </cell>
          <cell r="CK3333" t="str">
            <v>2024-10-14</v>
          </cell>
          <cell r="CL3333">
            <v>78307.447</v>
          </cell>
          <cell r="CM3333" t="str">
            <v xml:space="preserve">NFT-/XUTR/DEUTH02428846801X </v>
          </cell>
          <cell r="CN3333" t="str">
            <v>2024-10-14</v>
          </cell>
          <cell r="CO3333">
            <v>2911.7240000000002</v>
          </cell>
        </row>
        <row r="3334">
          <cell r="CJ3334" t="str">
            <v xml:space="preserve">NFT-/XUTR/DEUTH02428867200X </v>
          </cell>
          <cell r="CK3334" t="str">
            <v>2024-10-14</v>
          </cell>
          <cell r="CL3334">
            <v>81869.459000000003</v>
          </cell>
        </row>
        <row r="3335">
          <cell r="CJ3335" t="str">
            <v xml:space="preserve">NFT-/XUTR/DEUTH02428867200X </v>
          </cell>
          <cell r="CK3335" t="str">
            <v>2024-10-14</v>
          </cell>
          <cell r="CL3335">
            <v>78976.614000000001</v>
          </cell>
          <cell r="CM3335" t="str">
            <v xml:space="preserve">NFT-/XUTR/DEUTH02428846801X </v>
          </cell>
          <cell r="CN3335" t="str">
            <v>2024-10-14</v>
          </cell>
          <cell r="CO3335">
            <v>2911.7240000000002</v>
          </cell>
        </row>
        <row r="3336">
          <cell r="CJ3336" t="str">
            <v xml:space="preserve">NFT-/XUTR/DEUTH02428867200X </v>
          </cell>
          <cell r="CK3336" t="str">
            <v>2024-10-14</v>
          </cell>
          <cell r="CL3336">
            <v>7829.5969999999998</v>
          </cell>
          <cell r="CM3336" t="str">
            <v xml:space="preserve">NFT-/XUTR/DEUTH02428846801X </v>
          </cell>
          <cell r="CN3336" t="str">
            <v>2024-10-14</v>
          </cell>
          <cell r="CO3336">
            <v>595.93399999999997</v>
          </cell>
        </row>
        <row r="3337">
          <cell r="CJ3337" t="str">
            <v xml:space="preserve">NFT-/XUTR/DEUTH02428867200X </v>
          </cell>
          <cell r="CK3337" t="str">
            <v>2024-10-14</v>
          </cell>
          <cell r="CL3337">
            <v>1331.1669999999999</v>
          </cell>
        </row>
        <row r="3338">
          <cell r="CJ3338" t="str">
            <v xml:space="preserve">NFT-/XUTR/DEUTH02428867200X </v>
          </cell>
          <cell r="CK3338" t="str">
            <v>2024-10-14</v>
          </cell>
          <cell r="CL3338">
            <v>7829.5969999999998</v>
          </cell>
          <cell r="CM3338" t="str">
            <v xml:space="preserve">NFT-/XUTR/DEUTH02428846801X </v>
          </cell>
          <cell r="CN3338" t="str">
            <v>2024-10-14</v>
          </cell>
          <cell r="CO3338">
            <v>595.93299999999999</v>
          </cell>
        </row>
        <row r="3339">
          <cell r="CJ3339" t="str">
            <v xml:space="preserve">NFT-/XUTR/DEUTH02428867200X </v>
          </cell>
          <cell r="CK3339" t="str">
            <v>2024-10-14</v>
          </cell>
          <cell r="CL3339">
            <v>15510.296</v>
          </cell>
          <cell r="CM3339" t="str">
            <v xml:space="preserve">NFT-/XUTR/DEUTH02428846801X </v>
          </cell>
          <cell r="CN3339" t="str">
            <v>2024-10-14</v>
          </cell>
          <cell r="CO3339">
            <v>1175.365</v>
          </cell>
        </row>
        <row r="3340">
          <cell r="CJ3340" t="str">
            <v xml:space="preserve">NFT-/XUTR/DEUTH02428867200X </v>
          </cell>
          <cell r="CK3340" t="str">
            <v>2024-10-14</v>
          </cell>
          <cell r="CL3340">
            <v>15529.175999999999</v>
          </cell>
          <cell r="CM3340" t="str">
            <v xml:space="preserve">NFT-/XUTR/DEUTH02428846801X </v>
          </cell>
          <cell r="CN3340" t="str">
            <v>2024-10-14</v>
          </cell>
          <cell r="CO3340">
            <v>1175.365</v>
          </cell>
        </row>
        <row r="3341">
          <cell r="CJ3341" t="str">
            <v xml:space="preserve">NFT-/XUTR/DEUTH02428867200X </v>
          </cell>
          <cell r="CK3341" t="str">
            <v>2024-10-14</v>
          </cell>
          <cell r="CL3341">
            <v>15529.175999999999</v>
          </cell>
          <cell r="CM3341" t="str">
            <v xml:space="preserve">NFT-/XUTR/DEUTH02428846801X </v>
          </cell>
          <cell r="CN3341" t="str">
            <v>2024-10-14</v>
          </cell>
          <cell r="CO3341">
            <v>1175.365</v>
          </cell>
          <cell r="CP3341" t="str">
            <v xml:space="preserve">NFT-/XUTR/DEUTH02429509164X </v>
          </cell>
          <cell r="CQ3341" t="str">
            <v>2024-10-21</v>
          </cell>
          <cell r="CR3341">
            <v>-15529.175999999999</v>
          </cell>
          <cell r="CS3341" t="str">
            <v xml:space="preserve">NFT-/XUTR/DEUTH02429530992X </v>
          </cell>
          <cell r="CT3341" t="str">
            <v>2024-10-21</v>
          </cell>
          <cell r="CU3341">
            <v>-1175.365</v>
          </cell>
        </row>
        <row r="3342">
          <cell r="CJ3342" t="str">
            <v xml:space="preserve">NFT-/XUTR/DEUTH02428867200X </v>
          </cell>
          <cell r="CK3342" t="str">
            <v>2024-10-14</v>
          </cell>
          <cell r="CL3342">
            <v>7415.6980000000003</v>
          </cell>
          <cell r="CM3342" t="str">
            <v xml:space="preserve">NFT-/XUTR/DEUTH02428846801X </v>
          </cell>
          <cell r="CN3342" t="str">
            <v>2024-10-14</v>
          </cell>
          <cell r="CO3342">
            <v>990.95299999999997</v>
          </cell>
        </row>
        <row r="3343">
          <cell r="CJ3343" t="str">
            <v xml:space="preserve">NFT-/XUTR/DEUTH02428867200X </v>
          </cell>
          <cell r="CK3343" t="str">
            <v>2024-10-14</v>
          </cell>
          <cell r="CL3343">
            <v>50096.114999999998</v>
          </cell>
          <cell r="CM3343" t="str">
            <v xml:space="preserve">NFT-/XUTR/DEUTH02428846801X </v>
          </cell>
          <cell r="CN3343" t="str">
            <v>2024-10-14</v>
          </cell>
          <cell r="CO3343">
            <v>3202.8969999999999</v>
          </cell>
        </row>
        <row r="3344">
          <cell r="CJ3344" t="str">
            <v xml:space="preserve">NFT-/XUTR/DEUTH02428867200X </v>
          </cell>
          <cell r="CK3344" t="str">
            <v>2024-10-14</v>
          </cell>
          <cell r="CL3344">
            <v>78976.614000000001</v>
          </cell>
          <cell r="CM3344" t="str">
            <v xml:space="preserve">NFT-/XUTR/DEUTH02428846801X </v>
          </cell>
          <cell r="CN3344" t="str">
            <v>2024-10-14</v>
          </cell>
          <cell r="CO3344">
            <v>2911.723</v>
          </cell>
        </row>
        <row r="3345">
          <cell r="CJ3345" t="str">
            <v xml:space="preserve">NFT-/XUTR/DEUTH02428867200X </v>
          </cell>
          <cell r="CK3345" t="str">
            <v>2024-10-14</v>
          </cell>
          <cell r="CL3345">
            <v>15529.175999999999</v>
          </cell>
          <cell r="CM3345" t="str">
            <v xml:space="preserve">NFT-/XUTR/DEUTH02428846801X </v>
          </cell>
          <cell r="CN3345" t="str">
            <v>2024-10-14</v>
          </cell>
          <cell r="CO3345">
            <v>1175.365</v>
          </cell>
        </row>
        <row r="3346">
          <cell r="CJ3346" t="str">
            <v xml:space="preserve">NFT-/XUTR/DEUTH02428867200X </v>
          </cell>
          <cell r="CK3346" t="str">
            <v>2024-10-14</v>
          </cell>
          <cell r="CL3346">
            <v>31059.315999999999</v>
          </cell>
          <cell r="CM3346" t="str">
            <v xml:space="preserve">NFT-/XUTR/DEUTH02428846801X </v>
          </cell>
          <cell r="CN3346" t="str">
            <v>2024-10-14</v>
          </cell>
          <cell r="CO3346">
            <v>2350.732</v>
          </cell>
        </row>
        <row r="3347">
          <cell r="CJ3347" t="str">
            <v xml:space="preserve">NFT-/XUTR/DEUTH02428867200X </v>
          </cell>
          <cell r="CK3347" t="str">
            <v>2024-10-14</v>
          </cell>
          <cell r="CL3347">
            <v>16685.662</v>
          </cell>
        </row>
        <row r="3348">
          <cell r="CJ3348" t="str">
            <v xml:space="preserve">NFT-/XUTR/DEUTH02428867200X </v>
          </cell>
          <cell r="CK3348" t="str">
            <v>2024-10-14</v>
          </cell>
          <cell r="CL3348">
            <v>7810.7169999999996</v>
          </cell>
          <cell r="CM3348" t="str">
            <v xml:space="preserve">NFT-/XUTR/DEUTH02428846801X </v>
          </cell>
          <cell r="CN3348" t="str">
            <v>2024-10-14</v>
          </cell>
          <cell r="CO3348">
            <v>595.93299999999999</v>
          </cell>
        </row>
        <row r="3349">
          <cell r="CJ3349" t="str">
            <v xml:space="preserve">NFT-/XUTR/DEUTH02428867200X </v>
          </cell>
          <cell r="CK3349" t="str">
            <v>2024-10-14</v>
          </cell>
          <cell r="CL3349">
            <v>76987.468999999997</v>
          </cell>
          <cell r="CM3349" t="str">
            <v xml:space="preserve">NFT-/XUTR/DEUTH02428846801X </v>
          </cell>
          <cell r="CN3349" t="str">
            <v>2024-10-14</v>
          </cell>
          <cell r="CO3349">
            <v>4852.8739999999998</v>
          </cell>
        </row>
        <row r="3350">
          <cell r="CJ3350" t="str">
            <v xml:space="preserve">NFT-/XUTR/DEUTH02428867200X </v>
          </cell>
          <cell r="CK3350" t="str">
            <v>2024-10-14</v>
          </cell>
          <cell r="CL3350">
            <v>15529.174999999999</v>
          </cell>
          <cell r="CM3350" t="str">
            <v xml:space="preserve">NFT-/XUTR/DEUTH02428846801X </v>
          </cell>
          <cell r="CN3350" t="str">
            <v>2024-10-14</v>
          </cell>
          <cell r="CO3350">
            <v>1175.366</v>
          </cell>
        </row>
        <row r="3351">
          <cell r="CJ3351" t="str">
            <v xml:space="preserve">NFT-/XUTR/DEUTH02428867200X </v>
          </cell>
          <cell r="CK3351" t="str">
            <v>2024-10-14</v>
          </cell>
          <cell r="CL3351">
            <v>10654.95</v>
          </cell>
          <cell r="CM3351" t="str">
            <v xml:space="preserve">NFT-/XUTR/DEUTH02428846801X </v>
          </cell>
          <cell r="CN3351" t="str">
            <v>2024-10-14</v>
          </cell>
          <cell r="CO3351">
            <v>808.48699999999997</v>
          </cell>
        </row>
        <row r="3352">
          <cell r="CJ3352" t="str">
            <v xml:space="preserve">NFT-/XUTR/DEUTH02428867200X </v>
          </cell>
          <cell r="CK3352" t="str">
            <v>2024-10-14</v>
          </cell>
          <cell r="CL3352">
            <v>15529.175999999999</v>
          </cell>
          <cell r="CM3352" t="str">
            <v xml:space="preserve">NFT-/XUTR/DEUTH02428846801X </v>
          </cell>
          <cell r="CN3352" t="str">
            <v>2024-10-14</v>
          </cell>
          <cell r="CO3352">
            <v>1175.365</v>
          </cell>
        </row>
        <row r="3353">
          <cell r="CJ3353" t="str">
            <v xml:space="preserve">NFT-/XUTR/DEUTH02428867200X </v>
          </cell>
          <cell r="CK3353" t="str">
            <v>2024-10-14</v>
          </cell>
          <cell r="CL3353">
            <v>10455.534</v>
          </cell>
          <cell r="CM3353" t="str">
            <v xml:space="preserve">NFT-/XUTR/DEUTH02428846801X </v>
          </cell>
          <cell r="CN3353" t="str">
            <v>2024-10-14</v>
          </cell>
          <cell r="CO3353">
            <v>989.01400000000001</v>
          </cell>
        </row>
        <row r="3354">
          <cell r="CJ3354" t="str">
            <v xml:space="preserve">NFT-/XUTR/DEUTH02428867200X </v>
          </cell>
          <cell r="CK3354" t="str">
            <v>2024-10-14</v>
          </cell>
          <cell r="CL3354">
            <v>8406.6509999999998</v>
          </cell>
        </row>
        <row r="3355">
          <cell r="CJ3355" t="str">
            <v xml:space="preserve">NFT-/XUTR/DEUTH02428867200X </v>
          </cell>
          <cell r="CK3355" t="str">
            <v>2024-10-14</v>
          </cell>
          <cell r="CL3355">
            <v>78455.945000000007</v>
          </cell>
          <cell r="CM3355" t="str">
            <v xml:space="preserve">NFT-/XUTR/DEUTH02428846801X </v>
          </cell>
          <cell r="CN3355" t="str">
            <v>2024-10-14</v>
          </cell>
          <cell r="CO3355">
            <v>3413.5120000000002</v>
          </cell>
        </row>
        <row r="3356">
          <cell r="CJ3356" t="str">
            <v xml:space="preserve">NFT-/XUTR/DEUTH02428867200X </v>
          </cell>
          <cell r="CK3356" t="str">
            <v>2024-10-14</v>
          </cell>
          <cell r="CL3356">
            <v>76987.468999999997</v>
          </cell>
          <cell r="CM3356" t="str">
            <v xml:space="preserve">NFT-/XUTR/DEUTH02428846801X </v>
          </cell>
          <cell r="CN3356" t="str">
            <v>2024-10-14</v>
          </cell>
          <cell r="CO3356">
            <v>4852.8739999999998</v>
          </cell>
        </row>
        <row r="3357">
          <cell r="CJ3357" t="str">
            <v xml:space="preserve">NFT-/XUTR/DEUTH02428867200X </v>
          </cell>
          <cell r="CK3357" t="str">
            <v>2024-10-14</v>
          </cell>
          <cell r="CL3357">
            <v>76987.468999999997</v>
          </cell>
          <cell r="CM3357" t="str">
            <v xml:space="preserve">NFT-/XUTR/DEUTH02428846801X </v>
          </cell>
          <cell r="CN3357" t="str">
            <v>2024-10-14</v>
          </cell>
          <cell r="CO3357">
            <v>4852.8739999999998</v>
          </cell>
        </row>
        <row r="3358">
          <cell r="CJ3358" t="str">
            <v xml:space="preserve">NFT-/XUTR/DEUTH02428867200X </v>
          </cell>
          <cell r="CK3358" t="str">
            <v>2024-10-14</v>
          </cell>
          <cell r="CL3358">
            <v>61934.29</v>
          </cell>
          <cell r="CM3358" t="str">
            <v xml:space="preserve">NFT-/XUTR/DEUTH02428846801X </v>
          </cell>
          <cell r="CN3358" t="str">
            <v>2024-10-14</v>
          </cell>
          <cell r="CO3358">
            <v>4667.4970000000003</v>
          </cell>
        </row>
        <row r="3359">
          <cell r="CJ3359" t="str">
            <v xml:space="preserve">NFT-/XUTR/DEUTH02428867200X </v>
          </cell>
          <cell r="CK3359" t="str">
            <v>2024-10-14</v>
          </cell>
          <cell r="CL3359">
            <v>15529.175999999999</v>
          </cell>
          <cell r="CM3359" t="str">
            <v xml:space="preserve">NFT-/XUTR/DEUTH02428846801X </v>
          </cell>
          <cell r="CN3359" t="str">
            <v>2024-10-14</v>
          </cell>
          <cell r="CO3359">
            <v>1175.365</v>
          </cell>
        </row>
        <row r="3361">
          <cell r="CJ3361" t="str">
            <v xml:space="preserve">NFT-/XUTR/DEUTH02428867200X </v>
          </cell>
          <cell r="CK3361" t="str">
            <v>2024-10-14</v>
          </cell>
          <cell r="CL3361">
            <v>31040.436000000002</v>
          </cell>
          <cell r="CM3361" t="str">
            <v xml:space="preserve">NFT-/XUTR/DEUTH02428846801X </v>
          </cell>
          <cell r="CN3361" t="str">
            <v>2024-10-14</v>
          </cell>
          <cell r="CO3361">
            <v>2348.7919999999999</v>
          </cell>
        </row>
        <row r="3362">
          <cell r="CJ3362" t="str">
            <v xml:space="preserve">NFT-/XUTR/DEUTH02428867200X </v>
          </cell>
          <cell r="CK3362" t="str">
            <v>2024-10-14</v>
          </cell>
          <cell r="CL3362">
            <v>15529.175999999999</v>
          </cell>
          <cell r="CM3362" t="str">
            <v xml:space="preserve">NFT-/XUTR/DEUTH02428846801X </v>
          </cell>
          <cell r="CN3362" t="str">
            <v>2024-10-14</v>
          </cell>
          <cell r="CO3362">
            <v>1175.365</v>
          </cell>
        </row>
        <row r="3363">
          <cell r="CJ3363" t="str">
            <v xml:space="preserve">NFT-/XUTR/DEUTH02428867200X </v>
          </cell>
          <cell r="CK3363" t="str">
            <v>2024-10-14</v>
          </cell>
          <cell r="CL3363">
            <v>79025.142000000007</v>
          </cell>
          <cell r="CM3363" t="str">
            <v xml:space="preserve">NFT-/XUTR/DEUTH02428846801X </v>
          </cell>
          <cell r="CN3363" t="str">
            <v>2024-10-14</v>
          </cell>
          <cell r="CO3363">
            <v>2911.723</v>
          </cell>
        </row>
        <row r="3364">
          <cell r="CJ3364" t="str">
            <v xml:space="preserve">NFT-/XUTR/DEUTH02428867200X </v>
          </cell>
          <cell r="CK3364" t="str">
            <v>2024-10-14</v>
          </cell>
          <cell r="CL3364">
            <v>76987.468999999997</v>
          </cell>
          <cell r="CM3364" t="str">
            <v xml:space="preserve">NFT-/XUTR/DEUTH02428846801X </v>
          </cell>
          <cell r="CN3364" t="str">
            <v>2024-10-14</v>
          </cell>
          <cell r="CO3364">
            <v>4852.8739999999998</v>
          </cell>
        </row>
        <row r="3365">
          <cell r="CJ3365" t="str">
            <v xml:space="preserve">NFT-/XUTR/DEUTH02428867200X </v>
          </cell>
          <cell r="CK3365" t="str">
            <v>2024-10-14</v>
          </cell>
          <cell r="CL3365">
            <v>77006.349000000002</v>
          </cell>
          <cell r="CM3365" t="str">
            <v xml:space="preserve">NFT-/XUTR/DEUTH02428846801X </v>
          </cell>
          <cell r="CN3365" t="str">
            <v>2024-10-14</v>
          </cell>
          <cell r="CO3365">
            <v>4852.8739999999998</v>
          </cell>
        </row>
        <row r="3366">
          <cell r="CJ3366" t="str">
            <v xml:space="preserve">NFT-/XUTR/DEUTH02428867200X </v>
          </cell>
          <cell r="CK3366" t="str">
            <v>2024-10-14</v>
          </cell>
          <cell r="CL3366">
            <v>76987.468999999997</v>
          </cell>
          <cell r="CM3366" t="str">
            <v xml:space="preserve">NFT-/XUTR/DEUTH02428846801X </v>
          </cell>
          <cell r="CN3366" t="str">
            <v>2024-10-14</v>
          </cell>
          <cell r="CO3366">
            <v>4852.8739999999998</v>
          </cell>
        </row>
        <row r="3367">
          <cell r="CJ3367" t="str">
            <v xml:space="preserve">NFT-/XUTR/DEUTH02428867200X </v>
          </cell>
          <cell r="CK3367" t="str">
            <v>2024-10-14</v>
          </cell>
          <cell r="CL3367">
            <v>15510.296</v>
          </cell>
          <cell r="CM3367" t="str">
            <v xml:space="preserve">NFT-/XUTR/DEUTH02428846801X </v>
          </cell>
          <cell r="CN3367" t="str">
            <v>2024-10-14</v>
          </cell>
          <cell r="CO3367">
            <v>1175.365</v>
          </cell>
        </row>
        <row r="3368">
          <cell r="CJ3368" t="str">
            <v xml:space="preserve">NFT-/XUTR/DEUTH02428867200X </v>
          </cell>
          <cell r="CK3368" t="str">
            <v>2024-10-14</v>
          </cell>
          <cell r="CL3368">
            <v>76556.001999999993</v>
          </cell>
          <cell r="CM3368" t="str">
            <v xml:space="preserve">NFT-/XUTR/DEUTH02428846801X </v>
          </cell>
          <cell r="CN3368" t="str">
            <v>2024-10-14</v>
          </cell>
          <cell r="CO3368">
            <v>5303.2219999999998</v>
          </cell>
        </row>
        <row r="3369">
          <cell r="CJ3369" t="str">
            <v xml:space="preserve">NFT-/XUTR/DEUTH02428867200X </v>
          </cell>
          <cell r="CK3369" t="str">
            <v>2024-10-14</v>
          </cell>
          <cell r="CL3369">
            <v>79025.142000000007</v>
          </cell>
          <cell r="CM3369" t="str">
            <v xml:space="preserve">NFT-/XUTR/DEUTH02428846801X </v>
          </cell>
          <cell r="CN3369" t="str">
            <v>2024-10-14</v>
          </cell>
          <cell r="CO3369">
            <v>2911.723</v>
          </cell>
        </row>
        <row r="3370">
          <cell r="CJ3370" t="str">
            <v xml:space="preserve">NFT-/XUTR/DEUTH02428867200X </v>
          </cell>
          <cell r="CK3370" t="str">
            <v>2024-10-14</v>
          </cell>
          <cell r="CL3370">
            <v>78152.159</v>
          </cell>
          <cell r="CM3370" t="str">
            <v xml:space="preserve">NFT-/XUTR/DEUTH02428846801X </v>
          </cell>
          <cell r="CN3370" t="str">
            <v>2024-10-14</v>
          </cell>
          <cell r="CO3370">
            <v>4852.8739999999998</v>
          </cell>
        </row>
        <row r="3371">
          <cell r="CJ3371" t="str">
            <v xml:space="preserve">NFT-/XUTR/DEUTH02428867200X </v>
          </cell>
          <cell r="CK3371" t="str">
            <v>2024-10-14</v>
          </cell>
          <cell r="CL3371">
            <v>10099.342000000001</v>
          </cell>
          <cell r="CM3371" t="str">
            <v xml:space="preserve">NFT-/XUTR/DEUTH02428846801X </v>
          </cell>
          <cell r="CN3371" t="str">
            <v>2024-10-14</v>
          </cell>
          <cell r="CO3371">
            <v>1345.2159999999999</v>
          </cell>
        </row>
        <row r="3372">
          <cell r="CJ3372" t="str">
            <v xml:space="preserve">NFT-/XUTR/DEUTH02428867200X </v>
          </cell>
          <cell r="CK3372" t="str">
            <v>2024-10-14</v>
          </cell>
          <cell r="CL3372">
            <v>76987.468999999997</v>
          </cell>
          <cell r="CM3372" t="str">
            <v xml:space="preserve">NFT-/XUTR/DEUTH02428846801X </v>
          </cell>
          <cell r="CN3372" t="str">
            <v>2024-10-14</v>
          </cell>
          <cell r="CO3372">
            <v>4852.8739999999998</v>
          </cell>
        </row>
        <row r="3373">
          <cell r="CJ3373" t="str">
            <v xml:space="preserve">NFT-/XUTR/DEUTH02428867200X </v>
          </cell>
          <cell r="CK3373" t="str">
            <v>2024-10-14</v>
          </cell>
          <cell r="CL3373">
            <v>78957.733999999997</v>
          </cell>
          <cell r="CM3373" t="str">
            <v xml:space="preserve">NFT-/XUTR/DEUTH02428846801X </v>
          </cell>
          <cell r="CN3373" t="str">
            <v>2024-10-14</v>
          </cell>
          <cell r="CO3373">
            <v>2911.7240000000002</v>
          </cell>
        </row>
        <row r="3374">
          <cell r="CJ3374" t="str">
            <v xml:space="preserve">NFT-/XUTR/DEUTH02428867200X </v>
          </cell>
          <cell r="CK3374" t="str">
            <v>2024-10-14</v>
          </cell>
          <cell r="CL3374">
            <v>31040.436000000002</v>
          </cell>
          <cell r="CM3374" t="str">
            <v xml:space="preserve">NFT-/XUTR/DEUTH02428846801X </v>
          </cell>
          <cell r="CN3374" t="str">
            <v>2024-10-14</v>
          </cell>
          <cell r="CO3374">
            <v>2348.7919999999999</v>
          </cell>
        </row>
        <row r="3375">
          <cell r="CJ3375" t="str">
            <v xml:space="preserve">NFT-/XUTR/DEUTH02428867200X </v>
          </cell>
          <cell r="CK3375" t="str">
            <v>2024-10-14</v>
          </cell>
          <cell r="CL3375">
            <v>15529.175999999999</v>
          </cell>
          <cell r="CM3375" t="str">
            <v xml:space="preserve">NFT-/XUTR/DEUTH02428846801X </v>
          </cell>
          <cell r="CN3375" t="str">
            <v>2024-10-14</v>
          </cell>
          <cell r="CO3375">
            <v>1175.365</v>
          </cell>
        </row>
        <row r="3376">
          <cell r="CJ3376" t="str">
            <v xml:space="preserve">NFT-/XUTR/DEUTH02428867200X </v>
          </cell>
          <cell r="CK3376" t="str">
            <v>2024-10-14</v>
          </cell>
          <cell r="CL3376">
            <v>76987.468999999997</v>
          </cell>
          <cell r="CM3376" t="str">
            <v xml:space="preserve">NFT-/XUTR/DEUTH02428846801X </v>
          </cell>
          <cell r="CN3376" t="str">
            <v>2024-10-14</v>
          </cell>
          <cell r="CO3376">
            <v>4852.8739999999998</v>
          </cell>
        </row>
        <row r="3377">
          <cell r="CJ3377" t="str">
            <v xml:space="preserve">NFT-/XUTR/DEUTH02428867200X </v>
          </cell>
          <cell r="CK3377" t="str">
            <v>2024-10-14</v>
          </cell>
          <cell r="CL3377">
            <v>7795.6310000000003</v>
          </cell>
          <cell r="CM3377" t="str">
            <v xml:space="preserve">NFT-/XUTR/DEUTH02428846801X </v>
          </cell>
          <cell r="CN3377" t="str">
            <v>2024-10-14</v>
          </cell>
          <cell r="CO3377">
            <v>629.9</v>
          </cell>
        </row>
        <row r="3378">
          <cell r="CJ3378" t="str">
            <v xml:space="preserve">NFT-/XUTR/DEUTH02428867200X </v>
          </cell>
          <cell r="CK3378" t="str">
            <v>2024-10-14</v>
          </cell>
          <cell r="CL3378">
            <v>10876.212</v>
          </cell>
          <cell r="CM3378" t="str">
            <v xml:space="preserve">NFT-/XUTR/DEUTH02428846801X </v>
          </cell>
          <cell r="CN3378" t="str">
            <v>2024-10-14</v>
          </cell>
          <cell r="CO3378">
            <v>830.81200000000001</v>
          </cell>
        </row>
        <row r="3379">
          <cell r="CJ3379" t="str">
            <v xml:space="preserve">NFT-/XUTR/DEUTH02428867200X </v>
          </cell>
          <cell r="CK3379" t="str">
            <v>2024-10-14</v>
          </cell>
          <cell r="CL3379">
            <v>76987.468999999997</v>
          </cell>
          <cell r="CM3379" t="str">
            <v xml:space="preserve">NFT-/XUTR/DEUTH02428846801X </v>
          </cell>
          <cell r="CN3379" t="str">
            <v>2024-10-14</v>
          </cell>
          <cell r="CO3379">
            <v>4852.8739999999998</v>
          </cell>
        </row>
        <row r="3380">
          <cell r="CJ3380" t="str">
            <v xml:space="preserve">NFT-/XUTR/DEUTH02428867200X </v>
          </cell>
          <cell r="CK3380" t="str">
            <v>2024-10-14</v>
          </cell>
          <cell r="CL3380">
            <v>76987.468999999997</v>
          </cell>
          <cell r="CM3380" t="str">
            <v xml:space="preserve">NFT-/XUTR/DEUTH02428846801X </v>
          </cell>
          <cell r="CN3380" t="str">
            <v>2024-10-14</v>
          </cell>
          <cell r="CO3380">
            <v>4852.8739999999998</v>
          </cell>
        </row>
        <row r="3381">
          <cell r="CJ3381" t="str">
            <v xml:space="preserve">NFT-/XUTR/DEUTH02428867200X </v>
          </cell>
          <cell r="CK3381" t="str">
            <v>2024-10-14</v>
          </cell>
          <cell r="CL3381">
            <v>76987.468999999997</v>
          </cell>
          <cell r="CM3381" t="str">
            <v xml:space="preserve">NFT-/XUTR/DEUTH02428846801X </v>
          </cell>
          <cell r="CN3381" t="str">
            <v>2024-10-14</v>
          </cell>
          <cell r="CO3381">
            <v>4852.8739999999998</v>
          </cell>
        </row>
        <row r="3382">
          <cell r="CJ3382" t="str">
            <v xml:space="preserve">NFT-/XUTR/DEUTH02428867200X </v>
          </cell>
          <cell r="CK3382" t="str">
            <v>2024-10-14</v>
          </cell>
          <cell r="CL3382">
            <v>76938.941000000006</v>
          </cell>
          <cell r="CM3382" t="str">
            <v xml:space="preserve">NFT-/XUTR/DEUTH02428846801X </v>
          </cell>
          <cell r="CN3382" t="str">
            <v>2024-10-14</v>
          </cell>
          <cell r="CO3382">
            <v>4949.9319999999998</v>
          </cell>
        </row>
        <row r="3383">
          <cell r="CJ3383" t="str">
            <v xml:space="preserve">NFT-/XUTR/DEUTH02428867200X </v>
          </cell>
          <cell r="CK3383" t="str">
            <v>2024-10-14</v>
          </cell>
          <cell r="CL3383">
            <v>38644.915999999997</v>
          </cell>
          <cell r="CM3383" t="str">
            <v xml:space="preserve">NFT-/XUTR/DEUTH02428846801X </v>
          </cell>
          <cell r="CN3383" t="str">
            <v>2024-10-14</v>
          </cell>
          <cell r="CO3383">
            <v>2916.576</v>
          </cell>
        </row>
        <row r="3384">
          <cell r="CJ3384" t="str">
            <v xml:space="preserve">NFT-/XUTR/DEUTH02428867200X </v>
          </cell>
          <cell r="CK3384" t="str">
            <v>2024-10-14</v>
          </cell>
          <cell r="CL3384">
            <v>38644.915999999997</v>
          </cell>
          <cell r="CM3384" t="str">
            <v xml:space="preserve">NFT-/XUTR/DEUTH02428846801X </v>
          </cell>
          <cell r="CN3384" t="str">
            <v>2024-10-14</v>
          </cell>
          <cell r="CO3384">
            <v>2916.576</v>
          </cell>
        </row>
        <row r="3385">
          <cell r="CJ3385" t="str">
            <v xml:space="preserve">NFT-/XUTR/DEUTH02428867200X </v>
          </cell>
          <cell r="CK3385" t="str">
            <v>2024-10-14</v>
          </cell>
          <cell r="CL3385">
            <v>76987.468999999997</v>
          </cell>
          <cell r="CM3385" t="str">
            <v xml:space="preserve">NFT-/XUTR/DEUTH02428846801X </v>
          </cell>
          <cell r="CN3385" t="str">
            <v>2024-10-14</v>
          </cell>
          <cell r="CO3385">
            <v>4852.8739999999998</v>
          </cell>
        </row>
        <row r="3386">
          <cell r="CJ3386" t="str">
            <v xml:space="preserve">NFT-/XUTR/DEUTH02428867200X </v>
          </cell>
          <cell r="CK3386" t="str">
            <v>2024-10-14</v>
          </cell>
          <cell r="CL3386">
            <v>15529.175999999999</v>
          </cell>
          <cell r="CM3386" t="str">
            <v xml:space="preserve">NFT-/XUTR/DEUTH02428846801X </v>
          </cell>
          <cell r="CN3386" t="str">
            <v>2024-10-14</v>
          </cell>
          <cell r="CO3386">
            <v>1175.365</v>
          </cell>
        </row>
        <row r="3387">
          <cell r="CJ3387" t="str">
            <v xml:space="preserve">NFT-/XUTR/DEUTH02428867200X </v>
          </cell>
          <cell r="CK3387" t="str">
            <v>2024-10-14</v>
          </cell>
          <cell r="CL3387">
            <v>15529.175999999999</v>
          </cell>
          <cell r="CM3387" t="str">
            <v xml:space="preserve">NFT-/XUTR/DEUTH02428846801X </v>
          </cell>
          <cell r="CN3387" t="str">
            <v>2024-10-14</v>
          </cell>
          <cell r="CO3387">
            <v>1175.365</v>
          </cell>
        </row>
        <row r="3388">
          <cell r="CJ3388" t="str">
            <v xml:space="preserve">NFT-/XUTR/DEUTH02428867200X </v>
          </cell>
          <cell r="CK3388" t="str">
            <v>2024-10-14</v>
          </cell>
          <cell r="CL3388">
            <v>78957.733999999997</v>
          </cell>
          <cell r="CM3388" t="str">
            <v xml:space="preserve">NFT-/XUTR/DEUTH02428846801X </v>
          </cell>
          <cell r="CN3388" t="str">
            <v>2024-10-14</v>
          </cell>
          <cell r="CO3388">
            <v>2911.7240000000002</v>
          </cell>
        </row>
        <row r="3389">
          <cell r="CJ3389" t="str">
            <v xml:space="preserve">NFT-/XUTR/DEUTH02428867200X </v>
          </cell>
          <cell r="CK3389" t="str">
            <v>2024-10-14</v>
          </cell>
          <cell r="CL3389">
            <v>7829.5969999999998</v>
          </cell>
          <cell r="CM3389" t="str">
            <v xml:space="preserve">NFT-/XUTR/DEUTH02428846801X </v>
          </cell>
          <cell r="CN3389" t="str">
            <v>2024-10-14</v>
          </cell>
          <cell r="CO3389">
            <v>595.93299999999999</v>
          </cell>
        </row>
        <row r="3390">
          <cell r="CJ3390" t="str">
            <v xml:space="preserve">NFT-/XUTR/DEUTH02428867200X </v>
          </cell>
          <cell r="CK3390" t="str">
            <v>2024-10-14</v>
          </cell>
          <cell r="CL3390">
            <v>77054.879000000001</v>
          </cell>
          <cell r="CM3390" t="str">
            <v xml:space="preserve">NFT-/XUTR/DEUTH02428846801X </v>
          </cell>
          <cell r="CN3390" t="str">
            <v>2024-10-14</v>
          </cell>
          <cell r="CO3390">
            <v>4852.8739999999998</v>
          </cell>
        </row>
        <row r="3391">
          <cell r="CJ3391" t="str">
            <v xml:space="preserve">NFT-/XUTR/DEUTH02428867200X </v>
          </cell>
          <cell r="CK3391" t="str">
            <v>2024-10-14</v>
          </cell>
          <cell r="CL3391">
            <v>10357.953</v>
          </cell>
          <cell r="CM3391" t="str">
            <v xml:space="preserve">NFT-/XUTR/DEUTH02428846801X </v>
          </cell>
          <cell r="CN3391" t="str">
            <v>2024-10-14</v>
          </cell>
          <cell r="CO3391">
            <v>785.19799999999998</v>
          </cell>
        </row>
        <row r="3392">
          <cell r="CJ3392" t="str">
            <v xml:space="preserve">NFT-/XUTR/DEUTH02428867200X </v>
          </cell>
          <cell r="CK3392" t="str">
            <v>2024-10-14</v>
          </cell>
          <cell r="CL3392">
            <v>15510.296</v>
          </cell>
          <cell r="CM3392" t="str">
            <v xml:space="preserve">NFT-/XUTR/DEUTH02428846801X </v>
          </cell>
          <cell r="CN3392" t="str">
            <v>2024-10-14</v>
          </cell>
          <cell r="CO3392">
            <v>1175.365</v>
          </cell>
        </row>
        <row r="3393">
          <cell r="CJ3393" t="str">
            <v xml:space="preserve">NFT-/XUTR/DEUTH02428867200X </v>
          </cell>
          <cell r="CK3393" t="str">
            <v>2024-10-14</v>
          </cell>
          <cell r="CL3393">
            <v>15529.174999999999</v>
          </cell>
          <cell r="CM3393" t="str">
            <v xml:space="preserve">NFT-/XUTR/DEUTH02428846801X </v>
          </cell>
          <cell r="CN3393" t="str">
            <v>2024-10-14</v>
          </cell>
          <cell r="CO3393">
            <v>1175.366</v>
          </cell>
        </row>
        <row r="3394">
          <cell r="CJ3394" t="str">
            <v xml:space="preserve">NFT-/XUTR/DEUTH02428867200X </v>
          </cell>
          <cell r="CK3394" t="str">
            <v>2024-10-14</v>
          </cell>
          <cell r="CL3394">
            <v>15510.296</v>
          </cell>
          <cell r="CM3394" t="str">
            <v xml:space="preserve">NFT-/XUTR/DEUTH02428846801X </v>
          </cell>
          <cell r="CN3394" t="str">
            <v>2024-10-14</v>
          </cell>
          <cell r="CO3394">
            <v>1175.365</v>
          </cell>
        </row>
        <row r="3395">
          <cell r="CJ3395" t="str">
            <v xml:space="preserve">NFT-/XUTR/DEUTH02428867200X </v>
          </cell>
          <cell r="CK3395" t="str">
            <v>2024-10-14</v>
          </cell>
          <cell r="CL3395">
            <v>15179.763000000001</v>
          </cell>
          <cell r="CM3395" t="str">
            <v xml:space="preserve">NFT-/XUTR/DEUTH02428846801X </v>
          </cell>
          <cell r="CN3395" t="str">
            <v>2024-10-14</v>
          </cell>
          <cell r="CO3395">
            <v>1524.778</v>
          </cell>
        </row>
        <row r="3396">
          <cell r="CJ3396" t="str">
            <v xml:space="preserve">NFT-/XUTR/DEUTH02428867200X </v>
          </cell>
          <cell r="CK3396" t="str">
            <v>2024-10-14</v>
          </cell>
          <cell r="CL3396">
            <v>7739.34</v>
          </cell>
          <cell r="CM3396" t="str">
            <v xml:space="preserve">NFT-/XUTR/DEUTH02428846801X </v>
          </cell>
          <cell r="CN3396" t="str">
            <v>2024-10-14</v>
          </cell>
          <cell r="CO3396">
            <v>686.202</v>
          </cell>
        </row>
        <row r="3397">
          <cell r="CJ3397" t="str">
            <v xml:space="preserve">NFT-/XUTR/DEUTH02428867200X </v>
          </cell>
          <cell r="CK3397" t="str">
            <v>2024-10-14</v>
          </cell>
          <cell r="CL3397">
            <v>7540.9070000000002</v>
          </cell>
          <cell r="CM3397" t="str">
            <v xml:space="preserve">NFT-/XUTR/DEUTH02428846801X </v>
          </cell>
          <cell r="CN3397" t="str">
            <v>2024-10-14</v>
          </cell>
          <cell r="CO3397">
            <v>865.75400000000002</v>
          </cell>
          <cell r="CP3397" t="str">
            <v xml:space="preserve">NFT-/XUTR/DEUTH02429760724X </v>
          </cell>
          <cell r="CQ3397" t="str">
            <v>2024-10-23</v>
          </cell>
          <cell r="CR3397">
            <v>-7540.9070000000002</v>
          </cell>
          <cell r="CS3397" t="str">
            <v xml:space="preserve">NFT-/XUTR/DEUTH02429764618X </v>
          </cell>
          <cell r="CT3397" t="str">
            <v>2024-10-23</v>
          </cell>
          <cell r="CU3397">
            <v>-865.75400000000002</v>
          </cell>
        </row>
        <row r="3398">
          <cell r="CJ3398" t="str">
            <v xml:space="preserve">NFT-/XUTR/DEUTH02428867200X </v>
          </cell>
          <cell r="CK3398" t="str">
            <v>2024-10-14</v>
          </cell>
          <cell r="CL3398">
            <v>15529.175999999999</v>
          </cell>
          <cell r="CM3398" t="str">
            <v xml:space="preserve">NFT-/XUTR/DEUTH02428846801X </v>
          </cell>
          <cell r="CN3398" t="str">
            <v>2024-10-14</v>
          </cell>
          <cell r="CO3398">
            <v>1175.365</v>
          </cell>
        </row>
        <row r="3399">
          <cell r="CJ3399" t="str">
            <v xml:space="preserve">NFT-/XUTR/DEUTH02428867200X </v>
          </cell>
          <cell r="CK3399" t="str">
            <v>2024-10-14</v>
          </cell>
          <cell r="CL3399">
            <v>30729.317999999999</v>
          </cell>
          <cell r="CM3399" t="str">
            <v xml:space="preserve">NFT-/XUTR/DEUTH02428846801X </v>
          </cell>
          <cell r="CN3399" t="str">
            <v>2024-10-14</v>
          </cell>
          <cell r="CO3399">
            <v>2678.7840000000001</v>
          </cell>
        </row>
        <row r="3400">
          <cell r="CJ3400" t="str">
            <v xml:space="preserve">NFT-/XUTR/DEUTH02428867200X </v>
          </cell>
          <cell r="CK3400" t="str">
            <v>2024-10-14</v>
          </cell>
          <cell r="CL3400">
            <v>78171.039000000004</v>
          </cell>
          <cell r="CM3400" t="str">
            <v xml:space="preserve">NFT-/XUTR/DEUTH02428846801X </v>
          </cell>
          <cell r="CN3400" t="str">
            <v>2024-10-14</v>
          </cell>
          <cell r="CO3400">
            <v>4852.8739999999998</v>
          </cell>
        </row>
        <row r="3401">
          <cell r="CJ3401" t="str">
            <v xml:space="preserve">NFT-/XUTR/DEUTH02428867200X </v>
          </cell>
          <cell r="CK3401" t="str">
            <v>2024-10-14</v>
          </cell>
          <cell r="CL3401">
            <v>61934.29</v>
          </cell>
          <cell r="CM3401" t="str">
            <v xml:space="preserve">NFT-/XUTR/DEUTH02428846801X </v>
          </cell>
          <cell r="CN3401" t="str">
            <v>2024-10-14</v>
          </cell>
          <cell r="CO3401">
            <v>4667.4960000000001</v>
          </cell>
          <cell r="CP3401" t="str">
            <v xml:space="preserve">NFT-/XUTR/DEUTH02429509164X </v>
          </cell>
          <cell r="CQ3401" t="str">
            <v>2024-10-21</v>
          </cell>
          <cell r="CR3401">
            <v>-61934.29</v>
          </cell>
          <cell r="CS3401" t="str">
            <v xml:space="preserve">NFT-/XUTR/DEUTH02429530992X </v>
          </cell>
          <cell r="CT3401" t="str">
            <v>2024-10-21</v>
          </cell>
          <cell r="CU3401">
            <v>-4667.4960000000001</v>
          </cell>
        </row>
        <row r="3402">
          <cell r="CJ3402" t="str">
            <v xml:space="preserve">NFT-/XUTR/DEUTH02428867200X </v>
          </cell>
          <cell r="CK3402" t="str">
            <v>2024-10-14</v>
          </cell>
          <cell r="CL3402">
            <v>76987.468999999997</v>
          </cell>
          <cell r="CM3402" t="str">
            <v xml:space="preserve">NFT-/XUTR/DEUTH02428846801X </v>
          </cell>
          <cell r="CN3402" t="str">
            <v>2024-10-14</v>
          </cell>
          <cell r="CO3402">
            <v>4852.8739999999998</v>
          </cell>
        </row>
        <row r="3403">
          <cell r="CJ3403" t="str">
            <v xml:space="preserve">NFT-/XUTR/DEUTH02428867200X </v>
          </cell>
          <cell r="CK3403" t="str">
            <v>2024-10-14</v>
          </cell>
          <cell r="CL3403">
            <v>38663.796000000002</v>
          </cell>
          <cell r="CM3403" t="str">
            <v xml:space="preserve">NFT-/XUTR/DEUTH02428846801X </v>
          </cell>
          <cell r="CN3403" t="str">
            <v>2024-10-14</v>
          </cell>
          <cell r="CO3403">
            <v>2916.576</v>
          </cell>
        </row>
        <row r="3404">
          <cell r="CJ3404" t="str">
            <v xml:space="preserve">NFT-/XUTR/DEUTH02428867200X </v>
          </cell>
          <cell r="CK3404" t="str">
            <v>2024-10-14</v>
          </cell>
          <cell r="CL3404">
            <v>15864.99</v>
          </cell>
          <cell r="CM3404" t="str">
            <v xml:space="preserve">NFT-/XUTR/DEUTH02428846801X </v>
          </cell>
          <cell r="CN3404" t="str">
            <v>2024-10-14</v>
          </cell>
          <cell r="CO3404">
            <v>839.55100000000004</v>
          </cell>
        </row>
        <row r="3406">
          <cell r="CJ3406" t="str">
            <v xml:space="preserve">NFT-/XUTR/DEUTH02428867200X </v>
          </cell>
          <cell r="CK3406" t="str">
            <v>2024-10-14</v>
          </cell>
          <cell r="CL3406">
            <v>77006.349000000002</v>
          </cell>
          <cell r="CM3406" t="str">
            <v xml:space="preserve">NFT-/XUTR/DEUTH02428846801X </v>
          </cell>
          <cell r="CN3406" t="str">
            <v>2024-10-14</v>
          </cell>
          <cell r="CO3406">
            <v>4852.8739999999998</v>
          </cell>
        </row>
        <row r="3407">
          <cell r="CJ3407" t="str">
            <v xml:space="preserve">NFT-/XUTR/DEUTH02428867200X </v>
          </cell>
          <cell r="CK3407" t="str">
            <v>2024-10-14</v>
          </cell>
          <cell r="CL3407">
            <v>76987.468999999997</v>
          </cell>
          <cell r="CM3407" t="str">
            <v xml:space="preserve">NFT-/XUTR/DEUTH02428846801X </v>
          </cell>
          <cell r="CN3407" t="str">
            <v>2024-10-14</v>
          </cell>
          <cell r="CO3407">
            <v>4852.8739999999998</v>
          </cell>
        </row>
        <row r="3408">
          <cell r="CJ3408" t="str">
            <v xml:space="preserve">NFT-/XUTR/DEUTH02428867200X </v>
          </cell>
          <cell r="CK3408" t="str">
            <v>2024-10-14</v>
          </cell>
          <cell r="CL3408">
            <v>77006.349000000002</v>
          </cell>
          <cell r="CM3408" t="str">
            <v xml:space="preserve">NFT-/XUTR/DEUTH02428846801X </v>
          </cell>
          <cell r="CN3408" t="str">
            <v>2024-10-14</v>
          </cell>
          <cell r="CO3408">
            <v>4852.8739999999998</v>
          </cell>
        </row>
        <row r="3409">
          <cell r="CJ3409" t="str">
            <v xml:space="preserve">NFT-/XUTR/DEUTH02428867200X </v>
          </cell>
          <cell r="CK3409" t="str">
            <v>2024-10-14</v>
          </cell>
          <cell r="CL3409">
            <v>77006.349000000002</v>
          </cell>
          <cell r="CM3409" t="str">
            <v xml:space="preserve">NFT-/XUTR/DEUTH02428846801X </v>
          </cell>
          <cell r="CN3409" t="str">
            <v>2024-10-14</v>
          </cell>
          <cell r="CO3409">
            <v>4852.8739999999998</v>
          </cell>
        </row>
        <row r="3410">
          <cell r="CJ3410" t="str">
            <v xml:space="preserve">NFT-/XUTR/DEUTH02428867200X </v>
          </cell>
          <cell r="CK3410" t="str">
            <v>2024-10-14</v>
          </cell>
          <cell r="CL3410">
            <v>77054.877999999997</v>
          </cell>
          <cell r="CM3410" t="str">
            <v xml:space="preserve">NFT-/XUTR/DEUTH02428846801X </v>
          </cell>
          <cell r="CN3410" t="str">
            <v>2024-10-14</v>
          </cell>
          <cell r="CO3410">
            <v>4852.8739999999998</v>
          </cell>
        </row>
        <row r="3411">
          <cell r="CJ3411" t="str">
            <v xml:space="preserve">NFT-/XUTR/DEUTH02428867200X </v>
          </cell>
          <cell r="CK3411" t="str">
            <v>2024-10-14</v>
          </cell>
          <cell r="CL3411">
            <v>76987.468999999997</v>
          </cell>
          <cell r="CM3411" t="str">
            <v xml:space="preserve">NFT-/XUTR/DEUTH02428846801X </v>
          </cell>
          <cell r="CN3411" t="str">
            <v>2024-10-14</v>
          </cell>
          <cell r="CO3411">
            <v>4852.8739999999998</v>
          </cell>
        </row>
        <row r="3412">
          <cell r="CJ3412" t="str">
            <v xml:space="preserve">NFT-/XUTR/DEUTH02428867200X </v>
          </cell>
          <cell r="CK3412" t="str">
            <v>2024-10-14</v>
          </cell>
          <cell r="CL3412">
            <v>31059.315999999999</v>
          </cell>
          <cell r="CM3412" t="str">
            <v xml:space="preserve">NFT-/XUTR/DEUTH02428846801X </v>
          </cell>
          <cell r="CN3412" t="str">
            <v>2024-10-14</v>
          </cell>
          <cell r="CO3412">
            <v>2348.7919999999999</v>
          </cell>
        </row>
        <row r="3413">
          <cell r="CJ3413" t="str">
            <v xml:space="preserve">NFT-/XUTR/DEUTH02428867200X </v>
          </cell>
          <cell r="CK3413" t="str">
            <v>2024-10-14</v>
          </cell>
          <cell r="CL3413">
            <v>77006.349000000002</v>
          </cell>
          <cell r="CM3413" t="str">
            <v xml:space="preserve">NFT-/XUTR/DEUTH02428846801X </v>
          </cell>
          <cell r="CN3413" t="str">
            <v>2024-10-14</v>
          </cell>
          <cell r="CO3413">
            <v>4852.8739999999998</v>
          </cell>
        </row>
        <row r="3414">
          <cell r="CJ3414" t="str">
            <v xml:space="preserve">NFT-/XUTR/DEUTH02428867200X </v>
          </cell>
          <cell r="CK3414" t="str">
            <v>2024-10-14</v>
          </cell>
          <cell r="CL3414">
            <v>15510.296</v>
          </cell>
          <cell r="CM3414" t="str">
            <v xml:space="preserve">NFT-/XUTR/DEUTH02428846801X </v>
          </cell>
          <cell r="CN3414" t="str">
            <v>2024-10-14</v>
          </cell>
          <cell r="CO3414">
            <v>1175.365</v>
          </cell>
        </row>
        <row r="3415">
          <cell r="CJ3415" t="str">
            <v xml:space="preserve">NFT-/XUTR/DEUTH02428867200X </v>
          </cell>
          <cell r="CK3415" t="str">
            <v>2024-10-14</v>
          </cell>
          <cell r="CL3415">
            <v>77006.349000000002</v>
          </cell>
          <cell r="CM3415" t="str">
            <v xml:space="preserve">NFT-/XUTR/DEUTH02428846801X </v>
          </cell>
          <cell r="CN3415" t="str">
            <v>2024-10-14</v>
          </cell>
          <cell r="CO3415">
            <v>4852.8739999999998</v>
          </cell>
          <cell r="CP3415" t="str">
            <v xml:space="preserve">NFT-/XUTR/DEUTH02429023615X </v>
          </cell>
          <cell r="CQ3415" t="str">
            <v>2024-10-16</v>
          </cell>
          <cell r="CR3415">
            <v>-77006.349000000002</v>
          </cell>
          <cell r="CS3415" t="str">
            <v xml:space="preserve">NFT-/XUTR/DEUTH02429026181X </v>
          </cell>
          <cell r="CT3415" t="str">
            <v>2024-10-16</v>
          </cell>
          <cell r="CU3415">
            <v>-4852.8739999999998</v>
          </cell>
        </row>
        <row r="3416">
          <cell r="CJ3416" t="str">
            <v xml:space="preserve">NFT-/XUTR/DEUTH02428867200X </v>
          </cell>
          <cell r="CK3416" t="str">
            <v>2024-10-14</v>
          </cell>
          <cell r="CL3416">
            <v>15529.175999999999</v>
          </cell>
          <cell r="CM3416" t="str">
            <v xml:space="preserve">NFT-/XUTR/DEUTH02428846801X </v>
          </cell>
          <cell r="CN3416" t="str">
            <v>2024-10-14</v>
          </cell>
          <cell r="CO3416">
            <v>1175.365</v>
          </cell>
        </row>
        <row r="3417">
          <cell r="CJ3417" t="str">
            <v xml:space="preserve">NFT-/XUTR/DEUTH02428867200X </v>
          </cell>
          <cell r="CK3417" t="str">
            <v>2024-10-14</v>
          </cell>
          <cell r="CL3417">
            <v>78947.498000000007</v>
          </cell>
          <cell r="CM3417" t="str">
            <v xml:space="preserve">NFT-/XUTR/DEUTH02428846801X </v>
          </cell>
          <cell r="CN3417" t="str">
            <v>2024-10-14</v>
          </cell>
          <cell r="CO3417">
            <v>2911.7240000000002</v>
          </cell>
        </row>
        <row r="3418">
          <cell r="CJ3418" t="str">
            <v xml:space="preserve">NFT-/XUTR/DEUTH02428867200X </v>
          </cell>
          <cell r="CK3418" t="str">
            <v>2024-10-14</v>
          </cell>
          <cell r="CL3418">
            <v>5441.7150000000001</v>
          </cell>
          <cell r="CM3418" t="str">
            <v xml:space="preserve">NFT-/XUTR/DEUTH02428846801X </v>
          </cell>
          <cell r="CN3418" t="str">
            <v>2024-10-14</v>
          </cell>
          <cell r="CO3418">
            <v>419.28300000000002</v>
          </cell>
        </row>
        <row r="3420">
          <cell r="CJ3420" t="str">
            <v xml:space="preserve">NFT-/XUTR/DEUTH02428867200X </v>
          </cell>
          <cell r="CK3420" t="str">
            <v>2024-10-14</v>
          </cell>
          <cell r="CL3420">
            <v>15510.296</v>
          </cell>
          <cell r="CM3420" t="str">
            <v xml:space="preserve">NFT-/XUTR/DEUTH02428846801X </v>
          </cell>
          <cell r="CN3420" t="str">
            <v>2024-10-14</v>
          </cell>
          <cell r="CO3420">
            <v>1175.365</v>
          </cell>
        </row>
        <row r="3421">
          <cell r="CJ3421" t="str">
            <v xml:space="preserve">NFT-/XUTR/DEUTH02428867200X </v>
          </cell>
          <cell r="CK3421" t="str">
            <v>2024-10-14</v>
          </cell>
          <cell r="CL3421">
            <v>78957.733999999997</v>
          </cell>
          <cell r="CM3421" t="str">
            <v xml:space="preserve">NFT-/XUTR/DEUTH02428846801X </v>
          </cell>
          <cell r="CN3421" t="str">
            <v>2024-10-14</v>
          </cell>
          <cell r="CO3421">
            <v>2911.7240000000002</v>
          </cell>
        </row>
        <row r="3422">
          <cell r="CJ3422" t="str">
            <v xml:space="preserve">NFT-/XUTR/DEUTH02428867200X </v>
          </cell>
          <cell r="CK3422" t="str">
            <v>2024-10-14</v>
          </cell>
          <cell r="CL3422">
            <v>30991.907999999999</v>
          </cell>
          <cell r="CM3422" t="str">
            <v xml:space="preserve">NFT-/XUTR/DEUTH02428846801X </v>
          </cell>
          <cell r="CN3422" t="str">
            <v>2024-10-14</v>
          </cell>
          <cell r="CO3422">
            <v>2399.2600000000002</v>
          </cell>
        </row>
        <row r="3423">
          <cell r="CJ3423" t="str">
            <v xml:space="preserve">NFT-/XUTR/DEUTH02428867200X </v>
          </cell>
          <cell r="CK3423" t="str">
            <v>2024-10-14</v>
          </cell>
          <cell r="CL3423">
            <v>76987.468999999997</v>
          </cell>
          <cell r="CM3423" t="str">
            <v xml:space="preserve">NFT-/XUTR/DEUTH02428846801X </v>
          </cell>
          <cell r="CN3423" t="str">
            <v>2024-10-14</v>
          </cell>
          <cell r="CO3423">
            <v>4852.8739999999998</v>
          </cell>
        </row>
        <row r="3424">
          <cell r="CJ3424" t="str">
            <v xml:space="preserve">NFT-/XUTR/DEUTH02428867200X </v>
          </cell>
          <cell r="CK3424" t="str">
            <v>2024-10-14</v>
          </cell>
          <cell r="CL3424">
            <v>77006.349000000002</v>
          </cell>
          <cell r="CM3424" t="str">
            <v xml:space="preserve">NFT-/XUTR/DEUTH02428846801X </v>
          </cell>
          <cell r="CN3424" t="str">
            <v>2024-10-14</v>
          </cell>
          <cell r="CO3424">
            <v>4852.8739999999998</v>
          </cell>
        </row>
        <row r="3426">
          <cell r="CJ3426" t="str">
            <v xml:space="preserve">NFT-/XUTR/DEUTH02428867200X </v>
          </cell>
          <cell r="CK3426" t="str">
            <v>2024-10-14</v>
          </cell>
          <cell r="CL3426">
            <v>77006.349000000002</v>
          </cell>
          <cell r="CM3426" t="str">
            <v xml:space="preserve">NFT-/XUTR/DEUTH02428846801X </v>
          </cell>
          <cell r="CN3426" t="str">
            <v>2024-10-14</v>
          </cell>
          <cell r="CO3426">
            <v>4852.8739999999998</v>
          </cell>
        </row>
        <row r="3427">
          <cell r="CJ3427" t="str">
            <v xml:space="preserve">NFT-/XUTR/DEUTH02428867200X </v>
          </cell>
          <cell r="CK3427" t="str">
            <v>2024-10-14</v>
          </cell>
          <cell r="CL3427">
            <v>76987.468999999997</v>
          </cell>
          <cell r="CM3427" t="str">
            <v xml:space="preserve">NFT-/XUTR/DEUTH02428846801X </v>
          </cell>
          <cell r="CN3427" t="str">
            <v>2024-10-14</v>
          </cell>
          <cell r="CO3427">
            <v>4852.8739999999998</v>
          </cell>
        </row>
        <row r="3428">
          <cell r="CJ3428" t="str">
            <v xml:space="preserve">NFT-/XUTR/DEUTH02428867200X </v>
          </cell>
          <cell r="CK3428" t="str">
            <v>2024-10-14</v>
          </cell>
          <cell r="CL3428">
            <v>77006.349000000002</v>
          </cell>
          <cell r="CM3428" t="str">
            <v xml:space="preserve">NFT-/XUTR/DEUTH02428846801X </v>
          </cell>
          <cell r="CN3428" t="str">
            <v>2024-10-14</v>
          </cell>
          <cell r="CO3428">
            <v>4852.8739999999998</v>
          </cell>
        </row>
        <row r="3429">
          <cell r="CJ3429" t="str">
            <v xml:space="preserve">NFT-/XUTR/DEUTH02428867200X </v>
          </cell>
          <cell r="CK3429" t="str">
            <v>2024-10-14</v>
          </cell>
          <cell r="CL3429">
            <v>77006.349000000002</v>
          </cell>
          <cell r="CM3429" t="str">
            <v xml:space="preserve">NFT-/XUTR/DEUTH02428846801X </v>
          </cell>
          <cell r="CN3429" t="str">
            <v>2024-10-14</v>
          </cell>
          <cell r="CO3429">
            <v>4852.8739999999998</v>
          </cell>
        </row>
        <row r="3430">
          <cell r="CJ3430" t="str">
            <v xml:space="preserve">NFT-/XUTR/DEUTH02428867200X </v>
          </cell>
          <cell r="CK3430" t="str">
            <v>2024-10-14</v>
          </cell>
          <cell r="CL3430">
            <v>5492.4549999999999</v>
          </cell>
          <cell r="CM3430" t="str">
            <v xml:space="preserve">NFT-/XUTR/DEUTH02428846801X </v>
          </cell>
          <cell r="CN3430" t="str">
            <v>2024-10-14</v>
          </cell>
          <cell r="CO3430">
            <v>419.28300000000002</v>
          </cell>
        </row>
        <row r="3431">
          <cell r="CJ3431" t="str">
            <v xml:space="preserve">NFT-/XUTR/DEUTH02428867200X </v>
          </cell>
          <cell r="CK3431" t="str">
            <v>2024-10-14</v>
          </cell>
          <cell r="CL3431">
            <v>15529.174999999999</v>
          </cell>
          <cell r="CM3431" t="str">
            <v xml:space="preserve">NFT-/XUTR/DEUTH02428846801X </v>
          </cell>
          <cell r="CN3431" t="str">
            <v>2024-10-14</v>
          </cell>
          <cell r="CO3431">
            <v>1175.366</v>
          </cell>
        </row>
        <row r="3432">
          <cell r="CJ3432" t="str">
            <v xml:space="preserve">NFT-/XUTR/DEUTH02428867200X </v>
          </cell>
          <cell r="CK3432" t="str">
            <v>2024-10-14</v>
          </cell>
          <cell r="CL3432">
            <v>77006.349000000002</v>
          </cell>
          <cell r="CM3432" t="str">
            <v xml:space="preserve">NFT-/XUTR/DEUTH02428846801X </v>
          </cell>
          <cell r="CN3432" t="str">
            <v>2024-10-14</v>
          </cell>
          <cell r="CO3432">
            <v>4852.8739999999998</v>
          </cell>
        </row>
        <row r="3433">
          <cell r="CJ3433" t="str">
            <v xml:space="preserve">NFT-/XUTR/DEUTH02428867200X </v>
          </cell>
          <cell r="CK3433" t="str">
            <v>2024-10-14</v>
          </cell>
          <cell r="CL3433">
            <v>7829.5969999999998</v>
          </cell>
          <cell r="CM3433" t="str">
            <v xml:space="preserve">NFT-/XUTR/DEUTH02428846801X </v>
          </cell>
          <cell r="CN3433" t="str">
            <v>2024-10-14</v>
          </cell>
          <cell r="CO3433">
            <v>595.93399999999997</v>
          </cell>
        </row>
        <row r="3434">
          <cell r="CJ3434" t="str">
            <v xml:space="preserve">NFT-/XUTR/DEUTH02428867200X </v>
          </cell>
          <cell r="CK3434" t="str">
            <v>2024-10-14</v>
          </cell>
          <cell r="CL3434">
            <v>78996.028000000006</v>
          </cell>
          <cell r="CM3434" t="str">
            <v xml:space="preserve">NFT-/XUTR/DEUTH02428846801X </v>
          </cell>
          <cell r="CN3434" t="str">
            <v>2024-10-14</v>
          </cell>
          <cell r="CO3434">
            <v>2911.7240000000002</v>
          </cell>
        </row>
        <row r="3435">
          <cell r="CJ3435" t="str">
            <v xml:space="preserve">NFT-/XUTR/DEUTH02428867200X </v>
          </cell>
          <cell r="CK3435" t="str">
            <v>2024-10-14</v>
          </cell>
          <cell r="CL3435">
            <v>77006.349000000002</v>
          </cell>
          <cell r="CM3435" t="str">
            <v xml:space="preserve">NFT-/XUTR/DEUTH02428846801X </v>
          </cell>
          <cell r="CN3435" t="str">
            <v>2024-10-14</v>
          </cell>
          <cell r="CO3435">
            <v>4852.8739999999998</v>
          </cell>
        </row>
        <row r="3436">
          <cell r="CJ3436" t="str">
            <v xml:space="preserve">NFT-/XUTR/DEUTH02428867200X </v>
          </cell>
          <cell r="CK3436" t="str">
            <v>2024-10-14</v>
          </cell>
          <cell r="CL3436">
            <v>77006.349000000002</v>
          </cell>
          <cell r="CM3436" t="str">
            <v xml:space="preserve">NFT-/XUTR/DEUTH02428846801X </v>
          </cell>
          <cell r="CN3436" t="str">
            <v>2024-10-14</v>
          </cell>
          <cell r="CO3436">
            <v>4852.8739999999998</v>
          </cell>
        </row>
        <row r="3438">
          <cell r="CJ3438" t="str">
            <v xml:space="preserve">NFT-/XUTR/DEUTH02428867200X </v>
          </cell>
          <cell r="CK3438" t="str">
            <v>2024-10-14</v>
          </cell>
          <cell r="CL3438">
            <v>55715.72</v>
          </cell>
        </row>
        <row r="3439">
          <cell r="CJ3439" t="str">
            <v xml:space="preserve">NFT-/XUTR/DEUTH02428867200X </v>
          </cell>
          <cell r="CK3439" t="str">
            <v>2024-10-14</v>
          </cell>
          <cell r="CL3439">
            <v>77006.349000000002</v>
          </cell>
          <cell r="CM3439" t="str">
            <v xml:space="preserve">NFT-/XUTR/DEUTH02428846801X </v>
          </cell>
          <cell r="CN3439" t="str">
            <v>2024-10-14</v>
          </cell>
          <cell r="CO3439">
            <v>4852.8739999999998</v>
          </cell>
        </row>
        <row r="3440">
          <cell r="CJ3440" t="str">
            <v xml:space="preserve">NFT-/XUTR/DEUTH02428867200X </v>
          </cell>
          <cell r="CK3440" t="str">
            <v>2024-10-14</v>
          </cell>
          <cell r="CL3440">
            <v>77006.349000000002</v>
          </cell>
          <cell r="CM3440" t="str">
            <v xml:space="preserve">NFT-/XUTR/DEUTH02428846801X </v>
          </cell>
          <cell r="CN3440" t="str">
            <v>2024-10-14</v>
          </cell>
          <cell r="CO3440">
            <v>4852.8739999999998</v>
          </cell>
        </row>
        <row r="3441">
          <cell r="CJ3441" t="str">
            <v xml:space="preserve">NFT-/XUTR/DEUTH02428867200X </v>
          </cell>
          <cell r="CK3441" t="str">
            <v>2024-10-14</v>
          </cell>
          <cell r="CL3441">
            <v>76987.468999999997</v>
          </cell>
          <cell r="CM3441" t="str">
            <v xml:space="preserve">NFT-/XUTR/DEUTH02428846801X </v>
          </cell>
          <cell r="CN3441" t="str">
            <v>2024-10-14</v>
          </cell>
          <cell r="CO3441">
            <v>4852.8739999999998</v>
          </cell>
        </row>
        <row r="3442">
          <cell r="CJ3442" t="str">
            <v xml:space="preserve">NFT-/XUTR/DEUTH02428867200X </v>
          </cell>
          <cell r="CK3442" t="str">
            <v>2024-10-14</v>
          </cell>
          <cell r="CL3442">
            <v>15529.175999999999</v>
          </cell>
          <cell r="CM3442" t="str">
            <v xml:space="preserve">NFT-/XUTR/DEUTH02428846801X </v>
          </cell>
          <cell r="CN3442" t="str">
            <v>2024-10-14</v>
          </cell>
          <cell r="CO3442">
            <v>1175.365</v>
          </cell>
        </row>
        <row r="3443">
          <cell r="CJ3443" t="str">
            <v xml:space="preserve">NFT-/XUTR/DEUTH02428867200X </v>
          </cell>
          <cell r="CK3443" t="str">
            <v>2024-10-14</v>
          </cell>
          <cell r="CL3443">
            <v>77035.998000000007</v>
          </cell>
          <cell r="CM3443" t="str">
            <v xml:space="preserve">NFT-/XUTR/DEUTH02428846801X </v>
          </cell>
          <cell r="CN3443" t="str">
            <v>2024-10-14</v>
          </cell>
          <cell r="CO3443">
            <v>4852.8739999999998</v>
          </cell>
        </row>
        <row r="3444">
          <cell r="CJ3444" t="str">
            <v xml:space="preserve">NFT-/XUTR/DEUTH02428867200X </v>
          </cell>
          <cell r="CK3444" t="str">
            <v>2024-10-14</v>
          </cell>
          <cell r="CL3444">
            <v>76987.468999999997</v>
          </cell>
          <cell r="CM3444" t="str">
            <v xml:space="preserve">NFT-/XUTR/DEUTH02428846801X </v>
          </cell>
          <cell r="CN3444" t="str">
            <v>2024-10-14</v>
          </cell>
          <cell r="CO3444">
            <v>4852.8739999999998</v>
          </cell>
        </row>
        <row r="3445">
          <cell r="CJ3445" t="str">
            <v xml:space="preserve">NFT-/XUTR/DEUTH02428867200X </v>
          </cell>
          <cell r="CK3445" t="str">
            <v>2024-10-14</v>
          </cell>
          <cell r="CL3445">
            <v>15537.473</v>
          </cell>
          <cell r="CM3445" t="str">
            <v xml:space="preserve">NFT-/XUTR/DEUTH02428846801X </v>
          </cell>
          <cell r="CN3445" t="str">
            <v>2024-10-14</v>
          </cell>
          <cell r="CO3445">
            <v>1177.3040000000001</v>
          </cell>
        </row>
        <row r="3446">
          <cell r="CJ3446" t="str">
            <v xml:space="preserve">NFT-/XUTR/DEUTH02428867200X </v>
          </cell>
          <cell r="CK3446" t="str">
            <v>2024-10-14</v>
          </cell>
          <cell r="CL3446">
            <v>77006.349000000002</v>
          </cell>
          <cell r="CM3446" t="str">
            <v xml:space="preserve">NFT-/XUTR/DEUTH02428846801X </v>
          </cell>
          <cell r="CN3446" t="str">
            <v>2024-10-14</v>
          </cell>
          <cell r="CO3446">
            <v>4852.8739999999998</v>
          </cell>
        </row>
        <row r="3447">
          <cell r="CJ3447" t="str">
            <v xml:space="preserve">NFT-/XUTR/DEUTH02428867200X </v>
          </cell>
          <cell r="CK3447" t="str">
            <v>2024-10-14</v>
          </cell>
          <cell r="CL3447">
            <v>38726.436000000002</v>
          </cell>
          <cell r="CM3447" t="str">
            <v xml:space="preserve">NFT-/XUTR/DEUTH02428846801X </v>
          </cell>
          <cell r="CN3447" t="str">
            <v>2024-10-14</v>
          </cell>
          <cell r="CO3447">
            <v>2922.4</v>
          </cell>
        </row>
        <row r="3448">
          <cell r="CJ3448" t="str">
            <v xml:space="preserve">NFT-/XUTR/DEUTH02428867200X </v>
          </cell>
          <cell r="CK3448" t="str">
            <v>2024-10-14</v>
          </cell>
          <cell r="CL3448">
            <v>16733.655999999999</v>
          </cell>
          <cell r="CM3448" t="str">
            <v xml:space="preserve">NFT-/XUTR/DEUTH02429509164X </v>
          </cell>
          <cell r="CN3448" t="str">
            <v>2024-10-21</v>
          </cell>
          <cell r="CO3448">
            <v>-16733.655999999999</v>
          </cell>
        </row>
        <row r="3449">
          <cell r="CJ3449" t="str">
            <v xml:space="preserve">NFT-/XUTR/DEUTH02428867200X </v>
          </cell>
          <cell r="CK3449" t="str">
            <v>2024-10-14</v>
          </cell>
          <cell r="CL3449">
            <v>38755.991999999998</v>
          </cell>
          <cell r="CM3449" t="str">
            <v xml:space="preserve">NFT-/XUTR/DEUTH02428846801X </v>
          </cell>
          <cell r="CN3449" t="str">
            <v>2024-10-14</v>
          </cell>
          <cell r="CO3449">
            <v>2911.7240000000002</v>
          </cell>
        </row>
        <row r="3450">
          <cell r="CJ3450" t="str">
            <v xml:space="preserve">NFT-/XUTR/DEUTH02428867200X </v>
          </cell>
          <cell r="CK3450" t="str">
            <v>2024-10-14</v>
          </cell>
          <cell r="CL3450">
            <v>38737.112000000001</v>
          </cell>
          <cell r="CM3450" t="str">
            <v xml:space="preserve">NFT-/XUTR/DEUTH02428846801X </v>
          </cell>
          <cell r="CN3450" t="str">
            <v>2024-10-14</v>
          </cell>
          <cell r="CO3450">
            <v>2911.7240000000002</v>
          </cell>
          <cell r="CP3450" t="str">
            <v xml:space="preserve">NFT-/XUTR/DEUTH02429509164X </v>
          </cell>
          <cell r="CQ3450" t="str">
            <v>2024-10-21</v>
          </cell>
          <cell r="CR3450">
            <v>-38737.112000000001</v>
          </cell>
          <cell r="CS3450" t="str">
            <v xml:space="preserve">NFT-/XUTR/DEUTH02429530992X </v>
          </cell>
          <cell r="CT3450" t="str">
            <v>2024-10-21</v>
          </cell>
          <cell r="CU3450">
            <v>-2911.7240000000002</v>
          </cell>
        </row>
        <row r="3451">
          <cell r="CJ3451" t="str">
            <v xml:space="preserve">NFT-/XUTR/DEUTH02428867200X </v>
          </cell>
          <cell r="CK3451" t="str">
            <v>2024-10-14</v>
          </cell>
          <cell r="CL3451">
            <v>38755.991999999998</v>
          </cell>
          <cell r="CM3451" t="str">
            <v xml:space="preserve">NFT-/XUTR/DEUTH02428846801X </v>
          </cell>
          <cell r="CN3451" t="str">
            <v>2024-10-14</v>
          </cell>
          <cell r="CO3451">
            <v>2911.7240000000002</v>
          </cell>
        </row>
        <row r="3452">
          <cell r="CJ3452" t="str">
            <v xml:space="preserve">NFT-/XUTR/DEUTH02428867200X </v>
          </cell>
          <cell r="CK3452" t="str">
            <v>2024-10-14</v>
          </cell>
          <cell r="CL3452">
            <v>77035.998000000007</v>
          </cell>
          <cell r="CM3452" t="str">
            <v xml:space="preserve">NFT-/XUTR/DEUTH02428846801X </v>
          </cell>
          <cell r="CN3452" t="str">
            <v>2024-10-14</v>
          </cell>
          <cell r="CO3452">
            <v>4852.8739999999998</v>
          </cell>
        </row>
        <row r="3453">
          <cell r="CJ3453" t="str">
            <v xml:space="preserve">NFT-/XUTR/DEUTH02428867200X </v>
          </cell>
          <cell r="CK3453" t="str">
            <v>2024-10-14</v>
          </cell>
          <cell r="CL3453">
            <v>61915.41</v>
          </cell>
          <cell r="CM3453" t="str">
            <v xml:space="preserve">NFT-/XUTR/DEUTH02428846801X </v>
          </cell>
          <cell r="CN3453" t="str">
            <v>2024-10-14</v>
          </cell>
          <cell r="CO3453">
            <v>4667.4960000000001</v>
          </cell>
        </row>
        <row r="3457">
          <cell r="CJ3457" t="str">
            <v xml:space="preserve">NFT-/XUTR/DEUTH02428867200X </v>
          </cell>
          <cell r="CK3457" t="str">
            <v>2024-10-14</v>
          </cell>
          <cell r="CL3457">
            <v>15529.175999999999</v>
          </cell>
          <cell r="CM3457" t="str">
            <v xml:space="preserve">NFT-/XUTR/DEUTH02428846801X </v>
          </cell>
          <cell r="CN3457" t="str">
            <v>2024-10-14</v>
          </cell>
          <cell r="CO3457">
            <v>1175.365</v>
          </cell>
        </row>
        <row r="3458">
          <cell r="CJ3458" t="str">
            <v xml:space="preserve">NFT-/XUTR/DEUTH02428867200X </v>
          </cell>
          <cell r="CK3458" t="str">
            <v>2024-10-14</v>
          </cell>
          <cell r="CL3458">
            <v>38737.112000000001</v>
          </cell>
          <cell r="CM3458" t="str">
            <v xml:space="preserve">NFT-/XUTR/DEUTH02428846801X </v>
          </cell>
          <cell r="CN3458" t="str">
            <v>2024-10-14</v>
          </cell>
          <cell r="CO3458">
            <v>2911.7240000000002</v>
          </cell>
        </row>
        <row r="3459">
          <cell r="CJ3459" t="str">
            <v xml:space="preserve">NFT-/XUTR/DEUTH02428867200X </v>
          </cell>
          <cell r="CK3459" t="str">
            <v>2024-10-14</v>
          </cell>
          <cell r="CL3459">
            <v>38755.991999999998</v>
          </cell>
          <cell r="CM3459" t="str">
            <v xml:space="preserve">NFT-/XUTR/DEUTH02428846801X </v>
          </cell>
          <cell r="CN3459" t="str">
            <v>2024-10-14</v>
          </cell>
          <cell r="CO3459">
            <v>2911.7240000000002</v>
          </cell>
        </row>
        <row r="3460">
          <cell r="CJ3460" t="str">
            <v xml:space="preserve">NFT-/XUTR/DEUTH02428867200X </v>
          </cell>
          <cell r="CK3460" t="str">
            <v>2024-10-14</v>
          </cell>
          <cell r="CL3460">
            <v>5858.4120000000003</v>
          </cell>
        </row>
        <row r="3461">
          <cell r="CJ3461" t="str">
            <v xml:space="preserve">NFT-/XUTR/DEUTH02428867200X </v>
          </cell>
          <cell r="CK3461" t="str">
            <v>2024-10-14</v>
          </cell>
          <cell r="CL3461">
            <v>15510.296</v>
          </cell>
          <cell r="CM3461" t="str">
            <v xml:space="preserve">NFT-/XUTR/DEUTH02428846801X </v>
          </cell>
          <cell r="CN3461" t="str">
            <v>2024-10-14</v>
          </cell>
          <cell r="CO3461">
            <v>1175.365</v>
          </cell>
        </row>
        <row r="3462">
          <cell r="CJ3462" t="str">
            <v xml:space="preserve">NFT-/XUTR/DEUTH02428867200X </v>
          </cell>
          <cell r="CK3462" t="str">
            <v>2024-10-14</v>
          </cell>
          <cell r="CL3462">
            <v>38755.991999999998</v>
          </cell>
          <cell r="CM3462" t="str">
            <v xml:space="preserve">NFT-/XUTR/DEUTH02428846801X </v>
          </cell>
          <cell r="CN3462" t="str">
            <v>2024-10-14</v>
          </cell>
          <cell r="CO3462">
            <v>2911.7240000000002</v>
          </cell>
        </row>
        <row r="3463">
          <cell r="CJ3463" t="str">
            <v xml:space="preserve">NFT-/XUTR/DEUTH02428867200X </v>
          </cell>
          <cell r="CK3463" t="str">
            <v>2024-10-14</v>
          </cell>
          <cell r="CL3463">
            <v>79093.618000000002</v>
          </cell>
          <cell r="CM3463" t="str">
            <v xml:space="preserve">NFT-/XUTR/DEUTH02428846801X </v>
          </cell>
          <cell r="CN3463" t="str">
            <v>2024-10-14</v>
          </cell>
          <cell r="CO3463">
            <v>2911.7240000000002</v>
          </cell>
          <cell r="CP3463" t="str">
            <v xml:space="preserve">NFT-/XUTR/DEUTH02432540165X </v>
          </cell>
          <cell r="CQ3463" t="str">
            <v>2024-11-20</v>
          </cell>
          <cell r="CR3463">
            <v>-79093.618000000002</v>
          </cell>
          <cell r="CS3463" t="str">
            <v xml:space="preserve">NFT-/XUTR/DEUTH02432567146X </v>
          </cell>
          <cell r="CT3463" t="str">
            <v>2024-11-20</v>
          </cell>
          <cell r="CU3463">
            <v>-2911.7240000000002</v>
          </cell>
          <cell r="CV3463" t="str">
            <v xml:space="preserve">NFT-/XUTR/DEUTH02500685844X </v>
          </cell>
          <cell r="CW3463" t="str">
            <v>2025-01-06</v>
          </cell>
          <cell r="CX3463">
            <v>83744.100000000006</v>
          </cell>
        </row>
        <row r="3464">
          <cell r="CJ3464" t="str">
            <v xml:space="preserve">NFT-/XUTR/DEUTH02428867200X </v>
          </cell>
          <cell r="CK3464" t="str">
            <v>2024-10-14</v>
          </cell>
          <cell r="CL3464">
            <v>38755.991000000002</v>
          </cell>
          <cell r="CM3464" t="str">
            <v xml:space="preserve">NFT-/XUTR/DEUTH02428846801X </v>
          </cell>
          <cell r="CN3464" t="str">
            <v>2024-10-14</v>
          </cell>
          <cell r="CO3464">
            <v>2911.723</v>
          </cell>
        </row>
        <row r="3466">
          <cell r="CJ3466" t="str">
            <v xml:space="preserve">NFT-/XUTR/DEUTH02428867200X </v>
          </cell>
          <cell r="CK3466" t="str">
            <v>2024-10-14</v>
          </cell>
          <cell r="CL3466">
            <v>76506.498999999996</v>
          </cell>
          <cell r="CM3466" t="str">
            <v xml:space="preserve">NFT-/XUTR/DEUTH02428846801X </v>
          </cell>
          <cell r="CN3466" t="str">
            <v>2024-10-14</v>
          </cell>
          <cell r="CO3466">
            <v>5517.7129999999997</v>
          </cell>
        </row>
        <row r="3467">
          <cell r="CJ3467" t="str">
            <v xml:space="preserve">NFT-/XUTR/DEUTH02428867200X </v>
          </cell>
          <cell r="CK3467" t="str">
            <v>2024-10-14</v>
          </cell>
          <cell r="CL3467">
            <v>38755.991000000002</v>
          </cell>
          <cell r="CM3467" t="str">
            <v xml:space="preserve">NFT-/XUTR/DEUTH02428846801X </v>
          </cell>
          <cell r="CN3467" t="str">
            <v>2024-10-14</v>
          </cell>
          <cell r="CO3467">
            <v>2911.723</v>
          </cell>
        </row>
        <row r="3468">
          <cell r="CJ3468" t="str">
            <v xml:space="preserve">NFT-/XUTR/DEUTH02428867200X </v>
          </cell>
          <cell r="CK3468" t="str">
            <v>2024-10-14</v>
          </cell>
          <cell r="CL3468">
            <v>77006.349000000002</v>
          </cell>
          <cell r="CM3468" t="str">
            <v xml:space="preserve">NFT-/XUTR/DEUTH02428846801X </v>
          </cell>
          <cell r="CN3468" t="str">
            <v>2024-10-14</v>
          </cell>
          <cell r="CO3468">
            <v>4852.8739999999998</v>
          </cell>
        </row>
        <row r="3469">
          <cell r="CJ3469" t="str">
            <v xml:space="preserve">NFT-/XUTR/DEUTH02428867200X </v>
          </cell>
          <cell r="CK3469" t="str">
            <v>2024-10-14</v>
          </cell>
          <cell r="CL3469">
            <v>79151.849000000002</v>
          </cell>
          <cell r="CM3469" t="str">
            <v xml:space="preserve">NFT-/XUTR/DEUTH02428846801X </v>
          </cell>
          <cell r="CN3469" t="str">
            <v>2024-10-14</v>
          </cell>
          <cell r="CO3469">
            <v>2911.7240000000002</v>
          </cell>
        </row>
        <row r="3470">
          <cell r="CJ3470" t="str">
            <v xml:space="preserve">NFT-/XUTR/DEUTH02428867200X </v>
          </cell>
          <cell r="CK3470" t="str">
            <v>2024-10-14</v>
          </cell>
          <cell r="CL3470">
            <v>38745.315999999999</v>
          </cell>
          <cell r="CM3470" t="str">
            <v xml:space="preserve">NFT-/XUTR/DEUTH02428846801X </v>
          </cell>
          <cell r="CN3470" t="str">
            <v>2024-10-14</v>
          </cell>
          <cell r="CO3470">
            <v>2922.4009999999998</v>
          </cell>
        </row>
        <row r="3471">
          <cell r="CJ3471" t="str">
            <v xml:space="preserve">NFT-/XUTR/DEUTH02428867200X </v>
          </cell>
          <cell r="CK3471" t="str">
            <v>2024-10-14</v>
          </cell>
          <cell r="CL3471">
            <v>77171.349000000002</v>
          </cell>
          <cell r="CM3471" t="str">
            <v xml:space="preserve">NFT-/XUTR/DEUTH02428846801X </v>
          </cell>
          <cell r="CN3471" t="str">
            <v>2024-10-14</v>
          </cell>
          <cell r="CO3471">
            <v>4852.8739999999998</v>
          </cell>
        </row>
        <row r="3472">
          <cell r="CJ3472" t="str">
            <v xml:space="preserve">NFT-/XUTR/DEUTH02428867200X </v>
          </cell>
          <cell r="CK3472" t="str">
            <v>2024-10-14</v>
          </cell>
          <cell r="CL3472">
            <v>61934.29</v>
          </cell>
          <cell r="CM3472" t="str">
            <v xml:space="preserve">NFT-/XUTR/DEUTH02428846801X </v>
          </cell>
          <cell r="CN3472" t="str">
            <v>2024-10-14</v>
          </cell>
          <cell r="CO3472">
            <v>4667.4960000000001</v>
          </cell>
        </row>
        <row r="3473">
          <cell r="CJ3473" t="str">
            <v xml:space="preserve">NFT-/XUTR/DEUTH02428867200X </v>
          </cell>
          <cell r="CK3473" t="str">
            <v>2024-10-14</v>
          </cell>
          <cell r="CL3473">
            <v>16714.776000000002</v>
          </cell>
        </row>
        <row r="3474">
          <cell r="CJ3474" t="str">
            <v xml:space="preserve">NFT-/XUTR/DEUTH02428867200X </v>
          </cell>
          <cell r="CK3474" t="str">
            <v>2024-10-14</v>
          </cell>
          <cell r="CL3474">
            <v>76987.468999999997</v>
          </cell>
          <cell r="CM3474" t="str">
            <v xml:space="preserve">NFT-/XUTR/DEUTH02428846801X </v>
          </cell>
          <cell r="CN3474" t="str">
            <v>2024-10-14</v>
          </cell>
          <cell r="CO3474">
            <v>4852.8739999999998</v>
          </cell>
        </row>
        <row r="3476">
          <cell r="CJ3476" t="str">
            <v xml:space="preserve">NFT-/XUTR/DEUTH02428867200X </v>
          </cell>
          <cell r="CK3476" t="str">
            <v>2024-10-14</v>
          </cell>
          <cell r="CL3476">
            <v>82931.266000000003</v>
          </cell>
          <cell r="CM3476" t="str">
            <v xml:space="preserve">NFT-/XUTR/DEUTH02428846801X </v>
          </cell>
          <cell r="CN3476" t="str">
            <v>2024-10-14</v>
          </cell>
          <cell r="CO3476">
            <v>248.46799999999999</v>
          </cell>
        </row>
        <row r="3477">
          <cell r="CJ3477" t="str">
            <v xml:space="preserve">NFT-/XUTR/DEUTH02428867200X </v>
          </cell>
          <cell r="CK3477" t="str">
            <v>2024-10-14</v>
          </cell>
          <cell r="CL3477">
            <v>38737.112000000001</v>
          </cell>
          <cell r="CM3477" t="str">
            <v xml:space="preserve">NFT-/XUTR/DEUTH02428846801X </v>
          </cell>
          <cell r="CN3477" t="str">
            <v>2024-10-14</v>
          </cell>
          <cell r="CO3477">
            <v>2911.7240000000002</v>
          </cell>
        </row>
        <row r="3478">
          <cell r="CJ3478" t="str">
            <v xml:space="preserve">NFT-/XUTR/DEUTH02428867200X </v>
          </cell>
          <cell r="CK3478" t="str">
            <v>2024-10-14</v>
          </cell>
          <cell r="CL3478">
            <v>38755.991999999998</v>
          </cell>
          <cell r="CM3478" t="str">
            <v xml:space="preserve">NFT-/XUTR/DEUTH02428846801X </v>
          </cell>
          <cell r="CN3478" t="str">
            <v>2024-10-14</v>
          </cell>
          <cell r="CO3478">
            <v>2911.7240000000002</v>
          </cell>
        </row>
        <row r="3479">
          <cell r="CJ3479" t="str">
            <v xml:space="preserve">NFT-/XUTR/DEUTH02428867200X </v>
          </cell>
          <cell r="CK3479" t="str">
            <v>2024-10-14</v>
          </cell>
          <cell r="CL3479">
            <v>79093.618000000002</v>
          </cell>
          <cell r="CM3479" t="str">
            <v xml:space="preserve">NFT-/XUTR/DEUTH02428846801X </v>
          </cell>
          <cell r="CN3479" t="str">
            <v>2024-10-14</v>
          </cell>
          <cell r="CO3479">
            <v>2911.7240000000002</v>
          </cell>
        </row>
        <row r="3480">
          <cell r="CJ3480" t="str">
            <v xml:space="preserve">NFT-/XUTR/DEUTH02428867200X </v>
          </cell>
          <cell r="CK3480" t="str">
            <v>2024-10-14</v>
          </cell>
          <cell r="CL3480">
            <v>38755.991999999998</v>
          </cell>
          <cell r="CM3480" t="str">
            <v xml:space="preserve">NFT-/XUTR/DEUTH02428846801X </v>
          </cell>
          <cell r="CN3480" t="str">
            <v>2024-10-14</v>
          </cell>
          <cell r="CO3480">
            <v>2911.7240000000002</v>
          </cell>
        </row>
        <row r="3481">
          <cell r="CJ3481" t="str">
            <v xml:space="preserve">NFT-/XUTR/DEUTH02428867200X </v>
          </cell>
          <cell r="CK3481" t="str">
            <v>2024-10-14</v>
          </cell>
          <cell r="CL3481">
            <v>80268.009999999995</v>
          </cell>
          <cell r="CM3481" t="str">
            <v xml:space="preserve">NFT-/XUTR/DEUTH02428846801X </v>
          </cell>
          <cell r="CN3481" t="str">
            <v>2024-10-14</v>
          </cell>
          <cell r="CO3481">
            <v>2911.7240000000002</v>
          </cell>
        </row>
        <row r="3482">
          <cell r="CJ3482" t="str">
            <v xml:space="preserve">NFT-/XUTR/DEUTH02428867200X </v>
          </cell>
          <cell r="CK3482" t="str">
            <v>2024-10-14</v>
          </cell>
          <cell r="CL3482">
            <v>79112.498000000007</v>
          </cell>
          <cell r="CM3482" t="str">
            <v xml:space="preserve">NFT-/XUTR/DEUTH02428846801X </v>
          </cell>
          <cell r="CN3482" t="str">
            <v>2024-10-14</v>
          </cell>
          <cell r="CO3482">
            <v>2911.7240000000002</v>
          </cell>
        </row>
        <row r="3483">
          <cell r="CJ3483" t="str">
            <v xml:space="preserve">NFT-/XUTR/DEUTH02428867200X </v>
          </cell>
          <cell r="CK3483" t="str">
            <v>2024-10-14</v>
          </cell>
          <cell r="CL3483">
            <v>10492.862999999999</v>
          </cell>
          <cell r="CM3483" t="str">
            <v xml:space="preserve">NFT-/XUTR/DEUTH02428846801X </v>
          </cell>
          <cell r="CN3483" t="str">
            <v>2024-10-14</v>
          </cell>
          <cell r="CO3483">
            <v>795.87300000000005</v>
          </cell>
        </row>
        <row r="3484">
          <cell r="CJ3484" t="str">
            <v xml:space="preserve">NFT-/XUTR/DEUTH02428867200X </v>
          </cell>
          <cell r="CK3484" t="str">
            <v>2024-10-14</v>
          </cell>
          <cell r="CL3484">
            <v>79170.729000000007</v>
          </cell>
          <cell r="CM3484" t="str">
            <v xml:space="preserve">NFT-/XUTR/DEUTH02428846801X </v>
          </cell>
          <cell r="CN3484" t="str">
            <v>2024-10-14</v>
          </cell>
          <cell r="CO3484">
            <v>2911.7240000000002</v>
          </cell>
        </row>
        <row r="3486">
          <cell r="CJ3486" t="str">
            <v xml:space="preserve">NFT-/XUTR/DEUTH02428867200X </v>
          </cell>
          <cell r="CK3486" t="str">
            <v>2024-10-14</v>
          </cell>
          <cell r="CL3486">
            <v>82024.222999999998</v>
          </cell>
        </row>
        <row r="3487">
          <cell r="CJ3487" t="str">
            <v xml:space="preserve">NFT-/XUTR/DEUTH02428867200X </v>
          </cell>
          <cell r="CK3487" t="str">
            <v>2024-10-14</v>
          </cell>
          <cell r="CL3487">
            <v>5989.3919999999998</v>
          </cell>
        </row>
        <row r="3489">
          <cell r="CJ3489" t="str">
            <v xml:space="preserve">NFT-/XUTR/DEUTH02428867200X </v>
          </cell>
          <cell r="CK3489" t="str">
            <v>2024-10-14</v>
          </cell>
          <cell r="CL3489">
            <v>77229.58</v>
          </cell>
          <cell r="CM3489" t="str">
            <v xml:space="preserve">NFT-/XUTR/DEUTH02428846801X </v>
          </cell>
          <cell r="CN3489" t="str">
            <v>2024-10-14</v>
          </cell>
          <cell r="CO3489">
            <v>4852.8739999999998</v>
          </cell>
        </row>
        <row r="3490">
          <cell r="CJ3490" t="str">
            <v xml:space="preserve">NFT-/XUTR/DEUTH02428867200X </v>
          </cell>
          <cell r="CK3490" t="str">
            <v>2024-10-14</v>
          </cell>
          <cell r="CL3490">
            <v>15529.175999999999</v>
          </cell>
          <cell r="CM3490" t="str">
            <v xml:space="preserve">NFT-/XUTR/DEUTH02428846801X </v>
          </cell>
          <cell r="CN3490" t="str">
            <v>2024-10-14</v>
          </cell>
          <cell r="CO3490">
            <v>1175.365</v>
          </cell>
        </row>
        <row r="3491">
          <cell r="CJ3491" t="str">
            <v xml:space="preserve">NFT-/XUTR/DEUTH02428867200X </v>
          </cell>
          <cell r="CK3491" t="str">
            <v>2024-10-14</v>
          </cell>
          <cell r="CL3491">
            <v>82005.342999999993</v>
          </cell>
          <cell r="CM3491" t="str">
            <v xml:space="preserve">NFT-/XUTR/DEUTH02429213780X </v>
          </cell>
          <cell r="CN3491" t="str">
            <v>2024-10-18</v>
          </cell>
          <cell r="CO3491">
            <v>-82005.342999999993</v>
          </cell>
        </row>
        <row r="3493">
          <cell r="CJ3493" t="str">
            <v xml:space="preserve">NFT-/XUTR/DEUTH02428867200X </v>
          </cell>
          <cell r="CK3493" t="str">
            <v>2024-10-14</v>
          </cell>
          <cell r="CL3493">
            <v>16733.655999999999</v>
          </cell>
          <cell r="CM3493" t="str">
            <v xml:space="preserve">NFT-/XUTR/DEUTH02429213780X </v>
          </cell>
          <cell r="CN3493" t="str">
            <v>2024-10-18</v>
          </cell>
          <cell r="CO3493">
            <v>-16733.655999999999</v>
          </cell>
        </row>
        <row r="3494">
          <cell r="CJ3494" t="str">
            <v xml:space="preserve">NFT-/XUTR/DEUTH02428867200X </v>
          </cell>
          <cell r="CK3494" t="str">
            <v>2024-10-14</v>
          </cell>
          <cell r="CL3494">
            <v>11609.023999999999</v>
          </cell>
          <cell r="CM3494" t="str">
            <v xml:space="preserve">NFT-/XUTR/DEUTH02429023615X </v>
          </cell>
          <cell r="CN3494" t="str">
            <v>2024-10-16</v>
          </cell>
          <cell r="CO3494">
            <v>-11609.023999999999</v>
          </cell>
        </row>
        <row r="3495">
          <cell r="CJ3495" t="str">
            <v xml:space="preserve">NFT-/XUTR/DEUTH02428867200X </v>
          </cell>
          <cell r="CK3495" t="str">
            <v>2024-10-14</v>
          </cell>
          <cell r="CL3495">
            <v>15556.352999999999</v>
          </cell>
          <cell r="CM3495" t="str">
            <v xml:space="preserve">NFT-/XUTR/DEUTH02428846801X </v>
          </cell>
          <cell r="CN3495" t="str">
            <v>2024-10-14</v>
          </cell>
          <cell r="CO3495">
            <v>1177.3040000000001</v>
          </cell>
        </row>
        <row r="3496">
          <cell r="CJ3496" t="str">
            <v xml:space="preserve">NFT-/XUTR/DEUTH02428867200X </v>
          </cell>
          <cell r="CK3496" t="str">
            <v>2024-10-14</v>
          </cell>
          <cell r="CL3496">
            <v>15529.174999999999</v>
          </cell>
          <cell r="CM3496" t="str">
            <v xml:space="preserve">NFT-/XUTR/DEUTH02428846801X </v>
          </cell>
          <cell r="CN3496" t="str">
            <v>2024-10-14</v>
          </cell>
          <cell r="CO3496">
            <v>1175.366</v>
          </cell>
        </row>
        <row r="3497">
          <cell r="CJ3497" t="str">
            <v xml:space="preserve">NFT-/XUTR/DEUTH02428867200X </v>
          </cell>
          <cell r="CK3497" t="str">
            <v>2024-10-14</v>
          </cell>
          <cell r="CL3497">
            <v>38755.991999999998</v>
          </cell>
          <cell r="CM3497" t="str">
            <v xml:space="preserve">NFT-/XUTR/DEUTH02428846801X </v>
          </cell>
          <cell r="CN3497" t="str">
            <v>2024-10-14</v>
          </cell>
          <cell r="CO3497">
            <v>2911.7240000000002</v>
          </cell>
        </row>
        <row r="3498">
          <cell r="CJ3498" t="str">
            <v xml:space="preserve">NFT-/XUTR/DEUTH02428867200X </v>
          </cell>
          <cell r="CK3498" t="str">
            <v>2024-10-14</v>
          </cell>
          <cell r="CL3498">
            <v>66737.67</v>
          </cell>
        </row>
        <row r="3499">
          <cell r="CJ3499" t="str">
            <v xml:space="preserve">NFT-/XUTR/DEUTH02428867200X </v>
          </cell>
          <cell r="CK3499" t="str">
            <v>2024-10-14</v>
          </cell>
          <cell r="CL3499">
            <v>78326.86</v>
          </cell>
          <cell r="CM3499" t="str">
            <v xml:space="preserve">NFT-/XUTR/DEUTH02428846801X </v>
          </cell>
          <cell r="CN3499" t="str">
            <v>2024-10-14</v>
          </cell>
          <cell r="CO3499">
            <v>4852.8739999999998</v>
          </cell>
        </row>
        <row r="3500">
          <cell r="CJ3500" t="str">
            <v xml:space="preserve">NFT-/XUTR/DEUTH02428867200X </v>
          </cell>
          <cell r="CK3500" t="str">
            <v>2024-10-14</v>
          </cell>
          <cell r="CL3500">
            <v>77035.998000000007</v>
          </cell>
          <cell r="CM3500" t="str">
            <v xml:space="preserve">NFT-/XUTR/DEUTH02428846801X </v>
          </cell>
          <cell r="CN3500" t="str">
            <v>2024-10-14</v>
          </cell>
          <cell r="CO3500">
            <v>4852.8739999999998</v>
          </cell>
        </row>
        <row r="3501">
          <cell r="CJ3501" t="str">
            <v xml:space="preserve">NFT-/XUTR/DEUTH02428867200X </v>
          </cell>
          <cell r="CK3501" t="str">
            <v>2024-10-14</v>
          </cell>
          <cell r="CL3501">
            <v>38644.915999999997</v>
          </cell>
          <cell r="CM3501" t="str">
            <v xml:space="preserve">NFT-/XUTR/DEUTH02428846801X </v>
          </cell>
          <cell r="CN3501" t="str">
            <v>2024-10-14</v>
          </cell>
          <cell r="CO3501">
            <v>2916.576</v>
          </cell>
        </row>
        <row r="3502">
          <cell r="CJ3502" t="str">
            <v xml:space="preserve">NFT-/XUTR/DEUTH02428867200X </v>
          </cell>
          <cell r="CK3502" t="str">
            <v>2024-10-14</v>
          </cell>
          <cell r="CL3502">
            <v>81888.870999999999</v>
          </cell>
        </row>
        <row r="3503">
          <cell r="CJ3503" t="str">
            <v xml:space="preserve">NFT-/XUTR/DEUTH02428867200X </v>
          </cell>
          <cell r="CK3503" t="str">
            <v>2024-10-14</v>
          </cell>
          <cell r="CL3503">
            <v>83198.614000000001</v>
          </cell>
        </row>
        <row r="3504">
          <cell r="CJ3504" t="str">
            <v xml:space="preserve">NFT-/XUTR/DEUTH02428867200X </v>
          </cell>
          <cell r="CK3504" t="str">
            <v>2024-10-14</v>
          </cell>
          <cell r="CL3504">
            <v>82005.342999999993</v>
          </cell>
        </row>
        <row r="3505">
          <cell r="CJ3505" t="str">
            <v xml:space="preserve">NFT-/XUTR/DEUTH02428867200X </v>
          </cell>
          <cell r="CK3505" t="str">
            <v>2024-10-14</v>
          </cell>
          <cell r="CL3505">
            <v>77171.347999999998</v>
          </cell>
          <cell r="CM3505" t="str">
            <v xml:space="preserve">NFT-/XUTR/DEUTH02428846801X </v>
          </cell>
          <cell r="CN3505" t="str">
            <v>2024-10-14</v>
          </cell>
          <cell r="CO3505">
            <v>4852.8739999999998</v>
          </cell>
        </row>
        <row r="3506">
          <cell r="CJ3506" t="str">
            <v xml:space="preserve">NFT-/XUTR/DEUTH02428867200X </v>
          </cell>
          <cell r="CK3506" t="str">
            <v>2024-10-14</v>
          </cell>
          <cell r="CL3506">
            <v>5989.3919999999998</v>
          </cell>
          <cell r="CM3506" t="str">
            <v xml:space="preserve">NFT-/XUTR/DEUTH02429760724X </v>
          </cell>
          <cell r="CN3506" t="str">
            <v>2024-10-23</v>
          </cell>
          <cell r="CO3506">
            <v>-5989.3919999999998</v>
          </cell>
        </row>
        <row r="3507">
          <cell r="CJ3507" t="str">
            <v xml:space="preserve">NFT-/XUTR/DEUTH02428867200X </v>
          </cell>
          <cell r="CK3507" t="str">
            <v>2024-10-14</v>
          </cell>
          <cell r="CL3507">
            <v>16099.87</v>
          </cell>
          <cell r="CM3507" t="str">
            <v xml:space="preserve">NFT-/XUTR/DEUTH02428846801X </v>
          </cell>
          <cell r="CN3507" t="str">
            <v>2024-10-14</v>
          </cell>
          <cell r="CO3507">
            <v>633.78599999999994</v>
          </cell>
        </row>
        <row r="3508">
          <cell r="CJ3508" t="str">
            <v xml:space="preserve">NFT-/XUTR/DEUTH02428867200X </v>
          </cell>
          <cell r="CK3508" t="str">
            <v>2024-10-14</v>
          </cell>
          <cell r="CL3508">
            <v>38755.991999999998</v>
          </cell>
          <cell r="CM3508" t="str">
            <v xml:space="preserve">NFT-/XUTR/DEUTH02428846801X </v>
          </cell>
          <cell r="CN3508" t="str">
            <v>2024-10-14</v>
          </cell>
          <cell r="CO3508">
            <v>2911.7240000000002</v>
          </cell>
        </row>
        <row r="3509">
          <cell r="CJ3509" t="str">
            <v xml:space="preserve">NFT-/XUTR/DEUTH02428867200X </v>
          </cell>
          <cell r="CK3509" t="str">
            <v>2024-10-14</v>
          </cell>
          <cell r="CL3509">
            <v>77006.349000000002</v>
          </cell>
          <cell r="CM3509" t="str">
            <v xml:space="preserve">NFT-/XUTR/DEUTH02428846801X </v>
          </cell>
          <cell r="CN3509" t="str">
            <v>2024-10-14</v>
          </cell>
          <cell r="CO3509">
            <v>4852.8739999999998</v>
          </cell>
          <cell r="CP3509" t="str">
            <v xml:space="preserve">NFT-/XUTR/DEUTH02429023615X </v>
          </cell>
          <cell r="CQ3509" t="str">
            <v>2024-10-16</v>
          </cell>
          <cell r="CR3509">
            <v>-77006.349000000002</v>
          </cell>
          <cell r="CS3509" t="str">
            <v xml:space="preserve">NFT-/XUTR/DEUTH02429026181X </v>
          </cell>
          <cell r="CT3509" t="str">
            <v>2024-10-16</v>
          </cell>
          <cell r="CU3509">
            <v>-4852.8739999999998</v>
          </cell>
        </row>
        <row r="3510">
          <cell r="CJ3510" t="str">
            <v xml:space="preserve">NFT-/XUTR/DEUTH02428867200X </v>
          </cell>
          <cell r="CK3510" t="str">
            <v>2024-10-14</v>
          </cell>
          <cell r="CL3510">
            <v>79093.618000000002</v>
          </cell>
          <cell r="CM3510" t="str">
            <v xml:space="preserve">NFT-/XUTR/DEUTH02428846801X </v>
          </cell>
          <cell r="CN3510" t="str">
            <v>2024-10-14</v>
          </cell>
          <cell r="CO3510">
            <v>2911.7240000000002</v>
          </cell>
        </row>
        <row r="3511">
          <cell r="CJ3511" t="str">
            <v xml:space="preserve">NFT-/XUTR/DEUTH02428867200X </v>
          </cell>
          <cell r="CK3511" t="str">
            <v>2024-10-14</v>
          </cell>
          <cell r="CL3511">
            <v>38755.991999999998</v>
          </cell>
          <cell r="CM3511" t="str">
            <v xml:space="preserve">NFT-/XUTR/DEUTH02428846801X </v>
          </cell>
          <cell r="CN3511" t="str">
            <v>2024-10-14</v>
          </cell>
          <cell r="CO3511">
            <v>2911.7240000000002</v>
          </cell>
        </row>
        <row r="3512">
          <cell r="CJ3512" t="str">
            <v xml:space="preserve">NFT-/XUTR/DEUTH02428867200X </v>
          </cell>
          <cell r="CK3512" t="str">
            <v>2024-10-14</v>
          </cell>
          <cell r="CL3512">
            <v>5989.3919999999998</v>
          </cell>
        </row>
        <row r="3513">
          <cell r="CJ3513" t="str">
            <v xml:space="preserve">NFT-/XUTR/DEUTH02428867200X </v>
          </cell>
          <cell r="CK3513" t="str">
            <v>2024-10-14</v>
          </cell>
          <cell r="CL3513">
            <v>38755.991999999998</v>
          </cell>
          <cell r="CM3513" t="str">
            <v xml:space="preserve">NFT-/XUTR/DEUTH02428846801X </v>
          </cell>
          <cell r="CN3513" t="str">
            <v>2024-10-14</v>
          </cell>
          <cell r="CO3513">
            <v>2911.7240000000002</v>
          </cell>
        </row>
        <row r="3514">
          <cell r="CJ3514" t="str">
            <v xml:space="preserve">NFT-/XUTR/DEUTH02428867200X </v>
          </cell>
          <cell r="CK3514" t="str">
            <v>2024-10-14</v>
          </cell>
          <cell r="CL3514">
            <v>77006.349000000002</v>
          </cell>
          <cell r="CM3514" t="str">
            <v xml:space="preserve">NFT-/XUTR/DEUTH02428846801X </v>
          </cell>
          <cell r="CN3514" t="str">
            <v>2024-10-14</v>
          </cell>
          <cell r="CO3514">
            <v>4852.8739999999998</v>
          </cell>
        </row>
        <row r="3515">
          <cell r="CJ3515" t="str">
            <v xml:space="preserve">NFT-/XUTR/DEUTH02428867200X </v>
          </cell>
          <cell r="CK3515" t="str">
            <v>2024-10-14</v>
          </cell>
          <cell r="CL3515">
            <v>11978.784</v>
          </cell>
        </row>
        <row r="3516">
          <cell r="CJ3516" t="str">
            <v xml:space="preserve">NFT-/XUTR/DEUTH02428867200X </v>
          </cell>
          <cell r="CK3516" t="str">
            <v>2024-10-14</v>
          </cell>
          <cell r="CL3516">
            <v>5621.11</v>
          </cell>
        </row>
        <row r="3517">
          <cell r="CJ3517" t="str">
            <v xml:space="preserve">NFT-/XUTR/DEUTH02428867200X </v>
          </cell>
          <cell r="CK3517" t="str">
            <v>2024-10-14</v>
          </cell>
          <cell r="CL3517">
            <v>16694.830000000002</v>
          </cell>
        </row>
        <row r="3519">
          <cell r="CJ3519" t="str">
            <v xml:space="preserve">NFT-/XUTR/DEUTH02428867200X </v>
          </cell>
          <cell r="CK3519" t="str">
            <v>2024-10-14</v>
          </cell>
          <cell r="CL3519">
            <v>16694.830000000002</v>
          </cell>
        </row>
        <row r="3520">
          <cell r="CJ3520" t="str">
            <v xml:space="preserve">NFT-/XUTR/DEUTH02428867200X </v>
          </cell>
          <cell r="CK3520" t="str">
            <v>2024-10-14</v>
          </cell>
          <cell r="CL3520">
            <v>8231.9500000000007</v>
          </cell>
          <cell r="CM3520" t="str">
            <v xml:space="preserve">NFT-/XUTR/DEUTH02428846801X </v>
          </cell>
          <cell r="CN3520" t="str">
            <v>2024-10-14</v>
          </cell>
          <cell r="CO3520">
            <v>165</v>
          </cell>
          <cell r="CP3520" t="str">
            <v xml:space="preserve">NFT-/XUTR/DEUTH02430209185X </v>
          </cell>
          <cell r="CQ3520" t="str">
            <v>2024-10-28</v>
          </cell>
          <cell r="CR3520">
            <v>-8530.02</v>
          </cell>
          <cell r="CS3520" t="str">
            <v xml:space="preserve">NFT-/XUTR/DEUTH024304A0ENJX </v>
          </cell>
          <cell r="CT3520" t="str">
            <v>2024-10-30</v>
          </cell>
          <cell r="CU3520">
            <v>298.07</v>
          </cell>
          <cell r="CV3520" t="str">
            <v xml:space="preserve">NFT-/XUTR/DEUTH024309A02A3X </v>
          </cell>
          <cell r="CW3520" t="str">
            <v>2024-11-04</v>
          </cell>
          <cell r="CX3520">
            <v>-165</v>
          </cell>
        </row>
        <row r="3521">
          <cell r="CJ3521" t="str">
            <v xml:space="preserve">NFT-/XUTR/DEUTH02428867200X </v>
          </cell>
          <cell r="CK3521" t="str">
            <v>2024-10-14</v>
          </cell>
          <cell r="CL3521">
            <v>81830.107999999993</v>
          </cell>
          <cell r="CM3521" t="str">
            <v xml:space="preserve">NFT-/XUTR/DEUTH02429509164X </v>
          </cell>
          <cell r="CN3521" t="str">
            <v>2024-10-21</v>
          </cell>
          <cell r="CO3521">
            <v>-81830.107999999993</v>
          </cell>
        </row>
        <row r="3522">
          <cell r="CJ3522" t="str">
            <v xml:space="preserve">NFT-/XUTR/DEUTH02428867200X </v>
          </cell>
          <cell r="CK3522" t="str">
            <v>2024-10-14</v>
          </cell>
          <cell r="CL3522">
            <v>5948.3540000000003</v>
          </cell>
        </row>
        <row r="3523">
          <cell r="CJ3523" t="str">
            <v xml:space="preserve">NFT-/XUTR/DEUTH02428867200X </v>
          </cell>
          <cell r="CK3523" t="str">
            <v>2024-10-14</v>
          </cell>
          <cell r="CL3523">
            <v>8406.3889999999992</v>
          </cell>
        </row>
        <row r="3524">
          <cell r="CJ3524" t="str">
            <v xml:space="preserve">NFT-/XUTR/DEUTH02428867200X </v>
          </cell>
          <cell r="CK3524" t="str">
            <v>2024-10-14</v>
          </cell>
          <cell r="CL3524">
            <v>76958.354000000007</v>
          </cell>
          <cell r="CM3524" t="str">
            <v xml:space="preserve">NFT-/XUTR/DEUTH02428846801X </v>
          </cell>
          <cell r="CN3524" t="str">
            <v>2024-10-14</v>
          </cell>
          <cell r="CO3524">
            <v>4852.8739999999998</v>
          </cell>
        </row>
        <row r="3525">
          <cell r="CJ3525" t="str">
            <v xml:space="preserve">NFT-/XUTR/DEUTH02428867200X </v>
          </cell>
          <cell r="CK3525" t="str">
            <v>2024-10-14</v>
          </cell>
          <cell r="CL3525">
            <v>16685.39</v>
          </cell>
        </row>
        <row r="3526">
          <cell r="CJ3526" t="str">
            <v xml:space="preserve">NFT-/XUTR/DEUTH02428867200X </v>
          </cell>
          <cell r="CK3526" t="str">
            <v>2024-10-14</v>
          </cell>
          <cell r="CL3526">
            <v>8435.2420000000002</v>
          </cell>
        </row>
        <row r="3527">
          <cell r="CJ3527" t="str">
            <v xml:space="preserve">NFT-/XUTR/DEUTH02428867200X </v>
          </cell>
          <cell r="CK3527" t="str">
            <v>2024-10-14</v>
          </cell>
          <cell r="CL3527">
            <v>66737.67</v>
          </cell>
        </row>
        <row r="3528">
          <cell r="CJ3528" t="str">
            <v xml:space="preserve">NFT-/XUTR/DEUTH02428867200X </v>
          </cell>
          <cell r="CK3528" t="str">
            <v>2024-10-14</v>
          </cell>
          <cell r="CL3528">
            <v>22596.876</v>
          </cell>
        </row>
        <row r="3529">
          <cell r="CJ3529" t="str">
            <v xml:space="preserve">NFT-/XUTR/DEUTH02428867200X </v>
          </cell>
          <cell r="CK3529" t="str">
            <v>2024-10-14</v>
          </cell>
          <cell r="CL3529">
            <v>25247.487000000001</v>
          </cell>
        </row>
        <row r="3530">
          <cell r="CJ3530" t="str">
            <v xml:space="preserve">NFT-/XUTR/DEUTH02428867200X </v>
          </cell>
          <cell r="CK3530" t="str">
            <v>2024-10-14</v>
          </cell>
          <cell r="CL3530">
            <v>23256.864000000001</v>
          </cell>
          <cell r="CM3530" t="str">
            <v xml:space="preserve">NFT-/XUTR/DEUTH02429760724X </v>
          </cell>
          <cell r="CN3530" t="str">
            <v>2024-10-23</v>
          </cell>
          <cell r="CO3530">
            <v>-23256.864000000001</v>
          </cell>
        </row>
        <row r="3531">
          <cell r="CJ3531" t="str">
            <v xml:space="preserve">NFT-/XUTR/DEUTH02428867200X </v>
          </cell>
          <cell r="CK3531" t="str">
            <v>2024-10-14</v>
          </cell>
          <cell r="CL3531">
            <v>81830.107999999993</v>
          </cell>
        </row>
        <row r="3532">
          <cell r="CJ3532" t="str">
            <v xml:space="preserve">NFT-/XUTR/DEUTH02428867200X </v>
          </cell>
          <cell r="CK3532" t="str">
            <v>2024-10-14</v>
          </cell>
          <cell r="CL3532">
            <v>41570.659</v>
          </cell>
        </row>
        <row r="3533">
          <cell r="CJ3533" t="str">
            <v xml:space="preserve">NFT-/XUTR/DEUTH02428867200X </v>
          </cell>
          <cell r="CK3533" t="str">
            <v>2024-10-14</v>
          </cell>
          <cell r="CL3533">
            <v>5999.0940000000001</v>
          </cell>
          <cell r="CM3533" t="str">
            <v xml:space="preserve">NFT-/XUTR/DEUTH02429509164X </v>
          </cell>
          <cell r="CN3533" t="str">
            <v>2024-10-21</v>
          </cell>
          <cell r="CO3533">
            <v>-5999.0940000000001</v>
          </cell>
        </row>
        <row r="3534">
          <cell r="CJ3534" t="str">
            <v xml:space="preserve">NFT-/XUTR/DEUTH02428867200X </v>
          </cell>
          <cell r="CK3534" t="str">
            <v>2024-10-14</v>
          </cell>
          <cell r="CL3534">
            <v>5999.0940000000001</v>
          </cell>
        </row>
        <row r="3535">
          <cell r="CJ3535" t="str">
            <v xml:space="preserve">NFT-/XUTR/DEUTH02428867200X </v>
          </cell>
          <cell r="CK3535" t="str">
            <v>2024-10-14</v>
          </cell>
          <cell r="CL3535">
            <v>41570.659</v>
          </cell>
        </row>
        <row r="3537">
          <cell r="CJ3537" t="str">
            <v xml:space="preserve">NFT-/XUTR/DEUTH02428867200X </v>
          </cell>
          <cell r="CK3537" t="str">
            <v>2024-10-14</v>
          </cell>
          <cell r="CL3537">
            <v>11628.427</v>
          </cell>
        </row>
        <row r="3538">
          <cell r="CJ3538" t="str">
            <v xml:space="preserve">NFT-/XUTR/DEUTH02428867200X </v>
          </cell>
          <cell r="CK3538" t="str">
            <v>2024-10-14</v>
          </cell>
          <cell r="CL3538">
            <v>2777.7379999999998</v>
          </cell>
          <cell r="CM3538" t="str">
            <v xml:space="preserve">NFT-/XUTR/DEUTH02429023615X </v>
          </cell>
          <cell r="CN3538" t="str">
            <v>2024-10-16</v>
          </cell>
          <cell r="CO3538">
            <v>-2777.7379999999998</v>
          </cell>
        </row>
        <row r="3539">
          <cell r="CJ3539" t="str">
            <v xml:space="preserve">NFT-/XUTR/DEUTH02428867200X </v>
          </cell>
          <cell r="CK3539" t="str">
            <v>2024-10-14</v>
          </cell>
          <cell r="CL3539">
            <v>1388.864</v>
          </cell>
        </row>
        <row r="3540">
          <cell r="CJ3540" t="str">
            <v xml:space="preserve">NFT-/XUTR/DEUTH02428867200X </v>
          </cell>
          <cell r="CK3540" t="str">
            <v>2024-10-14</v>
          </cell>
          <cell r="CL3540">
            <v>16694.830000000002</v>
          </cell>
          <cell r="CM3540" t="str">
            <v xml:space="preserve">NFT-/XUTR/DEUTH02429509164X </v>
          </cell>
          <cell r="CN3540" t="str">
            <v>2024-10-21</v>
          </cell>
          <cell r="CO3540">
            <v>-16694.830000000002</v>
          </cell>
        </row>
        <row r="3541">
          <cell r="CJ3541" t="str">
            <v xml:space="preserve">NFT-/XUTR/DEUTH02428867200X </v>
          </cell>
          <cell r="CK3541" t="str">
            <v>2024-10-14</v>
          </cell>
          <cell r="CL3541">
            <v>16675.95</v>
          </cell>
        </row>
        <row r="3542">
          <cell r="CJ3542" t="str">
            <v xml:space="preserve">NFT-/XUTR/DEUTH02428867200X </v>
          </cell>
          <cell r="CK3542" t="str">
            <v>2024-10-14</v>
          </cell>
          <cell r="CL3542">
            <v>81811.228000000003</v>
          </cell>
        </row>
        <row r="3543">
          <cell r="CJ3543" t="str">
            <v xml:space="preserve">NFT-/XUTR/DEUTH02428867200X </v>
          </cell>
          <cell r="CK3543" t="str">
            <v>2024-10-14</v>
          </cell>
          <cell r="CL3543">
            <v>16831.657999999999</v>
          </cell>
        </row>
        <row r="3544">
          <cell r="CJ3544" t="str">
            <v xml:space="preserve">NFT-/XUTR/DEUTH02428867200X </v>
          </cell>
          <cell r="CK3544" t="str">
            <v>2024-10-14</v>
          </cell>
          <cell r="CL3544">
            <v>16694.830000000002</v>
          </cell>
        </row>
        <row r="3545">
          <cell r="CJ3545" t="str">
            <v xml:space="preserve">NFT-/XUTR/DEUTH02428867200X </v>
          </cell>
          <cell r="CK3545" t="str">
            <v>2024-10-14</v>
          </cell>
          <cell r="CL3545">
            <v>11628.427</v>
          </cell>
          <cell r="CM3545" t="str">
            <v xml:space="preserve">NFT-/XUTR/DEUTH02429023615X </v>
          </cell>
          <cell r="CN3545" t="str">
            <v>2024-10-16</v>
          </cell>
          <cell r="CO3545">
            <v>-11628.427</v>
          </cell>
        </row>
        <row r="3546">
          <cell r="CJ3546" t="str">
            <v xml:space="preserve">NFT-/XUTR/DEUTH02428867200X </v>
          </cell>
          <cell r="CK3546" t="str">
            <v>2024-10-14</v>
          </cell>
          <cell r="CL3546">
            <v>16694.830000000002</v>
          </cell>
        </row>
        <row r="3547">
          <cell r="CJ3547" t="str">
            <v xml:space="preserve">NFT-/XUTR/DEUTH02428867200X </v>
          </cell>
          <cell r="CK3547" t="str">
            <v>2024-10-14</v>
          </cell>
          <cell r="CL3547">
            <v>8396.9490000000005</v>
          </cell>
        </row>
        <row r="3548">
          <cell r="CJ3548" t="str">
            <v xml:space="preserve">NFT-/XUTR/DEUTH02428867200X </v>
          </cell>
          <cell r="CK3548" t="str">
            <v>2024-10-14</v>
          </cell>
          <cell r="CL3548">
            <v>81811.228000000003</v>
          </cell>
        </row>
        <row r="3549">
          <cell r="CJ3549" t="str">
            <v xml:space="preserve">NFT-/XUTR/DEUTH02429023615X </v>
          </cell>
          <cell r="CK3549" t="str">
            <v>2024-10-16</v>
          </cell>
          <cell r="CL3549">
            <v>81655.929999999993</v>
          </cell>
        </row>
        <row r="3550">
          <cell r="CJ3550" t="str">
            <v xml:space="preserve">NFT-/XUTR/DEUTH02429023615X </v>
          </cell>
          <cell r="CK3550" t="str">
            <v>2024-10-16</v>
          </cell>
          <cell r="CL3550">
            <v>83004.498999999996</v>
          </cell>
        </row>
        <row r="3551">
          <cell r="CJ3551" t="str">
            <v xml:space="preserve">NFT-/XUTR/DEUTH02429023615X </v>
          </cell>
          <cell r="CK3551" t="str">
            <v>2024-10-16</v>
          </cell>
          <cell r="CL3551">
            <v>2543.8519999999999</v>
          </cell>
        </row>
        <row r="3552">
          <cell r="CJ3552" t="str">
            <v xml:space="preserve">NFT-/XUTR/DEUTH02429023615X </v>
          </cell>
          <cell r="CK3552" t="str">
            <v>2024-10-16</v>
          </cell>
          <cell r="CL3552">
            <v>16665.714</v>
          </cell>
          <cell r="CM3552" t="str">
            <v xml:space="preserve">NFT-/XUTR/DEUTH02429509164X </v>
          </cell>
          <cell r="CN3552" t="str">
            <v>2024-10-21</v>
          </cell>
          <cell r="CO3552">
            <v>-16665.714</v>
          </cell>
        </row>
        <row r="3553">
          <cell r="CJ3553" t="str">
            <v xml:space="preserve">NFT-/XUTR/DEUTH02428867200X </v>
          </cell>
          <cell r="CK3553" t="str">
            <v>2024-10-14</v>
          </cell>
          <cell r="CL3553">
            <v>11298.438</v>
          </cell>
        </row>
        <row r="3554">
          <cell r="CJ3554" t="str">
            <v xml:space="preserve">NFT-/XUTR/DEUTH02428867200X </v>
          </cell>
          <cell r="CK3554" t="str">
            <v>2024-10-14</v>
          </cell>
          <cell r="CL3554">
            <v>81888.339000000007</v>
          </cell>
        </row>
        <row r="3555">
          <cell r="CJ3555" t="str">
            <v xml:space="preserve">NFT-/XUTR/DEUTH02429023615X </v>
          </cell>
          <cell r="CK3555" t="str">
            <v>2024-10-16</v>
          </cell>
          <cell r="CL3555">
            <v>16665.714</v>
          </cell>
        </row>
        <row r="3556">
          <cell r="CJ3556" t="str">
            <v xml:space="preserve">NFT-/XUTR/DEUTH02429023615X </v>
          </cell>
          <cell r="CK3556" t="str">
            <v>2024-10-16</v>
          </cell>
          <cell r="CL3556">
            <v>81674.81</v>
          </cell>
          <cell r="CM3556" t="str">
            <v xml:space="preserve">NFT-/XUTR/DEUTH02429509164X </v>
          </cell>
          <cell r="CN3556" t="str">
            <v>2024-10-21</v>
          </cell>
          <cell r="CO3556">
            <v>-81674.81</v>
          </cell>
        </row>
        <row r="3557">
          <cell r="CJ3557" t="str">
            <v xml:space="preserve">NFT-/XUTR/DEUTH02429023615X </v>
          </cell>
          <cell r="CK3557" t="str">
            <v>2024-10-16</v>
          </cell>
          <cell r="CL3557">
            <v>41474.133999999998</v>
          </cell>
        </row>
        <row r="3558">
          <cell r="CJ3558" t="str">
            <v xml:space="preserve">NFT-/XUTR/DEUTH02428867200X </v>
          </cell>
          <cell r="CK3558" t="str">
            <v>2024-10-14</v>
          </cell>
          <cell r="CL3558">
            <v>81811.228000000003</v>
          </cell>
        </row>
        <row r="3559">
          <cell r="CJ3559" t="str">
            <v xml:space="preserve">NFT-/XUTR/DEUTH02429023615X </v>
          </cell>
          <cell r="CK3559" t="str">
            <v>2024-10-16</v>
          </cell>
          <cell r="CL3559">
            <v>2524.9720000000002</v>
          </cell>
        </row>
        <row r="3560">
          <cell r="CJ3560" t="str">
            <v xml:space="preserve">NFT-/XUTR/DEUTH02429023615X </v>
          </cell>
          <cell r="CK3560" t="str">
            <v>2024-10-16</v>
          </cell>
          <cell r="CL3560">
            <v>81655.929999999993</v>
          </cell>
          <cell r="CM3560" t="str">
            <v xml:space="preserve">NFT-/XUTR/DEUTH02429509164X </v>
          </cell>
          <cell r="CN3560" t="str">
            <v>2024-10-21</v>
          </cell>
          <cell r="CO3560">
            <v>-81655.929999999993</v>
          </cell>
        </row>
        <row r="3561">
          <cell r="CJ3561" t="str">
            <v xml:space="preserve">NFT-/XUTR/DEUTH02429023615X </v>
          </cell>
          <cell r="CK3561" t="str">
            <v>2024-10-16</v>
          </cell>
          <cell r="CL3561">
            <v>1359.749</v>
          </cell>
        </row>
        <row r="3562">
          <cell r="CJ3562" t="str">
            <v xml:space="preserve">NFT-/XUTR/DEUTH02429023615X </v>
          </cell>
          <cell r="CK3562" t="str">
            <v>2024-10-16</v>
          </cell>
          <cell r="CL3562">
            <v>2689.4380000000001</v>
          </cell>
        </row>
        <row r="3563">
          <cell r="CJ3563" t="str">
            <v xml:space="preserve">NFT-/XUTR/DEUTH02429023615X </v>
          </cell>
          <cell r="CK3563" t="str">
            <v>2024-10-16</v>
          </cell>
          <cell r="CL3563">
            <v>16608.007000000001</v>
          </cell>
        </row>
        <row r="3564">
          <cell r="CJ3564" t="str">
            <v xml:space="preserve">NFT-/XUTR/DEUTH02429023615X </v>
          </cell>
          <cell r="CK3564" t="str">
            <v>2024-10-16</v>
          </cell>
          <cell r="CL3564">
            <v>1359.749</v>
          </cell>
        </row>
        <row r="3565">
          <cell r="CJ3565" t="str">
            <v xml:space="preserve">NFT-/XUTR/DEUTH02429023615X </v>
          </cell>
          <cell r="CK3565" t="str">
            <v>2024-10-16</v>
          </cell>
          <cell r="CL3565">
            <v>41493.014000000003</v>
          </cell>
        </row>
        <row r="3566">
          <cell r="CJ3566" t="str">
            <v xml:space="preserve">NFT-/XUTR/DEUTH02429023615X </v>
          </cell>
          <cell r="CK3566" t="str">
            <v>2024-10-16</v>
          </cell>
          <cell r="CL3566">
            <v>16608.007000000001</v>
          </cell>
        </row>
        <row r="3567">
          <cell r="CJ3567" t="str">
            <v xml:space="preserve">NFT-/XUTR/DEUTH02429213780X </v>
          </cell>
          <cell r="CK3567" t="str">
            <v>2024-10-18</v>
          </cell>
          <cell r="CL3567">
            <v>14537.25</v>
          </cell>
          <cell r="CM3567" t="str">
            <v xml:space="preserve">NFT-/XUTR/DEUTH02429215994X </v>
          </cell>
          <cell r="CN3567" t="str">
            <v>2024-10-18</v>
          </cell>
          <cell r="CO3567">
            <v>1953.7639999999999</v>
          </cell>
        </row>
        <row r="3568">
          <cell r="CJ3568" t="str">
            <v xml:space="preserve">NFT-/XUTR/DEUTH02429213780X </v>
          </cell>
          <cell r="CK3568" t="str">
            <v>2024-10-18</v>
          </cell>
          <cell r="CL3568">
            <v>77793.485000000001</v>
          </cell>
          <cell r="CM3568" t="str">
            <v xml:space="preserve">NFT-/XUTR/DEUTH02429215994X </v>
          </cell>
          <cell r="CN3568" t="str">
            <v>2024-10-18</v>
          </cell>
          <cell r="CO3568">
            <v>3036.9319999999998</v>
          </cell>
          <cell r="CP3568" t="str">
            <v xml:space="preserve">NFT-/XUTR/DEUTH024299A09NOX </v>
          </cell>
          <cell r="CQ3568" t="str">
            <v>2024-10-25</v>
          </cell>
          <cell r="CR3568">
            <v>-77793.485000000001</v>
          </cell>
          <cell r="CS3568" t="str">
            <v xml:space="preserve">NFT-/XUTR/DEUTH024309A02A3X </v>
          </cell>
          <cell r="CT3568" t="str">
            <v>2024-11-04</v>
          </cell>
          <cell r="CU3568">
            <v>-3036.9319999999998</v>
          </cell>
        </row>
        <row r="3569">
          <cell r="CJ3569" t="str">
            <v xml:space="preserve">NFT-/XUTR/DEUTH02429213780X </v>
          </cell>
          <cell r="CK3569" t="str">
            <v>2024-10-18</v>
          </cell>
          <cell r="CL3569">
            <v>14537.25</v>
          </cell>
          <cell r="CM3569" t="str">
            <v xml:space="preserve">NFT-/XUTR/DEUTH02429215994X </v>
          </cell>
          <cell r="CN3569" t="str">
            <v>2024-10-18</v>
          </cell>
          <cell r="CO3569">
            <v>1953.7639999999999</v>
          </cell>
        </row>
        <row r="3570">
          <cell r="CJ3570" t="str">
            <v xml:space="preserve">NFT-/XUTR/DEUTH02429213780X </v>
          </cell>
          <cell r="CK3570" t="str">
            <v>2024-10-18</v>
          </cell>
          <cell r="CL3570">
            <v>14537.25</v>
          </cell>
          <cell r="CM3570" t="str">
            <v xml:space="preserve">NFT-/XUTR/DEUTH02429215994X </v>
          </cell>
          <cell r="CN3570" t="str">
            <v>2024-10-18</v>
          </cell>
          <cell r="CO3570">
            <v>1953.7639999999999</v>
          </cell>
        </row>
        <row r="3571">
          <cell r="CJ3571" t="str">
            <v xml:space="preserve">NFT-/XUTR/DEUTH02429213780X </v>
          </cell>
          <cell r="CK3571" t="str">
            <v>2024-10-18</v>
          </cell>
          <cell r="CL3571">
            <v>5416.7489999999998</v>
          </cell>
          <cell r="CM3571" t="str">
            <v xml:space="preserve">NFT-/XUTR/DEUTH02430209185X </v>
          </cell>
          <cell r="CN3571" t="str">
            <v>2024-10-28</v>
          </cell>
          <cell r="CO3571">
            <v>-5416.7489999999998</v>
          </cell>
        </row>
        <row r="3572">
          <cell r="CJ3572" t="str">
            <v xml:space="preserve">NFT-/XUTR/DEUTH02429213780X </v>
          </cell>
          <cell r="CK3572" t="str">
            <v>2024-10-18</v>
          </cell>
          <cell r="CL3572">
            <v>14537.25</v>
          </cell>
          <cell r="CM3572" t="str">
            <v xml:space="preserve">NFT-/XUTR/DEUTH02429215994X </v>
          </cell>
          <cell r="CN3572" t="str">
            <v>2024-10-18</v>
          </cell>
          <cell r="CO3572">
            <v>1953.7639999999999</v>
          </cell>
        </row>
        <row r="3573">
          <cell r="CJ3573" t="str">
            <v xml:space="preserve">NFT-/XUTR/DEUTH02429213780X </v>
          </cell>
          <cell r="CK3573" t="str">
            <v>2024-10-18</v>
          </cell>
          <cell r="CL3573">
            <v>14518.37</v>
          </cell>
          <cell r="CM3573" t="str">
            <v xml:space="preserve">NFT-/XUTR/DEUTH02429215994X </v>
          </cell>
          <cell r="CN3573" t="str">
            <v>2024-10-18</v>
          </cell>
          <cell r="CO3573">
            <v>1953.7639999999999</v>
          </cell>
        </row>
        <row r="3574">
          <cell r="CJ3574" t="str">
            <v xml:space="preserve">NFT-/XUTR/DEUTH02429213780X </v>
          </cell>
          <cell r="CK3574" t="str">
            <v>2024-10-18</v>
          </cell>
          <cell r="CL3574">
            <v>15016.27</v>
          </cell>
          <cell r="CM3574" t="str">
            <v xml:space="preserve">NFT-/XUTR/DEUTH02429215994X </v>
          </cell>
          <cell r="CN3574" t="str">
            <v>2024-10-18</v>
          </cell>
          <cell r="CO3574">
            <v>1455.8620000000001</v>
          </cell>
          <cell r="CP3574" t="str">
            <v xml:space="preserve">NFT-/XUTR/DEUTH02431839302X </v>
          </cell>
          <cell r="CQ3574" t="str">
            <v>2024-11-13</v>
          </cell>
          <cell r="CR3574">
            <v>-15016.27</v>
          </cell>
          <cell r="CS3574" t="str">
            <v xml:space="preserve">NFT-/XUTR/DEUTH02431843558X </v>
          </cell>
          <cell r="CT3574" t="str">
            <v>2024-11-13</v>
          </cell>
          <cell r="CU3574">
            <v>-1455.8620000000001</v>
          </cell>
        </row>
        <row r="3575">
          <cell r="CJ3575" t="str">
            <v xml:space="preserve">NFT-/XUTR/DEUTH02429213780X </v>
          </cell>
          <cell r="CK3575" t="str">
            <v>2024-10-18</v>
          </cell>
          <cell r="CL3575">
            <v>14537.25</v>
          </cell>
          <cell r="CM3575" t="str">
            <v xml:space="preserve">NFT-/XUTR/DEUTH02429215994X </v>
          </cell>
          <cell r="CN3575" t="str">
            <v>2024-10-18</v>
          </cell>
          <cell r="CO3575">
            <v>1953.7639999999999</v>
          </cell>
        </row>
        <row r="3576">
          <cell r="CJ3576" t="str">
            <v xml:space="preserve">NFT-/XUTR/DEUTH02429213780X </v>
          </cell>
          <cell r="CK3576" t="str">
            <v>2024-10-18</v>
          </cell>
          <cell r="CL3576">
            <v>14537.25</v>
          </cell>
          <cell r="CM3576" t="str">
            <v xml:space="preserve">NFT-/XUTR/DEUTH02429215994X </v>
          </cell>
          <cell r="CN3576" t="str">
            <v>2024-10-18</v>
          </cell>
          <cell r="CO3576">
            <v>1953.7639999999999</v>
          </cell>
        </row>
        <row r="3577">
          <cell r="CJ3577" t="str">
            <v xml:space="preserve">NFT-/XUTR/DEUTH02429213780X </v>
          </cell>
          <cell r="CK3577" t="str">
            <v>2024-10-18</v>
          </cell>
          <cell r="CL3577">
            <v>79504.164999999994</v>
          </cell>
          <cell r="CM3577" t="str">
            <v xml:space="preserve">NFT-/XUTR/DEUTH02429215994X </v>
          </cell>
          <cell r="CN3577" t="str">
            <v>2024-10-18</v>
          </cell>
          <cell r="CO3577">
            <v>2462.3510000000001</v>
          </cell>
        </row>
        <row r="3578">
          <cell r="CJ3578" t="str">
            <v xml:space="preserve">NFT-/XUTR/DEUTH02429213780X </v>
          </cell>
          <cell r="CK3578" t="str">
            <v>2024-10-18</v>
          </cell>
          <cell r="CL3578">
            <v>9695.0509999999995</v>
          </cell>
          <cell r="CM3578" t="str">
            <v xml:space="preserve">NFT-/XUTR/DEUTH02429215994X </v>
          </cell>
          <cell r="CN3578" t="str">
            <v>2024-10-18</v>
          </cell>
          <cell r="CO3578">
            <v>1477.2139999999999</v>
          </cell>
        </row>
        <row r="3579">
          <cell r="CJ3579" t="str">
            <v xml:space="preserve">NFT-/XUTR/DEUTH02429213780X </v>
          </cell>
          <cell r="CK3579" t="str">
            <v>2024-10-18</v>
          </cell>
          <cell r="CL3579">
            <v>14518.37</v>
          </cell>
          <cell r="CM3579" t="str">
            <v xml:space="preserve">NFT-/XUTR/DEUTH02429215994X </v>
          </cell>
          <cell r="CN3579" t="str">
            <v>2024-10-18</v>
          </cell>
          <cell r="CO3579">
            <v>1953.7639999999999</v>
          </cell>
        </row>
        <row r="3580">
          <cell r="CJ3580" t="str">
            <v xml:space="preserve">NFT-/XUTR/DEUTH02429213780X </v>
          </cell>
          <cell r="CK3580" t="str">
            <v>2024-10-18</v>
          </cell>
          <cell r="CL3580">
            <v>14518.37</v>
          </cell>
          <cell r="CM3580" t="str">
            <v xml:space="preserve">NFT-/XUTR/DEUTH02429215994X </v>
          </cell>
          <cell r="CN3580" t="str">
            <v>2024-10-18</v>
          </cell>
          <cell r="CO3580">
            <v>1953.7639999999999</v>
          </cell>
        </row>
        <row r="3581">
          <cell r="CJ3581" t="str">
            <v xml:space="preserve">NFT-/XUTR/DEUTH02429213780X </v>
          </cell>
          <cell r="CK3581" t="str">
            <v>2024-10-18</v>
          </cell>
          <cell r="CL3581">
            <v>14537.25</v>
          </cell>
          <cell r="CM3581" t="str">
            <v xml:space="preserve">NFT-/XUTR/DEUTH02429215994X </v>
          </cell>
          <cell r="CN3581" t="str">
            <v>2024-10-18</v>
          </cell>
          <cell r="CO3581">
            <v>1953.7639999999999</v>
          </cell>
        </row>
        <row r="3582">
          <cell r="CJ3582" t="str">
            <v xml:space="preserve">NFT-/XUTR/DEUTH02429213780X </v>
          </cell>
          <cell r="CK3582" t="str">
            <v>2024-10-18</v>
          </cell>
          <cell r="CL3582">
            <v>39831.398000000001</v>
          </cell>
          <cell r="CM3582" t="str">
            <v xml:space="preserve">NFT-/XUTR/DEUTH02429215994X </v>
          </cell>
          <cell r="CN3582" t="str">
            <v>2024-10-18</v>
          </cell>
          <cell r="CO3582">
            <v>1234.57</v>
          </cell>
        </row>
        <row r="3583">
          <cell r="CJ3583" t="str">
            <v xml:space="preserve">NFT-/XUTR/DEUTH02429213780X </v>
          </cell>
          <cell r="CK3583" t="str">
            <v>2024-10-18</v>
          </cell>
          <cell r="CL3583">
            <v>14537.25</v>
          </cell>
          <cell r="CM3583" t="str">
            <v xml:space="preserve">NFT-/XUTR/DEUTH02429215994X </v>
          </cell>
          <cell r="CN3583" t="str">
            <v>2024-10-18</v>
          </cell>
          <cell r="CO3583">
            <v>1953.7639999999999</v>
          </cell>
        </row>
        <row r="3584">
          <cell r="CJ3584" t="str">
            <v xml:space="preserve">NFT-/XUTR/DEUTH02429213780X </v>
          </cell>
          <cell r="CK3584" t="str">
            <v>2024-10-18</v>
          </cell>
          <cell r="CL3584">
            <v>14537.25</v>
          </cell>
          <cell r="CM3584" t="str">
            <v xml:space="preserve">NFT-/XUTR/DEUTH02429215994X </v>
          </cell>
          <cell r="CN3584" t="str">
            <v>2024-10-18</v>
          </cell>
          <cell r="CO3584">
            <v>1953.7639999999999</v>
          </cell>
        </row>
        <row r="3585">
          <cell r="CJ3585" t="str">
            <v xml:space="preserve">NFT-/XUTR/DEUTH02429213780X </v>
          </cell>
          <cell r="CK3585" t="str">
            <v>2024-10-18</v>
          </cell>
          <cell r="CL3585">
            <v>14301.928</v>
          </cell>
          <cell r="CM3585" t="str">
            <v xml:space="preserve">NFT-/XUTR/DEUTH02429215994X </v>
          </cell>
          <cell r="CN3585" t="str">
            <v>2024-10-18</v>
          </cell>
          <cell r="CO3585">
            <v>2170.2049999999999</v>
          </cell>
        </row>
        <row r="3586">
          <cell r="CJ3586" t="str">
            <v xml:space="preserve">NFT-/XUTR/DEUTH02429213780X </v>
          </cell>
          <cell r="CK3586" t="str">
            <v>2024-10-18</v>
          </cell>
          <cell r="CL3586">
            <v>14537.25</v>
          </cell>
          <cell r="CM3586" t="str">
            <v xml:space="preserve">NFT-/XUTR/DEUTH02429215994X </v>
          </cell>
          <cell r="CN3586" t="str">
            <v>2024-10-18</v>
          </cell>
          <cell r="CO3586">
            <v>1953.7639999999999</v>
          </cell>
        </row>
        <row r="3587">
          <cell r="CJ3587" t="str">
            <v xml:space="preserve">NFT-/XUTR/DEUTH02429213780X </v>
          </cell>
          <cell r="CK3587" t="str">
            <v>2024-10-18</v>
          </cell>
          <cell r="CL3587">
            <v>14518.37</v>
          </cell>
          <cell r="CM3587" t="str">
            <v xml:space="preserve">NFT-/XUTR/DEUTH02429215994X </v>
          </cell>
          <cell r="CN3587" t="str">
            <v>2024-10-18</v>
          </cell>
          <cell r="CO3587">
            <v>1953.7639999999999</v>
          </cell>
        </row>
        <row r="3588">
          <cell r="CJ3588" t="str">
            <v xml:space="preserve">NFT-/XUTR/DEUTH02429213780X </v>
          </cell>
          <cell r="CK3588" t="str">
            <v>2024-10-18</v>
          </cell>
          <cell r="CL3588">
            <v>14537.25</v>
          </cell>
          <cell r="CM3588" t="str">
            <v xml:space="preserve">NFT-/XUTR/DEUTH02429215994X </v>
          </cell>
          <cell r="CN3588" t="str">
            <v>2024-10-18</v>
          </cell>
          <cell r="CO3588">
            <v>1953.7639999999999</v>
          </cell>
        </row>
        <row r="3589">
          <cell r="CJ3589" t="str">
            <v xml:space="preserve">NFT-/XUTR/DEUTH02429213780X </v>
          </cell>
          <cell r="CK3589" t="str">
            <v>2024-10-18</v>
          </cell>
          <cell r="CL3589">
            <v>14537.25</v>
          </cell>
          <cell r="CM3589" t="str">
            <v xml:space="preserve">NFT-/XUTR/DEUTH02429215994X </v>
          </cell>
          <cell r="CN3589" t="str">
            <v>2024-10-18</v>
          </cell>
          <cell r="CO3589">
            <v>1953.7639999999999</v>
          </cell>
        </row>
        <row r="3590">
          <cell r="CJ3590" t="str">
            <v xml:space="preserve">NFT-/XUTR/DEUTH02429213780X </v>
          </cell>
          <cell r="CK3590" t="str">
            <v>2024-10-18</v>
          </cell>
          <cell r="CL3590">
            <v>14518.37</v>
          </cell>
          <cell r="CM3590" t="str">
            <v xml:space="preserve">NFT-/XUTR/DEUTH02429215994X </v>
          </cell>
          <cell r="CN3590" t="str">
            <v>2024-10-18</v>
          </cell>
          <cell r="CO3590">
            <v>1953.7639999999999</v>
          </cell>
        </row>
        <row r="3591">
          <cell r="CJ3591" t="str">
            <v xml:space="preserve">NFT-/XUTR/DEUTH02429213780X </v>
          </cell>
          <cell r="CK3591" t="str">
            <v>2024-10-18</v>
          </cell>
          <cell r="CL3591">
            <v>14537.25</v>
          </cell>
          <cell r="CM3591" t="str">
            <v xml:space="preserve">NFT-/XUTR/DEUTH02429215994X </v>
          </cell>
          <cell r="CN3591" t="str">
            <v>2024-10-18</v>
          </cell>
          <cell r="CO3591">
            <v>1953.7639999999999</v>
          </cell>
        </row>
        <row r="3592">
          <cell r="CJ3592" t="str">
            <v xml:space="preserve">NFT-/XUTR/DEUTH02429023615X </v>
          </cell>
          <cell r="CK3592" t="str">
            <v>2024-10-16</v>
          </cell>
          <cell r="CL3592">
            <v>14860.973</v>
          </cell>
          <cell r="CM3592" t="str">
            <v xml:space="preserve">NFT-/XUTR/DEUTH02429026181X </v>
          </cell>
          <cell r="CN3592" t="str">
            <v>2024-10-16</v>
          </cell>
          <cell r="CO3592">
            <v>1747.0350000000001</v>
          </cell>
        </row>
        <row r="3593">
          <cell r="CJ3593" t="str">
            <v xml:space="preserve">NFT-/XUTR/DEUTH02429023615X </v>
          </cell>
          <cell r="CK3593" t="str">
            <v>2024-10-16</v>
          </cell>
          <cell r="CL3593">
            <v>15171.026</v>
          </cell>
          <cell r="CM3593" t="str">
            <v xml:space="preserve">NFT-/XUTR/DEUTH02429026181X </v>
          </cell>
          <cell r="CN3593" t="str">
            <v>2024-10-16</v>
          </cell>
          <cell r="CO3593">
            <v>1455.8620000000001</v>
          </cell>
        </row>
        <row r="3594">
          <cell r="CJ3594" t="str">
            <v xml:space="preserve">NFT-/XUTR/DEUTH02429023615X </v>
          </cell>
          <cell r="CK3594" t="str">
            <v>2024-10-16</v>
          </cell>
          <cell r="CL3594">
            <v>15042.914000000001</v>
          </cell>
          <cell r="CM3594" t="str">
            <v xml:space="preserve">NFT-/XUTR/DEUTH02429026181X </v>
          </cell>
          <cell r="CN3594" t="str">
            <v>2024-10-16</v>
          </cell>
          <cell r="CO3594">
            <v>1583.9739999999999</v>
          </cell>
        </row>
        <row r="3595">
          <cell r="CJ3595" t="str">
            <v xml:space="preserve">NFT-/XUTR/DEUTH02429023615X </v>
          </cell>
          <cell r="CK3595" t="str">
            <v>2024-10-16</v>
          </cell>
          <cell r="CL3595">
            <v>77152.468999999997</v>
          </cell>
          <cell r="CM3595" t="str">
            <v xml:space="preserve">NFT-/XUTR/DEUTH02429026181X </v>
          </cell>
          <cell r="CN3595" t="str">
            <v>2024-10-16</v>
          </cell>
          <cell r="CO3595">
            <v>4367.5860000000002</v>
          </cell>
        </row>
        <row r="3596">
          <cell r="CJ3596" t="str">
            <v xml:space="preserve">NFT-/XUTR/DEUTH02429023615X </v>
          </cell>
          <cell r="CK3596" t="str">
            <v>2024-10-16</v>
          </cell>
          <cell r="CL3596">
            <v>14316.48</v>
          </cell>
          <cell r="CM3596" t="str">
            <v xml:space="preserve">NFT-/XUTR/DEUTH02429026181X </v>
          </cell>
          <cell r="CN3596" t="str">
            <v>2024-10-16</v>
          </cell>
          <cell r="CO3596">
            <v>2291.5259999999998</v>
          </cell>
        </row>
        <row r="3597">
          <cell r="CJ3597" t="str">
            <v xml:space="preserve">NFT-/XUTR/DEUTH02429213780X </v>
          </cell>
          <cell r="CK3597" t="str">
            <v>2024-10-18</v>
          </cell>
          <cell r="CL3597">
            <v>5131.1400000000003</v>
          </cell>
          <cell r="CM3597" t="str">
            <v xml:space="preserve">NFT-/XUTR/DEUTH02429215994X </v>
          </cell>
          <cell r="CN3597" t="str">
            <v>2024-10-18</v>
          </cell>
          <cell r="CO3597">
            <v>584.28399999999999</v>
          </cell>
        </row>
        <row r="3598">
          <cell r="CJ3598" t="str">
            <v xml:space="preserve">NFT-/XUTR/DEUTH02429213780X </v>
          </cell>
          <cell r="CK3598" t="str">
            <v>2024-10-18</v>
          </cell>
          <cell r="CL3598">
            <v>14537.25</v>
          </cell>
          <cell r="CM3598" t="str">
            <v xml:space="preserve">NFT-/XUTR/DEUTH02429215994X </v>
          </cell>
          <cell r="CN3598" t="str">
            <v>2024-10-18</v>
          </cell>
          <cell r="CO3598">
            <v>1953.7639999999999</v>
          </cell>
        </row>
        <row r="3599">
          <cell r="CJ3599" t="str">
            <v xml:space="preserve">NFT-/XUTR/DEUTH02429213780X </v>
          </cell>
          <cell r="CK3599" t="str">
            <v>2024-10-18</v>
          </cell>
          <cell r="CL3599">
            <v>10834.503000000001</v>
          </cell>
          <cell r="CM3599" t="str">
            <v xml:space="preserve">NFT-/XUTR/DEUTH02429215994X </v>
          </cell>
          <cell r="CN3599" t="str">
            <v>2024-10-18</v>
          </cell>
          <cell r="CO3599">
            <v>337.762</v>
          </cell>
        </row>
        <row r="3600">
          <cell r="CJ3600" t="str">
            <v xml:space="preserve">NFT-/XUTR/DEUTH02429213780X </v>
          </cell>
          <cell r="CK3600" t="str">
            <v>2024-10-18</v>
          </cell>
          <cell r="CL3600">
            <v>14518.37</v>
          </cell>
          <cell r="CM3600" t="str">
            <v xml:space="preserve">NFT-/XUTR/DEUTH02429215994X </v>
          </cell>
          <cell r="CN3600" t="str">
            <v>2024-10-18</v>
          </cell>
          <cell r="CO3600">
            <v>1953.7639999999999</v>
          </cell>
        </row>
        <row r="3601">
          <cell r="CJ3601" t="str">
            <v xml:space="preserve">NFT-/XUTR/DEUTH02429213780X </v>
          </cell>
          <cell r="CK3601" t="str">
            <v>2024-10-18</v>
          </cell>
          <cell r="CL3601">
            <v>78403.006999999998</v>
          </cell>
          <cell r="CM3601" t="str">
            <v xml:space="preserve">NFT-/XUTR/DEUTH02429215994X </v>
          </cell>
          <cell r="CN3601" t="str">
            <v>2024-10-18</v>
          </cell>
          <cell r="CO3601">
            <v>2427.4110000000001</v>
          </cell>
          <cell r="CP3601" t="str">
            <v xml:space="preserve">NFT-/XUTR/DEUTH02429760724X </v>
          </cell>
          <cell r="CQ3601" t="str">
            <v>2024-10-23</v>
          </cell>
          <cell r="CR3601">
            <v>-78403.006999999998</v>
          </cell>
          <cell r="CS3601" t="str">
            <v xml:space="preserve">NFT-/XUTR/DEUTH02429764618X </v>
          </cell>
          <cell r="CT3601" t="str">
            <v>2024-10-23</v>
          </cell>
          <cell r="CU3601">
            <v>-2427.4110000000001</v>
          </cell>
        </row>
        <row r="3602">
          <cell r="CJ3602" t="str">
            <v xml:space="preserve">NFT-/XUTR/DEUTH02429213780X </v>
          </cell>
          <cell r="CK3602" t="str">
            <v>2024-10-18</v>
          </cell>
          <cell r="CL3602">
            <v>10893.678</v>
          </cell>
          <cell r="CM3602" t="str">
            <v xml:space="preserve">NFT-/XUTR/DEUTH02429215994X </v>
          </cell>
          <cell r="CN3602" t="str">
            <v>2024-10-18</v>
          </cell>
          <cell r="CO3602">
            <v>638.63800000000003</v>
          </cell>
        </row>
        <row r="3603">
          <cell r="CJ3603" t="str">
            <v xml:space="preserve">NFT-/XUTR/DEUTH02429213780X </v>
          </cell>
          <cell r="CK3603" t="str">
            <v>2024-10-18</v>
          </cell>
          <cell r="CL3603">
            <v>14537.25</v>
          </cell>
          <cell r="CM3603" t="str">
            <v xml:space="preserve">NFT-/XUTR/DEUTH02429215994X </v>
          </cell>
          <cell r="CN3603" t="str">
            <v>2024-10-18</v>
          </cell>
          <cell r="CO3603">
            <v>1953.7639999999999</v>
          </cell>
        </row>
        <row r="3604">
          <cell r="CJ3604" t="str">
            <v xml:space="preserve">NFT-/XUTR/DEUTH02429213780X </v>
          </cell>
          <cell r="CK3604" t="str">
            <v>2024-10-18</v>
          </cell>
          <cell r="CL3604">
            <v>10363.75</v>
          </cell>
          <cell r="CM3604" t="str">
            <v xml:space="preserve">NFT-/XUTR/DEUTH02429215994X </v>
          </cell>
          <cell r="CN3604" t="str">
            <v>2024-10-18</v>
          </cell>
          <cell r="CO3604">
            <v>1168.578</v>
          </cell>
          <cell r="CP3604" t="str">
            <v xml:space="preserve">NFT-/XUTR/DEUTH02429760724X </v>
          </cell>
          <cell r="CQ3604" t="str">
            <v>2024-10-23</v>
          </cell>
          <cell r="CR3604">
            <v>-10363.75</v>
          </cell>
          <cell r="CS3604" t="str">
            <v xml:space="preserve">NFT-/XUTR/DEUTH02429764618X </v>
          </cell>
          <cell r="CT3604" t="str">
            <v>2024-10-23</v>
          </cell>
          <cell r="CU3604">
            <v>-1168.578</v>
          </cell>
        </row>
        <row r="3605">
          <cell r="CJ3605" t="str">
            <v xml:space="preserve">NFT-/XUTR/DEUTH02429213780X </v>
          </cell>
          <cell r="CK3605" t="str">
            <v>2024-10-18</v>
          </cell>
          <cell r="CL3605">
            <v>14518.37</v>
          </cell>
          <cell r="CM3605" t="str">
            <v xml:space="preserve">NFT-/XUTR/DEUTH02429215994X </v>
          </cell>
          <cell r="CN3605" t="str">
            <v>2024-10-18</v>
          </cell>
          <cell r="CO3605">
            <v>1953.7639999999999</v>
          </cell>
        </row>
        <row r="3606">
          <cell r="CJ3606" t="str">
            <v xml:space="preserve">NFT-/XUTR/DEUTH02429213780X </v>
          </cell>
          <cell r="CK3606" t="str">
            <v>2024-10-18</v>
          </cell>
          <cell r="CL3606">
            <v>38375.536</v>
          </cell>
          <cell r="CM3606" t="str">
            <v xml:space="preserve">NFT-/XUTR/DEUTH02429215994X </v>
          </cell>
          <cell r="CN3606" t="str">
            <v>2024-10-18</v>
          </cell>
          <cell r="CO3606">
            <v>2690.433</v>
          </cell>
          <cell r="CP3606" t="str">
            <v xml:space="preserve">NFT-/XUTR/DEUTH02429509164X </v>
          </cell>
          <cell r="CQ3606" t="str">
            <v>2024-10-21</v>
          </cell>
          <cell r="CR3606">
            <v>-38375.536</v>
          </cell>
          <cell r="CS3606" t="str">
            <v xml:space="preserve">NFT-/XUTR/DEUTH02429530992X </v>
          </cell>
          <cell r="CT3606" t="str">
            <v>2024-10-21</v>
          </cell>
          <cell r="CU3606">
            <v>-2690.433</v>
          </cell>
        </row>
        <row r="3607">
          <cell r="CJ3607" t="str">
            <v xml:space="preserve">NFT-/XUTR/DEUTH02429213780X </v>
          </cell>
          <cell r="CK3607" t="str">
            <v>2024-10-18</v>
          </cell>
          <cell r="CL3607">
            <v>15974.231</v>
          </cell>
          <cell r="CM3607" t="str">
            <v xml:space="preserve">NFT-/XUTR/DEUTH02429215994X </v>
          </cell>
          <cell r="CN3607" t="str">
            <v>2024-10-18</v>
          </cell>
          <cell r="CO3607">
            <v>497.90199999999999</v>
          </cell>
        </row>
        <row r="3608">
          <cell r="CJ3608" t="str">
            <v xml:space="preserve">NFT-/XUTR/DEUTH02429213780X </v>
          </cell>
          <cell r="CK3608" t="str">
            <v>2024-10-18</v>
          </cell>
          <cell r="CL3608">
            <v>14537.25</v>
          </cell>
          <cell r="CM3608" t="str">
            <v xml:space="preserve">NFT-/XUTR/DEUTH02429215994X </v>
          </cell>
          <cell r="CN3608" t="str">
            <v>2024-10-18</v>
          </cell>
          <cell r="CO3608">
            <v>1953.7639999999999</v>
          </cell>
        </row>
        <row r="3609">
          <cell r="CJ3609" t="str">
            <v xml:space="preserve">NFT-/XUTR/DEUTH02429213780X </v>
          </cell>
          <cell r="CK3609" t="str">
            <v>2024-10-18</v>
          </cell>
          <cell r="CL3609">
            <v>14537.25</v>
          </cell>
          <cell r="CM3609" t="str">
            <v xml:space="preserve">NFT-/XUTR/DEUTH02429215994X </v>
          </cell>
          <cell r="CN3609" t="str">
            <v>2024-10-18</v>
          </cell>
          <cell r="CO3609">
            <v>1953.7639999999999</v>
          </cell>
        </row>
        <row r="3610">
          <cell r="CJ3610" t="str">
            <v xml:space="preserve">NFT-/XUTR/DEUTH02429213780X </v>
          </cell>
          <cell r="CK3610" t="str">
            <v>2024-10-18</v>
          </cell>
          <cell r="CL3610">
            <v>14518.37</v>
          </cell>
          <cell r="CM3610" t="str">
            <v xml:space="preserve">NFT-/XUTR/DEUTH02429215994X </v>
          </cell>
          <cell r="CN3610" t="str">
            <v>2024-10-18</v>
          </cell>
          <cell r="CO3610">
            <v>1953.7639999999999</v>
          </cell>
        </row>
        <row r="3611">
          <cell r="CJ3611" t="str">
            <v xml:space="preserve">NFT-/XUTR/DEUTH02429213780X </v>
          </cell>
          <cell r="CK3611" t="str">
            <v>2024-10-18</v>
          </cell>
          <cell r="CL3611">
            <v>10815.621999999999</v>
          </cell>
          <cell r="CM3611" t="str">
            <v xml:space="preserve">NFT-/XUTR/DEUTH02429215994X </v>
          </cell>
          <cell r="CN3611" t="str">
            <v>2024-10-18</v>
          </cell>
          <cell r="CO3611">
            <v>337.76299999999998</v>
          </cell>
        </row>
        <row r="3612">
          <cell r="CJ3612" t="str">
            <v xml:space="preserve">NFT-/XUTR/DEUTH02429213780X </v>
          </cell>
          <cell r="CK3612" t="str">
            <v>2024-10-18</v>
          </cell>
          <cell r="CL3612">
            <v>15993.111000000001</v>
          </cell>
          <cell r="CM3612" t="str">
            <v xml:space="preserve">NFT-/XUTR/DEUTH02429215994X </v>
          </cell>
          <cell r="CN3612" t="str">
            <v>2024-10-18</v>
          </cell>
          <cell r="CO3612">
            <v>497.90199999999999</v>
          </cell>
        </row>
        <row r="3613">
          <cell r="CJ3613" t="str">
            <v xml:space="preserve">NFT-/XUTR/DEUTH02429213780X </v>
          </cell>
          <cell r="CK3613" t="str">
            <v>2024-10-18</v>
          </cell>
          <cell r="CL3613">
            <v>14537.25</v>
          </cell>
          <cell r="CM3613" t="str">
            <v xml:space="preserve">NFT-/XUTR/DEUTH02429215994X </v>
          </cell>
          <cell r="CN3613" t="str">
            <v>2024-10-18</v>
          </cell>
          <cell r="CO3613">
            <v>1953.7639999999999</v>
          </cell>
        </row>
        <row r="3614">
          <cell r="CJ3614" t="str">
            <v xml:space="preserve">NFT-/XUTR/DEUTH02429213780X </v>
          </cell>
          <cell r="CK3614" t="str">
            <v>2024-10-18</v>
          </cell>
          <cell r="CL3614">
            <v>14537.25</v>
          </cell>
          <cell r="CM3614" t="str">
            <v xml:space="preserve">NFT-/XUTR/DEUTH02429215994X </v>
          </cell>
          <cell r="CN3614" t="str">
            <v>2024-10-18</v>
          </cell>
          <cell r="CO3614">
            <v>1953.7639999999999</v>
          </cell>
        </row>
        <row r="3615">
          <cell r="CJ3615" t="str">
            <v xml:space="preserve">NFT-/XUTR/DEUTH02429213780X </v>
          </cell>
          <cell r="CK3615" t="str">
            <v>2024-10-18</v>
          </cell>
          <cell r="CL3615">
            <v>14537.25</v>
          </cell>
          <cell r="CM3615" t="str">
            <v xml:space="preserve">NFT-/XUTR/DEUTH02429215994X </v>
          </cell>
          <cell r="CN3615" t="str">
            <v>2024-10-18</v>
          </cell>
          <cell r="CO3615">
            <v>1953.7639999999999</v>
          </cell>
        </row>
        <row r="3616">
          <cell r="CJ3616" t="str">
            <v xml:space="preserve">NFT-/XUTR/DEUTH02429213780X </v>
          </cell>
          <cell r="CK3616" t="str">
            <v>2024-10-18</v>
          </cell>
          <cell r="CL3616">
            <v>79523.044999999998</v>
          </cell>
          <cell r="CM3616" t="str">
            <v xml:space="preserve">NFT-/XUTR/DEUTH02429215994X </v>
          </cell>
          <cell r="CN3616" t="str">
            <v>2024-10-18</v>
          </cell>
          <cell r="CO3616">
            <v>2462.3510000000001</v>
          </cell>
        </row>
        <row r="3617">
          <cell r="CJ3617" t="str">
            <v xml:space="preserve">NFT-/XUTR/DEUTH02429213780X </v>
          </cell>
          <cell r="CK3617" t="str">
            <v>2024-10-18</v>
          </cell>
          <cell r="CL3617">
            <v>78430.717999999993</v>
          </cell>
          <cell r="CM3617" t="str">
            <v xml:space="preserve">NFT-/XUTR/DEUTH02429215994X </v>
          </cell>
          <cell r="CN3617" t="str">
            <v>2024-10-18</v>
          </cell>
          <cell r="CO3617">
            <v>2429.35</v>
          </cell>
        </row>
        <row r="3618">
          <cell r="CJ3618" t="str">
            <v xml:space="preserve">NFT-/XUTR/DEUTH02429213780X </v>
          </cell>
          <cell r="CK3618" t="str">
            <v>2024-10-18</v>
          </cell>
          <cell r="CL3618">
            <v>14518.37</v>
          </cell>
          <cell r="CM3618" t="str">
            <v xml:space="preserve">NFT-/XUTR/DEUTH02429215994X </v>
          </cell>
          <cell r="CN3618" t="str">
            <v>2024-10-18</v>
          </cell>
          <cell r="CO3618">
            <v>1953.7639999999999</v>
          </cell>
        </row>
        <row r="3619">
          <cell r="CJ3619" t="str">
            <v xml:space="preserve">NFT-/XUTR/DEUTH02429213780X </v>
          </cell>
          <cell r="CK3619" t="str">
            <v>2024-10-18</v>
          </cell>
          <cell r="CL3619">
            <v>14537.25</v>
          </cell>
          <cell r="CM3619" t="str">
            <v xml:space="preserve">NFT-/XUTR/DEUTH02429215994X </v>
          </cell>
          <cell r="CN3619" t="str">
            <v>2024-10-18</v>
          </cell>
          <cell r="CO3619">
            <v>1953.7639999999999</v>
          </cell>
        </row>
        <row r="3620">
          <cell r="CJ3620" t="str">
            <v xml:space="preserve">NFT-/XUTR/DEUTH02429213780X </v>
          </cell>
          <cell r="CK3620" t="str">
            <v>2024-10-18</v>
          </cell>
          <cell r="CL3620">
            <v>14518.37</v>
          </cell>
          <cell r="CM3620" t="str">
            <v xml:space="preserve">NFT-/XUTR/DEUTH02429215994X </v>
          </cell>
          <cell r="CN3620" t="str">
            <v>2024-10-18</v>
          </cell>
          <cell r="CO3620">
            <v>1953.7639999999999</v>
          </cell>
        </row>
        <row r="3621">
          <cell r="CJ3621" t="str">
            <v xml:space="preserve">NFT-/XUTR/DEUTH02429213780X </v>
          </cell>
          <cell r="CK3621" t="str">
            <v>2024-10-18</v>
          </cell>
          <cell r="CL3621">
            <v>13733.611999999999</v>
          </cell>
          <cell r="CM3621" t="str">
            <v xml:space="preserve">NFT-/XUTR/DEUTH02429215994X </v>
          </cell>
          <cell r="CN3621" t="str">
            <v>2024-10-18</v>
          </cell>
          <cell r="CO3621">
            <v>2757.4</v>
          </cell>
        </row>
        <row r="3622">
          <cell r="CJ3622" t="str">
            <v xml:space="preserve">NFT-/XUTR/DEUTH02429213780X </v>
          </cell>
          <cell r="CK3622" t="str">
            <v>2024-10-18</v>
          </cell>
          <cell r="CL3622">
            <v>14484.394</v>
          </cell>
          <cell r="CM3622" t="str">
            <v xml:space="preserve">NFT-/XUTR/DEUTH02429215994X </v>
          </cell>
          <cell r="CN3622" t="str">
            <v>2024-10-18</v>
          </cell>
          <cell r="CO3622">
            <v>1987.74</v>
          </cell>
        </row>
        <row r="3623">
          <cell r="CJ3623" t="str">
            <v xml:space="preserve">NFT-/XUTR/DEUTH02429213780X </v>
          </cell>
          <cell r="CK3623" t="str">
            <v>2024-10-18</v>
          </cell>
          <cell r="CL3623">
            <v>14841.036</v>
          </cell>
          <cell r="CM3623" t="str">
            <v xml:space="preserve">NFT-/XUTR/DEUTH02429215994X </v>
          </cell>
          <cell r="CN3623" t="str">
            <v>2024-10-18</v>
          </cell>
          <cell r="CO3623">
            <v>1649.9760000000001</v>
          </cell>
        </row>
        <row r="3624">
          <cell r="CJ3624" t="str">
            <v xml:space="preserve">NFT-/XUTR/DEUTH02429213780X </v>
          </cell>
          <cell r="CK3624" t="str">
            <v>2024-10-18</v>
          </cell>
          <cell r="CL3624">
            <v>14537.25</v>
          </cell>
          <cell r="CM3624" t="str">
            <v xml:space="preserve">NFT-/XUTR/DEUTH02429215994X </v>
          </cell>
          <cell r="CN3624" t="str">
            <v>2024-10-18</v>
          </cell>
          <cell r="CO3624">
            <v>1953.7639999999999</v>
          </cell>
        </row>
        <row r="3625">
          <cell r="CJ3625" t="str">
            <v xml:space="preserve">NFT-/XUTR/DEUTH02429023615X </v>
          </cell>
          <cell r="CK3625" t="str">
            <v>2024-10-16</v>
          </cell>
          <cell r="CL3625">
            <v>37865.974000000002</v>
          </cell>
          <cell r="CM3625" t="str">
            <v xml:space="preserve">NFT-/XUTR/DEUTH02429026181X </v>
          </cell>
          <cell r="CN3625" t="str">
            <v>2024-10-16</v>
          </cell>
          <cell r="CO3625">
            <v>3529.9830000000002</v>
          </cell>
        </row>
        <row r="3626">
          <cell r="CJ3626" t="str">
            <v xml:space="preserve">NFT-/XUTR/DEUTH02429023615X </v>
          </cell>
          <cell r="CK3626" t="str">
            <v>2024-10-16</v>
          </cell>
          <cell r="CL3626">
            <v>15152.146000000001</v>
          </cell>
          <cell r="CM3626" t="str">
            <v xml:space="preserve">NFT-/XUTR/DEUTH02429026181X </v>
          </cell>
          <cell r="CN3626" t="str">
            <v>2024-10-16</v>
          </cell>
          <cell r="CO3626">
            <v>1455.8620000000001</v>
          </cell>
        </row>
        <row r="3627">
          <cell r="CJ3627" t="str">
            <v xml:space="preserve">NFT-/XUTR/DEUTH02429023615X </v>
          </cell>
          <cell r="CK3627" t="str">
            <v>2024-10-16</v>
          </cell>
          <cell r="CL3627">
            <v>5253.4250000000002</v>
          </cell>
          <cell r="CM3627" t="str">
            <v xml:space="preserve">NFT-/XUTR/DEUTH02429026181X </v>
          </cell>
          <cell r="CN3627" t="str">
            <v>2024-10-16</v>
          </cell>
          <cell r="CO3627">
            <v>597.87199999999996</v>
          </cell>
        </row>
        <row r="3628">
          <cell r="CJ3628" t="str">
            <v xml:space="preserve">NFT-/XUTR/DEUTH02429023615X </v>
          </cell>
          <cell r="CK3628" t="str">
            <v>2024-10-16</v>
          </cell>
          <cell r="CL3628">
            <v>15772.343000000001</v>
          </cell>
          <cell r="CM3628" t="str">
            <v xml:space="preserve">NFT-/XUTR/DEUTH02429026181X </v>
          </cell>
          <cell r="CN3628" t="str">
            <v>2024-10-16</v>
          </cell>
          <cell r="CO3628">
            <v>835.66399999999999</v>
          </cell>
        </row>
        <row r="3629">
          <cell r="CJ3629" t="str">
            <v xml:space="preserve">NFT-/XUTR/DEUTH02429023615X </v>
          </cell>
          <cell r="CK3629" t="str">
            <v>2024-10-16</v>
          </cell>
          <cell r="CL3629">
            <v>15171.026</v>
          </cell>
          <cell r="CM3629" t="str">
            <v xml:space="preserve">NFT-/XUTR/DEUTH02429026181X </v>
          </cell>
          <cell r="CN3629" t="str">
            <v>2024-10-16</v>
          </cell>
          <cell r="CO3629">
            <v>1455.8620000000001</v>
          </cell>
        </row>
        <row r="3630">
          <cell r="CJ3630" t="str">
            <v xml:space="preserve">NFT-/XUTR/DEUTH02429213780X </v>
          </cell>
          <cell r="CK3630" t="str">
            <v>2024-10-18</v>
          </cell>
          <cell r="CL3630">
            <v>1330.633</v>
          </cell>
          <cell r="CM3630" t="str">
            <v xml:space="preserve">NFT-/XUTR/DEUTH024304A0ENJX </v>
          </cell>
          <cell r="CN3630" t="str">
            <v>2024-10-30</v>
          </cell>
          <cell r="CO3630">
            <v>-1330.633</v>
          </cell>
        </row>
        <row r="3631">
          <cell r="CJ3631" t="str">
            <v xml:space="preserve">NFT-/XUTR/DEUTH02429213780X </v>
          </cell>
          <cell r="CK3631" t="str">
            <v>2024-10-18</v>
          </cell>
          <cell r="CL3631">
            <v>30531.326000000001</v>
          </cell>
          <cell r="CM3631" t="str">
            <v xml:space="preserve">NFT-/XUTR/DEUTH02429215994X </v>
          </cell>
          <cell r="CN3631" t="str">
            <v>2024-10-18</v>
          </cell>
          <cell r="CO3631">
            <v>2449.7280000000001</v>
          </cell>
        </row>
        <row r="3632">
          <cell r="CJ3632" t="str">
            <v xml:space="preserve">NFT-/XUTR/DEUTH02429213780X </v>
          </cell>
          <cell r="CK3632" t="str">
            <v>2024-10-18</v>
          </cell>
          <cell r="CL3632">
            <v>14299.403</v>
          </cell>
          <cell r="CM3632" t="str">
            <v xml:space="preserve">NFT-/XUTR/DEUTH02429215994X </v>
          </cell>
          <cell r="CN3632" t="str">
            <v>2024-10-18</v>
          </cell>
          <cell r="CO3632">
            <v>1950.848</v>
          </cell>
        </row>
        <row r="3633">
          <cell r="CJ3633" t="str">
            <v xml:space="preserve">NFT-/XUTR/DEUTH02429213780X </v>
          </cell>
          <cell r="CK3633" t="str">
            <v>2024-10-18</v>
          </cell>
          <cell r="CL3633">
            <v>14537.25</v>
          </cell>
          <cell r="CM3633" t="str">
            <v xml:space="preserve">NFT-/XUTR/DEUTH02429215994X </v>
          </cell>
          <cell r="CN3633" t="str">
            <v>2024-10-18</v>
          </cell>
          <cell r="CO3633">
            <v>1953.7639999999999</v>
          </cell>
        </row>
        <row r="3634">
          <cell r="CJ3634" t="str">
            <v xml:space="preserve">NFT-/XUTR/DEUTH02429213780X </v>
          </cell>
          <cell r="CK3634" t="str">
            <v>2024-10-18</v>
          </cell>
          <cell r="CL3634">
            <v>9403.4380000000001</v>
          </cell>
          <cell r="CM3634" t="str">
            <v xml:space="preserve">NFT-/XUTR/DEUTH02429215994X </v>
          </cell>
          <cell r="CN3634" t="str">
            <v>2024-10-18</v>
          </cell>
          <cell r="CO3634">
            <v>1419.9480000000001</v>
          </cell>
        </row>
        <row r="3635">
          <cell r="CJ3635" t="str">
            <v xml:space="preserve">NFT-/XUTR/DEUTH02429213780X </v>
          </cell>
          <cell r="CK3635" t="str">
            <v>2024-10-18</v>
          </cell>
          <cell r="CL3635">
            <v>14518.37</v>
          </cell>
          <cell r="CM3635" t="str">
            <v xml:space="preserve">NFT-/XUTR/DEUTH02429215994X </v>
          </cell>
          <cell r="CN3635" t="str">
            <v>2024-10-18</v>
          </cell>
          <cell r="CO3635">
            <v>1953.7639999999999</v>
          </cell>
        </row>
        <row r="3636">
          <cell r="CJ3636" t="str">
            <v xml:space="preserve">NFT-/XUTR/DEUTH02429213780X </v>
          </cell>
          <cell r="CK3636" t="str">
            <v>2024-10-18</v>
          </cell>
          <cell r="CL3636">
            <v>80811.528000000006</v>
          </cell>
        </row>
        <row r="3637">
          <cell r="CJ3637" t="str">
            <v xml:space="preserve">NFT-/XUTR/DEUTH02429213780X </v>
          </cell>
          <cell r="CK3637" t="str">
            <v>2024-10-18</v>
          </cell>
          <cell r="CL3637">
            <v>14518.37</v>
          </cell>
          <cell r="CM3637" t="str">
            <v xml:space="preserve">NFT-/XUTR/DEUTH02429215994X </v>
          </cell>
          <cell r="CN3637" t="str">
            <v>2024-10-18</v>
          </cell>
          <cell r="CO3637">
            <v>1953.7639999999999</v>
          </cell>
        </row>
        <row r="3638">
          <cell r="CJ3638" t="str">
            <v xml:space="preserve">NFT-/XUTR/DEUTH02429213780X </v>
          </cell>
          <cell r="CK3638" t="str">
            <v>2024-10-18</v>
          </cell>
          <cell r="CL3638">
            <v>14537.25</v>
          </cell>
          <cell r="CM3638" t="str">
            <v xml:space="preserve">NFT-/XUTR/DEUTH02429215994X </v>
          </cell>
          <cell r="CN3638" t="str">
            <v>2024-10-18</v>
          </cell>
          <cell r="CO3638">
            <v>1953.7639999999999</v>
          </cell>
        </row>
        <row r="3639">
          <cell r="CJ3639" t="str">
            <v xml:space="preserve">NFT-/XUTR/DEUTH02429213780X </v>
          </cell>
          <cell r="CK3639" t="str">
            <v>2024-10-18</v>
          </cell>
          <cell r="CL3639">
            <v>14424.215</v>
          </cell>
          <cell r="CM3639" t="str">
            <v xml:space="preserve">NFT-/XUTR/DEUTH02429215994X </v>
          </cell>
          <cell r="CN3639" t="str">
            <v>2024-10-18</v>
          </cell>
          <cell r="CO3639">
            <v>2047.9090000000001</v>
          </cell>
        </row>
        <row r="3640">
          <cell r="CJ3640" t="str">
            <v xml:space="preserve">NFT-/XUTR/DEUTH02429213780X </v>
          </cell>
          <cell r="CK3640" t="str">
            <v>2024-10-18</v>
          </cell>
          <cell r="CL3640">
            <v>14537.25</v>
          </cell>
          <cell r="CM3640" t="str">
            <v xml:space="preserve">NFT-/XUTR/DEUTH02429215994X </v>
          </cell>
          <cell r="CN3640" t="str">
            <v>2024-10-18</v>
          </cell>
          <cell r="CO3640">
            <v>1953.7639999999999</v>
          </cell>
        </row>
        <row r="3641">
          <cell r="CJ3641" t="str">
            <v xml:space="preserve">NFT-/XUTR/DEUTH02429213780X </v>
          </cell>
          <cell r="CK3641" t="str">
            <v>2024-10-18</v>
          </cell>
          <cell r="CL3641">
            <v>14537.25</v>
          </cell>
          <cell r="CM3641" t="str">
            <v xml:space="preserve">NFT-/XUTR/DEUTH02429215994X </v>
          </cell>
          <cell r="CN3641" t="str">
            <v>2024-10-18</v>
          </cell>
          <cell r="CO3641">
            <v>1953.7639999999999</v>
          </cell>
        </row>
        <row r="3642">
          <cell r="CJ3642" t="str">
            <v xml:space="preserve">NFT-/XUTR/DEUTH02429213780X </v>
          </cell>
          <cell r="CK3642" t="str">
            <v>2024-10-18</v>
          </cell>
          <cell r="CL3642">
            <v>14518.37</v>
          </cell>
          <cell r="CM3642" t="str">
            <v xml:space="preserve">NFT-/XUTR/DEUTH02429215994X </v>
          </cell>
          <cell r="CN3642" t="str">
            <v>2024-10-18</v>
          </cell>
          <cell r="CO3642">
            <v>1953.7639999999999</v>
          </cell>
        </row>
        <row r="3643">
          <cell r="CJ3643" t="str">
            <v xml:space="preserve">NFT-/XUTR/DEUTH02429213780X </v>
          </cell>
          <cell r="CK3643" t="str">
            <v>2024-10-18</v>
          </cell>
          <cell r="CL3643">
            <v>15035.15</v>
          </cell>
          <cell r="CM3643" t="str">
            <v xml:space="preserve">NFT-/XUTR/DEUTH02429215994X </v>
          </cell>
          <cell r="CN3643" t="str">
            <v>2024-10-18</v>
          </cell>
          <cell r="CO3643">
            <v>1455.8620000000001</v>
          </cell>
        </row>
        <row r="3644">
          <cell r="CJ3644" t="str">
            <v xml:space="preserve">NFT-/XUTR/DEUTH02429213780X </v>
          </cell>
          <cell r="CK3644" t="str">
            <v>2024-10-18</v>
          </cell>
          <cell r="CL3644">
            <v>49473.029000000002</v>
          </cell>
        </row>
        <row r="3645">
          <cell r="CJ3645" t="str">
            <v xml:space="preserve">NFT-/XUTR/DEUTH02429213780X </v>
          </cell>
          <cell r="CK3645" t="str">
            <v>2024-10-18</v>
          </cell>
          <cell r="CL3645">
            <v>14537.25</v>
          </cell>
          <cell r="CM3645" t="str">
            <v xml:space="preserve">NFT-/XUTR/DEUTH02429215994X </v>
          </cell>
          <cell r="CN3645" t="str">
            <v>2024-10-18</v>
          </cell>
          <cell r="CO3645">
            <v>1953.7639999999999</v>
          </cell>
        </row>
        <row r="3646">
          <cell r="CJ3646" t="str">
            <v xml:space="preserve">NFT-/XUTR/DEUTH02429213780X </v>
          </cell>
          <cell r="CK3646" t="str">
            <v>2024-10-18</v>
          </cell>
          <cell r="CL3646">
            <v>38375.536</v>
          </cell>
          <cell r="CM3646" t="str">
            <v xml:space="preserve">NFT-/XUTR/DEUTH02429215994X </v>
          </cell>
          <cell r="CN3646" t="str">
            <v>2024-10-18</v>
          </cell>
          <cell r="CO3646">
            <v>2690.433</v>
          </cell>
        </row>
        <row r="3647">
          <cell r="CJ3647" t="str">
            <v xml:space="preserve">NFT-/XUTR/DEUTH02429213780X </v>
          </cell>
          <cell r="CK3647" t="str">
            <v>2024-10-18</v>
          </cell>
          <cell r="CL3647">
            <v>14537.25</v>
          </cell>
          <cell r="CM3647" t="str">
            <v xml:space="preserve">NFT-/XUTR/DEUTH02429215994X </v>
          </cell>
          <cell r="CN3647" t="str">
            <v>2024-10-18</v>
          </cell>
          <cell r="CO3647">
            <v>1953.7639999999999</v>
          </cell>
        </row>
        <row r="3648">
          <cell r="CJ3648" t="str">
            <v xml:space="preserve">NFT-/XUTR/DEUTH02429213780X </v>
          </cell>
          <cell r="CK3648" t="str">
            <v>2024-10-18</v>
          </cell>
          <cell r="CL3648">
            <v>4867.4059999999999</v>
          </cell>
          <cell r="CM3648" t="str">
            <v xml:space="preserve">NFT-/XUTR/DEUTH02429215994X </v>
          </cell>
          <cell r="CN3648" t="str">
            <v>2024-10-18</v>
          </cell>
          <cell r="CO3648">
            <v>549.34199999999998</v>
          </cell>
        </row>
        <row r="3649">
          <cell r="CJ3649" t="str">
            <v xml:space="preserve">NFT-/XUTR/DEUTH02429213780X </v>
          </cell>
          <cell r="CK3649" t="str">
            <v>2024-10-18</v>
          </cell>
          <cell r="CL3649">
            <v>14518.37</v>
          </cell>
          <cell r="CM3649" t="str">
            <v xml:space="preserve">NFT-/XUTR/DEUTH02429215994X </v>
          </cell>
          <cell r="CN3649" t="str">
            <v>2024-10-18</v>
          </cell>
          <cell r="CO3649">
            <v>1953.7639999999999</v>
          </cell>
        </row>
        <row r="3650">
          <cell r="CJ3650" t="str">
            <v xml:space="preserve">NFT-/XUTR/DEUTH02429213780X </v>
          </cell>
          <cell r="CK3650" t="str">
            <v>2024-10-18</v>
          </cell>
          <cell r="CL3650">
            <v>14518.37</v>
          </cell>
          <cell r="CM3650" t="str">
            <v xml:space="preserve">NFT-/XUTR/DEUTH02429215994X </v>
          </cell>
          <cell r="CN3650" t="str">
            <v>2024-10-18</v>
          </cell>
          <cell r="CO3650">
            <v>1953.7639999999999</v>
          </cell>
        </row>
        <row r="3651">
          <cell r="CJ3651" t="str">
            <v xml:space="preserve">NFT-/XUTR/DEUTH02429213780X </v>
          </cell>
          <cell r="CK3651" t="str">
            <v>2024-10-18</v>
          </cell>
          <cell r="CL3651">
            <v>63975.341999999997</v>
          </cell>
          <cell r="CM3651" t="str">
            <v xml:space="preserve">NFT-/XUTR/DEUTH02429215994X </v>
          </cell>
          <cell r="CN3651" t="str">
            <v>2024-10-18</v>
          </cell>
          <cell r="CO3651">
            <v>1991.6179999999999</v>
          </cell>
        </row>
        <row r="3652">
          <cell r="CJ3652" t="str">
            <v xml:space="preserve">NFT-/XUTR/DEUTH02429213780X </v>
          </cell>
          <cell r="CK3652" t="str">
            <v>2024-10-18</v>
          </cell>
          <cell r="CL3652">
            <v>14518.37</v>
          </cell>
          <cell r="CM3652" t="str">
            <v xml:space="preserve">NFT-/XUTR/DEUTH02429215994X </v>
          </cell>
          <cell r="CN3652" t="str">
            <v>2024-10-18</v>
          </cell>
          <cell r="CO3652">
            <v>1953.7639999999999</v>
          </cell>
        </row>
        <row r="3653">
          <cell r="CJ3653" t="str">
            <v xml:space="preserve">NFT-/XUTR/DEUTH02429213780X </v>
          </cell>
          <cell r="CK3653" t="str">
            <v>2024-10-18</v>
          </cell>
          <cell r="CL3653">
            <v>14537.25</v>
          </cell>
          <cell r="CM3653" t="str">
            <v xml:space="preserve">NFT-/XUTR/DEUTH02429215994X </v>
          </cell>
          <cell r="CN3653" t="str">
            <v>2024-10-18</v>
          </cell>
          <cell r="CO3653">
            <v>1953.7639999999999</v>
          </cell>
        </row>
        <row r="3654">
          <cell r="CJ3654" t="str">
            <v xml:space="preserve">NFT-/XUTR/DEUTH02429213780X </v>
          </cell>
          <cell r="CK3654" t="str">
            <v>2024-10-18</v>
          </cell>
          <cell r="CL3654">
            <v>14537.25</v>
          </cell>
          <cell r="CM3654" t="str">
            <v xml:space="preserve">NFT-/XUTR/DEUTH02429215994X </v>
          </cell>
          <cell r="CN3654" t="str">
            <v>2024-10-18</v>
          </cell>
          <cell r="CO3654">
            <v>1953.7639999999999</v>
          </cell>
        </row>
        <row r="3655">
          <cell r="CJ3655" t="str">
            <v xml:space="preserve">NFT-/XUTR/DEUTH02429213780X </v>
          </cell>
          <cell r="CK3655" t="str">
            <v>2024-10-18</v>
          </cell>
          <cell r="CL3655">
            <v>14537.25</v>
          </cell>
          <cell r="CM3655" t="str">
            <v xml:space="preserve">NFT-/XUTR/DEUTH02429215994X </v>
          </cell>
          <cell r="CN3655" t="str">
            <v>2024-10-18</v>
          </cell>
          <cell r="CO3655">
            <v>1953.7639999999999</v>
          </cell>
        </row>
        <row r="3656">
          <cell r="CJ3656" t="str">
            <v xml:space="preserve">NFT-/XUTR/DEUTH02429213780X </v>
          </cell>
          <cell r="CK3656" t="str">
            <v>2024-10-18</v>
          </cell>
          <cell r="CL3656">
            <v>14562.477999999999</v>
          </cell>
          <cell r="CM3656" t="str">
            <v xml:space="preserve">NFT-/XUTR/DEUTH02429215994X </v>
          </cell>
          <cell r="CN3656" t="str">
            <v>2024-10-18</v>
          </cell>
          <cell r="CO3656">
            <v>1928.5350000000001</v>
          </cell>
        </row>
        <row r="3657">
          <cell r="CJ3657" t="str">
            <v xml:space="preserve">NFT-/XUTR/DEUTH02429213780X </v>
          </cell>
          <cell r="CK3657" t="str">
            <v>2024-10-18</v>
          </cell>
          <cell r="CL3657">
            <v>14537.25</v>
          </cell>
          <cell r="CM3657" t="str">
            <v xml:space="preserve">NFT-/XUTR/DEUTH02429215994X </v>
          </cell>
          <cell r="CN3657" t="str">
            <v>2024-10-18</v>
          </cell>
          <cell r="CO3657">
            <v>1953.7639999999999</v>
          </cell>
        </row>
        <row r="3658">
          <cell r="CJ3658" t="str">
            <v xml:space="preserve">NFT-/XUTR/DEUTH02429023615X </v>
          </cell>
          <cell r="CK3658" t="str">
            <v>2024-10-16</v>
          </cell>
          <cell r="CL3658">
            <v>15152.146000000001</v>
          </cell>
          <cell r="CM3658" t="str">
            <v xml:space="preserve">NFT-/XUTR/DEUTH02429026181X </v>
          </cell>
          <cell r="CN3658" t="str">
            <v>2024-10-16</v>
          </cell>
          <cell r="CO3658">
            <v>1455.8620000000001</v>
          </cell>
        </row>
        <row r="3659">
          <cell r="CJ3659" t="str">
            <v xml:space="preserve">NFT-/XUTR/DEUTH02429023615X </v>
          </cell>
          <cell r="CK3659" t="str">
            <v>2024-10-16</v>
          </cell>
          <cell r="CL3659">
            <v>14335.361000000001</v>
          </cell>
          <cell r="CM3659" t="str">
            <v xml:space="preserve">NFT-/XUTR/DEUTH02429026181X </v>
          </cell>
          <cell r="CN3659" t="str">
            <v>2024-10-16</v>
          </cell>
          <cell r="CO3659">
            <v>2291.5259999999998</v>
          </cell>
        </row>
        <row r="3660">
          <cell r="CJ3660" t="str">
            <v xml:space="preserve">NFT-/XUTR/DEUTH02429023615X </v>
          </cell>
          <cell r="CK3660" t="str">
            <v>2024-10-16</v>
          </cell>
          <cell r="CL3660">
            <v>15152.146000000001</v>
          </cell>
          <cell r="CM3660" t="str">
            <v xml:space="preserve">NFT-/XUTR/DEUTH02429026181X </v>
          </cell>
          <cell r="CN3660" t="str">
            <v>2024-10-16</v>
          </cell>
          <cell r="CO3660">
            <v>1455.8620000000001</v>
          </cell>
        </row>
        <row r="3661">
          <cell r="CJ3661" t="str">
            <v xml:space="preserve">NFT-/XUTR/DEUTH02429213780X </v>
          </cell>
          <cell r="CK3661" t="str">
            <v>2024-10-18</v>
          </cell>
          <cell r="CL3661">
            <v>14537.25</v>
          </cell>
          <cell r="CM3661" t="str">
            <v xml:space="preserve">NFT-/XUTR/DEUTH02429215994X </v>
          </cell>
          <cell r="CN3661" t="str">
            <v>2024-10-18</v>
          </cell>
          <cell r="CO3661">
            <v>1953.7639999999999</v>
          </cell>
        </row>
        <row r="3662">
          <cell r="CJ3662" t="str">
            <v xml:space="preserve">NFT-/XUTR/DEUTH02429213780X </v>
          </cell>
          <cell r="CK3662" t="str">
            <v>2024-10-18</v>
          </cell>
          <cell r="CL3662">
            <v>14537.25</v>
          </cell>
          <cell r="CM3662" t="str">
            <v xml:space="preserve">NFT-/XUTR/DEUTH02429215994X </v>
          </cell>
          <cell r="CN3662" t="str">
            <v>2024-10-18</v>
          </cell>
          <cell r="CO3662">
            <v>1953.7639999999999</v>
          </cell>
        </row>
        <row r="3663">
          <cell r="CJ3663" t="str">
            <v xml:space="preserve">NFT-/XUTR/DEUTH02429213780X </v>
          </cell>
          <cell r="CK3663" t="str">
            <v>2024-10-18</v>
          </cell>
          <cell r="CL3663">
            <v>21029.394</v>
          </cell>
          <cell r="CM3663" t="str">
            <v xml:space="preserve">NFT-/XUTR/DEUTH02429215994X </v>
          </cell>
          <cell r="CN3663" t="str">
            <v>2024-10-18</v>
          </cell>
          <cell r="CO3663">
            <v>656.11199999999997</v>
          </cell>
        </row>
        <row r="3664">
          <cell r="CJ3664" t="str">
            <v xml:space="preserve">NFT-/XUTR/DEUTH02429213780X </v>
          </cell>
          <cell r="CK3664" t="str">
            <v>2024-10-18</v>
          </cell>
          <cell r="CL3664">
            <v>14518.37</v>
          </cell>
          <cell r="CM3664" t="str">
            <v xml:space="preserve">NFT-/XUTR/DEUTH02429215994X </v>
          </cell>
          <cell r="CN3664" t="str">
            <v>2024-10-18</v>
          </cell>
          <cell r="CO3664">
            <v>1953.7639999999999</v>
          </cell>
        </row>
        <row r="3665">
          <cell r="CJ3665" t="str">
            <v xml:space="preserve">NFT-/XUTR/DEUTH02429213780X </v>
          </cell>
          <cell r="CK3665" t="str">
            <v>2024-10-18</v>
          </cell>
          <cell r="CL3665">
            <v>13808.877</v>
          </cell>
          <cell r="CM3665" t="str">
            <v xml:space="preserve">NFT-/XUTR/DEUTH02429215994X </v>
          </cell>
          <cell r="CN3665" t="str">
            <v>2024-10-18</v>
          </cell>
          <cell r="CO3665">
            <v>2663.2550000000001</v>
          </cell>
        </row>
        <row r="3666">
          <cell r="CJ3666" t="str">
            <v xml:space="preserve">NFT-/XUTR/DEUTH02429213780X </v>
          </cell>
          <cell r="CK3666" t="str">
            <v>2024-10-18</v>
          </cell>
          <cell r="CL3666">
            <v>14112.664000000001</v>
          </cell>
          <cell r="CM3666" t="str">
            <v xml:space="preserve">NFT-/XUTR/DEUTH02429215994X </v>
          </cell>
          <cell r="CN3666" t="str">
            <v>2024-10-18</v>
          </cell>
          <cell r="CO3666">
            <v>2359.4699999999998</v>
          </cell>
        </row>
        <row r="3667">
          <cell r="CJ3667" t="str">
            <v xml:space="preserve">NFT-/XUTR/DEUTH02429213780X </v>
          </cell>
          <cell r="CK3667" t="str">
            <v>2024-10-18</v>
          </cell>
          <cell r="CL3667">
            <v>15016.27</v>
          </cell>
          <cell r="CM3667" t="str">
            <v xml:space="preserve">NFT-/XUTR/DEUTH02429215994X </v>
          </cell>
          <cell r="CN3667" t="str">
            <v>2024-10-18</v>
          </cell>
          <cell r="CO3667">
            <v>1455.8620000000001</v>
          </cell>
        </row>
        <row r="3668">
          <cell r="CJ3668" t="str">
            <v xml:space="preserve">NFT-/XUTR/DEUTH02429213780X </v>
          </cell>
          <cell r="CK3668" t="str">
            <v>2024-10-18</v>
          </cell>
          <cell r="CL3668">
            <v>14537.25</v>
          </cell>
          <cell r="CM3668" t="str">
            <v xml:space="preserve">NFT-/XUTR/DEUTH02429215994X </v>
          </cell>
          <cell r="CN3668" t="str">
            <v>2024-10-18</v>
          </cell>
          <cell r="CO3668">
            <v>1953.7639999999999</v>
          </cell>
        </row>
        <row r="3669">
          <cell r="CJ3669" t="str">
            <v xml:space="preserve">NFT-/XUTR/DEUTH02429213780X </v>
          </cell>
          <cell r="CK3669" t="str">
            <v>2024-10-18</v>
          </cell>
          <cell r="CL3669">
            <v>14518.37</v>
          </cell>
          <cell r="CM3669" t="str">
            <v xml:space="preserve">NFT-/XUTR/DEUTH02429215994X </v>
          </cell>
          <cell r="CN3669" t="str">
            <v>2024-10-18</v>
          </cell>
          <cell r="CO3669">
            <v>1953.7639999999999</v>
          </cell>
        </row>
        <row r="3670">
          <cell r="CJ3670" t="str">
            <v xml:space="preserve">NFT-/XUTR/DEUTH02429213780X </v>
          </cell>
          <cell r="CK3670" t="str">
            <v>2024-10-18</v>
          </cell>
          <cell r="CL3670">
            <v>14537.25</v>
          </cell>
          <cell r="CM3670" t="str">
            <v xml:space="preserve">NFT-/XUTR/DEUTH02429215994X </v>
          </cell>
          <cell r="CN3670" t="str">
            <v>2024-10-18</v>
          </cell>
          <cell r="CO3670">
            <v>1953.7639999999999</v>
          </cell>
        </row>
        <row r="3671">
          <cell r="CJ3671" t="str">
            <v xml:space="preserve">NFT-/XUTR/DEUTH02429213780X </v>
          </cell>
          <cell r="CK3671" t="str">
            <v>2024-10-18</v>
          </cell>
          <cell r="CL3671">
            <v>14537.25</v>
          </cell>
          <cell r="CM3671" t="str">
            <v xml:space="preserve">NFT-/XUTR/DEUTH02429215994X </v>
          </cell>
          <cell r="CN3671" t="str">
            <v>2024-10-18</v>
          </cell>
          <cell r="CO3671">
            <v>1953.7639999999999</v>
          </cell>
        </row>
        <row r="3672">
          <cell r="CJ3672" t="str">
            <v xml:space="preserve">NFT-/XUTR/DEUTH02429213780X </v>
          </cell>
          <cell r="CK3672" t="str">
            <v>2024-10-18</v>
          </cell>
          <cell r="CL3672">
            <v>14537.25</v>
          </cell>
          <cell r="CM3672" t="str">
            <v xml:space="preserve">NFT-/XUTR/DEUTH02429215994X </v>
          </cell>
          <cell r="CN3672" t="str">
            <v>2024-10-18</v>
          </cell>
          <cell r="CO3672">
            <v>1953.7639999999999</v>
          </cell>
        </row>
        <row r="3673">
          <cell r="CJ3673" t="str">
            <v xml:space="preserve">NFT-/XUTR/DEUTH02429213780X </v>
          </cell>
          <cell r="CK3673" t="str">
            <v>2024-10-18</v>
          </cell>
          <cell r="CL3673">
            <v>76928.263999999996</v>
          </cell>
          <cell r="CM3673" t="str">
            <v xml:space="preserve">NFT-/XUTR/DEUTH02429215994X </v>
          </cell>
          <cell r="CN3673" t="str">
            <v>2024-10-18</v>
          </cell>
          <cell r="CO3673">
            <v>3883.2730000000001</v>
          </cell>
          <cell r="CP3673" t="str">
            <v xml:space="preserve">NFT-/XUTR/DEUTH02429760724X </v>
          </cell>
          <cell r="CQ3673" t="str">
            <v>2024-10-23</v>
          </cell>
          <cell r="CR3673">
            <v>-76928.263999999996</v>
          </cell>
          <cell r="CS3673" t="str">
            <v xml:space="preserve">NFT-/XUTR/DEUTH02429764618X </v>
          </cell>
          <cell r="CT3673" t="str">
            <v>2024-10-23</v>
          </cell>
          <cell r="CU3673">
            <v>-3883.2730000000001</v>
          </cell>
        </row>
        <row r="3674">
          <cell r="CJ3674" t="str">
            <v xml:space="preserve">NFT-/XUTR/DEUTH02429213780X </v>
          </cell>
          <cell r="CK3674" t="str">
            <v>2024-10-18</v>
          </cell>
          <cell r="CL3674">
            <v>10726.329</v>
          </cell>
          <cell r="CM3674" t="str">
            <v xml:space="preserve">NFT-/XUTR/DEUTH02429215994X </v>
          </cell>
          <cell r="CN3674" t="str">
            <v>2024-10-18</v>
          </cell>
          <cell r="CO3674">
            <v>427.05700000000002</v>
          </cell>
        </row>
        <row r="3675">
          <cell r="CJ3675" t="str">
            <v xml:space="preserve">NFT-/XUTR/DEUTH02429213780X </v>
          </cell>
          <cell r="CK3675" t="str">
            <v>2024-10-18</v>
          </cell>
          <cell r="CL3675">
            <v>80830.407999999996</v>
          </cell>
        </row>
        <row r="3676">
          <cell r="CJ3676" t="str">
            <v xml:space="preserve">NFT-/XUTR/DEUTH02429213780X </v>
          </cell>
          <cell r="CK3676" t="str">
            <v>2024-10-18</v>
          </cell>
          <cell r="CL3676">
            <v>40530.203999999998</v>
          </cell>
          <cell r="CM3676" t="str">
            <v xml:space="preserve">NFT-/XUTR/DEUTH02429215994X </v>
          </cell>
          <cell r="CN3676" t="str">
            <v>2024-10-18</v>
          </cell>
          <cell r="CO3676">
            <v>535.75400000000002</v>
          </cell>
        </row>
        <row r="3677">
          <cell r="CJ3677" t="str">
            <v xml:space="preserve">NFT-/XUTR/DEUTH02429213780X </v>
          </cell>
          <cell r="CK3677" t="str">
            <v>2024-10-18</v>
          </cell>
          <cell r="CL3677">
            <v>14537.25</v>
          </cell>
          <cell r="CM3677" t="str">
            <v xml:space="preserve">NFT-/XUTR/DEUTH02429215994X </v>
          </cell>
          <cell r="CN3677" t="str">
            <v>2024-10-18</v>
          </cell>
          <cell r="CO3677">
            <v>1953.7639999999999</v>
          </cell>
        </row>
        <row r="3678">
          <cell r="CJ3678" t="str">
            <v xml:space="preserve">NFT-/XUTR/DEUTH02429213780X </v>
          </cell>
          <cell r="CK3678" t="str">
            <v>2024-10-18</v>
          </cell>
          <cell r="CL3678">
            <v>14518.37</v>
          </cell>
          <cell r="CM3678" t="str">
            <v xml:space="preserve">NFT-/XUTR/DEUTH02429215994X </v>
          </cell>
          <cell r="CN3678" t="str">
            <v>2024-10-18</v>
          </cell>
          <cell r="CO3678">
            <v>1953.7639999999999</v>
          </cell>
        </row>
        <row r="3679">
          <cell r="CJ3679" t="str">
            <v xml:space="preserve">NFT-/XUTR/DEUTH02429213780X </v>
          </cell>
          <cell r="CK3679" t="str">
            <v>2024-10-18</v>
          </cell>
          <cell r="CL3679">
            <v>14396.513999999999</v>
          </cell>
          <cell r="CM3679" t="str">
            <v xml:space="preserve">NFT-/XUTR/DEUTH02429215994X </v>
          </cell>
          <cell r="CN3679" t="str">
            <v>2024-10-18</v>
          </cell>
          <cell r="CO3679">
            <v>2094.4989999999998</v>
          </cell>
        </row>
        <row r="3680">
          <cell r="CJ3680" t="str">
            <v xml:space="preserve">NFT-/XUTR/DEUTH02429213780X </v>
          </cell>
          <cell r="CK3680" t="str">
            <v>2024-10-18</v>
          </cell>
          <cell r="CL3680">
            <v>14537.25</v>
          </cell>
          <cell r="CM3680" t="str">
            <v xml:space="preserve">NFT-/XUTR/DEUTH02429215994X </v>
          </cell>
          <cell r="CN3680" t="str">
            <v>2024-10-18</v>
          </cell>
          <cell r="CO3680">
            <v>1953.7639999999999</v>
          </cell>
        </row>
        <row r="3681">
          <cell r="CJ3681" t="str">
            <v xml:space="preserve">NFT-/XUTR/DEUTH02429213780X </v>
          </cell>
          <cell r="CK3681" t="str">
            <v>2024-10-18</v>
          </cell>
          <cell r="CL3681">
            <v>14537.25</v>
          </cell>
          <cell r="CM3681" t="str">
            <v xml:space="preserve">NFT-/XUTR/DEUTH02429215994X </v>
          </cell>
          <cell r="CN3681" t="str">
            <v>2024-10-18</v>
          </cell>
          <cell r="CO3681">
            <v>1953.7639999999999</v>
          </cell>
        </row>
        <row r="3682">
          <cell r="CJ3682" t="str">
            <v xml:space="preserve">NFT-/XUTR/DEUTH02429213780X </v>
          </cell>
          <cell r="CK3682" t="str">
            <v>2024-10-18</v>
          </cell>
          <cell r="CL3682">
            <v>14518.37</v>
          </cell>
          <cell r="CM3682" t="str">
            <v xml:space="preserve">NFT-/XUTR/DEUTH02429215994X </v>
          </cell>
          <cell r="CN3682" t="str">
            <v>2024-10-18</v>
          </cell>
          <cell r="CO3682">
            <v>1953.7639999999999</v>
          </cell>
        </row>
        <row r="3683">
          <cell r="CJ3683" t="str">
            <v xml:space="preserve">NFT-/XUTR/DEUTH02429213780X </v>
          </cell>
          <cell r="CK3683" t="str">
            <v>2024-10-18</v>
          </cell>
          <cell r="CL3683">
            <v>14537.25</v>
          </cell>
          <cell r="CM3683" t="str">
            <v xml:space="preserve">NFT-/XUTR/DEUTH02429215994X </v>
          </cell>
          <cell r="CN3683" t="str">
            <v>2024-10-18</v>
          </cell>
          <cell r="CO3683">
            <v>1953.7639999999999</v>
          </cell>
        </row>
        <row r="3684">
          <cell r="CJ3684" t="str">
            <v xml:space="preserve">NFT-/XUTR/DEUTH02429213780X </v>
          </cell>
          <cell r="CK3684" t="str">
            <v>2024-10-18</v>
          </cell>
          <cell r="CL3684">
            <v>14537.25</v>
          </cell>
          <cell r="CM3684" t="str">
            <v xml:space="preserve">NFT-/XUTR/DEUTH02429215994X </v>
          </cell>
          <cell r="CN3684" t="str">
            <v>2024-10-18</v>
          </cell>
          <cell r="CO3684">
            <v>1953.7639999999999</v>
          </cell>
        </row>
        <row r="3685">
          <cell r="CJ3685" t="str">
            <v xml:space="preserve">NFT-/XUTR/DEUTH02429213780X </v>
          </cell>
          <cell r="CK3685" t="str">
            <v>2024-10-18</v>
          </cell>
          <cell r="CL3685">
            <v>14537.25</v>
          </cell>
          <cell r="CM3685" t="str">
            <v xml:space="preserve">NFT-/XUTR/DEUTH02429215994X </v>
          </cell>
          <cell r="CN3685" t="str">
            <v>2024-10-18</v>
          </cell>
          <cell r="CO3685">
            <v>1953.7639999999999</v>
          </cell>
        </row>
        <row r="3686">
          <cell r="CJ3686" t="str">
            <v xml:space="preserve">NFT-/XUTR/DEUTH02429213780X </v>
          </cell>
          <cell r="CK3686" t="str">
            <v>2024-10-18</v>
          </cell>
          <cell r="CL3686">
            <v>14537.25</v>
          </cell>
          <cell r="CM3686" t="str">
            <v xml:space="preserve">NFT-/XUTR/DEUTH02429215994X </v>
          </cell>
          <cell r="CN3686" t="str">
            <v>2024-10-18</v>
          </cell>
          <cell r="CO3686">
            <v>1953.7639999999999</v>
          </cell>
        </row>
        <row r="3687">
          <cell r="CJ3687" t="str">
            <v xml:space="preserve">NFT-/XUTR/DEUTH02429023615X </v>
          </cell>
          <cell r="CK3687" t="str">
            <v>2024-10-16</v>
          </cell>
          <cell r="CL3687">
            <v>15152.146000000001</v>
          </cell>
          <cell r="CM3687" t="str">
            <v xml:space="preserve">NFT-/XUTR/DEUTH02429026181X </v>
          </cell>
          <cell r="CN3687" t="str">
            <v>2024-10-16</v>
          </cell>
          <cell r="CO3687">
            <v>1455.8620000000001</v>
          </cell>
        </row>
        <row r="3688">
          <cell r="CJ3688" t="str">
            <v xml:space="preserve">NFT-/XUTR/DEUTH02429023615X </v>
          </cell>
          <cell r="CK3688" t="str">
            <v>2024-10-16</v>
          </cell>
          <cell r="CL3688">
            <v>14814.824000000001</v>
          </cell>
          <cell r="CM3688" t="str">
            <v xml:space="preserve">NFT-/XUTR/DEUTH02429026181X </v>
          </cell>
          <cell r="CN3688" t="str">
            <v>2024-10-16</v>
          </cell>
          <cell r="CO3688">
            <v>1812.0630000000001</v>
          </cell>
        </row>
        <row r="3689">
          <cell r="CJ3689" t="str">
            <v xml:space="preserve">NFT-/XUTR/DEUTH02429023615X </v>
          </cell>
          <cell r="CK3689" t="str">
            <v>2024-10-16</v>
          </cell>
          <cell r="CL3689">
            <v>1340.8689999999999</v>
          </cell>
        </row>
        <row r="3690">
          <cell r="CJ3690" t="str">
            <v xml:space="preserve">NFT-/XUTR/DEUTH02429023615X </v>
          </cell>
          <cell r="CK3690" t="str">
            <v>2024-10-16</v>
          </cell>
          <cell r="CL3690">
            <v>13962.227000000001</v>
          </cell>
          <cell r="CM3690" t="str">
            <v xml:space="preserve">NFT-/XUTR/DEUTH02429026181X </v>
          </cell>
          <cell r="CN3690" t="str">
            <v>2024-10-16</v>
          </cell>
          <cell r="CO3690">
            <v>2645.7910000000002</v>
          </cell>
        </row>
        <row r="3691">
          <cell r="CJ3691" t="str">
            <v xml:space="preserve">NFT-/XUTR/DEUTH02429023615X </v>
          </cell>
          <cell r="CK3691" t="str">
            <v>2024-10-16</v>
          </cell>
          <cell r="CL3691">
            <v>15152.146000000001</v>
          </cell>
          <cell r="CM3691" t="str">
            <v xml:space="preserve">NFT-/XUTR/DEUTH02429026181X </v>
          </cell>
          <cell r="CN3691" t="str">
            <v>2024-10-16</v>
          </cell>
          <cell r="CO3691">
            <v>1455.8620000000001</v>
          </cell>
          <cell r="CP3691" t="str">
            <v xml:space="preserve">NFT-/XUTR/DEUTH02429509164X </v>
          </cell>
          <cell r="CQ3691" t="str">
            <v>2024-10-21</v>
          </cell>
          <cell r="CR3691">
            <v>-15152.146000000001</v>
          </cell>
          <cell r="CS3691" t="str">
            <v xml:space="preserve">NFT-/XUTR/DEUTH02429530992X </v>
          </cell>
          <cell r="CT3691" t="str">
            <v>2024-10-21</v>
          </cell>
          <cell r="CU3691">
            <v>-1455.8620000000001</v>
          </cell>
        </row>
        <row r="3692">
          <cell r="CJ3692" t="str">
            <v xml:space="preserve">NFT-/XUTR/DEUTH02429213780X </v>
          </cell>
          <cell r="CK3692" t="str">
            <v>2024-10-18</v>
          </cell>
          <cell r="CL3692">
            <v>14537.25</v>
          </cell>
          <cell r="CM3692" t="str">
            <v xml:space="preserve">NFT-/XUTR/DEUTH02429215994X </v>
          </cell>
          <cell r="CN3692" t="str">
            <v>2024-10-18</v>
          </cell>
          <cell r="CO3692">
            <v>1953.7639999999999</v>
          </cell>
        </row>
        <row r="3693">
          <cell r="CJ3693" t="str">
            <v xml:space="preserve">NFT-/XUTR/DEUTH02429213780X </v>
          </cell>
          <cell r="CK3693" t="str">
            <v>2024-10-18</v>
          </cell>
          <cell r="CL3693">
            <v>15993.111000000001</v>
          </cell>
          <cell r="CM3693" t="str">
            <v xml:space="preserve">NFT-/XUTR/DEUTH02429215994X </v>
          </cell>
          <cell r="CN3693" t="str">
            <v>2024-10-18</v>
          </cell>
          <cell r="CO3693">
            <v>497.90199999999999</v>
          </cell>
        </row>
        <row r="3694">
          <cell r="CJ3694" t="str">
            <v xml:space="preserve">NFT-/XUTR/DEUTH02429213780X </v>
          </cell>
          <cell r="CK3694" t="str">
            <v>2024-10-18</v>
          </cell>
          <cell r="CL3694">
            <v>38375.536</v>
          </cell>
          <cell r="CM3694" t="str">
            <v xml:space="preserve">NFT-/XUTR/DEUTH02429215994X </v>
          </cell>
          <cell r="CN3694" t="str">
            <v>2024-10-18</v>
          </cell>
          <cell r="CO3694">
            <v>2690.433</v>
          </cell>
          <cell r="CP3694" t="str">
            <v xml:space="preserve">NFT-/XUTR/DEUTH02429509164X </v>
          </cell>
          <cell r="CQ3694" t="str">
            <v>2024-10-21</v>
          </cell>
          <cell r="CR3694">
            <v>-38375.536</v>
          </cell>
          <cell r="CS3694" t="str">
            <v xml:space="preserve">NFT-/XUTR/DEUTH02429530992X </v>
          </cell>
          <cell r="CT3694" t="str">
            <v>2024-10-21</v>
          </cell>
          <cell r="CU3694">
            <v>-2690.433</v>
          </cell>
        </row>
        <row r="3695">
          <cell r="CJ3695" t="str">
            <v xml:space="preserve">NFT-/XUTR/DEUTH02429213780X </v>
          </cell>
          <cell r="CK3695" t="str">
            <v>2024-10-18</v>
          </cell>
          <cell r="CL3695">
            <v>14518.37</v>
          </cell>
          <cell r="CM3695" t="str">
            <v xml:space="preserve">NFT-/XUTR/DEUTH02429215994X </v>
          </cell>
          <cell r="CN3695" t="str">
            <v>2024-10-18</v>
          </cell>
          <cell r="CO3695">
            <v>1953.7639999999999</v>
          </cell>
        </row>
        <row r="3696">
          <cell r="CJ3696" t="str">
            <v xml:space="preserve">NFT-/XUTR/DEUTH02429213780X </v>
          </cell>
          <cell r="CK3696" t="str">
            <v>2024-10-18</v>
          </cell>
          <cell r="CL3696">
            <v>10833.508</v>
          </cell>
        </row>
        <row r="3697">
          <cell r="CJ3697" t="str">
            <v xml:space="preserve">NFT-/XUTR/DEUTH02429213780X </v>
          </cell>
          <cell r="CK3697" t="str">
            <v>2024-10-18</v>
          </cell>
          <cell r="CL3697">
            <v>39831.398000000001</v>
          </cell>
          <cell r="CM3697" t="str">
            <v xml:space="preserve">NFT-/XUTR/DEUTH02429215994X </v>
          </cell>
          <cell r="CN3697" t="str">
            <v>2024-10-18</v>
          </cell>
          <cell r="CO3697">
            <v>1234.57</v>
          </cell>
        </row>
        <row r="3698">
          <cell r="CJ3698" t="str">
            <v xml:space="preserve">NFT-/XUTR/DEUTH02429213780X </v>
          </cell>
          <cell r="CK3698" t="str">
            <v>2024-10-18</v>
          </cell>
          <cell r="CL3698">
            <v>14537.25</v>
          </cell>
          <cell r="CM3698" t="str">
            <v xml:space="preserve">NFT-/XUTR/DEUTH02429215994X </v>
          </cell>
          <cell r="CN3698" t="str">
            <v>2024-10-18</v>
          </cell>
          <cell r="CO3698">
            <v>1953.7639999999999</v>
          </cell>
        </row>
        <row r="3699">
          <cell r="CJ3699" t="str">
            <v xml:space="preserve">NFT-/XUTR/DEUTH02429213780X </v>
          </cell>
          <cell r="CK3699" t="str">
            <v>2024-10-18</v>
          </cell>
          <cell r="CL3699">
            <v>14237.34</v>
          </cell>
          <cell r="CM3699" t="str">
            <v xml:space="preserve">NFT-/XUTR/DEUTH02429215994X </v>
          </cell>
          <cell r="CN3699" t="str">
            <v>2024-10-18</v>
          </cell>
          <cell r="CO3699">
            <v>2253.674</v>
          </cell>
        </row>
        <row r="3700">
          <cell r="CJ3700" t="str">
            <v xml:space="preserve">NFT-/XUTR/DEUTH02429213780X </v>
          </cell>
          <cell r="CK3700" t="str">
            <v>2024-10-18</v>
          </cell>
          <cell r="CL3700">
            <v>15035.15</v>
          </cell>
          <cell r="CM3700" t="str">
            <v xml:space="preserve">NFT-/XUTR/DEUTH02429215994X </v>
          </cell>
          <cell r="CN3700" t="str">
            <v>2024-10-18</v>
          </cell>
          <cell r="CO3700">
            <v>1455.8620000000001</v>
          </cell>
        </row>
        <row r="3701">
          <cell r="CJ3701" t="str">
            <v xml:space="preserve">NFT-/XUTR/DEUTH02429213780X </v>
          </cell>
          <cell r="CK3701" t="str">
            <v>2024-10-18</v>
          </cell>
          <cell r="CL3701">
            <v>9690.7240000000002</v>
          </cell>
          <cell r="CM3701" t="str">
            <v xml:space="preserve">NFT-/XUTR/DEUTH02429215994X </v>
          </cell>
          <cell r="CN3701" t="str">
            <v>2024-10-18</v>
          </cell>
          <cell r="CO3701">
            <v>1462.662</v>
          </cell>
        </row>
        <row r="3702">
          <cell r="CJ3702" t="str">
            <v xml:space="preserve">NFT-/XUTR/DEUTH02429213780X </v>
          </cell>
          <cell r="CK3702" t="str">
            <v>2024-10-18</v>
          </cell>
          <cell r="CL3702">
            <v>14537.25</v>
          </cell>
          <cell r="CM3702" t="str">
            <v xml:space="preserve">NFT-/XUTR/DEUTH02429215994X </v>
          </cell>
          <cell r="CN3702" t="str">
            <v>2024-10-18</v>
          </cell>
          <cell r="CO3702">
            <v>1953.7639999999999</v>
          </cell>
        </row>
        <row r="3703">
          <cell r="CJ3703" t="str">
            <v xml:space="preserve">NFT-/XUTR/DEUTH02429213780X </v>
          </cell>
          <cell r="CK3703" t="str">
            <v>2024-10-18</v>
          </cell>
          <cell r="CL3703">
            <v>15974.231</v>
          </cell>
          <cell r="CM3703" t="str">
            <v xml:space="preserve">NFT-/XUTR/DEUTH02429215994X </v>
          </cell>
          <cell r="CN3703" t="str">
            <v>2024-10-18</v>
          </cell>
          <cell r="CO3703">
            <v>497.90199999999999</v>
          </cell>
        </row>
        <row r="3704">
          <cell r="CJ3704" t="str">
            <v xml:space="preserve">NFT-/XUTR/DEUTH02429213780X </v>
          </cell>
          <cell r="CK3704" t="str">
            <v>2024-10-18</v>
          </cell>
          <cell r="CL3704">
            <v>14518.37</v>
          </cell>
          <cell r="CM3704" t="str">
            <v xml:space="preserve">NFT-/XUTR/DEUTH02429215994X </v>
          </cell>
          <cell r="CN3704" t="str">
            <v>2024-10-18</v>
          </cell>
          <cell r="CO3704">
            <v>1953.7639999999999</v>
          </cell>
        </row>
        <row r="3705">
          <cell r="CJ3705" t="str">
            <v xml:space="preserve">NFT-/XUTR/DEUTH02429213780X </v>
          </cell>
          <cell r="CK3705" t="str">
            <v>2024-10-18</v>
          </cell>
          <cell r="CL3705">
            <v>10028.486999999999</v>
          </cell>
          <cell r="CM3705" t="str">
            <v xml:space="preserve">NFT-/XUTR/DEUTH02429215994X </v>
          </cell>
          <cell r="CN3705" t="str">
            <v>2024-10-18</v>
          </cell>
          <cell r="CO3705">
            <v>1124.8989999999999</v>
          </cell>
        </row>
        <row r="3706">
          <cell r="CJ3706" t="str">
            <v xml:space="preserve">NFT-/XUTR/DEUTH02429213780X </v>
          </cell>
          <cell r="CK3706" t="str">
            <v>2024-10-18</v>
          </cell>
          <cell r="CL3706">
            <v>14019.924000000001</v>
          </cell>
          <cell r="CM3706" t="str">
            <v xml:space="preserve">NFT-/XUTR/DEUTH02429215994X </v>
          </cell>
          <cell r="CN3706" t="str">
            <v>2024-10-18</v>
          </cell>
          <cell r="CO3706">
            <v>2471.078</v>
          </cell>
        </row>
        <row r="3707">
          <cell r="CJ3707" t="str">
            <v xml:space="preserve">NFT-/XUTR/DEUTH02429213780X </v>
          </cell>
          <cell r="CK3707" t="str">
            <v>2024-10-18</v>
          </cell>
          <cell r="CL3707">
            <v>14537.25</v>
          </cell>
          <cell r="CM3707" t="str">
            <v xml:space="preserve">NFT-/XUTR/DEUTH02429215994X </v>
          </cell>
          <cell r="CN3707" t="str">
            <v>2024-10-18</v>
          </cell>
          <cell r="CO3707">
            <v>1953.7639999999999</v>
          </cell>
        </row>
        <row r="3708">
          <cell r="CJ3708" t="str">
            <v xml:space="preserve">NFT-/XUTR/DEUTH02429213780X </v>
          </cell>
          <cell r="CK3708" t="str">
            <v>2024-10-18</v>
          </cell>
          <cell r="CL3708">
            <v>15974.231</v>
          </cell>
          <cell r="CM3708" t="str">
            <v xml:space="preserve">NFT-/XUTR/DEUTH02429215994X </v>
          </cell>
          <cell r="CN3708" t="str">
            <v>2024-10-18</v>
          </cell>
          <cell r="CO3708">
            <v>497.90199999999999</v>
          </cell>
        </row>
        <row r="3709">
          <cell r="CJ3709" t="str">
            <v xml:space="preserve">NFT-/XUTR/DEUTH02429213780X </v>
          </cell>
          <cell r="CK3709" t="str">
            <v>2024-10-18</v>
          </cell>
          <cell r="CL3709">
            <v>14518.37</v>
          </cell>
          <cell r="CM3709" t="str">
            <v xml:space="preserve">NFT-/XUTR/DEUTH02429215994X </v>
          </cell>
          <cell r="CN3709" t="str">
            <v>2024-10-18</v>
          </cell>
          <cell r="CO3709">
            <v>1953.7639999999999</v>
          </cell>
        </row>
        <row r="3710">
          <cell r="CJ3710" t="str">
            <v xml:space="preserve">NFT-/XUTR/DEUTH02429213780X </v>
          </cell>
          <cell r="CK3710" t="str">
            <v>2024-10-18</v>
          </cell>
          <cell r="CL3710">
            <v>14518.37</v>
          </cell>
          <cell r="CM3710" t="str">
            <v xml:space="preserve">NFT-/XUTR/DEUTH02429215994X </v>
          </cell>
          <cell r="CN3710" t="str">
            <v>2024-10-18</v>
          </cell>
          <cell r="CO3710">
            <v>1953.7639999999999</v>
          </cell>
        </row>
        <row r="3711">
          <cell r="CJ3711" t="str">
            <v xml:space="preserve">NFT-/XUTR/DEUTH02429213780X </v>
          </cell>
          <cell r="CK3711" t="str">
            <v>2024-10-18</v>
          </cell>
          <cell r="CL3711">
            <v>14476.63</v>
          </cell>
          <cell r="CM3711" t="str">
            <v xml:space="preserve">NFT-/XUTR/DEUTH02429215994X </v>
          </cell>
          <cell r="CN3711" t="str">
            <v>2024-10-18</v>
          </cell>
          <cell r="CO3711">
            <v>1995.5029999999999</v>
          </cell>
          <cell r="CP3711" t="str">
            <v xml:space="preserve">NFT-/XUTR/DEUTH02430980595X </v>
          </cell>
          <cell r="CQ3711" t="str">
            <v>2024-11-04</v>
          </cell>
          <cell r="CR3711">
            <v>-14476.63</v>
          </cell>
          <cell r="CS3711" t="str">
            <v xml:space="preserve">NFT-/XUTR/DEUTH024309A02A3X </v>
          </cell>
          <cell r="CT3711" t="str">
            <v>2024-11-04</v>
          </cell>
          <cell r="CU3711">
            <v>-1995.5029999999999</v>
          </cell>
        </row>
        <row r="3712">
          <cell r="CJ3712" t="str">
            <v xml:space="preserve">NFT-/XUTR/DEUTH02429213780X </v>
          </cell>
          <cell r="CK3712" t="str">
            <v>2024-10-18</v>
          </cell>
          <cell r="CL3712">
            <v>15974.231</v>
          </cell>
          <cell r="CM3712" t="str">
            <v xml:space="preserve">NFT-/XUTR/DEUTH02429215994X </v>
          </cell>
          <cell r="CN3712" t="str">
            <v>2024-10-18</v>
          </cell>
          <cell r="CO3712">
            <v>497.90199999999999</v>
          </cell>
        </row>
        <row r="3713">
          <cell r="CJ3713" t="str">
            <v xml:space="preserve">NFT-/XUTR/DEUTH02429213780X </v>
          </cell>
          <cell r="CK3713" t="str">
            <v>2024-10-18</v>
          </cell>
          <cell r="CL3713">
            <v>14537.25</v>
          </cell>
          <cell r="CM3713" t="str">
            <v xml:space="preserve">NFT-/XUTR/DEUTH02429215994X </v>
          </cell>
          <cell r="CN3713" t="str">
            <v>2024-10-18</v>
          </cell>
          <cell r="CO3713">
            <v>1953.7639999999999</v>
          </cell>
        </row>
        <row r="3714">
          <cell r="CJ3714" t="str">
            <v xml:space="preserve">NFT-/XUTR/DEUTH02429213780X </v>
          </cell>
          <cell r="CK3714" t="str">
            <v>2024-10-18</v>
          </cell>
          <cell r="CL3714">
            <v>14537.25</v>
          </cell>
          <cell r="CM3714" t="str">
            <v xml:space="preserve">NFT-/XUTR/DEUTH02429215994X </v>
          </cell>
          <cell r="CN3714" t="str">
            <v>2024-10-18</v>
          </cell>
          <cell r="CO3714">
            <v>1953.7639999999999</v>
          </cell>
        </row>
        <row r="3715">
          <cell r="CJ3715" t="str">
            <v xml:space="preserve">NFT-/XUTR/DEUTH02429213780X </v>
          </cell>
          <cell r="CK3715" t="str">
            <v>2024-10-18</v>
          </cell>
          <cell r="CL3715">
            <v>14518.37</v>
          </cell>
          <cell r="CM3715" t="str">
            <v xml:space="preserve">NFT-/XUTR/DEUTH02429215994X </v>
          </cell>
          <cell r="CN3715" t="str">
            <v>2024-10-18</v>
          </cell>
          <cell r="CO3715">
            <v>1953.7639999999999</v>
          </cell>
        </row>
        <row r="3716">
          <cell r="CJ3716" t="str">
            <v xml:space="preserve">NFT-/XUTR/DEUTH02429023615X </v>
          </cell>
          <cell r="CK3716" t="str">
            <v>2024-10-16</v>
          </cell>
          <cell r="CL3716">
            <v>14978.418</v>
          </cell>
          <cell r="CM3716" t="str">
            <v xml:space="preserve">NFT-/XUTR/DEUTH02429026181X </v>
          </cell>
          <cell r="CN3716" t="str">
            <v>2024-10-16</v>
          </cell>
          <cell r="CO3716">
            <v>1629.5989999999999</v>
          </cell>
        </row>
        <row r="3717">
          <cell r="CJ3717" t="str">
            <v xml:space="preserve">NFT-/XUTR/DEUTH02429023615X </v>
          </cell>
          <cell r="CK3717" t="str">
            <v>2024-10-16</v>
          </cell>
          <cell r="CL3717">
            <v>14899.8</v>
          </cell>
          <cell r="CM3717" t="str">
            <v xml:space="preserve">NFT-/XUTR/DEUTH02429026181X </v>
          </cell>
          <cell r="CN3717" t="str">
            <v>2024-10-16</v>
          </cell>
          <cell r="CO3717">
            <v>1708.2080000000001</v>
          </cell>
          <cell r="CP3717" t="str">
            <v xml:space="preserve">NFT-/XUTR/DEUTH02430980595X </v>
          </cell>
          <cell r="CQ3717" t="str">
            <v>2024-11-04</v>
          </cell>
          <cell r="CR3717">
            <v>-14899.8</v>
          </cell>
          <cell r="CS3717" t="str">
            <v xml:space="preserve">NFT-/XUTR/DEUTH024309A02A3X </v>
          </cell>
          <cell r="CT3717" t="str">
            <v>2024-11-04</v>
          </cell>
          <cell r="CU3717">
            <v>-1708.2080000000001</v>
          </cell>
        </row>
        <row r="3718">
          <cell r="CJ3718" t="str">
            <v xml:space="preserve">NFT-/XUTR/DEUTH02429023615X </v>
          </cell>
          <cell r="CK3718" t="str">
            <v>2024-10-16</v>
          </cell>
          <cell r="CL3718">
            <v>15171.026</v>
          </cell>
          <cell r="CM3718" t="str">
            <v xml:space="preserve">NFT-/XUTR/DEUTH02429026181X </v>
          </cell>
          <cell r="CN3718" t="str">
            <v>2024-10-16</v>
          </cell>
          <cell r="CO3718">
            <v>1455.8620000000001</v>
          </cell>
        </row>
        <row r="3719">
          <cell r="CJ3719" t="str">
            <v xml:space="preserve">NFT-/XUTR/DEUTH02429023615X </v>
          </cell>
          <cell r="CK3719" t="str">
            <v>2024-10-16</v>
          </cell>
          <cell r="CL3719">
            <v>15171.026</v>
          </cell>
          <cell r="CM3719" t="str">
            <v xml:space="preserve">NFT-/XUTR/DEUTH02429026181X </v>
          </cell>
          <cell r="CN3719" t="str">
            <v>2024-10-16</v>
          </cell>
          <cell r="CO3719">
            <v>1455.8620000000001</v>
          </cell>
        </row>
        <row r="3720">
          <cell r="CJ3720" t="str">
            <v xml:space="preserve">NFT-/XUTR/DEUTH02429023615X </v>
          </cell>
          <cell r="CK3720" t="str">
            <v>2024-10-16</v>
          </cell>
          <cell r="CL3720">
            <v>14045.696</v>
          </cell>
          <cell r="CM3720" t="str">
            <v xml:space="preserve">NFT-/XUTR/DEUTH02429026181X </v>
          </cell>
          <cell r="CN3720" t="str">
            <v>2024-10-16</v>
          </cell>
          <cell r="CO3720">
            <v>2562.3220000000001</v>
          </cell>
        </row>
        <row r="3721">
          <cell r="CJ3721" t="str">
            <v xml:space="preserve">NFT-/XUTR/DEUTH02429213780X </v>
          </cell>
          <cell r="CK3721" t="str">
            <v>2024-10-18</v>
          </cell>
          <cell r="CL3721">
            <v>14537.25</v>
          </cell>
          <cell r="CM3721" t="str">
            <v xml:space="preserve">NFT-/XUTR/DEUTH02429215994X </v>
          </cell>
          <cell r="CN3721" t="str">
            <v>2024-10-18</v>
          </cell>
          <cell r="CO3721">
            <v>1953.7639999999999</v>
          </cell>
        </row>
        <row r="3722">
          <cell r="CJ3722" t="str">
            <v xml:space="preserve">NFT-/XUTR/DEUTH02429213780X </v>
          </cell>
          <cell r="CK3722" t="str">
            <v>2024-10-18</v>
          </cell>
          <cell r="CL3722">
            <v>14537.25</v>
          </cell>
          <cell r="CM3722" t="str">
            <v xml:space="preserve">NFT-/XUTR/DEUTH02429215994X </v>
          </cell>
          <cell r="CN3722" t="str">
            <v>2024-10-18</v>
          </cell>
          <cell r="CO3722">
            <v>1953.7639999999999</v>
          </cell>
        </row>
        <row r="3723">
          <cell r="CJ3723" t="str">
            <v xml:space="preserve">NFT-/XUTR/DEUTH02429213780X </v>
          </cell>
          <cell r="CK3723" t="str">
            <v>2024-10-18</v>
          </cell>
          <cell r="CL3723">
            <v>5137.2259999999997</v>
          </cell>
          <cell r="CM3723" t="str">
            <v xml:space="preserve">NFT-/XUTR/DEUTH02429215994X </v>
          </cell>
          <cell r="CN3723" t="str">
            <v>2024-10-18</v>
          </cell>
          <cell r="CO3723">
            <v>628.93700000000001</v>
          </cell>
        </row>
        <row r="3724">
          <cell r="CJ3724" t="str">
            <v xml:space="preserve">NFT-/XUTR/DEUTH02429213780X </v>
          </cell>
          <cell r="CK3724" t="str">
            <v>2024-10-18</v>
          </cell>
          <cell r="CL3724">
            <v>14537.25</v>
          </cell>
          <cell r="CM3724" t="str">
            <v xml:space="preserve">NFT-/XUTR/DEUTH02429215994X </v>
          </cell>
          <cell r="CN3724" t="str">
            <v>2024-10-18</v>
          </cell>
          <cell r="CO3724">
            <v>1953.7639999999999</v>
          </cell>
        </row>
        <row r="3725">
          <cell r="CJ3725" t="str">
            <v xml:space="preserve">NFT-/XUTR/DEUTH02429213780X </v>
          </cell>
          <cell r="CK3725" t="str">
            <v>2024-10-18</v>
          </cell>
          <cell r="CL3725">
            <v>14518.37</v>
          </cell>
          <cell r="CM3725" t="str">
            <v xml:space="preserve">NFT-/XUTR/DEUTH02429215994X </v>
          </cell>
          <cell r="CN3725" t="str">
            <v>2024-10-18</v>
          </cell>
          <cell r="CO3725">
            <v>1953.7639999999999</v>
          </cell>
        </row>
        <row r="3726">
          <cell r="CJ3726" t="str">
            <v xml:space="preserve">NFT-/XUTR/DEUTH02429213780X </v>
          </cell>
          <cell r="CK3726" t="str">
            <v>2024-10-18</v>
          </cell>
          <cell r="CL3726">
            <v>14537.25</v>
          </cell>
          <cell r="CM3726" t="str">
            <v xml:space="preserve">NFT-/XUTR/DEUTH02429215994X </v>
          </cell>
          <cell r="CN3726" t="str">
            <v>2024-10-18</v>
          </cell>
          <cell r="CO3726">
            <v>1953.7639999999999</v>
          </cell>
        </row>
        <row r="3727">
          <cell r="CJ3727" t="str">
            <v xml:space="preserve">NFT-/XUTR/DEUTH02429213780X </v>
          </cell>
          <cell r="CK3727" t="str">
            <v>2024-10-18</v>
          </cell>
          <cell r="CL3727">
            <v>14537.25</v>
          </cell>
          <cell r="CM3727" t="str">
            <v xml:space="preserve">NFT-/XUTR/DEUTH02429215994X </v>
          </cell>
          <cell r="CN3727" t="str">
            <v>2024-10-18</v>
          </cell>
          <cell r="CO3727">
            <v>1953.7639999999999</v>
          </cell>
        </row>
        <row r="3728">
          <cell r="CJ3728" t="str">
            <v xml:space="preserve">NFT-/XUTR/DEUTH02429213780X </v>
          </cell>
          <cell r="CK3728" t="str">
            <v>2024-10-18</v>
          </cell>
          <cell r="CL3728">
            <v>14537.25</v>
          </cell>
          <cell r="CM3728" t="str">
            <v xml:space="preserve">NFT-/XUTR/DEUTH02429215994X </v>
          </cell>
          <cell r="CN3728" t="str">
            <v>2024-10-18</v>
          </cell>
          <cell r="CO3728">
            <v>1953.7639999999999</v>
          </cell>
        </row>
        <row r="3729">
          <cell r="CJ3729" t="str">
            <v xml:space="preserve">NFT-/XUTR/DEUTH02429213780X </v>
          </cell>
          <cell r="CK3729" t="str">
            <v>2024-10-18</v>
          </cell>
          <cell r="CL3729">
            <v>15297.681</v>
          </cell>
          <cell r="CM3729" t="str">
            <v xml:space="preserve">NFT-/XUTR/DEUTH02429215994X </v>
          </cell>
          <cell r="CN3729" t="str">
            <v>2024-10-18</v>
          </cell>
          <cell r="CO3729">
            <v>1979.9770000000001</v>
          </cell>
        </row>
        <row r="3730">
          <cell r="CJ3730" t="str">
            <v xml:space="preserve">NFT-/XUTR/DEUTH02429213780X </v>
          </cell>
          <cell r="CK3730" t="str">
            <v>2024-10-18</v>
          </cell>
          <cell r="CL3730">
            <v>14537.25</v>
          </cell>
          <cell r="CM3730" t="str">
            <v xml:space="preserve">NFT-/XUTR/DEUTH02429215994X </v>
          </cell>
          <cell r="CN3730" t="str">
            <v>2024-10-18</v>
          </cell>
          <cell r="CO3730">
            <v>1953.7639999999999</v>
          </cell>
        </row>
        <row r="3731">
          <cell r="CJ3731" t="str">
            <v xml:space="preserve">NFT-/XUTR/DEUTH02429213780X </v>
          </cell>
          <cell r="CK3731" t="str">
            <v>2024-10-18</v>
          </cell>
          <cell r="CL3731">
            <v>14518.37</v>
          </cell>
          <cell r="CM3731" t="str">
            <v xml:space="preserve">NFT-/XUTR/DEUTH02429215994X </v>
          </cell>
          <cell r="CN3731" t="str">
            <v>2024-10-18</v>
          </cell>
          <cell r="CO3731">
            <v>1953.7639999999999</v>
          </cell>
        </row>
        <row r="3732">
          <cell r="CJ3732" t="str">
            <v xml:space="preserve">NFT-/XUTR/DEUTH02429213780X </v>
          </cell>
          <cell r="CK3732" t="str">
            <v>2024-10-18</v>
          </cell>
          <cell r="CL3732">
            <v>14518.37</v>
          </cell>
          <cell r="CM3732" t="str">
            <v xml:space="preserve">NFT-/XUTR/DEUTH02429215994X </v>
          </cell>
          <cell r="CN3732" t="str">
            <v>2024-10-18</v>
          </cell>
          <cell r="CO3732">
            <v>1953.7639999999999</v>
          </cell>
        </row>
        <row r="3733">
          <cell r="CJ3733" t="str">
            <v xml:space="preserve">NFT-/XUTR/DEUTH02429213780X </v>
          </cell>
          <cell r="CK3733" t="str">
            <v>2024-10-18</v>
          </cell>
          <cell r="CL3733">
            <v>14537.25</v>
          </cell>
          <cell r="CM3733" t="str">
            <v xml:space="preserve">NFT-/XUTR/DEUTH02429215994X </v>
          </cell>
          <cell r="CN3733" t="str">
            <v>2024-10-18</v>
          </cell>
          <cell r="CO3733">
            <v>1953.7639999999999</v>
          </cell>
        </row>
        <row r="3734">
          <cell r="CJ3734" t="str">
            <v xml:space="preserve">NFT-/XUTR/DEUTH02429213780X </v>
          </cell>
          <cell r="CK3734" t="str">
            <v>2024-10-18</v>
          </cell>
          <cell r="CL3734">
            <v>14537.25</v>
          </cell>
          <cell r="CM3734" t="str">
            <v xml:space="preserve">NFT-/XUTR/DEUTH02429215994X </v>
          </cell>
          <cell r="CN3734" t="str">
            <v>2024-10-18</v>
          </cell>
          <cell r="CO3734">
            <v>1953.7639999999999</v>
          </cell>
        </row>
        <row r="3735">
          <cell r="CJ3735" t="str">
            <v xml:space="preserve">NFT-/XUTR/DEUTH02429213780X </v>
          </cell>
          <cell r="CK3735" t="str">
            <v>2024-10-18</v>
          </cell>
          <cell r="CL3735">
            <v>78384.126999999993</v>
          </cell>
          <cell r="CM3735" t="str">
            <v xml:space="preserve">NFT-/XUTR/DEUTH02429215994X </v>
          </cell>
          <cell r="CN3735" t="str">
            <v>2024-10-18</v>
          </cell>
          <cell r="CO3735">
            <v>2427.4110000000001</v>
          </cell>
        </row>
        <row r="3736">
          <cell r="CJ3736" t="str">
            <v xml:space="preserve">NFT-/XUTR/DEUTH02429213780X </v>
          </cell>
          <cell r="CK3736" t="str">
            <v>2024-10-18</v>
          </cell>
          <cell r="CL3736">
            <v>78403.006999999998</v>
          </cell>
          <cell r="CM3736" t="str">
            <v xml:space="preserve">NFT-/XUTR/DEUTH02429215994X </v>
          </cell>
          <cell r="CN3736" t="str">
            <v>2024-10-18</v>
          </cell>
          <cell r="CO3736">
            <v>2427.4110000000001</v>
          </cell>
        </row>
        <row r="3737">
          <cell r="CJ3737" t="str">
            <v xml:space="preserve">NFT-/XUTR/DEUTH02429213780X </v>
          </cell>
          <cell r="CK3737" t="str">
            <v>2024-10-18</v>
          </cell>
          <cell r="CL3737">
            <v>14537.25</v>
          </cell>
          <cell r="CM3737" t="str">
            <v xml:space="preserve">NFT-/XUTR/DEUTH02429215994X </v>
          </cell>
          <cell r="CN3737" t="str">
            <v>2024-10-18</v>
          </cell>
          <cell r="CO3737">
            <v>1953.7639999999999</v>
          </cell>
        </row>
        <row r="3738">
          <cell r="CJ3738" t="str">
            <v xml:space="preserve">NFT-/XUTR/DEUTH02429213780X </v>
          </cell>
          <cell r="CK3738" t="str">
            <v>2024-10-18</v>
          </cell>
          <cell r="CL3738">
            <v>14537.25</v>
          </cell>
          <cell r="CM3738" t="str">
            <v xml:space="preserve">NFT-/XUTR/DEUTH02429215994X </v>
          </cell>
          <cell r="CN3738" t="str">
            <v>2024-10-18</v>
          </cell>
          <cell r="CO3738">
            <v>1953.7639999999999</v>
          </cell>
        </row>
        <row r="3739">
          <cell r="CJ3739" t="str">
            <v xml:space="preserve">NFT-/XUTR/DEUTH02429213780X </v>
          </cell>
          <cell r="CK3739" t="str">
            <v>2024-10-18</v>
          </cell>
          <cell r="CL3739">
            <v>14537.25</v>
          </cell>
          <cell r="CM3739" t="str">
            <v xml:space="preserve">NFT-/XUTR/DEUTH02429215994X </v>
          </cell>
          <cell r="CN3739" t="str">
            <v>2024-10-18</v>
          </cell>
          <cell r="CO3739">
            <v>1953.7639999999999</v>
          </cell>
        </row>
        <row r="3740">
          <cell r="CJ3740" t="str">
            <v xml:space="preserve">NFT-/XUTR/DEUTH02429213780X </v>
          </cell>
          <cell r="CK3740" t="str">
            <v>2024-10-18</v>
          </cell>
          <cell r="CL3740">
            <v>14518.37</v>
          </cell>
          <cell r="CM3740" t="str">
            <v xml:space="preserve">NFT-/XUTR/DEUTH02429215994X </v>
          </cell>
          <cell r="CN3740" t="str">
            <v>2024-10-18</v>
          </cell>
          <cell r="CO3740">
            <v>1953.7639999999999</v>
          </cell>
        </row>
        <row r="3741">
          <cell r="CJ3741" t="str">
            <v xml:space="preserve">NFT-/XUTR/DEUTH02429213780X </v>
          </cell>
          <cell r="CK3741" t="str">
            <v>2024-10-18</v>
          </cell>
          <cell r="CL3741">
            <v>14518.37</v>
          </cell>
          <cell r="CM3741" t="str">
            <v xml:space="preserve">NFT-/XUTR/DEUTH02429215994X </v>
          </cell>
          <cell r="CN3741" t="str">
            <v>2024-10-18</v>
          </cell>
          <cell r="CO3741">
            <v>1953.7639999999999</v>
          </cell>
        </row>
        <row r="3742">
          <cell r="CJ3742" t="str">
            <v xml:space="preserve">NFT-/XUTR/DEUTH02429213780X </v>
          </cell>
          <cell r="CK3742" t="str">
            <v>2024-10-18</v>
          </cell>
          <cell r="CL3742">
            <v>14537.25</v>
          </cell>
          <cell r="CM3742" t="str">
            <v xml:space="preserve">NFT-/XUTR/DEUTH02429215994X </v>
          </cell>
          <cell r="CN3742" t="str">
            <v>2024-10-18</v>
          </cell>
          <cell r="CO3742">
            <v>1953.7639999999999</v>
          </cell>
        </row>
        <row r="3743">
          <cell r="CJ3743" t="str">
            <v xml:space="preserve">NFT-/XUTR/DEUTH02429213780X </v>
          </cell>
          <cell r="CK3743" t="str">
            <v>2024-10-18</v>
          </cell>
          <cell r="CL3743">
            <v>14537.25</v>
          </cell>
          <cell r="CM3743" t="str">
            <v xml:space="preserve">NFT-/XUTR/DEUTH02429215994X </v>
          </cell>
          <cell r="CN3743" t="str">
            <v>2024-10-18</v>
          </cell>
          <cell r="CO3743">
            <v>1953.7639999999999</v>
          </cell>
        </row>
        <row r="3744">
          <cell r="CJ3744" t="str">
            <v xml:space="preserve">NFT-/XUTR/DEUTH02429213780X </v>
          </cell>
          <cell r="CK3744" t="str">
            <v>2024-10-18</v>
          </cell>
          <cell r="CL3744">
            <v>14537.25</v>
          </cell>
          <cell r="CM3744" t="str">
            <v xml:space="preserve">NFT-/XUTR/DEUTH02429215994X </v>
          </cell>
          <cell r="CN3744" t="str">
            <v>2024-10-18</v>
          </cell>
          <cell r="CO3744">
            <v>1953.7639999999999</v>
          </cell>
        </row>
        <row r="3745">
          <cell r="CJ3745" t="str">
            <v xml:space="preserve">NFT-/XUTR/DEUTH02429213780X </v>
          </cell>
          <cell r="CK3745" t="str">
            <v>2024-10-18</v>
          </cell>
          <cell r="CL3745">
            <v>76993.736000000004</v>
          </cell>
          <cell r="CM3745" t="str">
            <v xml:space="preserve">NFT-/XUTR/DEUTH02429215994X </v>
          </cell>
          <cell r="CN3745" t="str">
            <v>2024-10-18</v>
          </cell>
          <cell r="CO3745">
            <v>3885.212</v>
          </cell>
        </row>
        <row r="3746">
          <cell r="CJ3746" t="str">
            <v xml:space="preserve">NFT-/XUTR/DEUTH02429213780X </v>
          </cell>
          <cell r="CK3746" t="str">
            <v>2024-10-18</v>
          </cell>
          <cell r="CL3746">
            <v>14518.37</v>
          </cell>
          <cell r="CM3746" t="str">
            <v xml:space="preserve">NFT-/XUTR/DEUTH02429215994X </v>
          </cell>
          <cell r="CN3746" t="str">
            <v>2024-10-18</v>
          </cell>
          <cell r="CO3746">
            <v>1953.7639999999999</v>
          </cell>
        </row>
        <row r="3747">
          <cell r="CJ3747" t="str">
            <v xml:space="preserve">NFT-/XUTR/DEUTH02429213780X </v>
          </cell>
          <cell r="CK3747" t="str">
            <v>2024-10-18</v>
          </cell>
          <cell r="CL3747">
            <v>14537.25</v>
          </cell>
          <cell r="CM3747" t="str">
            <v xml:space="preserve">NFT-/XUTR/DEUTH02429215994X </v>
          </cell>
          <cell r="CN3747" t="str">
            <v>2024-10-18</v>
          </cell>
          <cell r="CO3747">
            <v>1953.7639999999999</v>
          </cell>
        </row>
        <row r="3748">
          <cell r="CJ3748" t="str">
            <v xml:space="preserve">NFT-/XUTR/DEUTH02429023615X </v>
          </cell>
          <cell r="CK3748" t="str">
            <v>2024-10-16</v>
          </cell>
          <cell r="CL3748">
            <v>15171.026</v>
          </cell>
          <cell r="CM3748" t="str">
            <v xml:space="preserve">NFT-/XUTR/DEUTH02429026181X </v>
          </cell>
          <cell r="CN3748" t="str">
            <v>2024-10-16</v>
          </cell>
          <cell r="CO3748">
            <v>1455.8620000000001</v>
          </cell>
        </row>
        <row r="3749">
          <cell r="CJ3749" t="str">
            <v xml:space="preserve">NFT-/XUTR/DEUTH02429023615X </v>
          </cell>
          <cell r="CK3749" t="str">
            <v>2024-10-16</v>
          </cell>
          <cell r="CL3749">
            <v>15171.026</v>
          </cell>
          <cell r="CM3749" t="str">
            <v xml:space="preserve">NFT-/XUTR/DEUTH02429026181X </v>
          </cell>
          <cell r="CN3749" t="str">
            <v>2024-10-16</v>
          </cell>
          <cell r="CO3749">
            <v>1455.8620000000001</v>
          </cell>
        </row>
        <row r="3750">
          <cell r="CJ3750" t="str">
            <v xml:space="preserve">NFT-/XUTR/DEUTH02429023615X </v>
          </cell>
          <cell r="CK3750" t="str">
            <v>2024-10-16</v>
          </cell>
          <cell r="CL3750">
            <v>15171.026</v>
          </cell>
          <cell r="CM3750" t="str">
            <v xml:space="preserve">NFT-/XUTR/DEUTH02429026181X </v>
          </cell>
          <cell r="CN3750" t="str">
            <v>2024-10-16</v>
          </cell>
          <cell r="CO3750">
            <v>1455.8620000000001</v>
          </cell>
        </row>
        <row r="3751">
          <cell r="CJ3751" t="str">
            <v xml:space="preserve">NFT-/XUTR/DEUTH02429023615X </v>
          </cell>
          <cell r="CK3751" t="str">
            <v>2024-10-16</v>
          </cell>
          <cell r="CL3751">
            <v>10304.564</v>
          </cell>
          <cell r="CM3751" t="str">
            <v xml:space="preserve">NFT-/XUTR/DEUTH02429026181X </v>
          </cell>
          <cell r="CN3751" t="str">
            <v>2024-10-16</v>
          </cell>
          <cell r="CO3751">
            <v>1129.75</v>
          </cell>
        </row>
        <row r="3752">
          <cell r="CJ3752" t="str">
            <v xml:space="preserve">NFT-/XUTR/DEUTH02429023615X </v>
          </cell>
          <cell r="CK3752" t="str">
            <v>2024-10-16</v>
          </cell>
          <cell r="CL3752">
            <v>15152.146000000001</v>
          </cell>
          <cell r="CM3752" t="str">
            <v xml:space="preserve">NFT-/XUTR/DEUTH02429026181X </v>
          </cell>
          <cell r="CN3752" t="str">
            <v>2024-10-16</v>
          </cell>
          <cell r="CO3752">
            <v>1455.8620000000001</v>
          </cell>
        </row>
        <row r="3753">
          <cell r="CJ3753" t="str">
            <v xml:space="preserve">NFT-/XUTR/DEUTH02429213780X </v>
          </cell>
          <cell r="CK3753" t="str">
            <v>2024-10-18</v>
          </cell>
          <cell r="CL3753">
            <v>9709.6049999999996</v>
          </cell>
          <cell r="CM3753" t="str">
            <v xml:space="preserve">NFT-/XUTR/DEUTH02429215994X </v>
          </cell>
          <cell r="CN3753" t="str">
            <v>2024-10-18</v>
          </cell>
          <cell r="CO3753">
            <v>1462.6610000000001</v>
          </cell>
        </row>
        <row r="3754">
          <cell r="CJ3754" t="str">
            <v xml:space="preserve">NFT-/XUTR/DEUTH02429213780X </v>
          </cell>
          <cell r="CK3754" t="str">
            <v>2024-10-18</v>
          </cell>
          <cell r="CL3754">
            <v>14537.25</v>
          </cell>
          <cell r="CM3754" t="str">
            <v xml:space="preserve">NFT-/XUTR/DEUTH02429215994X </v>
          </cell>
          <cell r="CN3754" t="str">
            <v>2024-10-18</v>
          </cell>
          <cell r="CO3754">
            <v>1953.7639999999999</v>
          </cell>
        </row>
        <row r="3755">
          <cell r="CJ3755" t="str">
            <v xml:space="preserve">NFT-/XUTR/DEUTH02429213780X </v>
          </cell>
          <cell r="CK3755" t="str">
            <v>2024-10-18</v>
          </cell>
          <cell r="CL3755">
            <v>78384.126999999993</v>
          </cell>
          <cell r="CM3755" t="str">
            <v xml:space="preserve">NFT-/XUTR/DEUTH02429215994X </v>
          </cell>
          <cell r="CN3755" t="str">
            <v>2024-10-18</v>
          </cell>
          <cell r="CO3755">
            <v>2427.4110000000001</v>
          </cell>
        </row>
        <row r="3756">
          <cell r="CJ3756" t="str">
            <v xml:space="preserve">NFT-/XUTR/DEUTH02429213780X </v>
          </cell>
          <cell r="CK3756" t="str">
            <v>2024-10-18</v>
          </cell>
          <cell r="CL3756">
            <v>14537.25</v>
          </cell>
          <cell r="CM3756" t="str">
            <v xml:space="preserve">NFT-/XUTR/DEUTH02429215994X </v>
          </cell>
          <cell r="CN3756" t="str">
            <v>2024-10-18</v>
          </cell>
          <cell r="CO3756">
            <v>1953.7639999999999</v>
          </cell>
        </row>
        <row r="3757">
          <cell r="CJ3757" t="str">
            <v xml:space="preserve">NFT-/XUTR/DEUTH02429213780X </v>
          </cell>
          <cell r="CK3757" t="str">
            <v>2024-10-18</v>
          </cell>
          <cell r="CL3757">
            <v>15016.27</v>
          </cell>
          <cell r="CM3757" t="str">
            <v xml:space="preserve">NFT-/XUTR/DEUTH02429215994X </v>
          </cell>
          <cell r="CN3757" t="str">
            <v>2024-10-18</v>
          </cell>
          <cell r="CO3757">
            <v>1455.8620000000001</v>
          </cell>
        </row>
        <row r="3758">
          <cell r="CJ3758" t="str">
            <v xml:space="preserve">NFT-/XUTR/DEUTH02429213780X </v>
          </cell>
          <cell r="CK3758" t="str">
            <v>2024-10-18</v>
          </cell>
          <cell r="CL3758">
            <v>14537.25</v>
          </cell>
          <cell r="CM3758" t="str">
            <v xml:space="preserve">NFT-/XUTR/DEUTH02429215994X </v>
          </cell>
          <cell r="CN3758" t="str">
            <v>2024-10-18</v>
          </cell>
          <cell r="CO3758">
            <v>1953.7639999999999</v>
          </cell>
          <cell r="CP3758" t="str">
            <v xml:space="preserve">NFT-/XUTR/DEUTH02429509164X </v>
          </cell>
          <cell r="CQ3758" t="str">
            <v>2024-10-21</v>
          </cell>
          <cell r="CR3758">
            <v>-14537.25</v>
          </cell>
          <cell r="CS3758" t="str">
            <v xml:space="preserve">NFT-/XUTR/DEUTH02429530992X </v>
          </cell>
          <cell r="CT3758" t="str">
            <v>2024-10-21</v>
          </cell>
          <cell r="CU3758">
            <v>-1953.7639999999999</v>
          </cell>
        </row>
        <row r="3759">
          <cell r="CJ3759" t="str">
            <v xml:space="preserve">NFT-/XUTR/DEUTH02429213780X </v>
          </cell>
          <cell r="CK3759" t="str">
            <v>2024-10-18</v>
          </cell>
          <cell r="CL3759">
            <v>15171.026</v>
          </cell>
          <cell r="CM3759" t="str">
            <v xml:space="preserve">NFT-/XUTR/DEUTH02429215994X </v>
          </cell>
          <cell r="CN3759" t="str">
            <v>2024-10-18</v>
          </cell>
          <cell r="CO3759">
            <v>1455.8620000000001</v>
          </cell>
        </row>
        <row r="3760">
          <cell r="CJ3760" t="str">
            <v xml:space="preserve">NFT-/XUTR/DEUTH02429213780X </v>
          </cell>
          <cell r="CK3760" t="str">
            <v>2024-10-18</v>
          </cell>
          <cell r="CL3760">
            <v>14518.37</v>
          </cell>
          <cell r="CM3760" t="str">
            <v xml:space="preserve">NFT-/XUTR/DEUTH02429215994X </v>
          </cell>
          <cell r="CN3760" t="str">
            <v>2024-10-18</v>
          </cell>
          <cell r="CO3760">
            <v>1953.7639999999999</v>
          </cell>
        </row>
        <row r="3761">
          <cell r="CJ3761" t="str">
            <v xml:space="preserve">NFT-/XUTR/DEUTH02429213780X </v>
          </cell>
          <cell r="CK3761" t="str">
            <v>2024-10-18</v>
          </cell>
          <cell r="CL3761">
            <v>15152.146000000001</v>
          </cell>
          <cell r="CM3761" t="str">
            <v xml:space="preserve">NFT-/XUTR/DEUTH02429215994X </v>
          </cell>
          <cell r="CN3761" t="str">
            <v>2024-10-18</v>
          </cell>
          <cell r="CO3761">
            <v>1455.8620000000001</v>
          </cell>
        </row>
        <row r="3762">
          <cell r="CJ3762" t="str">
            <v xml:space="preserve">NFT-/XUTR/DEUTH02429213780X </v>
          </cell>
          <cell r="CK3762" t="str">
            <v>2024-10-18</v>
          </cell>
          <cell r="CL3762">
            <v>14518.37</v>
          </cell>
          <cell r="CM3762" t="str">
            <v xml:space="preserve">NFT-/XUTR/DEUTH02429215994X </v>
          </cell>
          <cell r="CN3762" t="str">
            <v>2024-10-18</v>
          </cell>
          <cell r="CO3762">
            <v>1953.7639999999999</v>
          </cell>
        </row>
        <row r="3763">
          <cell r="CJ3763" t="str">
            <v xml:space="preserve">NFT-/XUTR/DEUTH02429213780X </v>
          </cell>
          <cell r="CK3763" t="str">
            <v>2024-10-18</v>
          </cell>
          <cell r="CL3763">
            <v>14518.37</v>
          </cell>
          <cell r="CM3763" t="str">
            <v xml:space="preserve">NFT-/XUTR/DEUTH02429215994X </v>
          </cell>
          <cell r="CN3763" t="str">
            <v>2024-10-18</v>
          </cell>
          <cell r="CO3763">
            <v>1953.7639999999999</v>
          </cell>
        </row>
        <row r="3764">
          <cell r="CJ3764" t="str">
            <v xml:space="preserve">NFT-/XUTR/DEUTH02429213780X </v>
          </cell>
          <cell r="CK3764" t="str">
            <v>2024-10-18</v>
          </cell>
          <cell r="CL3764">
            <v>14537.25</v>
          </cell>
          <cell r="CM3764" t="str">
            <v xml:space="preserve">NFT-/XUTR/DEUTH02429215994X </v>
          </cell>
          <cell r="CN3764" t="str">
            <v>2024-10-18</v>
          </cell>
          <cell r="CO3764">
            <v>1953.7639999999999</v>
          </cell>
        </row>
        <row r="3765">
          <cell r="CJ3765" t="str">
            <v xml:space="preserve">NFT-/XUTR/DEUTH02429213780X </v>
          </cell>
          <cell r="CK3765" t="str">
            <v>2024-10-18</v>
          </cell>
          <cell r="CL3765">
            <v>14523.22</v>
          </cell>
          <cell r="CM3765" t="str">
            <v xml:space="preserve">NFT-/XUTR/DEUTH02429215994X </v>
          </cell>
          <cell r="CN3765" t="str">
            <v>2024-10-18</v>
          </cell>
          <cell r="CO3765">
            <v>1948.913</v>
          </cell>
        </row>
        <row r="3766">
          <cell r="CJ3766" t="str">
            <v xml:space="preserve">NFT-/XUTR/DEUTH02429213780X </v>
          </cell>
          <cell r="CK3766" t="str">
            <v>2024-10-18</v>
          </cell>
          <cell r="CL3766">
            <v>78403.006999999998</v>
          </cell>
          <cell r="CM3766" t="str">
            <v xml:space="preserve">NFT-/XUTR/DEUTH02429215994X </v>
          </cell>
          <cell r="CN3766" t="str">
            <v>2024-10-18</v>
          </cell>
          <cell r="CO3766">
            <v>2427.4110000000001</v>
          </cell>
        </row>
        <row r="3767">
          <cell r="CJ3767" t="str">
            <v xml:space="preserve">NFT-/XUTR/DEUTH02429213780X </v>
          </cell>
          <cell r="CK3767" t="str">
            <v>2024-10-18</v>
          </cell>
          <cell r="CL3767">
            <v>14537.25</v>
          </cell>
          <cell r="CM3767" t="str">
            <v xml:space="preserve">NFT-/XUTR/DEUTH02429215994X </v>
          </cell>
          <cell r="CN3767" t="str">
            <v>2024-10-18</v>
          </cell>
          <cell r="CO3767">
            <v>1953.7639999999999</v>
          </cell>
        </row>
        <row r="3768">
          <cell r="CJ3768" t="str">
            <v xml:space="preserve">NFT-/XUTR/DEUTH02429213780X </v>
          </cell>
          <cell r="CK3768" t="str">
            <v>2024-10-18</v>
          </cell>
          <cell r="CL3768">
            <v>9599.9320000000007</v>
          </cell>
          <cell r="CM3768" t="str">
            <v xml:space="preserve">NFT-/XUTR/DEUTH02429215994X </v>
          </cell>
          <cell r="CN3768" t="str">
            <v>2024-10-18</v>
          </cell>
          <cell r="CO3768">
            <v>1572.3330000000001</v>
          </cell>
        </row>
        <row r="3769">
          <cell r="CJ3769" t="str">
            <v xml:space="preserve">NFT-/XUTR/DEUTH02429213780X </v>
          </cell>
          <cell r="CK3769" t="str">
            <v>2024-10-18</v>
          </cell>
          <cell r="CL3769">
            <v>14047.634</v>
          </cell>
          <cell r="CM3769" t="str">
            <v xml:space="preserve">NFT-/XUTR/DEUTH02429215994X </v>
          </cell>
          <cell r="CN3769" t="str">
            <v>2024-10-18</v>
          </cell>
          <cell r="CO3769">
            <v>2424.5</v>
          </cell>
          <cell r="CP3769" t="str">
            <v xml:space="preserve">NFT-/XUTR/DEUTH02429509164X </v>
          </cell>
          <cell r="CQ3769" t="str">
            <v>2024-10-21</v>
          </cell>
          <cell r="CR3769">
            <v>-14047.634</v>
          </cell>
          <cell r="CS3769" t="str">
            <v xml:space="preserve">NFT-/XUTR/DEUTH02429530992X </v>
          </cell>
          <cell r="CT3769" t="str">
            <v>2024-10-21</v>
          </cell>
          <cell r="CU3769">
            <v>-2424.5</v>
          </cell>
        </row>
        <row r="3770">
          <cell r="CJ3770" t="str">
            <v xml:space="preserve">NFT-/XUTR/DEUTH02429213780X </v>
          </cell>
          <cell r="CK3770" t="str">
            <v>2024-10-18</v>
          </cell>
          <cell r="CL3770">
            <v>14518.37</v>
          </cell>
          <cell r="CM3770" t="str">
            <v xml:space="preserve">NFT-/XUTR/DEUTH02429215994X </v>
          </cell>
          <cell r="CN3770" t="str">
            <v>2024-10-18</v>
          </cell>
          <cell r="CO3770">
            <v>1953.7639999999999</v>
          </cell>
        </row>
        <row r="3771">
          <cell r="CJ3771" t="str">
            <v xml:space="preserve">NFT-/XUTR/DEUTH02429213780X </v>
          </cell>
          <cell r="CK3771" t="str">
            <v>2024-10-18</v>
          </cell>
          <cell r="CL3771">
            <v>14537.25</v>
          </cell>
          <cell r="CM3771" t="str">
            <v xml:space="preserve">NFT-/XUTR/DEUTH02429215994X </v>
          </cell>
          <cell r="CN3771" t="str">
            <v>2024-10-18</v>
          </cell>
          <cell r="CO3771">
            <v>1953.7639999999999</v>
          </cell>
        </row>
        <row r="3772">
          <cell r="CJ3772" t="str">
            <v xml:space="preserve">NFT-/XUTR/DEUTH02429213780X </v>
          </cell>
          <cell r="CK3772" t="str">
            <v>2024-10-18</v>
          </cell>
          <cell r="CL3772">
            <v>14518.37</v>
          </cell>
          <cell r="CM3772" t="str">
            <v xml:space="preserve">NFT-/XUTR/DEUTH02429215994X </v>
          </cell>
          <cell r="CN3772" t="str">
            <v>2024-10-18</v>
          </cell>
          <cell r="CO3772">
            <v>1953.7639999999999</v>
          </cell>
          <cell r="CP3772" t="str">
            <v xml:space="preserve">NFT-/XUTR/DEUTH024299A09NOX </v>
          </cell>
          <cell r="CQ3772" t="str">
            <v>2024-10-25</v>
          </cell>
          <cell r="CR3772">
            <v>-14518.37</v>
          </cell>
          <cell r="CS3772" t="str">
            <v xml:space="preserve">NFT-/XUTR/DEUTH024309A02A3X </v>
          </cell>
          <cell r="CT3772" t="str">
            <v>2024-11-04</v>
          </cell>
          <cell r="CU3772">
            <v>-1953.7639999999999</v>
          </cell>
        </row>
        <row r="3773">
          <cell r="CJ3773" t="str">
            <v xml:space="preserve">NFT-/XUTR/DEUTH02429213780X </v>
          </cell>
          <cell r="CK3773" t="str">
            <v>2024-10-18</v>
          </cell>
          <cell r="CL3773">
            <v>14537.25</v>
          </cell>
          <cell r="CM3773" t="str">
            <v xml:space="preserve">NFT-/XUTR/DEUTH02429215994X </v>
          </cell>
          <cell r="CN3773" t="str">
            <v>2024-10-18</v>
          </cell>
          <cell r="CO3773">
            <v>1953.7639999999999</v>
          </cell>
          <cell r="CP3773" t="str">
            <v xml:space="preserve">NFT-/XUTR/DEUTH02429509164X </v>
          </cell>
          <cell r="CQ3773" t="str">
            <v>2024-10-21</v>
          </cell>
          <cell r="CR3773">
            <v>-14537.25</v>
          </cell>
          <cell r="CS3773" t="str">
            <v xml:space="preserve">NFT-/XUTR/DEUTH02429530992X </v>
          </cell>
          <cell r="CT3773" t="str">
            <v>2024-10-21</v>
          </cell>
          <cell r="CU3773">
            <v>-1953.7639999999999</v>
          </cell>
        </row>
        <row r="3774">
          <cell r="CJ3774" t="str">
            <v xml:space="preserve">NFT-/XUTR/DEUTH02429213780X </v>
          </cell>
          <cell r="CK3774" t="str">
            <v>2024-10-18</v>
          </cell>
          <cell r="CL3774">
            <v>14518.37</v>
          </cell>
          <cell r="CM3774" t="str">
            <v xml:space="preserve">NFT-/XUTR/DEUTH02429215994X </v>
          </cell>
          <cell r="CN3774" t="str">
            <v>2024-10-18</v>
          </cell>
          <cell r="CO3774">
            <v>1953.7639999999999</v>
          </cell>
        </row>
        <row r="3775">
          <cell r="CJ3775" t="str">
            <v xml:space="preserve">NFT-/XUTR/DEUTH02429213780X </v>
          </cell>
          <cell r="CK3775" t="str">
            <v>2024-10-18</v>
          </cell>
          <cell r="CL3775">
            <v>14518.37</v>
          </cell>
          <cell r="CM3775" t="str">
            <v xml:space="preserve">NFT-/XUTR/DEUTH02429215994X </v>
          </cell>
          <cell r="CN3775" t="str">
            <v>2024-10-18</v>
          </cell>
          <cell r="CO3775">
            <v>1953.7639999999999</v>
          </cell>
        </row>
        <row r="3776">
          <cell r="CJ3776" t="str">
            <v xml:space="preserve">NFT-/XUTR/DEUTH02429213780X </v>
          </cell>
          <cell r="CK3776" t="str">
            <v>2024-10-18</v>
          </cell>
          <cell r="CL3776">
            <v>14537.25</v>
          </cell>
          <cell r="CM3776" t="str">
            <v xml:space="preserve">NFT-/XUTR/DEUTH02429215994X </v>
          </cell>
          <cell r="CN3776" t="str">
            <v>2024-10-18</v>
          </cell>
          <cell r="CO3776">
            <v>1953.7639999999999</v>
          </cell>
        </row>
        <row r="3777">
          <cell r="CJ3777" t="str">
            <v xml:space="preserve">NFT-/XUTR/DEUTH02429213780X </v>
          </cell>
          <cell r="CK3777" t="str">
            <v>2024-10-18</v>
          </cell>
          <cell r="CL3777">
            <v>15035.15</v>
          </cell>
          <cell r="CM3777" t="str">
            <v xml:space="preserve">NFT-/XUTR/DEUTH02429215994X </v>
          </cell>
          <cell r="CN3777" t="str">
            <v>2024-10-18</v>
          </cell>
          <cell r="CO3777">
            <v>1455.8620000000001</v>
          </cell>
          <cell r="CP3777" t="str">
            <v xml:space="preserve">NFT-/XUTR/DEUTH02429509164X </v>
          </cell>
          <cell r="CQ3777" t="str">
            <v>2024-10-21</v>
          </cell>
          <cell r="CR3777">
            <v>-15035.15</v>
          </cell>
          <cell r="CS3777" t="str">
            <v xml:space="preserve">NFT-/XUTR/DEUTH02429530992X </v>
          </cell>
          <cell r="CT3777" t="str">
            <v>2024-10-21</v>
          </cell>
          <cell r="CU3777">
            <v>-1455.8620000000001</v>
          </cell>
        </row>
        <row r="3778">
          <cell r="CJ3778" t="str">
            <v xml:space="preserve">NFT-/XUTR/DEUTH02429213780X </v>
          </cell>
          <cell r="CK3778" t="str">
            <v>2024-10-18</v>
          </cell>
          <cell r="CL3778">
            <v>14537.25</v>
          </cell>
          <cell r="CM3778" t="str">
            <v xml:space="preserve">NFT-/XUTR/DEUTH02429215994X </v>
          </cell>
          <cell r="CN3778" t="str">
            <v>2024-10-18</v>
          </cell>
          <cell r="CO3778">
            <v>1953.7639999999999</v>
          </cell>
        </row>
        <row r="3779">
          <cell r="CJ3779" t="str">
            <v xml:space="preserve">NFT-/XUTR/DEUTH02429213780X </v>
          </cell>
          <cell r="CK3779" t="str">
            <v>2024-10-18</v>
          </cell>
          <cell r="CL3779">
            <v>14537.25</v>
          </cell>
          <cell r="CM3779" t="str">
            <v xml:space="preserve">NFT-/XUTR/DEUTH02429215994X </v>
          </cell>
          <cell r="CN3779" t="str">
            <v>2024-10-18</v>
          </cell>
          <cell r="CO3779">
            <v>1953.7639999999999</v>
          </cell>
        </row>
        <row r="3780">
          <cell r="CJ3780" t="str">
            <v xml:space="preserve">NFT-/XUTR/DEUTH02429023615X </v>
          </cell>
          <cell r="CK3780" t="str">
            <v>2024-10-16</v>
          </cell>
          <cell r="CL3780">
            <v>2719.498</v>
          </cell>
        </row>
        <row r="3781">
          <cell r="CJ3781" t="str">
            <v xml:space="preserve">NFT-/XUTR/DEUTH02429023615X </v>
          </cell>
          <cell r="CK3781" t="str">
            <v>2024-10-16</v>
          </cell>
          <cell r="CL3781">
            <v>15152.146000000001</v>
          </cell>
          <cell r="CM3781" t="str">
            <v xml:space="preserve">NFT-/XUTR/DEUTH02429026181X </v>
          </cell>
          <cell r="CN3781" t="str">
            <v>2024-10-16</v>
          </cell>
          <cell r="CO3781">
            <v>1455.8620000000001</v>
          </cell>
        </row>
        <row r="3782">
          <cell r="CJ3782" t="str">
            <v xml:space="preserve">NFT-/XUTR/DEUTH02429023615X </v>
          </cell>
          <cell r="CK3782" t="str">
            <v>2024-10-16</v>
          </cell>
          <cell r="CL3782">
            <v>9688.7860000000001</v>
          </cell>
          <cell r="CM3782" t="str">
            <v xml:space="preserve">NFT-/XUTR/DEUTH02429026181X </v>
          </cell>
          <cell r="CN3782" t="str">
            <v>2024-10-16</v>
          </cell>
          <cell r="CO3782">
            <v>1726.6569999999999</v>
          </cell>
        </row>
        <row r="3783">
          <cell r="CJ3783" t="str">
            <v xml:space="preserve">NFT-/XUTR/DEUTH02429023615X </v>
          </cell>
          <cell r="CK3783" t="str">
            <v>2024-10-16</v>
          </cell>
          <cell r="CL3783">
            <v>14468.866</v>
          </cell>
          <cell r="CM3783" t="str">
            <v xml:space="preserve">NFT-/XUTR/DEUTH02429026181X </v>
          </cell>
          <cell r="CN3783" t="str">
            <v>2024-10-16</v>
          </cell>
          <cell r="CO3783">
            <v>2139.152</v>
          </cell>
        </row>
        <row r="3784">
          <cell r="CJ3784" t="str">
            <v xml:space="preserve">NFT-/XUTR/DEUTH02429213780X </v>
          </cell>
          <cell r="CK3784" t="str">
            <v>2024-10-18</v>
          </cell>
          <cell r="CL3784">
            <v>14518.37</v>
          </cell>
          <cell r="CM3784" t="str">
            <v xml:space="preserve">NFT-/XUTR/DEUTH02429215994X </v>
          </cell>
          <cell r="CN3784" t="str">
            <v>2024-10-18</v>
          </cell>
          <cell r="CO3784">
            <v>1953.7639999999999</v>
          </cell>
        </row>
        <row r="3785">
          <cell r="CJ3785" t="str">
            <v xml:space="preserve">NFT-/XUTR/DEUTH02429213780X </v>
          </cell>
          <cell r="CK3785" t="str">
            <v>2024-10-18</v>
          </cell>
          <cell r="CL3785">
            <v>14205.312</v>
          </cell>
          <cell r="CM3785" t="str">
            <v xml:space="preserve">NFT-/XUTR/DEUTH02429215994X </v>
          </cell>
          <cell r="CN3785" t="str">
            <v>2024-10-18</v>
          </cell>
          <cell r="CO3785">
            <v>2285.701</v>
          </cell>
        </row>
        <row r="3786">
          <cell r="CJ3786" t="str">
            <v xml:space="preserve">NFT-/XUTR/DEUTH02429213780X </v>
          </cell>
          <cell r="CK3786" t="str">
            <v>2024-10-18</v>
          </cell>
          <cell r="CL3786">
            <v>14518.37</v>
          </cell>
          <cell r="CM3786" t="str">
            <v xml:space="preserve">NFT-/XUTR/DEUTH02429215994X </v>
          </cell>
          <cell r="CN3786" t="str">
            <v>2024-10-18</v>
          </cell>
          <cell r="CO3786">
            <v>1953.7639999999999</v>
          </cell>
        </row>
        <row r="3787">
          <cell r="CJ3787" t="str">
            <v xml:space="preserve">NFT-/XUTR/DEUTH02429213780X </v>
          </cell>
          <cell r="CK3787" t="str">
            <v>2024-10-18</v>
          </cell>
          <cell r="CL3787">
            <v>14537.25</v>
          </cell>
          <cell r="CM3787" t="str">
            <v xml:space="preserve">NFT-/XUTR/DEUTH02429215994X </v>
          </cell>
          <cell r="CN3787" t="str">
            <v>2024-10-18</v>
          </cell>
          <cell r="CO3787">
            <v>1953.7639999999999</v>
          </cell>
        </row>
        <row r="3788">
          <cell r="CJ3788" t="str">
            <v xml:space="preserve">NFT-/XUTR/DEUTH02429213780X </v>
          </cell>
          <cell r="CK3788" t="str">
            <v>2024-10-18</v>
          </cell>
          <cell r="CL3788">
            <v>9422.3179999999993</v>
          </cell>
          <cell r="CM3788" t="str">
            <v xml:space="preserve">NFT-/XUTR/DEUTH02429215994X </v>
          </cell>
          <cell r="CN3788" t="str">
            <v>2024-10-18</v>
          </cell>
          <cell r="CO3788">
            <v>1419.9480000000001</v>
          </cell>
        </row>
        <row r="3789">
          <cell r="CJ3789" t="str">
            <v xml:space="preserve">NFT-/XUTR/DEUTH02429213780X </v>
          </cell>
          <cell r="CK3789" t="str">
            <v>2024-10-18</v>
          </cell>
          <cell r="CL3789">
            <v>14537.25</v>
          </cell>
          <cell r="CM3789" t="str">
            <v xml:space="preserve">NFT-/XUTR/DEUTH02429215994X </v>
          </cell>
          <cell r="CN3789" t="str">
            <v>2024-10-18</v>
          </cell>
          <cell r="CO3789">
            <v>1953.7639999999999</v>
          </cell>
          <cell r="CP3789" t="str">
            <v xml:space="preserve">NFT-/XUTR/DEUTH02429509164X </v>
          </cell>
          <cell r="CQ3789" t="str">
            <v>2024-10-21</v>
          </cell>
          <cell r="CR3789">
            <v>-14537.25</v>
          </cell>
          <cell r="CS3789" t="str">
            <v xml:space="preserve">NFT-/XUTR/DEUTH02429530992X </v>
          </cell>
          <cell r="CT3789" t="str">
            <v>2024-10-21</v>
          </cell>
          <cell r="CU3789">
            <v>-1953.7639999999999</v>
          </cell>
        </row>
        <row r="3790">
          <cell r="CJ3790" t="str">
            <v xml:space="preserve">NFT-/XUTR/DEUTH02429213780X </v>
          </cell>
          <cell r="CK3790" t="str">
            <v>2024-10-18</v>
          </cell>
          <cell r="CL3790">
            <v>41047.088000000003</v>
          </cell>
        </row>
        <row r="3791">
          <cell r="CJ3791" t="str">
            <v xml:space="preserve">NFT-/XUTR/DEUTH02429213780X </v>
          </cell>
          <cell r="CK3791" t="str">
            <v>2024-10-18</v>
          </cell>
          <cell r="CL3791">
            <v>78403.006999999998</v>
          </cell>
          <cell r="CM3791" t="str">
            <v xml:space="preserve">NFT-/XUTR/DEUTH02429215994X </v>
          </cell>
          <cell r="CN3791" t="str">
            <v>2024-10-18</v>
          </cell>
          <cell r="CO3791">
            <v>2427.4110000000001</v>
          </cell>
        </row>
        <row r="3792">
          <cell r="CJ3792" t="str">
            <v xml:space="preserve">NFT-/XUTR/DEUTH02429213780X </v>
          </cell>
          <cell r="CK3792" t="str">
            <v>2024-10-18</v>
          </cell>
          <cell r="CL3792">
            <v>19573.531999999999</v>
          </cell>
          <cell r="CM3792" t="str">
            <v xml:space="preserve">NFT-/XUTR/DEUTH02429215994X </v>
          </cell>
          <cell r="CN3792" t="str">
            <v>2024-10-18</v>
          </cell>
          <cell r="CO3792">
            <v>2110.0279999999998</v>
          </cell>
        </row>
        <row r="3793">
          <cell r="CJ3793" t="str">
            <v xml:space="preserve">NFT-/XUTR/DEUTH02429213780X </v>
          </cell>
          <cell r="CK3793" t="str">
            <v>2024-10-18</v>
          </cell>
          <cell r="CL3793">
            <v>14537.25</v>
          </cell>
          <cell r="CM3793" t="str">
            <v xml:space="preserve">NFT-/XUTR/DEUTH02429215994X </v>
          </cell>
          <cell r="CN3793" t="str">
            <v>2024-10-18</v>
          </cell>
          <cell r="CO3793">
            <v>1953.7639999999999</v>
          </cell>
        </row>
        <row r="3794">
          <cell r="CJ3794" t="str">
            <v xml:space="preserve">NFT-/XUTR/DEUTH02429213780X </v>
          </cell>
          <cell r="CK3794" t="str">
            <v>2024-10-18</v>
          </cell>
          <cell r="CL3794">
            <v>14537.25</v>
          </cell>
          <cell r="CM3794" t="str">
            <v xml:space="preserve">NFT-/XUTR/DEUTH02429215994X </v>
          </cell>
          <cell r="CN3794" t="str">
            <v>2024-10-18</v>
          </cell>
          <cell r="CO3794">
            <v>1953.7639999999999</v>
          </cell>
        </row>
        <row r="3795">
          <cell r="CJ3795" t="str">
            <v xml:space="preserve">NFT-/XUTR/DEUTH02429213780X </v>
          </cell>
          <cell r="CK3795" t="str">
            <v>2024-10-18</v>
          </cell>
          <cell r="CL3795">
            <v>78384.126999999993</v>
          </cell>
          <cell r="CM3795" t="str">
            <v xml:space="preserve">NFT-/XUTR/DEUTH02429215994X </v>
          </cell>
          <cell r="CN3795" t="str">
            <v>2024-10-18</v>
          </cell>
          <cell r="CO3795">
            <v>2427.4110000000001</v>
          </cell>
        </row>
        <row r="3796">
          <cell r="CJ3796" t="str">
            <v xml:space="preserve">NFT-/XUTR/DEUTH02429213780X </v>
          </cell>
          <cell r="CK3796" t="str">
            <v>2024-10-18</v>
          </cell>
          <cell r="CL3796">
            <v>78403.006999999998</v>
          </cell>
          <cell r="CM3796" t="str">
            <v xml:space="preserve">NFT-/XUTR/DEUTH02429215994X </v>
          </cell>
          <cell r="CN3796" t="str">
            <v>2024-10-18</v>
          </cell>
          <cell r="CO3796">
            <v>2427.4110000000001</v>
          </cell>
        </row>
        <row r="3797">
          <cell r="CJ3797" t="str">
            <v xml:space="preserve">NFT-/XUTR/DEUTH02429213780X </v>
          </cell>
          <cell r="CK3797" t="str">
            <v>2024-10-18</v>
          </cell>
          <cell r="CL3797">
            <v>5181.88</v>
          </cell>
          <cell r="CM3797" t="str">
            <v xml:space="preserve">NFT-/XUTR/DEUTH02429215994X </v>
          </cell>
          <cell r="CN3797" t="str">
            <v>2024-10-18</v>
          </cell>
          <cell r="CO3797">
            <v>584.28399999999999</v>
          </cell>
        </row>
        <row r="3798">
          <cell r="CJ3798" t="str">
            <v xml:space="preserve">NFT-/XUTR/DEUTH02429213780X </v>
          </cell>
          <cell r="CK3798" t="str">
            <v>2024-10-18</v>
          </cell>
          <cell r="CL3798">
            <v>14537.25</v>
          </cell>
          <cell r="CM3798" t="str">
            <v xml:space="preserve">NFT-/XUTR/DEUTH02429215994X </v>
          </cell>
          <cell r="CN3798" t="str">
            <v>2024-10-18</v>
          </cell>
          <cell r="CO3798">
            <v>1953.7639999999999</v>
          </cell>
        </row>
        <row r="3799">
          <cell r="CJ3799" t="str">
            <v xml:space="preserve">NFT-/XUTR/DEUTH02429213780X </v>
          </cell>
          <cell r="CK3799" t="str">
            <v>2024-10-18</v>
          </cell>
          <cell r="CL3799">
            <v>14537.25</v>
          </cell>
          <cell r="CM3799" t="str">
            <v xml:space="preserve">NFT-/XUTR/DEUTH02429215994X </v>
          </cell>
          <cell r="CN3799" t="str">
            <v>2024-10-18</v>
          </cell>
          <cell r="CO3799">
            <v>1953.7639999999999</v>
          </cell>
        </row>
        <row r="3800">
          <cell r="CJ3800" t="str">
            <v xml:space="preserve">NFT-/XUTR/DEUTH02429213780X </v>
          </cell>
          <cell r="CK3800" t="str">
            <v>2024-10-18</v>
          </cell>
          <cell r="CL3800">
            <v>14537.25</v>
          </cell>
          <cell r="CM3800" t="str">
            <v xml:space="preserve">NFT-/XUTR/DEUTH02429215994X </v>
          </cell>
          <cell r="CN3800" t="str">
            <v>2024-10-18</v>
          </cell>
          <cell r="CO3800">
            <v>1953.7639999999999</v>
          </cell>
          <cell r="CP3800" t="str">
            <v xml:space="preserve">NFT-/XUTR/DEUTH02429509164X </v>
          </cell>
          <cell r="CQ3800" t="str">
            <v>2024-10-21</v>
          </cell>
          <cell r="CR3800">
            <v>-14537.25</v>
          </cell>
          <cell r="CS3800" t="str">
            <v xml:space="preserve">NFT-/XUTR/DEUTH02429530992X </v>
          </cell>
          <cell r="CT3800" t="str">
            <v>2024-10-21</v>
          </cell>
          <cell r="CU3800">
            <v>-1953.7639999999999</v>
          </cell>
        </row>
        <row r="3801">
          <cell r="CJ3801" t="str">
            <v xml:space="preserve">NFT-/XUTR/DEUTH02429213780X </v>
          </cell>
          <cell r="CK3801" t="str">
            <v>2024-10-18</v>
          </cell>
          <cell r="CL3801">
            <v>14518.37</v>
          </cell>
          <cell r="CM3801" t="str">
            <v xml:space="preserve">NFT-/XUTR/DEUTH02429215994X </v>
          </cell>
          <cell r="CN3801" t="str">
            <v>2024-10-18</v>
          </cell>
          <cell r="CO3801">
            <v>1953.7639999999999</v>
          </cell>
        </row>
        <row r="3802">
          <cell r="CJ3802" t="str">
            <v xml:space="preserve">NFT-/XUTR/DEUTH02429213780X </v>
          </cell>
          <cell r="CK3802" t="str">
            <v>2024-10-18</v>
          </cell>
          <cell r="CL3802">
            <v>14518.37</v>
          </cell>
          <cell r="CM3802" t="str">
            <v xml:space="preserve">NFT-/XUTR/DEUTH02429215994X </v>
          </cell>
          <cell r="CN3802" t="str">
            <v>2024-10-18</v>
          </cell>
          <cell r="CO3802">
            <v>1953.7639999999999</v>
          </cell>
        </row>
        <row r="3803">
          <cell r="CJ3803" t="str">
            <v xml:space="preserve">NFT-/XUTR/DEUTH02429213780X </v>
          </cell>
          <cell r="CK3803" t="str">
            <v>2024-10-18</v>
          </cell>
          <cell r="CL3803">
            <v>78430.717999999993</v>
          </cell>
          <cell r="CM3803" t="str">
            <v xml:space="preserve">NFT-/XUTR/DEUTH02429215994X </v>
          </cell>
          <cell r="CN3803" t="str">
            <v>2024-10-18</v>
          </cell>
          <cell r="CO3803">
            <v>2429.35</v>
          </cell>
        </row>
        <row r="3804">
          <cell r="CJ3804" t="str">
            <v xml:space="preserve">NFT-/XUTR/DEUTH02429213780X </v>
          </cell>
          <cell r="CK3804" t="str">
            <v>2024-10-18</v>
          </cell>
          <cell r="CL3804">
            <v>14537.25</v>
          </cell>
          <cell r="CM3804" t="str">
            <v xml:space="preserve">NFT-/XUTR/DEUTH02429215994X </v>
          </cell>
          <cell r="CN3804" t="str">
            <v>2024-10-18</v>
          </cell>
          <cell r="CO3804">
            <v>1953.7639999999999</v>
          </cell>
        </row>
        <row r="3805">
          <cell r="CJ3805" t="str">
            <v xml:space="preserve">NFT-/XUTR/DEUTH02429213780X </v>
          </cell>
          <cell r="CK3805" t="str">
            <v>2024-10-18</v>
          </cell>
          <cell r="CL3805">
            <v>14463.040999999999</v>
          </cell>
          <cell r="CM3805" t="str">
            <v xml:space="preserve">NFT-/XUTR/DEUTH02429215994X </v>
          </cell>
          <cell r="CN3805" t="str">
            <v>2024-10-18</v>
          </cell>
          <cell r="CO3805">
            <v>2009.0920000000001</v>
          </cell>
        </row>
        <row r="3806">
          <cell r="CJ3806" t="str">
            <v xml:space="preserve">NFT-/XUTR/DEUTH02429213780X </v>
          </cell>
          <cell r="CK3806" t="str">
            <v>2024-10-18</v>
          </cell>
          <cell r="CL3806">
            <v>14537.25</v>
          </cell>
          <cell r="CM3806" t="str">
            <v xml:space="preserve">NFT-/XUTR/DEUTH02429215994X </v>
          </cell>
          <cell r="CN3806" t="str">
            <v>2024-10-18</v>
          </cell>
          <cell r="CO3806">
            <v>1953.7639999999999</v>
          </cell>
        </row>
        <row r="3807">
          <cell r="CJ3807" t="str">
            <v xml:space="preserve">NFT-/XUTR/DEUTH02429213780X </v>
          </cell>
          <cell r="CK3807" t="str">
            <v>2024-10-18</v>
          </cell>
          <cell r="CL3807">
            <v>14518.37</v>
          </cell>
          <cell r="CM3807" t="str">
            <v xml:space="preserve">NFT-/XUTR/DEUTH02429215994X </v>
          </cell>
          <cell r="CN3807" t="str">
            <v>2024-10-18</v>
          </cell>
          <cell r="CO3807">
            <v>1953.7639999999999</v>
          </cell>
        </row>
        <row r="3808">
          <cell r="CJ3808" t="str">
            <v xml:space="preserve">NFT-/XUTR/DEUTH02429213780X </v>
          </cell>
          <cell r="CK3808" t="str">
            <v>2024-10-18</v>
          </cell>
          <cell r="CL3808">
            <v>14518.37</v>
          </cell>
          <cell r="CM3808" t="str">
            <v xml:space="preserve">NFT-/XUTR/DEUTH02429215994X </v>
          </cell>
          <cell r="CN3808" t="str">
            <v>2024-10-18</v>
          </cell>
          <cell r="CO3808">
            <v>1953.7639999999999</v>
          </cell>
        </row>
        <row r="3809">
          <cell r="CJ3809" t="str">
            <v xml:space="preserve">NFT-/XUTR/DEUTH02429213780X </v>
          </cell>
          <cell r="CK3809" t="str">
            <v>2024-10-18</v>
          </cell>
          <cell r="CL3809">
            <v>14537.25</v>
          </cell>
          <cell r="CM3809" t="str">
            <v xml:space="preserve">NFT-/XUTR/DEUTH02429215994X </v>
          </cell>
          <cell r="CN3809" t="str">
            <v>2024-10-18</v>
          </cell>
          <cell r="CO3809">
            <v>1953.7639999999999</v>
          </cell>
        </row>
        <row r="3810">
          <cell r="CJ3810" t="str">
            <v xml:space="preserve">NFT-/XUTR/DEUTH02429023615X </v>
          </cell>
          <cell r="CK3810" t="str">
            <v>2024-10-16</v>
          </cell>
          <cell r="CL3810">
            <v>15171.026</v>
          </cell>
          <cell r="CM3810" t="str">
            <v xml:space="preserve">NFT-/XUTR/DEUTH02429026181X </v>
          </cell>
          <cell r="CN3810" t="str">
            <v>2024-10-16</v>
          </cell>
          <cell r="CO3810">
            <v>1455.8620000000001</v>
          </cell>
        </row>
        <row r="3811">
          <cell r="CJ3811" t="str">
            <v xml:space="preserve">NFT-/XUTR/DEUTH02429023615X </v>
          </cell>
          <cell r="CK3811" t="str">
            <v>2024-10-16</v>
          </cell>
          <cell r="CL3811">
            <v>14316.48</v>
          </cell>
          <cell r="CM3811" t="str">
            <v xml:space="preserve">NFT-/XUTR/DEUTH02429026181X </v>
          </cell>
          <cell r="CN3811" t="str">
            <v>2024-10-16</v>
          </cell>
          <cell r="CO3811">
            <v>2291.5259999999998</v>
          </cell>
        </row>
        <row r="3812">
          <cell r="CJ3812" t="str">
            <v xml:space="preserve">NFT-/XUTR/DEUTH02429023615X </v>
          </cell>
          <cell r="CK3812" t="str">
            <v>2024-10-16</v>
          </cell>
          <cell r="CL3812">
            <v>15152.146000000001</v>
          </cell>
          <cell r="CM3812" t="str">
            <v xml:space="preserve">NFT-/XUTR/DEUTH02429026181X </v>
          </cell>
          <cell r="CN3812" t="str">
            <v>2024-10-16</v>
          </cell>
          <cell r="CO3812">
            <v>1455.8620000000001</v>
          </cell>
        </row>
        <row r="3813">
          <cell r="CJ3813" t="str">
            <v xml:space="preserve">NFT-/XUTR/DEUTH02429023615X </v>
          </cell>
          <cell r="CK3813" t="str">
            <v>2024-10-16</v>
          </cell>
          <cell r="CL3813">
            <v>15171.026</v>
          </cell>
          <cell r="CM3813" t="str">
            <v xml:space="preserve">NFT-/XUTR/DEUTH02429026181X </v>
          </cell>
          <cell r="CN3813" t="str">
            <v>2024-10-16</v>
          </cell>
          <cell r="CO3813">
            <v>1455.8620000000001</v>
          </cell>
        </row>
        <row r="3814">
          <cell r="CJ3814" t="str">
            <v xml:space="preserve">NFT-/XUTR/DEUTH02429023615X </v>
          </cell>
          <cell r="CK3814" t="str">
            <v>2024-10-16</v>
          </cell>
          <cell r="CL3814">
            <v>15171.026</v>
          </cell>
          <cell r="CM3814" t="str">
            <v xml:space="preserve">NFT-/XUTR/DEUTH02429026181X </v>
          </cell>
          <cell r="CN3814" t="str">
            <v>2024-10-16</v>
          </cell>
          <cell r="CO3814">
            <v>1455.8620000000001</v>
          </cell>
        </row>
        <row r="3815">
          <cell r="CJ3815" t="str">
            <v xml:space="preserve">NFT-/XUTR/DEUTH02429213780X </v>
          </cell>
          <cell r="CK3815" t="str">
            <v>2024-10-18</v>
          </cell>
          <cell r="CL3815">
            <v>10514.215</v>
          </cell>
          <cell r="CM3815" t="str">
            <v xml:space="preserve">NFT-/XUTR/DEUTH02429215994X </v>
          </cell>
          <cell r="CN3815" t="str">
            <v>2024-10-18</v>
          </cell>
          <cell r="CO3815">
            <v>328.05099999999999</v>
          </cell>
        </row>
        <row r="3816">
          <cell r="CJ3816" t="str">
            <v xml:space="preserve">NFT-/XUTR/DEUTH02429213780X </v>
          </cell>
          <cell r="CK3816" t="str">
            <v>2024-10-18</v>
          </cell>
          <cell r="CL3816">
            <v>14481.48</v>
          </cell>
          <cell r="CM3816" t="str">
            <v xml:space="preserve">NFT-/XUTR/DEUTH02429215994X </v>
          </cell>
          <cell r="CN3816" t="str">
            <v>2024-10-18</v>
          </cell>
          <cell r="CO3816">
            <v>1951.825</v>
          </cell>
        </row>
        <row r="3817">
          <cell r="CJ3817" t="str">
            <v xml:space="preserve">NFT-/XUTR/DEUTH02429213780X </v>
          </cell>
          <cell r="CK3817" t="str">
            <v>2024-10-18</v>
          </cell>
          <cell r="CL3817">
            <v>14500.36</v>
          </cell>
          <cell r="CM3817" t="str">
            <v xml:space="preserve">NFT-/XUTR/DEUTH02429215994X </v>
          </cell>
          <cell r="CN3817" t="str">
            <v>2024-10-18</v>
          </cell>
          <cell r="CO3817">
            <v>1951.825</v>
          </cell>
        </row>
        <row r="3818">
          <cell r="CJ3818" t="str">
            <v xml:space="preserve">NFT-/XUTR/DEUTH02429213780X </v>
          </cell>
          <cell r="CK3818" t="str">
            <v>2024-10-18</v>
          </cell>
          <cell r="CL3818">
            <v>14514.923000000001</v>
          </cell>
          <cell r="CM3818" t="str">
            <v xml:space="preserve">NFT-/XUTR/DEUTH02429215994X </v>
          </cell>
          <cell r="CN3818" t="str">
            <v>2024-10-18</v>
          </cell>
          <cell r="CO3818">
            <v>1937.2619999999999</v>
          </cell>
        </row>
        <row r="3819">
          <cell r="CJ3819" t="str">
            <v xml:space="preserve">NFT-/XUTR/DEUTH02429213780X </v>
          </cell>
          <cell r="CK3819" t="str">
            <v>2024-10-18</v>
          </cell>
          <cell r="CL3819">
            <v>38925.841999999997</v>
          </cell>
          <cell r="CM3819" t="str">
            <v xml:space="preserve">NFT-/XUTR/DEUTH02429215994X </v>
          </cell>
          <cell r="CN3819" t="str">
            <v>2024-10-18</v>
          </cell>
          <cell r="CO3819">
            <v>2052.77</v>
          </cell>
        </row>
        <row r="3820">
          <cell r="CJ3820" t="str">
            <v xml:space="preserve">NFT-/XUTR/DEUTH02429213780X </v>
          </cell>
          <cell r="CK3820" t="str">
            <v>2024-10-18</v>
          </cell>
          <cell r="CL3820">
            <v>37469.981</v>
          </cell>
          <cell r="CM3820" t="str">
            <v xml:space="preserve">NFT-/XUTR/DEUTH02429215994X </v>
          </cell>
          <cell r="CN3820" t="str">
            <v>2024-10-18</v>
          </cell>
          <cell r="CO3820">
            <v>3508.6320000000001</v>
          </cell>
        </row>
        <row r="3821">
          <cell r="CJ3821" t="str">
            <v xml:space="preserve">NFT-/XUTR/DEUTH02429213780X </v>
          </cell>
          <cell r="CK3821" t="str">
            <v>2024-10-18</v>
          </cell>
          <cell r="CL3821">
            <v>77725.101999999999</v>
          </cell>
          <cell r="CM3821" t="str">
            <v xml:space="preserve">NFT-/XUTR/DEUTH02429215994X </v>
          </cell>
          <cell r="CN3821" t="str">
            <v>2024-10-18</v>
          </cell>
          <cell r="CO3821">
            <v>2911.7240000000002</v>
          </cell>
        </row>
        <row r="3822">
          <cell r="CJ3822" t="str">
            <v xml:space="preserve">NFT-/XUTR/DEUTH02429213780X </v>
          </cell>
          <cell r="CK3822" t="str">
            <v>2024-10-18</v>
          </cell>
          <cell r="CL3822">
            <v>14500.36</v>
          </cell>
          <cell r="CM3822" t="str">
            <v xml:space="preserve">NFT-/XUTR/DEUTH02429215994X </v>
          </cell>
          <cell r="CN3822" t="str">
            <v>2024-10-18</v>
          </cell>
          <cell r="CO3822">
            <v>1951.826</v>
          </cell>
        </row>
        <row r="3823">
          <cell r="CJ3823" t="str">
            <v xml:space="preserve">NFT-/XUTR/DEUTH02429213780X </v>
          </cell>
          <cell r="CK3823" t="str">
            <v>2024-10-18</v>
          </cell>
          <cell r="CL3823">
            <v>77725.101999999999</v>
          </cell>
          <cell r="CM3823" t="str">
            <v xml:space="preserve">NFT-/XUTR/DEUTH02429215994X </v>
          </cell>
          <cell r="CN3823" t="str">
            <v>2024-10-18</v>
          </cell>
          <cell r="CO3823">
            <v>2911.7240000000002</v>
          </cell>
        </row>
        <row r="3824">
          <cell r="CJ3824" t="str">
            <v xml:space="preserve">NFT-/XUTR/DEUTH02429213780X </v>
          </cell>
          <cell r="CK3824" t="str">
            <v>2024-10-18</v>
          </cell>
          <cell r="CL3824">
            <v>5162.9989999999998</v>
          </cell>
          <cell r="CM3824" t="str">
            <v xml:space="preserve">NFT-/XUTR/DEUTH02429215994X </v>
          </cell>
          <cell r="CN3824" t="str">
            <v>2024-10-18</v>
          </cell>
          <cell r="CO3824">
            <v>584.28399999999999</v>
          </cell>
        </row>
        <row r="3825">
          <cell r="CJ3825" t="str">
            <v xml:space="preserve">NFT-/XUTR/DEUTH02429213780X </v>
          </cell>
          <cell r="CK3825" t="str">
            <v>2024-10-18</v>
          </cell>
          <cell r="CL3825">
            <v>14996.324000000001</v>
          </cell>
          <cell r="CM3825" t="str">
            <v xml:space="preserve">NFT-/XUTR/DEUTH02429215994X </v>
          </cell>
          <cell r="CN3825" t="str">
            <v>2024-10-18</v>
          </cell>
          <cell r="CO3825">
            <v>1455.8620000000001</v>
          </cell>
        </row>
        <row r="3826">
          <cell r="CJ3826" t="str">
            <v xml:space="preserve">NFT-/XUTR/DEUTH02429213780X </v>
          </cell>
          <cell r="CK3826" t="str">
            <v>2024-10-18</v>
          </cell>
          <cell r="CL3826">
            <v>14150.518</v>
          </cell>
          <cell r="CM3826" t="str">
            <v xml:space="preserve">NFT-/XUTR/DEUTH02429215994X </v>
          </cell>
          <cell r="CN3826" t="str">
            <v>2024-10-18</v>
          </cell>
          <cell r="CO3826">
            <v>2282.7890000000002</v>
          </cell>
        </row>
        <row r="3827">
          <cell r="CJ3827" t="str">
            <v xml:space="preserve">NFT-/XUTR/DEUTH02429213780X </v>
          </cell>
          <cell r="CK3827" t="str">
            <v>2024-10-18</v>
          </cell>
          <cell r="CL3827">
            <v>38004.33</v>
          </cell>
          <cell r="CM3827" t="str">
            <v xml:space="preserve">NFT-/XUTR/DEUTH02429215994X </v>
          </cell>
          <cell r="CN3827" t="str">
            <v>2024-10-18</v>
          </cell>
          <cell r="CO3827">
            <v>2955.402</v>
          </cell>
        </row>
        <row r="3828">
          <cell r="CJ3828" t="str">
            <v xml:space="preserve">NFT-/XUTR/DEUTH02429213780X </v>
          </cell>
          <cell r="CK3828" t="str">
            <v>2024-10-18</v>
          </cell>
          <cell r="CL3828">
            <v>37469.981</v>
          </cell>
          <cell r="CM3828" t="str">
            <v xml:space="preserve">NFT-/XUTR/DEUTH02429215994X </v>
          </cell>
          <cell r="CN3828" t="str">
            <v>2024-10-18</v>
          </cell>
          <cell r="CO3828">
            <v>3508.6320000000001</v>
          </cell>
        </row>
        <row r="3829">
          <cell r="CJ3829" t="str">
            <v xml:space="preserve">NFT-/XUTR/DEUTH02429213780X </v>
          </cell>
          <cell r="CK3829" t="str">
            <v>2024-10-18</v>
          </cell>
          <cell r="CL3829">
            <v>31232.603999999999</v>
          </cell>
          <cell r="CM3829" t="str">
            <v xml:space="preserve">NFT-/XUTR/DEUTH02429215994X </v>
          </cell>
          <cell r="CN3829" t="str">
            <v>2024-10-18</v>
          </cell>
          <cell r="CO3829">
            <v>1653.864</v>
          </cell>
        </row>
        <row r="3830">
          <cell r="CJ3830" t="str">
            <v xml:space="preserve">NFT-/XUTR/DEUTH02429213780X </v>
          </cell>
          <cell r="CK3830" t="str">
            <v>2024-10-18</v>
          </cell>
          <cell r="CL3830">
            <v>10851.968000000001</v>
          </cell>
        </row>
        <row r="3831">
          <cell r="CJ3831" t="str">
            <v xml:space="preserve">NFT-/XUTR/DEUTH02429213780X </v>
          </cell>
          <cell r="CK3831" t="str">
            <v>2024-10-18</v>
          </cell>
          <cell r="CL3831">
            <v>37451.101000000002</v>
          </cell>
          <cell r="CM3831" t="str">
            <v xml:space="preserve">NFT-/XUTR/DEUTH02429215994X </v>
          </cell>
          <cell r="CN3831" t="str">
            <v>2024-10-18</v>
          </cell>
          <cell r="CO3831">
            <v>3508.6320000000001</v>
          </cell>
        </row>
        <row r="3832">
          <cell r="CJ3832" t="str">
            <v xml:space="preserve">NFT-/XUTR/DEUTH02429213780X </v>
          </cell>
          <cell r="CK3832" t="str">
            <v>2024-10-18</v>
          </cell>
          <cell r="CL3832">
            <v>77743.981</v>
          </cell>
          <cell r="CM3832" t="str">
            <v xml:space="preserve">NFT-/XUTR/DEUTH02429215994X </v>
          </cell>
          <cell r="CN3832" t="str">
            <v>2024-10-18</v>
          </cell>
          <cell r="CO3832">
            <v>2911.723</v>
          </cell>
        </row>
        <row r="3833">
          <cell r="CJ3833" t="str">
            <v xml:space="preserve">NFT-/XUTR/DEUTH02429213780X </v>
          </cell>
          <cell r="CK3833" t="str">
            <v>2024-10-18</v>
          </cell>
          <cell r="CL3833">
            <v>78449.597999999998</v>
          </cell>
          <cell r="CM3833" t="str">
            <v xml:space="preserve">NFT-/XUTR/DEUTH02429215994X </v>
          </cell>
          <cell r="CN3833" t="str">
            <v>2024-10-18</v>
          </cell>
          <cell r="CO3833">
            <v>2429.35</v>
          </cell>
        </row>
        <row r="3834">
          <cell r="CJ3834" t="str">
            <v xml:space="preserve">NFT-/XUTR/DEUTH02429213780X </v>
          </cell>
          <cell r="CK3834" t="str">
            <v>2024-10-18</v>
          </cell>
          <cell r="CL3834">
            <v>14500.36</v>
          </cell>
          <cell r="CM3834" t="str">
            <v xml:space="preserve">NFT-/XUTR/DEUTH02429215994X </v>
          </cell>
          <cell r="CN3834" t="str">
            <v>2024-10-18</v>
          </cell>
          <cell r="CO3834">
            <v>1951.825</v>
          </cell>
        </row>
        <row r="3835">
          <cell r="CJ3835" t="str">
            <v xml:space="preserve">NFT-/XUTR/DEUTH02429213780X </v>
          </cell>
          <cell r="CK3835" t="str">
            <v>2024-10-18</v>
          </cell>
          <cell r="CL3835">
            <v>38906.962</v>
          </cell>
          <cell r="CM3835" t="str">
            <v xml:space="preserve">NFT-/XUTR/DEUTH02429215994X </v>
          </cell>
          <cell r="CN3835" t="str">
            <v>2024-10-18</v>
          </cell>
          <cell r="CO3835">
            <v>2052.77</v>
          </cell>
        </row>
        <row r="3836">
          <cell r="CJ3836" t="str">
            <v xml:space="preserve">NFT-/XUTR/DEUTH02429213780X </v>
          </cell>
          <cell r="CK3836" t="str">
            <v>2024-10-18</v>
          </cell>
          <cell r="CL3836">
            <v>14977.444</v>
          </cell>
          <cell r="CM3836" t="str">
            <v xml:space="preserve">NFT-/XUTR/DEUTH02429215994X </v>
          </cell>
          <cell r="CN3836" t="str">
            <v>2024-10-18</v>
          </cell>
          <cell r="CO3836">
            <v>1455.8620000000001</v>
          </cell>
        </row>
        <row r="3837">
          <cell r="CJ3837" t="str">
            <v xml:space="preserve">NFT-/XUTR/DEUTH02429213780X </v>
          </cell>
          <cell r="CK3837" t="str">
            <v>2024-10-18</v>
          </cell>
          <cell r="CL3837">
            <v>77725.101999999999</v>
          </cell>
          <cell r="CM3837" t="str">
            <v xml:space="preserve">NFT-/XUTR/DEUTH02429215994X </v>
          </cell>
          <cell r="CN3837" t="str">
            <v>2024-10-18</v>
          </cell>
          <cell r="CO3837">
            <v>2911.7240000000002</v>
          </cell>
        </row>
        <row r="3838">
          <cell r="CJ3838" t="str">
            <v xml:space="preserve">NFT-/XUTR/DEUTH02429213780X </v>
          </cell>
          <cell r="CK3838" t="str">
            <v>2024-10-18</v>
          </cell>
          <cell r="CL3838">
            <v>38906.962</v>
          </cell>
          <cell r="CM3838" t="str">
            <v xml:space="preserve">NFT-/XUTR/DEUTH02429215994X </v>
          </cell>
          <cell r="CN3838" t="str">
            <v>2024-10-18</v>
          </cell>
          <cell r="CO3838">
            <v>2052.77</v>
          </cell>
        </row>
        <row r="3839">
          <cell r="CJ3839" t="str">
            <v xml:space="preserve">NFT-/XUTR/DEUTH02429213780X </v>
          </cell>
          <cell r="CK3839" t="str">
            <v>2024-10-18</v>
          </cell>
          <cell r="CL3839">
            <v>62719.485999999997</v>
          </cell>
          <cell r="CM3839" t="str">
            <v xml:space="preserve">NFT-/XUTR/DEUTH02429215994X </v>
          </cell>
          <cell r="CN3839" t="str">
            <v>2024-10-18</v>
          </cell>
          <cell r="CO3839">
            <v>2911.723</v>
          </cell>
        </row>
        <row r="3840">
          <cell r="CJ3840" t="str">
            <v xml:space="preserve">NFT-/XUTR/DEUTH02429213780X </v>
          </cell>
          <cell r="CK3840" t="str">
            <v>2024-10-18</v>
          </cell>
          <cell r="CL3840">
            <v>14996.324000000001</v>
          </cell>
          <cell r="CM3840" t="str">
            <v xml:space="preserve">NFT-/XUTR/DEUTH02429215994X </v>
          </cell>
          <cell r="CN3840" t="str">
            <v>2024-10-18</v>
          </cell>
          <cell r="CO3840">
            <v>1455.8620000000001</v>
          </cell>
        </row>
        <row r="3841">
          <cell r="CJ3841" t="str">
            <v xml:space="preserve">NFT-/XUTR/DEUTH02429213780X </v>
          </cell>
          <cell r="CK3841" t="str">
            <v>2024-10-18</v>
          </cell>
          <cell r="CL3841">
            <v>14481.48</v>
          </cell>
          <cell r="CM3841" t="str">
            <v xml:space="preserve">NFT-/XUTR/DEUTH02429215994X </v>
          </cell>
          <cell r="CN3841" t="str">
            <v>2024-10-18</v>
          </cell>
          <cell r="CO3841">
            <v>1951.825</v>
          </cell>
        </row>
        <row r="3842">
          <cell r="CJ3842" t="str">
            <v xml:space="preserve">NFT-/XUTR/DEUTH02429213780X </v>
          </cell>
          <cell r="CK3842" t="str">
            <v>2024-10-18</v>
          </cell>
          <cell r="CL3842">
            <v>14977.444</v>
          </cell>
          <cell r="CM3842" t="str">
            <v xml:space="preserve">NFT-/XUTR/DEUTH02429215994X </v>
          </cell>
          <cell r="CN3842" t="str">
            <v>2024-10-18</v>
          </cell>
          <cell r="CO3842">
            <v>1455.8620000000001</v>
          </cell>
        </row>
        <row r="3843">
          <cell r="CJ3843" t="str">
            <v xml:space="preserve">NFT-/XUTR/DEUTH02429213780X </v>
          </cell>
          <cell r="CK3843" t="str">
            <v>2024-10-18</v>
          </cell>
          <cell r="CL3843">
            <v>37451.101000000002</v>
          </cell>
          <cell r="CM3843" t="str">
            <v xml:space="preserve">NFT-/XUTR/DEUTH02429215994X </v>
          </cell>
          <cell r="CN3843" t="str">
            <v>2024-10-18</v>
          </cell>
          <cell r="CO3843">
            <v>3508.6320000000001</v>
          </cell>
        </row>
        <row r="3844">
          <cell r="CJ3844" t="str">
            <v xml:space="preserve">NFT-/XUTR/DEUTH02429213780X </v>
          </cell>
          <cell r="CK3844" t="str">
            <v>2024-10-18</v>
          </cell>
          <cell r="CL3844">
            <v>14996.324000000001</v>
          </cell>
          <cell r="CM3844" t="str">
            <v xml:space="preserve">NFT-/XUTR/DEUTH02429215994X </v>
          </cell>
          <cell r="CN3844" t="str">
            <v>2024-10-18</v>
          </cell>
          <cell r="CO3844">
            <v>1455.8620000000001</v>
          </cell>
          <cell r="CP3844" t="str">
            <v xml:space="preserve">NFT-/XUTR/DEUTH02429509164X </v>
          </cell>
          <cell r="CQ3844" t="str">
            <v>2024-10-21</v>
          </cell>
          <cell r="CR3844">
            <v>-14996.324000000001</v>
          </cell>
          <cell r="CS3844" t="str">
            <v xml:space="preserve">NFT-/XUTR/DEUTH02429530992X </v>
          </cell>
          <cell r="CT3844" t="str">
            <v>2024-10-21</v>
          </cell>
          <cell r="CU3844">
            <v>-1455.8620000000001</v>
          </cell>
        </row>
        <row r="3845">
          <cell r="CJ3845" t="str">
            <v xml:space="preserve">NFT-/XUTR/DEUTH02429213780X </v>
          </cell>
          <cell r="CK3845" t="str">
            <v>2024-10-18</v>
          </cell>
          <cell r="CL3845">
            <v>29460.75</v>
          </cell>
          <cell r="CM3845" t="str">
            <v xml:space="preserve">NFT-/XUTR/DEUTH02429215994X </v>
          </cell>
          <cell r="CN3845" t="str">
            <v>2024-10-18</v>
          </cell>
          <cell r="CO3845">
            <v>3095.1579999999999</v>
          </cell>
        </row>
        <row r="3846">
          <cell r="CJ3846" t="str">
            <v xml:space="preserve">NFT-/XUTR/DEUTH02429213780X </v>
          </cell>
          <cell r="CK3846" t="str">
            <v>2024-10-18</v>
          </cell>
          <cell r="CL3846">
            <v>77725.101999999999</v>
          </cell>
          <cell r="CM3846" t="str">
            <v xml:space="preserve">NFT-/XUTR/DEUTH02429215994X </v>
          </cell>
          <cell r="CN3846" t="str">
            <v>2024-10-18</v>
          </cell>
          <cell r="CO3846">
            <v>2911.7240000000002</v>
          </cell>
        </row>
        <row r="3847">
          <cell r="CJ3847" t="str">
            <v xml:space="preserve">NFT-/XUTR/DEUTH02429213780X </v>
          </cell>
          <cell r="CK3847" t="str">
            <v>2024-10-18</v>
          </cell>
          <cell r="CL3847">
            <v>9923.1329999999998</v>
          </cell>
          <cell r="CM3847" t="str">
            <v xml:space="preserve">NFT-/XUTR/DEUTH02429215994X </v>
          </cell>
          <cell r="CN3847" t="str">
            <v>2024-10-18</v>
          </cell>
          <cell r="CO3847">
            <v>928.84500000000003</v>
          </cell>
          <cell r="CP3847" t="str">
            <v xml:space="preserve">NFT-/XUTR/DEUTH02430980595X </v>
          </cell>
          <cell r="CQ3847" t="str">
            <v>2024-11-04</v>
          </cell>
          <cell r="CR3847">
            <v>-9923.1329999999998</v>
          </cell>
          <cell r="CS3847" t="str">
            <v xml:space="preserve">NFT-/XUTR/DEUTH024309A02A3X </v>
          </cell>
          <cell r="CT3847" t="str">
            <v>2024-11-04</v>
          </cell>
          <cell r="CU3847">
            <v>-928.84500000000003</v>
          </cell>
        </row>
        <row r="3848">
          <cell r="CJ3848" t="str">
            <v xml:space="preserve">NFT-/XUTR/DEUTH02429213780X </v>
          </cell>
          <cell r="CK3848" t="str">
            <v>2024-10-18</v>
          </cell>
          <cell r="CL3848">
            <v>14755.619000000001</v>
          </cell>
          <cell r="CM3848" t="str">
            <v xml:space="preserve">NFT-/XUTR/DEUTH02429215994X </v>
          </cell>
          <cell r="CN3848" t="str">
            <v>2024-10-18</v>
          </cell>
          <cell r="CO3848">
            <v>1696.567</v>
          </cell>
        </row>
        <row r="3849">
          <cell r="CJ3849" t="str">
            <v xml:space="preserve">NFT-/XUTR/DEUTH02429213780X </v>
          </cell>
          <cell r="CK3849" t="str">
            <v>2024-10-18</v>
          </cell>
          <cell r="CL3849">
            <v>2304.3829999999998</v>
          </cell>
          <cell r="CM3849" t="str">
            <v xml:space="preserve">NFT-/XUTR/DEUTH02429215994X </v>
          </cell>
          <cell r="CN3849" t="str">
            <v>2024-10-18</v>
          </cell>
          <cell r="CO3849">
            <v>142.67500000000001</v>
          </cell>
        </row>
        <row r="3850">
          <cell r="CJ3850" t="str">
            <v xml:space="preserve">NFT-/XUTR/DEUTH02429213780X </v>
          </cell>
          <cell r="CK3850" t="str">
            <v>2024-10-18</v>
          </cell>
          <cell r="CL3850">
            <v>37469.981</v>
          </cell>
          <cell r="CM3850" t="str">
            <v xml:space="preserve">NFT-/XUTR/DEUTH02429215994X </v>
          </cell>
          <cell r="CN3850" t="str">
            <v>2024-10-18</v>
          </cell>
          <cell r="CO3850">
            <v>3508.6320000000001</v>
          </cell>
        </row>
        <row r="3851">
          <cell r="CJ3851" t="str">
            <v xml:space="preserve">NFT-/XUTR/DEUTH02429213780X </v>
          </cell>
          <cell r="CK3851" t="str">
            <v>2024-10-18</v>
          </cell>
          <cell r="CL3851">
            <v>38925.841999999997</v>
          </cell>
          <cell r="CM3851" t="str">
            <v xml:space="preserve">NFT-/XUTR/DEUTH02429215994X </v>
          </cell>
          <cell r="CN3851" t="str">
            <v>2024-10-18</v>
          </cell>
          <cell r="CO3851">
            <v>2052.77</v>
          </cell>
        </row>
        <row r="3852">
          <cell r="CJ3852" t="str">
            <v xml:space="preserve">NFT-/XUTR/DEUTH02429213780X </v>
          </cell>
          <cell r="CK3852" t="str">
            <v>2024-10-18</v>
          </cell>
          <cell r="CL3852">
            <v>76269.240000000005</v>
          </cell>
          <cell r="CM3852" t="str">
            <v xml:space="preserve">NFT-/XUTR/DEUTH02429215994X </v>
          </cell>
          <cell r="CN3852" t="str">
            <v>2024-10-18</v>
          </cell>
          <cell r="CO3852">
            <v>4367.5860000000002</v>
          </cell>
        </row>
        <row r="3853">
          <cell r="CJ3853" t="str">
            <v xml:space="preserve">NFT-/XUTR/DEUTH02429213780X </v>
          </cell>
          <cell r="CK3853" t="str">
            <v>2024-10-18</v>
          </cell>
          <cell r="CL3853">
            <v>75890.188999999998</v>
          </cell>
          <cell r="CM3853" t="str">
            <v xml:space="preserve">NFT-/XUTR/DEUTH02429215994X </v>
          </cell>
          <cell r="CN3853" t="str">
            <v>2024-10-18</v>
          </cell>
          <cell r="CO3853">
            <v>4765.518</v>
          </cell>
        </row>
        <row r="3854">
          <cell r="CJ3854" t="str">
            <v xml:space="preserve">NFT-/XUTR/DEUTH02429213780X </v>
          </cell>
          <cell r="CK3854" t="str">
            <v>2024-10-18</v>
          </cell>
          <cell r="CL3854">
            <v>38925.841999999997</v>
          </cell>
          <cell r="CM3854" t="str">
            <v xml:space="preserve">NFT-/XUTR/DEUTH02429215994X </v>
          </cell>
          <cell r="CN3854" t="str">
            <v>2024-10-18</v>
          </cell>
          <cell r="CO3854">
            <v>2052.77</v>
          </cell>
        </row>
        <row r="3855">
          <cell r="CJ3855" t="str">
            <v xml:space="preserve">NFT-/XUTR/DEUTH02429213780X </v>
          </cell>
          <cell r="CK3855" t="str">
            <v>2024-10-18</v>
          </cell>
          <cell r="CL3855">
            <v>37469.980000000003</v>
          </cell>
          <cell r="CM3855" t="str">
            <v xml:space="preserve">NFT-/XUTR/DEUTH02429215994X </v>
          </cell>
          <cell r="CN3855" t="str">
            <v>2024-10-18</v>
          </cell>
          <cell r="CO3855">
            <v>3508.6329999999998</v>
          </cell>
        </row>
        <row r="3856">
          <cell r="CJ3856" t="str">
            <v xml:space="preserve">NFT-/XUTR/DEUTH02429213780X </v>
          </cell>
          <cell r="CK3856" t="str">
            <v>2024-10-18</v>
          </cell>
          <cell r="CL3856">
            <v>38925.841999999997</v>
          </cell>
          <cell r="CM3856" t="str">
            <v xml:space="preserve">NFT-/XUTR/DEUTH02429215994X </v>
          </cell>
          <cell r="CN3856" t="str">
            <v>2024-10-18</v>
          </cell>
          <cell r="CO3856">
            <v>2052.77</v>
          </cell>
        </row>
        <row r="3857">
          <cell r="CJ3857" t="str">
            <v xml:space="preserve">NFT-/XUTR/DEUTH02429213780X </v>
          </cell>
          <cell r="CK3857" t="str">
            <v>2024-10-18</v>
          </cell>
          <cell r="CL3857">
            <v>37469.981</v>
          </cell>
          <cell r="CM3857" t="str">
            <v xml:space="preserve">NFT-/XUTR/DEUTH02429215994X </v>
          </cell>
          <cell r="CN3857" t="str">
            <v>2024-10-18</v>
          </cell>
          <cell r="CO3857">
            <v>3508.6320000000001</v>
          </cell>
        </row>
        <row r="3858">
          <cell r="CJ3858" t="str">
            <v xml:space="preserve">NFT-/XUTR/DEUTH02429213780X </v>
          </cell>
          <cell r="CK3858" t="str">
            <v>2024-10-18</v>
          </cell>
          <cell r="CL3858">
            <v>77743.982000000004</v>
          </cell>
          <cell r="CM3858" t="str">
            <v xml:space="preserve">NFT-/XUTR/DEUTH02429215994X </v>
          </cell>
          <cell r="CN3858" t="str">
            <v>2024-10-18</v>
          </cell>
          <cell r="CO3858">
            <v>2911.7240000000002</v>
          </cell>
          <cell r="CP3858" t="str">
            <v xml:space="preserve">NFT-/XUTR/DEUTH02429760724X </v>
          </cell>
          <cell r="CQ3858" t="str">
            <v>2024-10-23</v>
          </cell>
          <cell r="CR3858">
            <v>-77743.982000000004</v>
          </cell>
          <cell r="CS3858" t="str">
            <v xml:space="preserve">NFT-/XUTR/DEUTH02429764618X </v>
          </cell>
          <cell r="CT3858" t="str">
            <v>2024-10-23</v>
          </cell>
          <cell r="CU3858">
            <v>-2911.7240000000002</v>
          </cell>
        </row>
        <row r="3859">
          <cell r="CJ3859" t="str">
            <v xml:space="preserve">NFT-/XUTR/DEUTH02429213780X </v>
          </cell>
          <cell r="CK3859" t="str">
            <v>2024-10-18</v>
          </cell>
          <cell r="CL3859">
            <v>16433.306</v>
          </cell>
        </row>
        <row r="3860">
          <cell r="CJ3860" t="str">
            <v xml:space="preserve">NFT-/XUTR/DEUTH02429213780X </v>
          </cell>
          <cell r="CK3860" t="str">
            <v>2024-10-18</v>
          </cell>
          <cell r="CL3860">
            <v>78449.597999999998</v>
          </cell>
          <cell r="CM3860" t="str">
            <v xml:space="preserve">NFT-/XUTR/DEUTH02429215994X </v>
          </cell>
          <cell r="CN3860" t="str">
            <v>2024-10-18</v>
          </cell>
          <cell r="CO3860">
            <v>2429.35</v>
          </cell>
        </row>
        <row r="3861">
          <cell r="CJ3861" t="str">
            <v xml:space="preserve">NFT-/XUTR/DEUTH02429213780X </v>
          </cell>
          <cell r="CK3861" t="str">
            <v>2024-10-18</v>
          </cell>
          <cell r="CL3861">
            <v>14500.36</v>
          </cell>
          <cell r="CM3861" t="str">
            <v xml:space="preserve">NFT-/XUTR/DEUTH02429215994X </v>
          </cell>
          <cell r="CN3861" t="str">
            <v>2024-10-18</v>
          </cell>
          <cell r="CO3861">
            <v>1951.825</v>
          </cell>
        </row>
        <row r="3862">
          <cell r="CJ3862" t="str">
            <v xml:space="preserve">NFT-/XUTR/DEUTH02429213780X </v>
          </cell>
          <cell r="CK3862" t="str">
            <v>2024-10-18</v>
          </cell>
          <cell r="CL3862">
            <v>15014.332</v>
          </cell>
          <cell r="CM3862" t="str">
            <v xml:space="preserve">NFT-/XUTR/DEUTH02429215994X </v>
          </cell>
          <cell r="CN3862" t="str">
            <v>2024-10-18</v>
          </cell>
          <cell r="CO3862">
            <v>1418.9839999999999</v>
          </cell>
        </row>
        <row r="3863">
          <cell r="CJ3863" t="str">
            <v xml:space="preserve">NFT-/XUTR/DEUTH02429213780X </v>
          </cell>
          <cell r="CK3863" t="str">
            <v>2024-10-18</v>
          </cell>
          <cell r="CL3863">
            <v>37469.980000000003</v>
          </cell>
          <cell r="CM3863" t="str">
            <v xml:space="preserve">NFT-/XUTR/DEUTH02429215994X </v>
          </cell>
          <cell r="CN3863" t="str">
            <v>2024-10-18</v>
          </cell>
          <cell r="CO3863">
            <v>3508.6329999999998</v>
          </cell>
        </row>
        <row r="3864">
          <cell r="CJ3864" t="str">
            <v xml:space="preserve">NFT-/XUTR/DEUTH02429213780X </v>
          </cell>
          <cell r="CK3864" t="str">
            <v>2024-10-18</v>
          </cell>
          <cell r="CL3864">
            <v>14996.324000000001</v>
          </cell>
          <cell r="CM3864" t="str">
            <v xml:space="preserve">NFT-/XUTR/DEUTH02429215994X </v>
          </cell>
          <cell r="CN3864" t="str">
            <v>2024-10-18</v>
          </cell>
          <cell r="CO3864">
            <v>1455.8620000000001</v>
          </cell>
        </row>
        <row r="3865">
          <cell r="CJ3865" t="str">
            <v xml:space="preserve">NFT-/XUTR/DEUTH02429213780X </v>
          </cell>
          <cell r="CK3865" t="str">
            <v>2024-10-18</v>
          </cell>
          <cell r="CL3865">
            <v>38640.767</v>
          </cell>
          <cell r="CM3865" t="str">
            <v xml:space="preserve">NFT-/XUTR/DEUTH02429215994X </v>
          </cell>
          <cell r="CN3865" t="str">
            <v>2024-10-18</v>
          </cell>
          <cell r="CO3865">
            <v>2328.4059999999999</v>
          </cell>
        </row>
        <row r="3866">
          <cell r="CJ3866" t="str">
            <v xml:space="preserve">NFT-/XUTR/DEUTH02429213780X </v>
          </cell>
          <cell r="CK3866" t="str">
            <v>2024-10-18</v>
          </cell>
          <cell r="CL3866">
            <v>9759.107</v>
          </cell>
          <cell r="CM3866" t="str">
            <v xml:space="preserve">NFT-/XUTR/DEUTH02429215994X </v>
          </cell>
          <cell r="CN3866" t="str">
            <v>2024-10-18</v>
          </cell>
          <cell r="CO3866">
            <v>1092.8710000000001</v>
          </cell>
        </row>
        <row r="3867">
          <cell r="CJ3867" t="str">
            <v xml:space="preserve">NFT-/XUTR/DEUTH02429213780X </v>
          </cell>
          <cell r="CK3867" t="str">
            <v>2024-10-18</v>
          </cell>
          <cell r="CL3867">
            <v>14996.324000000001</v>
          </cell>
          <cell r="CM3867" t="str">
            <v xml:space="preserve">NFT-/XUTR/DEUTH02429215994X </v>
          </cell>
          <cell r="CN3867" t="str">
            <v>2024-10-18</v>
          </cell>
          <cell r="CO3867">
            <v>1455.8620000000001</v>
          </cell>
        </row>
        <row r="3868">
          <cell r="CJ3868" t="str">
            <v xml:space="preserve">NFT-/XUTR/DEUTH02429213780X </v>
          </cell>
          <cell r="CK3868" t="str">
            <v>2024-10-18</v>
          </cell>
          <cell r="CL3868">
            <v>14513.949000000001</v>
          </cell>
          <cell r="CM3868" t="str">
            <v xml:space="preserve">NFT-/XUTR/DEUTH02429215994X </v>
          </cell>
          <cell r="CN3868" t="str">
            <v>2024-10-18</v>
          </cell>
          <cell r="CO3868">
            <v>1938.2370000000001</v>
          </cell>
        </row>
        <row r="3869">
          <cell r="CJ3869" t="str">
            <v xml:space="preserve">NFT-/XUTR/DEUTH02429213780X </v>
          </cell>
          <cell r="CK3869" t="str">
            <v>2024-10-18</v>
          </cell>
          <cell r="CL3869">
            <v>37469.980000000003</v>
          </cell>
          <cell r="CM3869" t="str">
            <v xml:space="preserve">NFT-/XUTR/DEUTH02429215994X </v>
          </cell>
          <cell r="CN3869" t="str">
            <v>2024-10-18</v>
          </cell>
          <cell r="CO3869">
            <v>3508.6329999999998</v>
          </cell>
          <cell r="CP3869" t="str">
            <v xml:space="preserve">NFT-/XUTR/DEUTH02429509164X </v>
          </cell>
          <cell r="CQ3869" t="str">
            <v>2024-10-21</v>
          </cell>
          <cell r="CR3869">
            <v>-37469.980000000003</v>
          </cell>
          <cell r="CS3869" t="str">
            <v xml:space="preserve">NFT-/XUTR/DEUTH02429530992X </v>
          </cell>
          <cell r="CT3869" t="str">
            <v>2024-10-21</v>
          </cell>
          <cell r="CU3869">
            <v>-3508.6329999999998</v>
          </cell>
        </row>
        <row r="3870">
          <cell r="CJ3870" t="str">
            <v xml:space="preserve">NFT-/XUTR/DEUTH02429213780X </v>
          </cell>
          <cell r="CK3870" t="str">
            <v>2024-10-18</v>
          </cell>
          <cell r="CL3870">
            <v>14686.272000000001</v>
          </cell>
          <cell r="CM3870" t="str">
            <v xml:space="preserve">NFT-/XUTR/DEUTH02429215994X </v>
          </cell>
          <cell r="CN3870" t="str">
            <v>2024-10-18</v>
          </cell>
          <cell r="CO3870">
            <v>1747.0350000000001</v>
          </cell>
        </row>
        <row r="3871">
          <cell r="CJ3871" t="str">
            <v xml:space="preserve">NFT-/XUTR/DEUTH02429213780X </v>
          </cell>
          <cell r="CK3871" t="str">
            <v>2024-10-18</v>
          </cell>
          <cell r="CL3871">
            <v>14500.36</v>
          </cell>
          <cell r="CM3871" t="str">
            <v xml:space="preserve">NFT-/XUTR/DEUTH02429215994X </v>
          </cell>
          <cell r="CN3871" t="str">
            <v>2024-10-18</v>
          </cell>
          <cell r="CO3871">
            <v>1951.825</v>
          </cell>
        </row>
        <row r="3872">
          <cell r="CJ3872" t="str">
            <v xml:space="preserve">NFT-/XUTR/DEUTH02429213780X </v>
          </cell>
          <cell r="CK3872" t="str">
            <v>2024-10-18</v>
          </cell>
          <cell r="CL3872">
            <v>4993.5789999999997</v>
          </cell>
          <cell r="CM3872" t="str">
            <v xml:space="preserve">NFT-/XUTR/DEUTH02429215994X </v>
          </cell>
          <cell r="CN3872" t="str">
            <v>2024-10-18</v>
          </cell>
          <cell r="CO3872">
            <v>432.88200000000001</v>
          </cell>
        </row>
        <row r="3873">
          <cell r="CJ3873" t="str">
            <v xml:space="preserve">NFT-/XUTR/DEUTH02429213780X </v>
          </cell>
          <cell r="CK3873" t="str">
            <v>2024-10-18</v>
          </cell>
          <cell r="CL3873">
            <v>9718.3420000000006</v>
          </cell>
          <cell r="CM3873" t="str">
            <v xml:space="preserve">NFT-/XUTR/DEUTH02429215994X </v>
          </cell>
          <cell r="CN3873" t="str">
            <v>2024-10-18</v>
          </cell>
          <cell r="CO3873">
            <v>1463.626</v>
          </cell>
        </row>
        <row r="3874">
          <cell r="CJ3874" t="str">
            <v xml:space="preserve">NFT-/XUTR/DEUTH02429213780X </v>
          </cell>
          <cell r="CK3874" t="str">
            <v>2024-10-18</v>
          </cell>
          <cell r="CL3874">
            <v>14481.48</v>
          </cell>
          <cell r="CM3874" t="str">
            <v xml:space="preserve">NFT-/XUTR/DEUTH02429215994X </v>
          </cell>
          <cell r="CN3874" t="str">
            <v>2024-10-18</v>
          </cell>
          <cell r="CO3874">
            <v>1951.825</v>
          </cell>
        </row>
        <row r="3875">
          <cell r="CJ3875" t="str">
            <v xml:space="preserve">NFT-/XUTR/DEUTH02429213780X </v>
          </cell>
          <cell r="CK3875" t="str">
            <v>2024-10-18</v>
          </cell>
          <cell r="CL3875">
            <v>76192.035999999993</v>
          </cell>
          <cell r="CM3875" t="str">
            <v xml:space="preserve">NFT-/XUTR/DEUTH02429215994X </v>
          </cell>
          <cell r="CN3875" t="str">
            <v>2024-10-18</v>
          </cell>
          <cell r="CO3875">
            <v>4463.6689999999999</v>
          </cell>
        </row>
        <row r="3876">
          <cell r="CJ3876" t="str">
            <v xml:space="preserve">NFT-/XUTR/DEUTH02429213780X </v>
          </cell>
          <cell r="CK3876" t="str">
            <v>2024-10-18</v>
          </cell>
          <cell r="CL3876">
            <v>14977.444</v>
          </cell>
          <cell r="CM3876" t="str">
            <v xml:space="preserve">NFT-/XUTR/DEUTH02429215994X </v>
          </cell>
          <cell r="CN3876" t="str">
            <v>2024-10-18</v>
          </cell>
          <cell r="CO3876">
            <v>1455.8620000000001</v>
          </cell>
          <cell r="CP3876" t="str">
            <v xml:space="preserve">NFT-/XUTR/DEUTH02430209185X </v>
          </cell>
          <cell r="CQ3876" t="str">
            <v>2024-10-28</v>
          </cell>
          <cell r="CR3876">
            <v>-14977.444</v>
          </cell>
          <cell r="CS3876" t="str">
            <v xml:space="preserve">NFT-/XUTR/DEUTH024309A02A3X </v>
          </cell>
          <cell r="CT3876" t="str">
            <v>2024-11-04</v>
          </cell>
          <cell r="CU3876">
            <v>-1455.8620000000001</v>
          </cell>
        </row>
        <row r="3877">
          <cell r="CJ3877" t="str">
            <v xml:space="preserve">NFT-/XUTR/DEUTH02429213780X </v>
          </cell>
          <cell r="CK3877" t="str">
            <v>2024-10-18</v>
          </cell>
          <cell r="CL3877">
            <v>77743.982000000004</v>
          </cell>
          <cell r="CM3877" t="str">
            <v xml:space="preserve">NFT-/XUTR/DEUTH02429215994X </v>
          </cell>
          <cell r="CN3877" t="str">
            <v>2024-10-18</v>
          </cell>
          <cell r="CO3877">
            <v>2911.7240000000002</v>
          </cell>
        </row>
        <row r="3878">
          <cell r="CJ3878" t="str">
            <v xml:space="preserve">NFT-/XUTR/DEUTH02429213780X </v>
          </cell>
          <cell r="CK3878" t="str">
            <v>2024-10-18</v>
          </cell>
          <cell r="CL3878">
            <v>5150.8149999999996</v>
          </cell>
          <cell r="CM3878" t="str">
            <v xml:space="preserve">NFT-/XUTR/DEUTH02429215994X </v>
          </cell>
          <cell r="CN3878" t="str">
            <v>2024-10-18</v>
          </cell>
          <cell r="CO3878">
            <v>275.64600000000002</v>
          </cell>
        </row>
        <row r="3879">
          <cell r="CJ3879" t="str">
            <v xml:space="preserve">NFT-/XUTR/DEUTH02429213780X </v>
          </cell>
          <cell r="CK3879" t="str">
            <v>2024-10-18</v>
          </cell>
          <cell r="CL3879">
            <v>38925.841999999997</v>
          </cell>
          <cell r="CM3879" t="str">
            <v xml:space="preserve">NFT-/XUTR/DEUTH02429215994X </v>
          </cell>
          <cell r="CN3879" t="str">
            <v>2024-10-18</v>
          </cell>
          <cell r="CO3879">
            <v>2052.77</v>
          </cell>
        </row>
        <row r="3880">
          <cell r="CJ3880" t="str">
            <v xml:space="preserve">NFT-/XUTR/DEUTH02429213780X </v>
          </cell>
          <cell r="CK3880" t="str">
            <v>2024-10-18</v>
          </cell>
          <cell r="CL3880">
            <v>76288.12</v>
          </cell>
          <cell r="CM3880" t="str">
            <v xml:space="preserve">NFT-/XUTR/DEUTH02429215994X </v>
          </cell>
          <cell r="CN3880" t="str">
            <v>2024-10-18</v>
          </cell>
          <cell r="CO3880">
            <v>4367.5860000000002</v>
          </cell>
          <cell r="CP3880" t="str">
            <v xml:space="preserve">NFT-/XUTR/DEUTH02429760724X </v>
          </cell>
          <cell r="CQ3880" t="str">
            <v>2024-10-23</v>
          </cell>
          <cell r="CR3880">
            <v>-76288.12</v>
          </cell>
          <cell r="CS3880" t="str">
            <v xml:space="preserve">NFT-/XUTR/DEUTH02429764618X </v>
          </cell>
          <cell r="CT3880" t="str">
            <v>2024-10-23</v>
          </cell>
          <cell r="CU3880">
            <v>-4367.5860000000002</v>
          </cell>
        </row>
        <row r="3881">
          <cell r="CJ3881" t="str">
            <v xml:space="preserve">NFT-/XUTR/DEUTH02429213780X </v>
          </cell>
          <cell r="CK3881" t="str">
            <v>2024-10-18</v>
          </cell>
          <cell r="CL3881">
            <v>14977.444</v>
          </cell>
          <cell r="CM3881" t="str">
            <v xml:space="preserve">NFT-/XUTR/DEUTH02429215994X </v>
          </cell>
          <cell r="CN3881" t="str">
            <v>2024-10-18</v>
          </cell>
          <cell r="CO3881">
            <v>1455.8620000000001</v>
          </cell>
          <cell r="CP3881" t="str">
            <v xml:space="preserve">NFT-/XUTR/DEUTH02430980595X </v>
          </cell>
          <cell r="CQ3881" t="str">
            <v>2024-11-04</v>
          </cell>
          <cell r="CR3881">
            <v>-14977.444</v>
          </cell>
          <cell r="CS3881" t="str">
            <v xml:space="preserve">NFT-/XUTR/DEUTH024309A02A3X </v>
          </cell>
          <cell r="CT3881" t="str">
            <v>2024-11-04</v>
          </cell>
          <cell r="CU3881">
            <v>-1455.8620000000001</v>
          </cell>
        </row>
        <row r="3882">
          <cell r="CJ3882" t="str">
            <v xml:space="preserve">NFT-/XUTR/DEUTH02429213780X </v>
          </cell>
          <cell r="CK3882" t="str">
            <v>2024-10-18</v>
          </cell>
          <cell r="CL3882">
            <v>77743.982000000004</v>
          </cell>
          <cell r="CM3882" t="str">
            <v xml:space="preserve">NFT-/XUTR/DEUTH02429215994X </v>
          </cell>
          <cell r="CN3882" t="str">
            <v>2024-10-18</v>
          </cell>
          <cell r="CO3882">
            <v>2911.7240000000002</v>
          </cell>
        </row>
        <row r="3883">
          <cell r="CJ3883" t="str">
            <v xml:space="preserve">NFT-/XUTR/DEUTH02429213780X </v>
          </cell>
          <cell r="CK3883" t="str">
            <v>2024-10-18</v>
          </cell>
          <cell r="CL3883">
            <v>29795.62</v>
          </cell>
          <cell r="CM3883" t="str">
            <v xml:space="preserve">NFT-/XUTR/DEUTH02429215994X </v>
          </cell>
          <cell r="CN3883" t="str">
            <v>2024-10-18</v>
          </cell>
          <cell r="CO3883">
            <v>3109.7280000000001</v>
          </cell>
        </row>
        <row r="3884">
          <cell r="CJ3884" t="str">
            <v xml:space="preserve">NFT-/XUTR/DEUTH02429213780X </v>
          </cell>
          <cell r="CK3884" t="str">
            <v>2024-10-18</v>
          </cell>
          <cell r="CL3884">
            <v>14996.324000000001</v>
          </cell>
          <cell r="CM3884" t="str">
            <v xml:space="preserve">NFT-/XUTR/DEUTH02429215994X </v>
          </cell>
          <cell r="CN3884" t="str">
            <v>2024-10-18</v>
          </cell>
          <cell r="CO3884">
            <v>1455.8620000000001</v>
          </cell>
        </row>
        <row r="3885">
          <cell r="CJ3885" t="str">
            <v xml:space="preserve">NFT-/XUTR/DEUTH02429213780X </v>
          </cell>
          <cell r="CK3885" t="str">
            <v>2024-10-18</v>
          </cell>
          <cell r="CL3885">
            <v>10004.222</v>
          </cell>
          <cell r="CM3885" t="str">
            <v xml:space="preserve">NFT-/XUTR/DEUTH02429215994X </v>
          </cell>
          <cell r="CN3885" t="str">
            <v>2024-10-18</v>
          </cell>
          <cell r="CO3885">
            <v>1158.864</v>
          </cell>
        </row>
        <row r="3886">
          <cell r="CJ3886" t="str">
            <v xml:space="preserve">NFT-/XUTR/DEUTH02429213780X </v>
          </cell>
          <cell r="CK3886" t="str">
            <v>2024-10-18</v>
          </cell>
          <cell r="CL3886">
            <v>1227.751</v>
          </cell>
          <cell r="CM3886" t="str">
            <v xml:space="preserve">NFT-/XUTR/DEUTH02429215994X </v>
          </cell>
          <cell r="CN3886" t="str">
            <v>2024-10-18</v>
          </cell>
          <cell r="CO3886">
            <v>102.88200000000001</v>
          </cell>
        </row>
        <row r="3887">
          <cell r="CJ3887" t="str">
            <v xml:space="preserve">NFT-/XUTR/DEUTH02429213780X </v>
          </cell>
          <cell r="CK3887" t="str">
            <v>2024-10-18</v>
          </cell>
          <cell r="CL3887">
            <v>14481.48</v>
          </cell>
          <cell r="CM3887" t="str">
            <v xml:space="preserve">NFT-/XUTR/DEUTH02429215994X </v>
          </cell>
          <cell r="CN3887" t="str">
            <v>2024-10-18</v>
          </cell>
          <cell r="CO3887">
            <v>1951.825</v>
          </cell>
        </row>
        <row r="3888">
          <cell r="CJ3888" t="str">
            <v xml:space="preserve">NFT-/XUTR/DEUTH02429213780X </v>
          </cell>
          <cell r="CK3888" t="str">
            <v>2024-10-18</v>
          </cell>
          <cell r="CL3888">
            <v>14996.324000000001</v>
          </cell>
          <cell r="CM3888" t="str">
            <v xml:space="preserve">NFT-/XUTR/DEUTH02429215994X </v>
          </cell>
          <cell r="CN3888" t="str">
            <v>2024-10-18</v>
          </cell>
          <cell r="CO3888">
            <v>1455.8620000000001</v>
          </cell>
        </row>
        <row r="3889">
          <cell r="CJ3889" t="str">
            <v xml:space="preserve">NFT-/XUTR/DEUTH02429213780X </v>
          </cell>
          <cell r="CK3889" t="str">
            <v>2024-10-18</v>
          </cell>
          <cell r="CL3889">
            <v>77725.101999999999</v>
          </cell>
          <cell r="CM3889" t="str">
            <v xml:space="preserve">NFT-/XUTR/DEUTH02429215994X </v>
          </cell>
          <cell r="CN3889" t="str">
            <v>2024-10-18</v>
          </cell>
          <cell r="CO3889">
            <v>2911.7240000000002</v>
          </cell>
        </row>
        <row r="3890">
          <cell r="CJ3890" t="str">
            <v xml:space="preserve">NFT-/XUTR/DEUTH02429213780X </v>
          </cell>
          <cell r="CK3890" t="str">
            <v>2024-10-18</v>
          </cell>
          <cell r="CL3890">
            <v>77743.981</v>
          </cell>
          <cell r="CM3890" t="str">
            <v xml:space="preserve">NFT-/XUTR/DEUTH02429215994X </v>
          </cell>
          <cell r="CN3890" t="str">
            <v>2024-10-18</v>
          </cell>
          <cell r="CO3890">
            <v>2911.723</v>
          </cell>
        </row>
        <row r="3891">
          <cell r="CJ3891" t="str">
            <v xml:space="preserve">NFT-/XUTR/DEUTH02429213780X </v>
          </cell>
          <cell r="CK3891" t="str">
            <v>2024-10-18</v>
          </cell>
          <cell r="CL3891">
            <v>14977.444</v>
          </cell>
          <cell r="CM3891" t="str">
            <v xml:space="preserve">NFT-/XUTR/DEUTH02429215994X </v>
          </cell>
          <cell r="CN3891" t="str">
            <v>2024-10-18</v>
          </cell>
          <cell r="CO3891">
            <v>1455.8620000000001</v>
          </cell>
        </row>
        <row r="3892">
          <cell r="CJ3892" t="str">
            <v xml:space="preserve">NFT-/XUTR/DEUTH02429213780X </v>
          </cell>
          <cell r="CK3892" t="str">
            <v>2024-10-18</v>
          </cell>
          <cell r="CL3892">
            <v>37156.050999999999</v>
          </cell>
          <cell r="CM3892" t="str">
            <v xml:space="preserve">NFT-/XUTR/DEUTH02429215994X </v>
          </cell>
          <cell r="CN3892" t="str">
            <v>2024-10-18</v>
          </cell>
          <cell r="CO3892">
            <v>3803.681</v>
          </cell>
        </row>
        <row r="3893">
          <cell r="CJ3893" t="str">
            <v xml:space="preserve">NFT-/XUTR/DEUTH02501034359X </v>
          </cell>
          <cell r="CK3893" t="str">
            <v>2025-01-10</v>
          </cell>
          <cell r="CL3893">
            <v>15086.79</v>
          </cell>
        </row>
        <row r="3894">
          <cell r="CJ3894" t="str">
            <v xml:space="preserve">NFT-/XUTR/DEUTH02429213780X </v>
          </cell>
          <cell r="CK3894" t="str">
            <v>2024-10-18</v>
          </cell>
          <cell r="CL3894">
            <v>14996.324000000001</v>
          </cell>
          <cell r="CM3894" t="str">
            <v xml:space="preserve">NFT-/XUTR/DEUTH02429215994X </v>
          </cell>
          <cell r="CN3894" t="str">
            <v>2024-10-18</v>
          </cell>
          <cell r="CO3894">
            <v>1455.8620000000001</v>
          </cell>
        </row>
        <row r="3895">
          <cell r="CJ3895" t="str">
            <v xml:space="preserve">NFT-/XUTR/DEUTH02429213780X </v>
          </cell>
          <cell r="CK3895" t="str">
            <v>2024-10-18</v>
          </cell>
          <cell r="CL3895">
            <v>37358.904000000002</v>
          </cell>
          <cell r="CM3895" t="str">
            <v xml:space="preserve">NFT-/XUTR/DEUTH02429215994X </v>
          </cell>
          <cell r="CN3895" t="str">
            <v>2024-10-18</v>
          </cell>
          <cell r="CO3895">
            <v>3600.828</v>
          </cell>
        </row>
        <row r="3896">
          <cell r="CJ3896" t="str">
            <v xml:space="preserve">NFT-/XUTR/DEUTH02429213780X </v>
          </cell>
          <cell r="CK3896" t="str">
            <v>2024-10-18</v>
          </cell>
          <cell r="CL3896">
            <v>14996.324000000001</v>
          </cell>
          <cell r="CM3896" t="str">
            <v xml:space="preserve">NFT-/XUTR/DEUTH02429215994X </v>
          </cell>
          <cell r="CN3896" t="str">
            <v>2024-10-18</v>
          </cell>
          <cell r="CO3896">
            <v>1455.8620000000001</v>
          </cell>
          <cell r="CP3896" t="str">
            <v xml:space="preserve">NFT-/XUTR/DEUTH02429760724X </v>
          </cell>
          <cell r="CQ3896" t="str">
            <v>2024-10-23</v>
          </cell>
          <cell r="CR3896">
            <v>-14996.324000000001</v>
          </cell>
          <cell r="CS3896" t="str">
            <v xml:space="preserve">NFT-/XUTR/DEUTH02429764618X </v>
          </cell>
          <cell r="CT3896" t="str">
            <v>2024-10-23</v>
          </cell>
          <cell r="CU3896">
            <v>-1455.8620000000001</v>
          </cell>
        </row>
        <row r="3897">
          <cell r="CJ3897" t="str">
            <v xml:space="preserve">NFT-/XUTR/DEUTH02429213780X </v>
          </cell>
          <cell r="CK3897" t="str">
            <v>2024-10-18</v>
          </cell>
          <cell r="CL3897">
            <v>10056.103999999999</v>
          </cell>
          <cell r="CM3897" t="str">
            <v xml:space="preserve">NFT-/XUTR/DEUTH02429215994X </v>
          </cell>
          <cell r="CN3897" t="str">
            <v>2024-10-18</v>
          </cell>
          <cell r="CO3897">
            <v>1125.8630000000001</v>
          </cell>
          <cell r="CP3897" t="str">
            <v xml:space="preserve">NFT-/XUTR/DEUTH02430980595X </v>
          </cell>
          <cell r="CQ3897" t="str">
            <v>2024-11-04</v>
          </cell>
          <cell r="CR3897">
            <v>-10056.103999999999</v>
          </cell>
          <cell r="CS3897" t="str">
            <v xml:space="preserve">NFT-/XUTR/DEUTH024309A02A3X </v>
          </cell>
          <cell r="CT3897" t="str">
            <v>2024-11-04</v>
          </cell>
          <cell r="CU3897">
            <v>-1125.8630000000001</v>
          </cell>
        </row>
        <row r="3898">
          <cell r="CJ3898" t="str">
            <v xml:space="preserve">NFT-/XUTR/DEUTH02429213780X </v>
          </cell>
          <cell r="CK3898" t="str">
            <v>2024-10-18</v>
          </cell>
          <cell r="CL3898">
            <v>2256.5659999999998</v>
          </cell>
          <cell r="CM3898" t="str">
            <v xml:space="preserve">NFT-/XUTR/DEUTH02429215994X </v>
          </cell>
          <cell r="CN3898" t="str">
            <v>2024-10-18</v>
          </cell>
          <cell r="CO3898">
            <v>199.94</v>
          </cell>
        </row>
        <row r="3899">
          <cell r="CJ3899" t="str">
            <v xml:space="preserve">NFT-/XUTR/DEUTH02429213780X </v>
          </cell>
          <cell r="CK3899" t="str">
            <v>2024-10-18</v>
          </cell>
          <cell r="CL3899">
            <v>14977.444</v>
          </cell>
          <cell r="CM3899" t="str">
            <v xml:space="preserve">NFT-/XUTR/DEUTH02429215994X </v>
          </cell>
          <cell r="CN3899" t="str">
            <v>2024-10-18</v>
          </cell>
          <cell r="CO3899">
            <v>1455.8620000000001</v>
          </cell>
        </row>
        <row r="3900">
          <cell r="CJ3900" t="str">
            <v xml:space="preserve">NFT-/XUTR/DEUTH02429213780X </v>
          </cell>
          <cell r="CK3900" t="str">
            <v>2024-10-18</v>
          </cell>
          <cell r="CL3900">
            <v>77725.101999999999</v>
          </cell>
          <cell r="CM3900" t="str">
            <v xml:space="preserve">NFT-/XUTR/DEUTH02429215994X </v>
          </cell>
          <cell r="CN3900" t="str">
            <v>2024-10-18</v>
          </cell>
          <cell r="CO3900">
            <v>2911.7240000000002</v>
          </cell>
        </row>
        <row r="3901">
          <cell r="CJ3901" t="str">
            <v xml:space="preserve">NFT-/XUTR/DEUTH02429213780X </v>
          </cell>
          <cell r="CK3901" t="str">
            <v>2024-10-18</v>
          </cell>
          <cell r="CL3901">
            <v>14996.324000000001</v>
          </cell>
          <cell r="CM3901" t="str">
            <v xml:space="preserve">NFT-/XUTR/DEUTH02429215994X </v>
          </cell>
          <cell r="CN3901" t="str">
            <v>2024-10-18</v>
          </cell>
          <cell r="CO3901">
            <v>1455.8620000000001</v>
          </cell>
        </row>
        <row r="3902">
          <cell r="CJ3902" t="str">
            <v xml:space="preserve">NFT-/XUTR/DEUTH02429213780X </v>
          </cell>
          <cell r="CK3902" t="str">
            <v>2024-10-18</v>
          </cell>
          <cell r="CL3902">
            <v>10825.763999999999</v>
          </cell>
          <cell r="CM3902" t="str">
            <v xml:space="preserve">NFT-/XUTR/DEUTH02429215994X </v>
          </cell>
          <cell r="CN3902" t="str">
            <v>2024-10-18</v>
          </cell>
          <cell r="CO3902">
            <v>356.202</v>
          </cell>
        </row>
        <row r="3903">
          <cell r="CJ3903" t="str">
            <v xml:space="preserve">NFT-/XUTR/DEUTH02429213780X </v>
          </cell>
          <cell r="CK3903" t="str">
            <v>2024-10-18</v>
          </cell>
          <cell r="CL3903">
            <v>14823.509</v>
          </cell>
          <cell r="CM3903" t="str">
            <v xml:space="preserve">NFT-/XUTR/DEUTH02429215994X </v>
          </cell>
          <cell r="CN3903" t="str">
            <v>2024-10-18</v>
          </cell>
          <cell r="CO3903">
            <v>1455.8610000000001</v>
          </cell>
        </row>
        <row r="3904">
          <cell r="CJ3904" t="str">
            <v xml:space="preserve">NFT-/XUTR/DEUTH02429213780X </v>
          </cell>
          <cell r="CK3904" t="str">
            <v>2024-10-18</v>
          </cell>
          <cell r="CL3904">
            <v>77725.101999999999</v>
          </cell>
          <cell r="CM3904" t="str">
            <v xml:space="preserve">NFT-/XUTR/DEUTH02429215994X </v>
          </cell>
          <cell r="CN3904" t="str">
            <v>2024-10-18</v>
          </cell>
          <cell r="CO3904">
            <v>2911.7240000000002</v>
          </cell>
        </row>
        <row r="3905">
          <cell r="CJ3905" t="str">
            <v xml:space="preserve">NFT-/XUTR/DEUTH02429213780X </v>
          </cell>
          <cell r="CK3905" t="str">
            <v>2024-10-18</v>
          </cell>
          <cell r="CL3905">
            <v>38906.962</v>
          </cell>
          <cell r="CM3905" t="str">
            <v xml:space="preserve">NFT-/XUTR/DEUTH02429215994X </v>
          </cell>
          <cell r="CN3905" t="str">
            <v>2024-10-18</v>
          </cell>
          <cell r="CO3905">
            <v>2052.77</v>
          </cell>
        </row>
        <row r="3906">
          <cell r="CJ3906" t="str">
            <v xml:space="preserve">NFT-/XUTR/DEUTH02429213780X </v>
          </cell>
          <cell r="CK3906" t="str">
            <v>2024-10-18</v>
          </cell>
          <cell r="CL3906">
            <v>77743.982000000004</v>
          </cell>
          <cell r="CM3906" t="str">
            <v xml:space="preserve">NFT-/XUTR/DEUTH02429215994X </v>
          </cell>
          <cell r="CN3906" t="str">
            <v>2024-10-18</v>
          </cell>
          <cell r="CO3906">
            <v>2911.7240000000002</v>
          </cell>
        </row>
        <row r="3907">
          <cell r="CJ3907" t="str">
            <v xml:space="preserve">NFT-/XUTR/DEUTH02429213780X </v>
          </cell>
          <cell r="CK3907" t="str">
            <v>2024-10-18</v>
          </cell>
          <cell r="CL3907">
            <v>14996.324000000001</v>
          </cell>
          <cell r="CM3907" t="str">
            <v xml:space="preserve">NFT-/XUTR/DEUTH02429215994X </v>
          </cell>
          <cell r="CN3907" t="str">
            <v>2024-10-18</v>
          </cell>
          <cell r="CO3907">
            <v>1455.8620000000001</v>
          </cell>
          <cell r="CP3907" t="str">
            <v xml:space="preserve">NFT-/XUTR/DEUTH02429509164X </v>
          </cell>
          <cell r="CQ3907" t="str">
            <v>2024-10-21</v>
          </cell>
          <cell r="CR3907">
            <v>-14996.324000000001</v>
          </cell>
          <cell r="CS3907" t="str">
            <v xml:space="preserve">NFT-/XUTR/DEUTH02429530992X </v>
          </cell>
          <cell r="CT3907" t="str">
            <v>2024-10-21</v>
          </cell>
          <cell r="CU3907">
            <v>-1455.8620000000001</v>
          </cell>
        </row>
        <row r="3908">
          <cell r="CJ3908" t="str">
            <v xml:space="preserve">NFT-/XUTR/DEUTH02429213780X </v>
          </cell>
          <cell r="CK3908" t="str">
            <v>2024-10-18</v>
          </cell>
          <cell r="CL3908">
            <v>5181.8789999999999</v>
          </cell>
          <cell r="CM3908" t="str">
            <v xml:space="preserve">NFT-/XUTR/DEUTH02429215994X </v>
          </cell>
          <cell r="CN3908" t="str">
            <v>2024-10-18</v>
          </cell>
          <cell r="CO3908">
            <v>584.28399999999999</v>
          </cell>
        </row>
        <row r="3909">
          <cell r="CJ3909" t="str">
            <v xml:space="preserve">NFT-/XUTR/DEUTH02429213780X </v>
          </cell>
          <cell r="CK3909" t="str">
            <v>2024-10-18</v>
          </cell>
          <cell r="CL3909">
            <v>38925.841999999997</v>
          </cell>
          <cell r="CM3909" t="str">
            <v xml:space="preserve">NFT-/XUTR/DEUTH02429215994X </v>
          </cell>
          <cell r="CN3909" t="str">
            <v>2024-10-18</v>
          </cell>
          <cell r="CO3909">
            <v>2052.77</v>
          </cell>
        </row>
        <row r="3910">
          <cell r="CJ3910" t="str">
            <v xml:space="preserve">NFT-/XUTR/DEUTH02429213780X </v>
          </cell>
          <cell r="CK3910" t="str">
            <v>2024-10-18</v>
          </cell>
          <cell r="CL3910">
            <v>14977.444</v>
          </cell>
          <cell r="CM3910" t="str">
            <v xml:space="preserve">NFT-/XUTR/DEUTH02429215994X </v>
          </cell>
          <cell r="CN3910" t="str">
            <v>2024-10-18</v>
          </cell>
          <cell r="CO3910">
            <v>1455.8620000000001</v>
          </cell>
        </row>
        <row r="3911">
          <cell r="CJ3911" t="str">
            <v xml:space="preserve">NFT-/XUTR/DEUTH02429213780X </v>
          </cell>
          <cell r="CK3911" t="str">
            <v>2024-10-18</v>
          </cell>
          <cell r="CL3911">
            <v>14481.48</v>
          </cell>
          <cell r="CM3911" t="str">
            <v xml:space="preserve">NFT-/XUTR/DEUTH02429215994X </v>
          </cell>
          <cell r="CN3911" t="str">
            <v>2024-10-18</v>
          </cell>
          <cell r="CO3911">
            <v>1951.825</v>
          </cell>
        </row>
        <row r="3912">
          <cell r="CJ3912" t="str">
            <v xml:space="preserve">NFT-/XUTR/DEUTH02429213780X </v>
          </cell>
          <cell r="CK3912" t="str">
            <v>2024-10-18</v>
          </cell>
          <cell r="CL3912">
            <v>14481.48</v>
          </cell>
          <cell r="CM3912" t="str">
            <v xml:space="preserve">NFT-/XUTR/DEUTH02429215994X </v>
          </cell>
          <cell r="CN3912" t="str">
            <v>2024-10-18</v>
          </cell>
          <cell r="CO3912">
            <v>1951.825</v>
          </cell>
        </row>
        <row r="3913">
          <cell r="CJ3913" t="str">
            <v xml:space="preserve">NFT-/XUTR/DEUTH02429213780X </v>
          </cell>
          <cell r="CK3913" t="str">
            <v>2024-10-18</v>
          </cell>
          <cell r="CL3913">
            <v>14481.48</v>
          </cell>
          <cell r="CM3913" t="str">
            <v xml:space="preserve">NFT-/XUTR/DEUTH02429215994X </v>
          </cell>
          <cell r="CN3913" t="str">
            <v>2024-10-18</v>
          </cell>
          <cell r="CO3913">
            <v>1951.825</v>
          </cell>
        </row>
        <row r="3914">
          <cell r="CJ3914" t="str">
            <v xml:space="preserve">NFT-/XUTR/DEUTH02429213780X </v>
          </cell>
          <cell r="CK3914" t="str">
            <v>2024-10-18</v>
          </cell>
          <cell r="CL3914">
            <v>37469.980000000003</v>
          </cell>
          <cell r="CM3914" t="str">
            <v xml:space="preserve">NFT-/XUTR/DEUTH02429215994X </v>
          </cell>
          <cell r="CN3914" t="str">
            <v>2024-10-18</v>
          </cell>
          <cell r="CO3914">
            <v>3508.6329999999998</v>
          </cell>
        </row>
        <row r="3915">
          <cell r="CJ3915" t="str">
            <v xml:space="preserve">NFT-/XUTR/DEUTH02429213780X </v>
          </cell>
          <cell r="CK3915" t="str">
            <v>2024-10-18</v>
          </cell>
          <cell r="CL3915">
            <v>78100.184999999998</v>
          </cell>
          <cell r="CM3915" t="str">
            <v xml:space="preserve">NFT-/XUTR/DEUTH02429215994X </v>
          </cell>
          <cell r="CN3915" t="str">
            <v>2024-10-18</v>
          </cell>
          <cell r="CO3915">
            <v>2555.5219999999999</v>
          </cell>
        </row>
        <row r="3916">
          <cell r="CJ3916" t="str">
            <v xml:space="preserve">NFT-/XUTR/DEUTH02429213780X </v>
          </cell>
          <cell r="CK3916" t="str">
            <v>2024-10-18</v>
          </cell>
          <cell r="CL3916">
            <v>37451.101000000002</v>
          </cell>
          <cell r="CM3916" t="str">
            <v xml:space="preserve">NFT-/XUTR/DEUTH02429215994X </v>
          </cell>
          <cell r="CN3916" t="str">
            <v>2024-10-18</v>
          </cell>
          <cell r="CO3916">
            <v>3508.6320000000001</v>
          </cell>
        </row>
        <row r="3917">
          <cell r="CJ3917" t="str">
            <v xml:space="preserve">NFT-/XUTR/DEUTH02429213780X </v>
          </cell>
          <cell r="CK3917" t="str">
            <v>2024-10-18</v>
          </cell>
          <cell r="CL3917">
            <v>13915.102999999999</v>
          </cell>
          <cell r="CM3917" t="str">
            <v xml:space="preserve">NFT-/XUTR/DEUTH02429215994X </v>
          </cell>
          <cell r="CN3917" t="str">
            <v>2024-10-18</v>
          </cell>
          <cell r="CO3917">
            <v>2537.0819999999999</v>
          </cell>
        </row>
        <row r="3918">
          <cell r="CJ3918" t="str">
            <v xml:space="preserve">NFT-/XUTR/DEUTH02429213780X </v>
          </cell>
          <cell r="CK3918" t="str">
            <v>2024-10-18</v>
          </cell>
          <cell r="CL3918">
            <v>14977.444</v>
          </cell>
          <cell r="CM3918" t="str">
            <v xml:space="preserve">NFT-/XUTR/DEUTH02429215994X </v>
          </cell>
          <cell r="CN3918" t="str">
            <v>2024-10-18</v>
          </cell>
          <cell r="CO3918">
            <v>1455.8620000000001</v>
          </cell>
        </row>
        <row r="3919">
          <cell r="CJ3919" t="str">
            <v xml:space="preserve">NFT-/XUTR/DEUTH02429213780X </v>
          </cell>
          <cell r="CK3919" t="str">
            <v>2024-10-18</v>
          </cell>
          <cell r="CL3919">
            <v>37469.981</v>
          </cell>
          <cell r="CM3919" t="str">
            <v xml:space="preserve">NFT-/XUTR/DEUTH02429215994X </v>
          </cell>
          <cell r="CN3919" t="str">
            <v>2024-10-18</v>
          </cell>
          <cell r="CO3919">
            <v>3508.6320000000001</v>
          </cell>
        </row>
        <row r="3920">
          <cell r="CJ3920" t="str">
            <v xml:space="preserve">NFT-/XUTR/DEUTH02429213780X </v>
          </cell>
          <cell r="CK3920" t="str">
            <v>2024-10-18</v>
          </cell>
          <cell r="CL3920">
            <v>37451.101000000002</v>
          </cell>
          <cell r="CM3920" t="str">
            <v xml:space="preserve">NFT-/XUTR/DEUTH02429215994X </v>
          </cell>
          <cell r="CN3920" t="str">
            <v>2024-10-18</v>
          </cell>
          <cell r="CO3920">
            <v>3508.6320000000001</v>
          </cell>
        </row>
        <row r="3921">
          <cell r="CJ3921" t="str">
            <v xml:space="preserve">NFT-/XUTR/DEUTH02429213780X </v>
          </cell>
          <cell r="CK3921" t="str">
            <v>2024-10-18</v>
          </cell>
          <cell r="CL3921">
            <v>14996.324000000001</v>
          </cell>
          <cell r="CM3921" t="str">
            <v xml:space="preserve">NFT-/XUTR/DEUTH02429215994X </v>
          </cell>
          <cell r="CN3921" t="str">
            <v>2024-10-18</v>
          </cell>
          <cell r="CO3921">
            <v>1455.8620000000001</v>
          </cell>
        </row>
        <row r="3922">
          <cell r="CJ3922" t="str">
            <v xml:space="preserve">NFT-/XUTR/DEUTH02429213780X </v>
          </cell>
          <cell r="CK3922" t="str">
            <v>2024-10-18</v>
          </cell>
          <cell r="CL3922">
            <v>14996.324000000001</v>
          </cell>
          <cell r="CM3922" t="str">
            <v xml:space="preserve">NFT-/XUTR/DEUTH02429215994X </v>
          </cell>
          <cell r="CN3922" t="str">
            <v>2024-10-18</v>
          </cell>
          <cell r="CO3922">
            <v>1455.8620000000001</v>
          </cell>
          <cell r="CP3922" t="str">
            <v xml:space="preserve">NFT-/XUTR/DEUTH02429509164X </v>
          </cell>
          <cell r="CQ3922" t="str">
            <v>2024-10-21</v>
          </cell>
          <cell r="CR3922">
            <v>-14996.324000000001</v>
          </cell>
          <cell r="CS3922" t="str">
            <v xml:space="preserve">NFT-/XUTR/DEUTH02429530992X </v>
          </cell>
          <cell r="CT3922" t="str">
            <v>2024-10-21</v>
          </cell>
          <cell r="CU3922">
            <v>-1455.8620000000001</v>
          </cell>
        </row>
        <row r="3923">
          <cell r="CJ3923" t="str">
            <v xml:space="preserve">NFT-/XUTR/DEUTH02429213780X </v>
          </cell>
          <cell r="CK3923" t="str">
            <v>2024-10-18</v>
          </cell>
          <cell r="CL3923">
            <v>5064.433</v>
          </cell>
          <cell r="CM3923" t="str">
            <v xml:space="preserve">NFT-/XUTR/DEUTH02429215994X </v>
          </cell>
          <cell r="CN3923" t="str">
            <v>2024-10-18</v>
          </cell>
          <cell r="CO3923">
            <v>701.72799999999995</v>
          </cell>
        </row>
        <row r="3924">
          <cell r="CJ3924" t="str">
            <v xml:space="preserve">NFT-/XUTR/DEUTH02429213780X </v>
          </cell>
          <cell r="CK3924" t="str">
            <v>2024-10-18</v>
          </cell>
          <cell r="CL3924">
            <v>14996.324000000001</v>
          </cell>
          <cell r="CM3924" t="str">
            <v xml:space="preserve">NFT-/XUTR/DEUTH02429215994X </v>
          </cell>
          <cell r="CN3924" t="str">
            <v>2024-10-18</v>
          </cell>
          <cell r="CO3924">
            <v>1455.8620000000001</v>
          </cell>
        </row>
        <row r="3925">
          <cell r="CJ3925" t="str">
            <v xml:space="preserve">NFT-/XUTR/DEUTH02429213780X </v>
          </cell>
          <cell r="CK3925" t="str">
            <v>2024-10-18</v>
          </cell>
          <cell r="CL3925">
            <v>14977.444</v>
          </cell>
          <cell r="CM3925" t="str">
            <v xml:space="preserve">NFT-/XUTR/DEUTH02429215994X </v>
          </cell>
          <cell r="CN3925" t="str">
            <v>2024-10-18</v>
          </cell>
          <cell r="CO3925">
            <v>1455.8620000000001</v>
          </cell>
          <cell r="CP3925" t="str">
            <v xml:space="preserve">NFT-/XUTR/DEUTH02429760724X </v>
          </cell>
          <cell r="CQ3925" t="str">
            <v>2024-10-23</v>
          </cell>
          <cell r="CR3925">
            <v>-14977.444</v>
          </cell>
          <cell r="CS3925" t="str">
            <v xml:space="preserve">NFT-/XUTR/DEUTH02429764618X </v>
          </cell>
          <cell r="CT3925" t="str">
            <v>2024-10-23</v>
          </cell>
          <cell r="CU3925">
            <v>-1455.8620000000001</v>
          </cell>
          <cell r="CV3925" t="str">
            <v xml:space="preserve">NFT-/XUTR/DEUTH02501034359X </v>
          </cell>
          <cell r="CW3925" t="str">
            <v>2025-01-10</v>
          </cell>
          <cell r="CX3925">
            <v>15067.91</v>
          </cell>
        </row>
        <row r="3926">
          <cell r="CJ3926" t="str">
            <v xml:space="preserve">NFT-/XUTR/DEUTH02429213780X </v>
          </cell>
          <cell r="CK3926" t="str">
            <v>2024-10-18</v>
          </cell>
          <cell r="CL3926">
            <v>9420.3700000000008</v>
          </cell>
          <cell r="CM3926" t="str">
            <v xml:space="preserve">NFT-/XUTR/DEUTH02429215994X </v>
          </cell>
          <cell r="CN3926" t="str">
            <v>2024-10-18</v>
          </cell>
          <cell r="CO3926">
            <v>1994.529</v>
          </cell>
        </row>
        <row r="3927">
          <cell r="CJ3927" t="str">
            <v xml:space="preserve">NFT-/XUTR/DEUTH02429213780X </v>
          </cell>
          <cell r="CK3927" t="str">
            <v>2024-10-18</v>
          </cell>
          <cell r="CL3927">
            <v>79022.763000000006</v>
          </cell>
          <cell r="CM3927" t="str">
            <v xml:space="preserve">NFT-/XUTR/DEUTH02429215994X </v>
          </cell>
          <cell r="CN3927" t="str">
            <v>2024-10-18</v>
          </cell>
          <cell r="CO3927">
            <v>2565.2240000000002</v>
          </cell>
        </row>
        <row r="3928">
          <cell r="CJ3928" t="str">
            <v xml:space="preserve">NFT-/XUTR/DEUTH02429213780X </v>
          </cell>
          <cell r="CK3928" t="str">
            <v>2024-10-18</v>
          </cell>
          <cell r="CL3928">
            <v>14481.48</v>
          </cell>
          <cell r="CM3928" t="str">
            <v xml:space="preserve">NFT-/XUTR/DEUTH02429215994X </v>
          </cell>
          <cell r="CN3928" t="str">
            <v>2024-10-18</v>
          </cell>
          <cell r="CO3928">
            <v>1951.825</v>
          </cell>
        </row>
        <row r="3929">
          <cell r="CJ3929" t="str">
            <v xml:space="preserve">NFT-/XUTR/DEUTH02429213780X </v>
          </cell>
          <cell r="CK3929" t="str">
            <v>2024-10-18</v>
          </cell>
          <cell r="CL3929">
            <v>38925.841999999997</v>
          </cell>
          <cell r="CM3929" t="str">
            <v xml:space="preserve">NFT-/XUTR/DEUTH02429215994X </v>
          </cell>
          <cell r="CN3929" t="str">
            <v>2024-10-18</v>
          </cell>
          <cell r="CO3929">
            <v>2052.77</v>
          </cell>
        </row>
        <row r="3930">
          <cell r="CJ3930" t="str">
            <v xml:space="preserve">NFT-/XUTR/DEUTH02429213780X </v>
          </cell>
          <cell r="CK3930" t="str">
            <v>2024-10-18</v>
          </cell>
          <cell r="CL3930">
            <v>14996.324000000001</v>
          </cell>
          <cell r="CM3930" t="str">
            <v xml:space="preserve">NFT-/XUTR/DEUTH02429215994X </v>
          </cell>
          <cell r="CN3930" t="str">
            <v>2024-10-18</v>
          </cell>
          <cell r="CO3930">
            <v>1455.8620000000001</v>
          </cell>
        </row>
        <row r="3931">
          <cell r="CJ3931" t="str">
            <v xml:space="preserve">NFT-/XUTR/DEUTH02429213780X </v>
          </cell>
          <cell r="CK3931" t="str">
            <v>2024-10-18</v>
          </cell>
          <cell r="CL3931">
            <v>9431.0450000000001</v>
          </cell>
          <cell r="CM3931" t="str">
            <v xml:space="preserve">NFT-/XUTR/DEUTH02429215994X </v>
          </cell>
          <cell r="CN3931" t="str">
            <v>2024-10-18</v>
          </cell>
          <cell r="CO3931">
            <v>1420.923</v>
          </cell>
        </row>
        <row r="3932">
          <cell r="CJ3932" t="str">
            <v xml:space="preserve">NFT-/XUTR/DEUTH02429213780X </v>
          </cell>
          <cell r="CK3932" t="str">
            <v>2024-10-18</v>
          </cell>
          <cell r="CL3932">
            <v>76269.240000000005</v>
          </cell>
          <cell r="CM3932" t="str">
            <v xml:space="preserve">NFT-/XUTR/DEUTH02429215994X </v>
          </cell>
          <cell r="CN3932" t="str">
            <v>2024-10-18</v>
          </cell>
          <cell r="CO3932">
            <v>4367.5860000000002</v>
          </cell>
        </row>
        <row r="3933">
          <cell r="CJ3933" t="str">
            <v xml:space="preserve">NFT-/XUTR/DEUTH02429213780X </v>
          </cell>
          <cell r="CK3933" t="str">
            <v>2024-10-18</v>
          </cell>
          <cell r="CL3933">
            <v>77681.423999999999</v>
          </cell>
          <cell r="CM3933" t="str">
            <v xml:space="preserve">NFT-/XUTR/DEUTH02429215994X </v>
          </cell>
          <cell r="CN3933" t="str">
            <v>2024-10-18</v>
          </cell>
          <cell r="CO3933">
            <v>3906.5639999999999</v>
          </cell>
        </row>
        <row r="3934">
          <cell r="CJ3934" t="str">
            <v xml:space="preserve">NFT-/XUTR/DEUTH02429213780X </v>
          </cell>
          <cell r="CK3934" t="str">
            <v>2024-10-18</v>
          </cell>
          <cell r="CL3934">
            <v>14500.36</v>
          </cell>
          <cell r="CM3934" t="str">
            <v xml:space="preserve">NFT-/XUTR/DEUTH02429215994X </v>
          </cell>
          <cell r="CN3934" t="str">
            <v>2024-10-18</v>
          </cell>
          <cell r="CO3934">
            <v>1951.826</v>
          </cell>
        </row>
        <row r="3935">
          <cell r="CJ3935" t="str">
            <v xml:space="preserve">NFT-/XUTR/DEUTH02429213780X </v>
          </cell>
          <cell r="CK3935" t="str">
            <v>2024-10-18</v>
          </cell>
          <cell r="CL3935">
            <v>14481.48</v>
          </cell>
          <cell r="CM3935" t="str">
            <v xml:space="preserve">NFT-/XUTR/DEUTH02429215994X </v>
          </cell>
          <cell r="CN3935" t="str">
            <v>2024-10-18</v>
          </cell>
          <cell r="CO3935">
            <v>1951.825</v>
          </cell>
        </row>
        <row r="3937">
          <cell r="CJ3937" t="str">
            <v xml:space="preserve">NFT-/XUTR/DEUTH02429213780X </v>
          </cell>
          <cell r="CK3937" t="str">
            <v>2024-10-18</v>
          </cell>
          <cell r="CL3937">
            <v>14688.65</v>
          </cell>
          <cell r="CM3937" t="str">
            <v xml:space="preserve">NFT-/XUTR/DEUTH02429215994X </v>
          </cell>
          <cell r="CN3937" t="str">
            <v>2024-10-18</v>
          </cell>
          <cell r="CO3937">
            <v>1957.65</v>
          </cell>
        </row>
        <row r="3938">
          <cell r="CJ3938" t="str">
            <v xml:space="preserve">NFT-/XUTR/DEUTH02429213780X </v>
          </cell>
          <cell r="CK3938" t="str">
            <v>2024-10-18</v>
          </cell>
          <cell r="CL3938">
            <v>14481.48</v>
          </cell>
          <cell r="CM3938" t="str">
            <v xml:space="preserve">NFT-/XUTR/DEUTH02429215994X </v>
          </cell>
          <cell r="CN3938" t="str">
            <v>2024-10-18</v>
          </cell>
          <cell r="CO3938">
            <v>1951.825</v>
          </cell>
        </row>
        <row r="3939">
          <cell r="CJ3939" t="str">
            <v xml:space="preserve">NFT-/XUTR/DEUTH02429213780X </v>
          </cell>
          <cell r="CK3939" t="str">
            <v>2024-10-18</v>
          </cell>
          <cell r="CL3939">
            <v>39728.074000000001</v>
          </cell>
          <cell r="CM3939" t="str">
            <v xml:space="preserve">NFT-/XUTR/DEUTH02429215994X </v>
          </cell>
          <cell r="CN3939" t="str">
            <v>2024-10-18</v>
          </cell>
          <cell r="CO3939">
            <v>1231.6579999999999</v>
          </cell>
        </row>
        <row r="3940">
          <cell r="CJ3940" t="str">
            <v xml:space="preserve">NFT-/XUTR/DEUTH02429213780X </v>
          </cell>
          <cell r="CK3940" t="str">
            <v>2024-10-18</v>
          </cell>
          <cell r="CL3940">
            <v>14481.48</v>
          </cell>
          <cell r="CM3940" t="str">
            <v xml:space="preserve">NFT-/XUTR/DEUTH02429215994X </v>
          </cell>
          <cell r="CN3940" t="str">
            <v>2024-10-18</v>
          </cell>
          <cell r="CO3940">
            <v>1951.825</v>
          </cell>
        </row>
        <row r="3941">
          <cell r="CJ3941" t="str">
            <v xml:space="preserve">NFT-/XUTR/DEUTH02429213780X </v>
          </cell>
          <cell r="CK3941" t="str">
            <v>2024-10-18</v>
          </cell>
          <cell r="CL3941">
            <v>37451.101000000002</v>
          </cell>
          <cell r="CM3941" t="str">
            <v xml:space="preserve">NFT-/XUTR/DEUTH02429215994X </v>
          </cell>
          <cell r="CN3941" t="str">
            <v>2024-10-18</v>
          </cell>
          <cell r="CO3941">
            <v>3508.6320000000001</v>
          </cell>
        </row>
        <row r="3942">
          <cell r="CJ3942" t="str">
            <v xml:space="preserve">NFT-/XUTR/DEUTH02429213780X </v>
          </cell>
          <cell r="CK3942" t="str">
            <v>2024-10-18</v>
          </cell>
          <cell r="CL3942">
            <v>14688.65</v>
          </cell>
          <cell r="CM3942" t="str">
            <v xml:space="preserve">NFT-/XUTR/DEUTH02429215994X </v>
          </cell>
          <cell r="CN3942" t="str">
            <v>2024-10-18</v>
          </cell>
          <cell r="CO3942">
            <v>1957.65</v>
          </cell>
        </row>
        <row r="3943">
          <cell r="CJ3943" t="str">
            <v xml:space="preserve">NFT-/XUTR/DEUTH02429213780X </v>
          </cell>
          <cell r="CK3943" t="str">
            <v>2024-10-18</v>
          </cell>
          <cell r="CL3943">
            <v>36547.934000000001</v>
          </cell>
          <cell r="CM3943" t="str">
            <v xml:space="preserve">NFT-/XUTR/DEUTH02429215994X </v>
          </cell>
          <cell r="CN3943" t="str">
            <v>2024-10-18</v>
          </cell>
          <cell r="CO3943">
            <v>4430.6779999999999</v>
          </cell>
        </row>
        <row r="3944">
          <cell r="CJ3944" t="str">
            <v xml:space="preserve">NFT-/XUTR/DEUTH02429213780X </v>
          </cell>
          <cell r="CK3944" t="str">
            <v>2024-10-18</v>
          </cell>
          <cell r="CL3944">
            <v>77681.423999999999</v>
          </cell>
          <cell r="CM3944" t="str">
            <v xml:space="preserve">NFT-/XUTR/DEUTH02429215994X </v>
          </cell>
          <cell r="CN3944" t="str">
            <v>2024-10-18</v>
          </cell>
          <cell r="CO3944">
            <v>3906.5639999999999</v>
          </cell>
        </row>
        <row r="3945">
          <cell r="CJ3945" t="str">
            <v xml:space="preserve">NFT-/XUTR/DEUTH02429213780X </v>
          </cell>
          <cell r="CK3945" t="str">
            <v>2024-10-18</v>
          </cell>
          <cell r="CL3945">
            <v>14029.195</v>
          </cell>
          <cell r="CM3945" t="str">
            <v xml:space="preserve">NFT-/XUTR/DEUTH02429215994X </v>
          </cell>
          <cell r="CN3945" t="str">
            <v>2024-10-18</v>
          </cell>
          <cell r="CO3945">
            <v>2404.11</v>
          </cell>
          <cell r="CP3945" t="str">
            <v xml:space="preserve">NFT-/XUTR/DEUTH02430980595X </v>
          </cell>
          <cell r="CQ3945" t="str">
            <v>2024-11-04</v>
          </cell>
          <cell r="CR3945">
            <v>-14029.195</v>
          </cell>
          <cell r="CS3945" t="str">
            <v xml:space="preserve">NFT-/XUTR/DEUTH024309A02A3X </v>
          </cell>
          <cell r="CT3945" t="str">
            <v>2024-11-04</v>
          </cell>
          <cell r="CU3945">
            <v>-2404.11</v>
          </cell>
        </row>
        <row r="3946">
          <cell r="CJ3946" t="str">
            <v xml:space="preserve">NFT-/XUTR/DEUTH02429213780X </v>
          </cell>
          <cell r="CK3946" t="str">
            <v>2024-10-18</v>
          </cell>
          <cell r="CL3946">
            <v>14688.65</v>
          </cell>
          <cell r="CM3946" t="str">
            <v xml:space="preserve">NFT-/XUTR/DEUTH02429215994X </v>
          </cell>
          <cell r="CN3946" t="str">
            <v>2024-10-18</v>
          </cell>
          <cell r="CO3946">
            <v>1957.65</v>
          </cell>
        </row>
        <row r="3947">
          <cell r="CJ3947" t="str">
            <v xml:space="preserve">NFT-/XUTR/DEUTH02429213780X </v>
          </cell>
          <cell r="CK3947" t="str">
            <v>2024-10-18</v>
          </cell>
          <cell r="CL3947">
            <v>14481.48</v>
          </cell>
          <cell r="CM3947" t="str">
            <v xml:space="preserve">NFT-/XUTR/DEUTH02429215994X </v>
          </cell>
          <cell r="CN3947" t="str">
            <v>2024-10-18</v>
          </cell>
          <cell r="CO3947">
            <v>1951.825</v>
          </cell>
        </row>
        <row r="3948">
          <cell r="CJ3948" t="str">
            <v xml:space="preserve">NFT-/XUTR/DEUTH02429213780X </v>
          </cell>
          <cell r="CK3948" t="str">
            <v>2024-10-18</v>
          </cell>
          <cell r="CL3948">
            <v>14481.48</v>
          </cell>
          <cell r="CM3948" t="str">
            <v xml:space="preserve">NFT-/XUTR/DEUTH02429215994X </v>
          </cell>
          <cell r="CN3948" t="str">
            <v>2024-10-18</v>
          </cell>
          <cell r="CO3948">
            <v>1951.825</v>
          </cell>
        </row>
        <row r="3949">
          <cell r="CJ3949" t="str">
            <v xml:space="preserve">NFT-/XUTR/DEUTH02429213780X </v>
          </cell>
          <cell r="CK3949" t="str">
            <v>2024-10-18</v>
          </cell>
          <cell r="CL3949">
            <v>14688.65</v>
          </cell>
          <cell r="CM3949" t="str">
            <v xml:space="preserve">NFT-/XUTR/DEUTH02429215994X </v>
          </cell>
          <cell r="CN3949" t="str">
            <v>2024-10-18</v>
          </cell>
          <cell r="CO3949">
            <v>1957.65</v>
          </cell>
        </row>
        <row r="3950">
          <cell r="CJ3950" t="str">
            <v xml:space="preserve">NFT-/XUTR/DEUTH02429213780X </v>
          </cell>
          <cell r="CK3950" t="str">
            <v>2024-10-18</v>
          </cell>
          <cell r="CL3950">
            <v>14669.77</v>
          </cell>
          <cell r="CM3950" t="str">
            <v xml:space="preserve">NFT-/XUTR/DEUTH02429215994X </v>
          </cell>
          <cell r="CN3950" t="str">
            <v>2024-10-18</v>
          </cell>
          <cell r="CO3950">
            <v>1957.65</v>
          </cell>
        </row>
        <row r="3951">
          <cell r="CJ3951" t="str">
            <v xml:space="preserve">NFT-/XUTR/DEUTH02429213780X </v>
          </cell>
          <cell r="CK3951" t="str">
            <v>2024-10-18</v>
          </cell>
          <cell r="CL3951">
            <v>14500.36</v>
          </cell>
          <cell r="CM3951" t="str">
            <v xml:space="preserve">NFT-/XUTR/DEUTH02429215994X </v>
          </cell>
          <cell r="CN3951" t="str">
            <v>2024-10-18</v>
          </cell>
          <cell r="CO3951">
            <v>1951.826</v>
          </cell>
        </row>
        <row r="3952">
          <cell r="CJ3952" t="str">
            <v xml:space="preserve">NFT-/XUTR/DEUTH02429213780X </v>
          </cell>
          <cell r="CK3952" t="str">
            <v>2024-10-18</v>
          </cell>
          <cell r="CL3952">
            <v>14500.36</v>
          </cell>
          <cell r="CM3952" t="str">
            <v xml:space="preserve">NFT-/XUTR/DEUTH02429215994X </v>
          </cell>
          <cell r="CN3952" t="str">
            <v>2024-10-18</v>
          </cell>
          <cell r="CO3952">
            <v>1951.826</v>
          </cell>
        </row>
        <row r="3953">
          <cell r="CJ3953" t="str">
            <v xml:space="preserve">NFT-/XUTR/DEUTH02429213780X </v>
          </cell>
          <cell r="CK3953" t="str">
            <v>2024-10-18</v>
          </cell>
          <cell r="CL3953">
            <v>14481.48</v>
          </cell>
          <cell r="CM3953" t="str">
            <v xml:space="preserve">NFT-/XUTR/DEUTH02429215994X </v>
          </cell>
          <cell r="CN3953" t="str">
            <v>2024-10-18</v>
          </cell>
          <cell r="CO3953">
            <v>1951.825</v>
          </cell>
        </row>
        <row r="3954">
          <cell r="CJ3954" t="str">
            <v xml:space="preserve">NFT-/XUTR/DEUTH02429213780X </v>
          </cell>
          <cell r="CK3954" t="str">
            <v>2024-10-18</v>
          </cell>
          <cell r="CL3954">
            <v>78214.275999999998</v>
          </cell>
          <cell r="CM3954" t="str">
            <v xml:space="preserve">NFT-/XUTR/DEUTH02429215994X </v>
          </cell>
          <cell r="CN3954" t="str">
            <v>2024-10-18</v>
          </cell>
          <cell r="CO3954">
            <v>2422.5500000000002</v>
          </cell>
        </row>
        <row r="3955">
          <cell r="CJ3955" t="str">
            <v xml:space="preserve">NFT-/XUTR/DEUTH02429213780X </v>
          </cell>
          <cell r="CK3955" t="str">
            <v>2024-10-18</v>
          </cell>
          <cell r="CL3955">
            <v>38906.962</v>
          </cell>
          <cell r="CM3955" t="str">
            <v xml:space="preserve">NFT-/XUTR/DEUTH02429215994X </v>
          </cell>
          <cell r="CN3955" t="str">
            <v>2024-10-18</v>
          </cell>
          <cell r="CO3955">
            <v>2052.77</v>
          </cell>
        </row>
        <row r="3956">
          <cell r="CJ3956" t="str">
            <v xml:space="preserve">NFT-/XUTR/DEUTH02429213780X </v>
          </cell>
          <cell r="CK3956" t="str">
            <v>2024-10-18</v>
          </cell>
          <cell r="CL3956">
            <v>13916.076999999999</v>
          </cell>
          <cell r="CM3956" t="str">
            <v xml:space="preserve">NFT-/XUTR/DEUTH02429215994X </v>
          </cell>
          <cell r="CN3956" t="str">
            <v>2024-10-18</v>
          </cell>
          <cell r="CO3956">
            <v>2730.223</v>
          </cell>
        </row>
        <row r="3957">
          <cell r="CJ3957" t="str">
            <v xml:space="preserve">NFT-/XUTR/DEUTH02429213780X </v>
          </cell>
          <cell r="CK3957" t="str">
            <v>2024-10-18</v>
          </cell>
          <cell r="CL3957">
            <v>78059.418999999994</v>
          </cell>
          <cell r="CM3957" t="str">
            <v xml:space="preserve">NFT-/XUTR/DEUTH02429215994X </v>
          </cell>
          <cell r="CN3957" t="str">
            <v>2024-10-18</v>
          </cell>
          <cell r="CO3957">
            <v>2596.288</v>
          </cell>
        </row>
        <row r="3958">
          <cell r="CJ3958" t="str">
            <v xml:space="preserve">NFT-/XUTR/DEUTH02429213780X </v>
          </cell>
          <cell r="CK3958" t="str">
            <v>2024-10-18</v>
          </cell>
          <cell r="CL3958">
            <v>9615.018</v>
          </cell>
          <cell r="CM3958" t="str">
            <v xml:space="preserve">NFT-/XUTR/DEUTH02429215994X </v>
          </cell>
          <cell r="CN3958" t="str">
            <v>2024-10-18</v>
          </cell>
          <cell r="CO3958">
            <v>1451.01</v>
          </cell>
        </row>
        <row r="3959">
          <cell r="CJ3959" t="str">
            <v xml:space="preserve">NFT-/XUTR/DEUTH02429213780X </v>
          </cell>
          <cell r="CK3959" t="str">
            <v>2024-10-18</v>
          </cell>
          <cell r="CL3959">
            <v>14481.48</v>
          </cell>
          <cell r="CM3959" t="str">
            <v xml:space="preserve">NFT-/XUTR/DEUTH02429215994X </v>
          </cell>
          <cell r="CN3959" t="str">
            <v>2024-10-18</v>
          </cell>
          <cell r="CO3959">
            <v>1951.825</v>
          </cell>
        </row>
        <row r="3960">
          <cell r="CJ3960" t="str">
            <v xml:space="preserve">NFT-/XUTR/DEUTH02429213780X </v>
          </cell>
          <cell r="CK3960" t="str">
            <v>2024-10-18</v>
          </cell>
          <cell r="CL3960">
            <v>14481.921</v>
          </cell>
          <cell r="CM3960" t="str">
            <v xml:space="preserve">NFT-/XUTR/DEUTH02429215994X </v>
          </cell>
          <cell r="CN3960" t="str">
            <v>2024-10-18</v>
          </cell>
          <cell r="CO3960">
            <v>1970.2650000000001</v>
          </cell>
        </row>
        <row r="3961">
          <cell r="CJ3961" t="str">
            <v xml:space="preserve">NFT-/XUTR/DEUTH02429213780X </v>
          </cell>
          <cell r="CK3961" t="str">
            <v>2024-10-18</v>
          </cell>
          <cell r="CL3961">
            <v>14669.77</v>
          </cell>
          <cell r="CM3961" t="str">
            <v xml:space="preserve">NFT-/XUTR/DEUTH02429215994X </v>
          </cell>
          <cell r="CN3961" t="str">
            <v>2024-10-18</v>
          </cell>
          <cell r="CO3961">
            <v>1957.65</v>
          </cell>
          <cell r="CP3961" t="str">
            <v xml:space="preserve">NFT-/XUTR/DEUTH02429760724X </v>
          </cell>
          <cell r="CQ3961" t="str">
            <v>2024-10-23</v>
          </cell>
          <cell r="CR3961">
            <v>-14669.77</v>
          </cell>
          <cell r="CS3961" t="str">
            <v xml:space="preserve">NFT-/XUTR/DEUTH02429764618X </v>
          </cell>
          <cell r="CT3961" t="str">
            <v>2024-10-23</v>
          </cell>
          <cell r="CU3961">
            <v>-1957.65</v>
          </cell>
        </row>
        <row r="3962">
          <cell r="CJ3962" t="str">
            <v xml:space="preserve">NFT-/XUTR/DEUTH02429213780X </v>
          </cell>
          <cell r="CK3962" t="str">
            <v>2024-10-18</v>
          </cell>
          <cell r="CL3962">
            <v>76269.240000000005</v>
          </cell>
          <cell r="CM3962" t="str">
            <v xml:space="preserve">NFT-/XUTR/DEUTH02429215994X </v>
          </cell>
          <cell r="CN3962" t="str">
            <v>2024-10-18</v>
          </cell>
          <cell r="CO3962">
            <v>4367.5860000000002</v>
          </cell>
        </row>
        <row r="3963">
          <cell r="CJ3963" t="str">
            <v xml:space="preserve">NFT-/XUTR/DEUTH02429213780X </v>
          </cell>
          <cell r="CK3963" t="str">
            <v>2024-10-18</v>
          </cell>
          <cell r="CL3963">
            <v>14481.48</v>
          </cell>
          <cell r="CM3963" t="str">
            <v xml:space="preserve">NFT-/XUTR/DEUTH02429215994X </v>
          </cell>
          <cell r="CN3963" t="str">
            <v>2024-10-18</v>
          </cell>
          <cell r="CO3963">
            <v>1951.825</v>
          </cell>
        </row>
        <row r="3964">
          <cell r="CJ3964" t="str">
            <v xml:space="preserve">NFT-/XUTR/DEUTH02429213780X </v>
          </cell>
          <cell r="CK3964" t="str">
            <v>2024-10-18</v>
          </cell>
          <cell r="CL3964">
            <v>14481.48</v>
          </cell>
          <cell r="CM3964" t="str">
            <v xml:space="preserve">NFT-/XUTR/DEUTH02429215994X </v>
          </cell>
          <cell r="CN3964" t="str">
            <v>2024-10-18</v>
          </cell>
          <cell r="CO3964">
            <v>1951.825</v>
          </cell>
        </row>
        <row r="3965">
          <cell r="CJ3965" t="str">
            <v xml:space="preserve">NFT-/XUTR/DEUTH02429213780X </v>
          </cell>
          <cell r="CK3965" t="str">
            <v>2024-10-18</v>
          </cell>
          <cell r="CL3965">
            <v>78214.275999999998</v>
          </cell>
          <cell r="CM3965" t="str">
            <v xml:space="preserve">NFT-/XUTR/DEUTH02429215994X </v>
          </cell>
          <cell r="CN3965" t="str">
            <v>2024-10-18</v>
          </cell>
          <cell r="CO3965">
            <v>2422.5500000000002</v>
          </cell>
        </row>
        <row r="3966">
          <cell r="CJ3966" t="str">
            <v xml:space="preserve">NFT-/XUTR/DEUTH02429213780X </v>
          </cell>
          <cell r="CK3966" t="str">
            <v>2024-10-18</v>
          </cell>
          <cell r="CL3966">
            <v>14500.36</v>
          </cell>
          <cell r="CM3966" t="str">
            <v xml:space="preserve">NFT-/XUTR/DEUTH02429215994X </v>
          </cell>
          <cell r="CN3966" t="str">
            <v>2024-10-18</v>
          </cell>
          <cell r="CO3966">
            <v>1951.825</v>
          </cell>
        </row>
        <row r="3967">
          <cell r="CJ3967" t="str">
            <v xml:space="preserve">NFT-/XUTR/DEUTH02429213780X </v>
          </cell>
          <cell r="CK3967" t="str">
            <v>2024-10-18</v>
          </cell>
          <cell r="CL3967">
            <v>14481.48</v>
          </cell>
          <cell r="CM3967" t="str">
            <v xml:space="preserve">NFT-/XUTR/DEUTH02429215994X </v>
          </cell>
          <cell r="CN3967" t="str">
            <v>2024-10-18</v>
          </cell>
          <cell r="CO3967">
            <v>1951.825</v>
          </cell>
        </row>
        <row r="3968">
          <cell r="CJ3968" t="str">
            <v xml:space="preserve">NFT-/XUTR/DEUTH02429213780X </v>
          </cell>
          <cell r="CK3968" t="str">
            <v>2024-10-18</v>
          </cell>
          <cell r="CL3968">
            <v>1287.93</v>
          </cell>
          <cell r="CM3968" t="str">
            <v xml:space="preserve">NFT-/XUTR/DEUTH02429215994X </v>
          </cell>
          <cell r="CN3968" t="str">
            <v>2024-10-18</v>
          </cell>
          <cell r="CO3968">
            <v>71.819000000000003</v>
          </cell>
        </row>
        <row r="3969">
          <cell r="CJ3969" t="str">
            <v xml:space="preserve">NFT-/XUTR/DEUTH02429213780X </v>
          </cell>
          <cell r="CK3969" t="str">
            <v>2024-10-18</v>
          </cell>
          <cell r="CL3969">
            <v>14481.48</v>
          </cell>
          <cell r="CM3969" t="str">
            <v xml:space="preserve">NFT-/XUTR/DEUTH02429215994X </v>
          </cell>
          <cell r="CN3969" t="str">
            <v>2024-10-18</v>
          </cell>
          <cell r="CO3969">
            <v>1951.825</v>
          </cell>
        </row>
        <row r="3970">
          <cell r="CJ3970" t="str">
            <v xml:space="preserve">NFT-/XUTR/DEUTH02429213780X </v>
          </cell>
          <cell r="CK3970" t="str">
            <v>2024-10-18</v>
          </cell>
          <cell r="CL3970">
            <v>14481.48</v>
          </cell>
          <cell r="CM3970" t="str">
            <v xml:space="preserve">NFT-/XUTR/DEUTH02429215994X </v>
          </cell>
          <cell r="CN3970" t="str">
            <v>2024-10-18</v>
          </cell>
          <cell r="CO3970">
            <v>1951.825</v>
          </cell>
        </row>
        <row r="3971">
          <cell r="CJ3971" t="str">
            <v xml:space="preserve">NFT-/XUTR/DEUTH02429213780X </v>
          </cell>
          <cell r="CK3971" t="str">
            <v>2024-10-18</v>
          </cell>
          <cell r="CL3971">
            <v>14688.65</v>
          </cell>
          <cell r="CM3971" t="str">
            <v xml:space="preserve">NFT-/XUTR/DEUTH02429215994X </v>
          </cell>
          <cell r="CN3971" t="str">
            <v>2024-10-18</v>
          </cell>
          <cell r="CO3971">
            <v>1957.65</v>
          </cell>
        </row>
        <row r="3972">
          <cell r="CJ3972" t="str">
            <v xml:space="preserve">NFT-/XUTR/DEUTH02429509164X </v>
          </cell>
          <cell r="CK3972" t="str">
            <v>2024-10-21</v>
          </cell>
          <cell r="CL3972">
            <v>14996.324000000001</v>
          </cell>
          <cell r="CM3972" t="str">
            <v xml:space="preserve">NFT-/XUTR/DEUTH02429530992X </v>
          </cell>
          <cell r="CN3972" t="str">
            <v>2024-10-21</v>
          </cell>
          <cell r="CO3972">
            <v>1455.8620000000001</v>
          </cell>
        </row>
        <row r="3973">
          <cell r="CJ3973" t="str">
            <v xml:space="preserve">NFT-/XUTR/DEUTH02429509164X </v>
          </cell>
          <cell r="CK3973" t="str">
            <v>2024-10-21</v>
          </cell>
          <cell r="CL3973">
            <v>14977.444</v>
          </cell>
          <cell r="CM3973" t="str">
            <v xml:space="preserve">NFT-/XUTR/DEUTH02429530992X </v>
          </cell>
          <cell r="CN3973" t="str">
            <v>2024-10-21</v>
          </cell>
          <cell r="CO3973">
            <v>1455.8620000000001</v>
          </cell>
        </row>
        <row r="3974">
          <cell r="CJ3974" t="str">
            <v xml:space="preserve">NFT-/XUTR/DEUTH02429509164X </v>
          </cell>
          <cell r="CK3974" t="str">
            <v>2024-10-21</v>
          </cell>
          <cell r="CL3974">
            <v>14996.324000000001</v>
          </cell>
          <cell r="CM3974" t="str">
            <v xml:space="preserve">NFT-/XUTR/DEUTH02429530992X </v>
          </cell>
          <cell r="CN3974" t="str">
            <v>2024-10-21</v>
          </cell>
          <cell r="CO3974">
            <v>1455.8620000000001</v>
          </cell>
          <cell r="CP3974" t="str">
            <v xml:space="preserve">NFT-/XUTR/DEUTH02431649943X </v>
          </cell>
          <cell r="CQ3974" t="str">
            <v>2024-11-11</v>
          </cell>
          <cell r="CR3974">
            <v>-14996.324000000001</v>
          </cell>
          <cell r="CS3974" t="str">
            <v xml:space="preserve">NFT-/XUTR/DEUTH02431658955X </v>
          </cell>
          <cell r="CT3974" t="str">
            <v>2024-11-11</v>
          </cell>
          <cell r="CU3974">
            <v>-1455.8620000000001</v>
          </cell>
        </row>
        <row r="3975">
          <cell r="CJ3975" t="str">
            <v xml:space="preserve">NFT-/XUTR/DEUTH02429509164X </v>
          </cell>
          <cell r="CK3975" t="str">
            <v>2024-10-21</v>
          </cell>
          <cell r="CL3975">
            <v>31251.484</v>
          </cell>
          <cell r="CM3975" t="str">
            <v xml:space="preserve">NFT-/XUTR/DEUTH02429530992X </v>
          </cell>
          <cell r="CN3975" t="str">
            <v>2024-10-21</v>
          </cell>
          <cell r="CO3975">
            <v>1651.914</v>
          </cell>
        </row>
        <row r="3976">
          <cell r="CJ3976" t="str">
            <v xml:space="preserve">NFT-/XUTR/DEUTH02429509164X </v>
          </cell>
          <cell r="CK3976" t="str">
            <v>2024-10-21</v>
          </cell>
          <cell r="CL3976">
            <v>4658.7079999999996</v>
          </cell>
          <cell r="CM3976" t="str">
            <v xml:space="preserve">NFT-/XUTR/DEUTH02429530992X </v>
          </cell>
          <cell r="CN3976" t="str">
            <v>2024-10-21</v>
          </cell>
          <cell r="CO3976">
            <v>254.29400000000001</v>
          </cell>
        </row>
        <row r="3977">
          <cell r="CJ3977" t="str">
            <v xml:space="preserve">NFT-/XUTR/DEUTH02429509164X </v>
          </cell>
          <cell r="CK3977" t="str">
            <v>2024-10-21</v>
          </cell>
          <cell r="CL3977">
            <v>14996.324000000001</v>
          </cell>
          <cell r="CM3977" t="str">
            <v xml:space="preserve">NFT-/XUTR/DEUTH02429530992X </v>
          </cell>
          <cell r="CN3977" t="str">
            <v>2024-10-21</v>
          </cell>
          <cell r="CO3977">
            <v>1455.8620000000001</v>
          </cell>
        </row>
        <row r="3978">
          <cell r="CJ3978" t="str">
            <v xml:space="preserve">NFT-/XUTR/DEUTH02429509164X </v>
          </cell>
          <cell r="CK3978" t="str">
            <v>2024-10-21</v>
          </cell>
          <cell r="CL3978">
            <v>78898.97</v>
          </cell>
          <cell r="CM3978" t="str">
            <v xml:space="preserve">NFT-/XUTR/DEUTH02429530992X </v>
          </cell>
          <cell r="CN3978" t="str">
            <v>2024-10-21</v>
          </cell>
          <cell r="CO3978">
            <v>2911.723</v>
          </cell>
        </row>
        <row r="3979">
          <cell r="CJ3979" t="str">
            <v xml:space="preserve">NFT-/XUTR/DEUTH02429509164X </v>
          </cell>
          <cell r="CK3979" t="str">
            <v>2024-10-21</v>
          </cell>
          <cell r="CL3979">
            <v>14977.444</v>
          </cell>
          <cell r="CM3979" t="str">
            <v xml:space="preserve">NFT-/XUTR/DEUTH02429530992X </v>
          </cell>
          <cell r="CN3979" t="str">
            <v>2024-10-21</v>
          </cell>
          <cell r="CO3979">
            <v>1455.8620000000001</v>
          </cell>
        </row>
        <row r="3980">
          <cell r="CJ3980" t="str">
            <v xml:space="preserve">NFT-/XUTR/DEUTH02429509164X </v>
          </cell>
          <cell r="CK3980" t="str">
            <v>2024-10-21</v>
          </cell>
          <cell r="CL3980">
            <v>14996.324000000001</v>
          </cell>
          <cell r="CM3980" t="str">
            <v xml:space="preserve">NFT-/XUTR/DEUTH02429530992X </v>
          </cell>
          <cell r="CN3980" t="str">
            <v>2024-10-21</v>
          </cell>
          <cell r="CO3980">
            <v>1455.8620000000001</v>
          </cell>
        </row>
        <row r="3981">
          <cell r="CJ3981" t="str">
            <v xml:space="preserve">NFT-/XUTR/DEUTH02429509164X </v>
          </cell>
          <cell r="CK3981" t="str">
            <v>2024-10-21</v>
          </cell>
          <cell r="CL3981">
            <v>11388.236000000001</v>
          </cell>
          <cell r="CM3981" t="str">
            <v xml:space="preserve">NFT-/XUTR/DEUTH02429530992X </v>
          </cell>
          <cell r="CN3981" t="str">
            <v>2024-10-21</v>
          </cell>
          <cell r="CO3981">
            <v>359.11399999999998</v>
          </cell>
        </row>
        <row r="3982">
          <cell r="CJ3982" t="str">
            <v xml:space="preserve">NFT-/XUTR/DEUTH02429509164X </v>
          </cell>
          <cell r="CK3982" t="str">
            <v>2024-10-21</v>
          </cell>
          <cell r="CL3982">
            <v>7275.9369999999999</v>
          </cell>
          <cell r="CM3982" t="str">
            <v xml:space="preserve">NFT-/XUTR/DEUTH02429530992X </v>
          </cell>
          <cell r="CN3982" t="str">
            <v>2024-10-21</v>
          </cell>
          <cell r="CO3982">
            <v>1101.598</v>
          </cell>
        </row>
        <row r="3983">
          <cell r="CJ3983" t="str">
            <v xml:space="preserve">NFT-/XUTR/DEUTH02429509164X </v>
          </cell>
          <cell r="CK3983" t="str">
            <v>2024-10-21</v>
          </cell>
          <cell r="CL3983">
            <v>14688.65</v>
          </cell>
          <cell r="CM3983" t="str">
            <v xml:space="preserve">NFT-/XUTR/DEUTH02429530992X </v>
          </cell>
          <cell r="CN3983" t="str">
            <v>2024-10-21</v>
          </cell>
          <cell r="CO3983">
            <v>1957.65</v>
          </cell>
        </row>
        <row r="3984">
          <cell r="CJ3984" t="str">
            <v xml:space="preserve">NFT-/XUTR/DEUTH02429509164X </v>
          </cell>
          <cell r="CK3984" t="str">
            <v>2024-10-21</v>
          </cell>
          <cell r="CL3984">
            <v>14688.65</v>
          </cell>
          <cell r="CM3984" t="str">
            <v xml:space="preserve">NFT-/XUTR/DEUTH02429530992X </v>
          </cell>
          <cell r="CN3984" t="str">
            <v>2024-10-21</v>
          </cell>
          <cell r="CO3984">
            <v>1957.65</v>
          </cell>
        </row>
        <row r="3985">
          <cell r="CJ3985" t="str">
            <v xml:space="preserve">NFT-/XUTR/DEUTH02429509164X </v>
          </cell>
          <cell r="CK3985" t="str">
            <v>2024-10-21</v>
          </cell>
          <cell r="CL3985">
            <v>14688.65</v>
          </cell>
          <cell r="CM3985" t="str">
            <v xml:space="preserve">NFT-/XUTR/DEUTH02429530992X </v>
          </cell>
          <cell r="CN3985" t="str">
            <v>2024-10-21</v>
          </cell>
          <cell r="CO3985">
            <v>1957.65</v>
          </cell>
        </row>
        <row r="3986">
          <cell r="CJ3986" t="str">
            <v xml:space="preserve">NFT-/XUTR/DEUTH02429509164X </v>
          </cell>
          <cell r="CK3986" t="str">
            <v>2024-10-21</v>
          </cell>
          <cell r="CL3986">
            <v>14183.95</v>
          </cell>
          <cell r="CM3986" t="str">
            <v xml:space="preserve">NFT-/XUTR/DEUTH02429530992X </v>
          </cell>
          <cell r="CN3986" t="str">
            <v>2024-10-21</v>
          </cell>
          <cell r="CO3986">
            <v>2462.3510000000001</v>
          </cell>
        </row>
        <row r="3987">
          <cell r="CJ3987" t="str">
            <v xml:space="preserve">NFT-/XUTR/DEUTH02429509164X </v>
          </cell>
          <cell r="CK3987" t="str">
            <v>2024-10-21</v>
          </cell>
          <cell r="CL3987">
            <v>14688.65</v>
          </cell>
          <cell r="CM3987" t="str">
            <v xml:space="preserve">NFT-/XUTR/DEUTH02429530992X </v>
          </cell>
          <cell r="CN3987" t="str">
            <v>2024-10-21</v>
          </cell>
          <cell r="CO3987">
            <v>1957.65</v>
          </cell>
        </row>
        <row r="3988">
          <cell r="CJ3988" t="str">
            <v xml:space="preserve">NFT-/XUTR/DEUTH02429509164X </v>
          </cell>
          <cell r="CK3988" t="str">
            <v>2024-10-21</v>
          </cell>
          <cell r="CL3988">
            <v>14669.77</v>
          </cell>
          <cell r="CM3988" t="str">
            <v xml:space="preserve">NFT-/XUTR/DEUTH02429530992X </v>
          </cell>
          <cell r="CN3988" t="str">
            <v>2024-10-21</v>
          </cell>
          <cell r="CO3988">
            <v>1957.65</v>
          </cell>
        </row>
        <row r="3989">
          <cell r="CJ3989" t="str">
            <v xml:space="preserve">NFT-/XUTR/DEUTH02429509164X </v>
          </cell>
          <cell r="CK3989" t="str">
            <v>2024-10-21</v>
          </cell>
          <cell r="CL3989">
            <v>14481.48</v>
          </cell>
          <cell r="CM3989" t="str">
            <v xml:space="preserve">NFT-/XUTR/DEUTH02429530992X </v>
          </cell>
          <cell r="CN3989" t="str">
            <v>2024-10-21</v>
          </cell>
          <cell r="CO3989">
            <v>1951.825</v>
          </cell>
        </row>
        <row r="3990">
          <cell r="CJ3990" t="str">
            <v xml:space="preserve">NFT-/XUTR/DEUTH02429509164X </v>
          </cell>
          <cell r="CK3990" t="str">
            <v>2024-10-21</v>
          </cell>
          <cell r="CL3990">
            <v>9633.8979999999992</v>
          </cell>
          <cell r="CM3990" t="str">
            <v xml:space="preserve">NFT-/XUTR/DEUTH02429530992X </v>
          </cell>
          <cell r="CN3990" t="str">
            <v>2024-10-21</v>
          </cell>
          <cell r="CO3990">
            <v>1451.01</v>
          </cell>
        </row>
        <row r="3991">
          <cell r="CJ3991" t="str">
            <v xml:space="preserve">NFT-/XUTR/DEUTH02429509164X </v>
          </cell>
          <cell r="CK3991" t="str">
            <v>2024-10-21</v>
          </cell>
          <cell r="CL3991">
            <v>79137.286999999997</v>
          </cell>
          <cell r="CM3991" t="str">
            <v xml:space="preserve">NFT-/XUTR/DEUTH02429530992X </v>
          </cell>
          <cell r="CN3991" t="str">
            <v>2024-10-21</v>
          </cell>
          <cell r="CO3991">
            <v>2450.7020000000002</v>
          </cell>
        </row>
        <row r="3992">
          <cell r="CJ3992" t="str">
            <v xml:space="preserve">NFT-/XUTR/DEUTH02429509164X </v>
          </cell>
          <cell r="CK3992" t="str">
            <v>2024-10-21</v>
          </cell>
          <cell r="CL3992">
            <v>14688.65</v>
          </cell>
          <cell r="CM3992" t="str">
            <v xml:space="preserve">NFT-/XUTR/DEUTH02429530992X </v>
          </cell>
          <cell r="CN3992" t="str">
            <v>2024-10-21</v>
          </cell>
          <cell r="CO3992">
            <v>1957.65</v>
          </cell>
        </row>
        <row r="3993">
          <cell r="CJ3993" t="str">
            <v xml:space="preserve">NFT-/XUTR/DEUTH02429509164X </v>
          </cell>
          <cell r="CK3993" t="str">
            <v>2024-10-21</v>
          </cell>
          <cell r="CL3993">
            <v>14669.77</v>
          </cell>
          <cell r="CM3993" t="str">
            <v xml:space="preserve">NFT-/XUTR/DEUTH02429530992X </v>
          </cell>
          <cell r="CN3993" t="str">
            <v>2024-10-21</v>
          </cell>
          <cell r="CO3993">
            <v>1957.65</v>
          </cell>
        </row>
        <row r="3994">
          <cell r="CJ3994" t="str">
            <v xml:space="preserve">NFT-/XUTR/DEUTH02429509164X </v>
          </cell>
          <cell r="CK3994" t="str">
            <v>2024-10-21</v>
          </cell>
          <cell r="CL3994">
            <v>14688.65</v>
          </cell>
          <cell r="CM3994" t="str">
            <v xml:space="preserve">NFT-/XUTR/DEUTH02429530992X </v>
          </cell>
          <cell r="CN3994" t="str">
            <v>2024-10-21</v>
          </cell>
          <cell r="CO3994">
            <v>1957.65</v>
          </cell>
        </row>
        <row r="3995">
          <cell r="CJ3995" t="str">
            <v xml:space="preserve">NFT-/XUTR/DEUTH02429509164X </v>
          </cell>
          <cell r="CK3995" t="str">
            <v>2024-10-21</v>
          </cell>
          <cell r="CL3995">
            <v>14688.65</v>
          </cell>
          <cell r="CM3995" t="str">
            <v xml:space="preserve">NFT-/XUTR/DEUTH02429530992X </v>
          </cell>
          <cell r="CN3995" t="str">
            <v>2024-10-21</v>
          </cell>
          <cell r="CO3995">
            <v>1957.65</v>
          </cell>
        </row>
        <row r="3996">
          <cell r="CJ3996" t="str">
            <v xml:space="preserve">NFT-/XUTR/DEUTH02429509164X </v>
          </cell>
          <cell r="CK3996" t="str">
            <v>2024-10-21</v>
          </cell>
          <cell r="CL3996">
            <v>14688.65</v>
          </cell>
          <cell r="CM3996" t="str">
            <v xml:space="preserve">NFT-/XUTR/DEUTH02429530992X </v>
          </cell>
          <cell r="CN3996" t="str">
            <v>2024-10-21</v>
          </cell>
          <cell r="CO3996">
            <v>1957.65</v>
          </cell>
        </row>
        <row r="3997">
          <cell r="CJ3997" t="str">
            <v xml:space="preserve">NFT-/XUTR/DEUTH02429509164X </v>
          </cell>
          <cell r="CK3997" t="str">
            <v>2024-10-21</v>
          </cell>
          <cell r="CL3997">
            <v>14688.65</v>
          </cell>
          <cell r="CM3997" t="str">
            <v xml:space="preserve">NFT-/XUTR/DEUTH02429530992X </v>
          </cell>
          <cell r="CN3997" t="str">
            <v>2024-10-21</v>
          </cell>
          <cell r="CO3997">
            <v>1957.65</v>
          </cell>
        </row>
        <row r="3998">
          <cell r="CJ3998" t="str">
            <v xml:space="preserve">NFT-/XUTR/DEUTH02429509164X </v>
          </cell>
          <cell r="CK3998" t="str">
            <v>2024-10-21</v>
          </cell>
          <cell r="CL3998">
            <v>9633.8979999999992</v>
          </cell>
          <cell r="CM3998" t="str">
            <v xml:space="preserve">NFT-/XUTR/DEUTH02429530992X </v>
          </cell>
          <cell r="CN3998" t="str">
            <v>2024-10-21</v>
          </cell>
          <cell r="CO3998">
            <v>1451.01</v>
          </cell>
        </row>
        <row r="3999">
          <cell r="CJ3999" t="str">
            <v xml:space="preserve">NFT-/XUTR/DEUTH02429509164X </v>
          </cell>
          <cell r="CK3999" t="str">
            <v>2024-10-21</v>
          </cell>
          <cell r="CL3999">
            <v>14669.77</v>
          </cell>
          <cell r="CM3999" t="str">
            <v xml:space="preserve">NFT-/XUTR/DEUTH02429530992X </v>
          </cell>
          <cell r="CN3999" t="str">
            <v>2024-10-21</v>
          </cell>
          <cell r="CO3999">
            <v>1957.65</v>
          </cell>
        </row>
        <row r="4000">
          <cell r="CJ4000" t="str">
            <v xml:space="preserve">NFT-/XUTR/DEUTH02429509164X </v>
          </cell>
          <cell r="CK4000" t="str">
            <v>2024-10-21</v>
          </cell>
          <cell r="CL4000">
            <v>14669.77</v>
          </cell>
          <cell r="CM4000" t="str">
            <v xml:space="preserve">NFT-/XUTR/DEUTH02429530992X </v>
          </cell>
          <cell r="CN4000" t="str">
            <v>2024-10-21</v>
          </cell>
          <cell r="CO4000">
            <v>1957.65</v>
          </cell>
        </row>
        <row r="4001">
          <cell r="CJ4001" t="str">
            <v xml:space="preserve">NFT-/XUTR/DEUTH02429509164X </v>
          </cell>
          <cell r="CK4001" t="str">
            <v>2024-10-21</v>
          </cell>
          <cell r="CL4001">
            <v>14688.65</v>
          </cell>
          <cell r="CM4001" t="str">
            <v xml:space="preserve">NFT-/XUTR/DEUTH02429530992X </v>
          </cell>
          <cell r="CN4001" t="str">
            <v>2024-10-21</v>
          </cell>
          <cell r="CO4001">
            <v>1957.65</v>
          </cell>
        </row>
        <row r="4002">
          <cell r="CJ4002" t="str">
            <v xml:space="preserve">NFT-/XUTR/DEUTH02429509164X </v>
          </cell>
          <cell r="CK4002" t="str">
            <v>2024-10-21</v>
          </cell>
          <cell r="CL4002">
            <v>14481.48</v>
          </cell>
          <cell r="CM4002" t="str">
            <v xml:space="preserve">NFT-/XUTR/DEUTH02429530992X </v>
          </cell>
          <cell r="CN4002" t="str">
            <v>2024-10-21</v>
          </cell>
          <cell r="CO4002">
            <v>1951.825</v>
          </cell>
        </row>
        <row r="4003">
          <cell r="CJ4003" t="str">
            <v xml:space="preserve">NFT-/XUTR/DEUTH02429509164X </v>
          </cell>
          <cell r="CK4003" t="str">
            <v>2024-10-21</v>
          </cell>
          <cell r="CL4003">
            <v>16627.420999999998</v>
          </cell>
        </row>
        <row r="4004">
          <cell r="CJ4004" t="str">
            <v xml:space="preserve">NFT-/XUTR/DEUTH02429509164X </v>
          </cell>
          <cell r="CK4004" t="str">
            <v>2024-10-21</v>
          </cell>
          <cell r="CL4004">
            <v>38469.68</v>
          </cell>
          <cell r="CM4004" t="str">
            <v xml:space="preserve">NFT-/XUTR/DEUTH02429530992X </v>
          </cell>
          <cell r="CN4004" t="str">
            <v>2024-10-21</v>
          </cell>
          <cell r="CO4004">
            <v>2984.5169999999998</v>
          </cell>
        </row>
        <row r="4005">
          <cell r="CJ4005" t="str">
            <v xml:space="preserve">NFT-/XUTR/DEUTH02429509164X </v>
          </cell>
          <cell r="CK4005" t="str">
            <v>2024-10-21</v>
          </cell>
          <cell r="CL4005">
            <v>14688.65</v>
          </cell>
          <cell r="CM4005" t="str">
            <v xml:space="preserve">NFT-/XUTR/DEUTH02429530992X </v>
          </cell>
          <cell r="CN4005" t="str">
            <v>2024-10-21</v>
          </cell>
          <cell r="CO4005">
            <v>1957.65</v>
          </cell>
        </row>
        <row r="4006">
          <cell r="CJ4006" t="str">
            <v xml:space="preserve">NFT-/XUTR/DEUTH02429509164X </v>
          </cell>
          <cell r="CK4006" t="str">
            <v>2024-10-21</v>
          </cell>
          <cell r="CL4006">
            <v>14589.655000000001</v>
          </cell>
          <cell r="CM4006" t="str">
            <v xml:space="preserve">NFT-/XUTR/DEUTH02429530992X </v>
          </cell>
          <cell r="CN4006" t="str">
            <v>2024-10-21</v>
          </cell>
          <cell r="CO4006">
            <v>2056.6460000000002</v>
          </cell>
        </row>
        <row r="4007">
          <cell r="CJ4007" t="str">
            <v xml:space="preserve">NFT-/XUTR/DEUTH02429509164X </v>
          </cell>
          <cell r="CK4007" t="str">
            <v>2024-10-21</v>
          </cell>
          <cell r="CL4007">
            <v>14705.684999999999</v>
          </cell>
          <cell r="CM4007" t="str">
            <v xml:space="preserve">NFT-/XUTR/DEUTH02429530992X </v>
          </cell>
          <cell r="CN4007" t="str">
            <v>2024-10-21</v>
          </cell>
          <cell r="CO4007">
            <v>1921.7360000000001</v>
          </cell>
        </row>
        <row r="4008">
          <cell r="CJ4008" t="str">
            <v xml:space="preserve">NFT-/XUTR/DEUTH02429509164X </v>
          </cell>
          <cell r="CK4008" t="str">
            <v>2024-10-21</v>
          </cell>
          <cell r="CL4008">
            <v>15664.085999999999</v>
          </cell>
          <cell r="CM4008" t="str">
            <v xml:space="preserve">NFT-/XUTR/DEUTH02429530992X </v>
          </cell>
          <cell r="CN4008" t="str">
            <v>2024-10-21</v>
          </cell>
          <cell r="CO4008">
            <v>982.226</v>
          </cell>
        </row>
        <row r="4009">
          <cell r="CJ4009" t="str">
            <v xml:space="preserve">NFT-/XUTR/DEUTH02429509164X </v>
          </cell>
          <cell r="CK4009" t="str">
            <v>2024-10-21</v>
          </cell>
          <cell r="CL4009">
            <v>14688.65</v>
          </cell>
          <cell r="CM4009" t="str">
            <v xml:space="preserve">NFT-/XUTR/DEUTH02429530992X </v>
          </cell>
          <cell r="CN4009" t="str">
            <v>2024-10-21</v>
          </cell>
          <cell r="CO4009">
            <v>1957.65</v>
          </cell>
        </row>
        <row r="4010">
          <cell r="CJ4010" t="str">
            <v xml:space="preserve">NFT-/XUTR/DEUTH02429509164X </v>
          </cell>
          <cell r="CK4010" t="str">
            <v>2024-10-21</v>
          </cell>
          <cell r="CL4010">
            <v>14688.65</v>
          </cell>
          <cell r="CM4010" t="str">
            <v xml:space="preserve">NFT-/XUTR/DEUTH02429530992X </v>
          </cell>
          <cell r="CN4010" t="str">
            <v>2024-10-21</v>
          </cell>
          <cell r="CO4010">
            <v>1957.65</v>
          </cell>
        </row>
        <row r="4011">
          <cell r="CJ4011" t="str">
            <v xml:space="preserve">NFT-/XUTR/DEUTH02429509164X </v>
          </cell>
          <cell r="CK4011" t="str">
            <v>2024-10-21</v>
          </cell>
          <cell r="CL4011">
            <v>14688.65</v>
          </cell>
          <cell r="CM4011" t="str">
            <v xml:space="preserve">NFT-/XUTR/DEUTH02429530992X </v>
          </cell>
          <cell r="CN4011" t="str">
            <v>2024-10-21</v>
          </cell>
          <cell r="CO4011">
            <v>1957.65</v>
          </cell>
        </row>
        <row r="4012">
          <cell r="CJ4012" t="str">
            <v xml:space="preserve">NFT-/XUTR/DEUTH02429509164X </v>
          </cell>
          <cell r="CK4012" t="str">
            <v>2024-10-21</v>
          </cell>
          <cell r="CL4012">
            <v>79137.286999999997</v>
          </cell>
          <cell r="CM4012" t="str">
            <v xml:space="preserve">NFT-/XUTR/DEUTH02429530992X </v>
          </cell>
          <cell r="CN4012" t="str">
            <v>2024-10-21</v>
          </cell>
          <cell r="CO4012">
            <v>2450.7020000000002</v>
          </cell>
        </row>
        <row r="4013">
          <cell r="CJ4013" t="str">
            <v xml:space="preserve">NFT-/XUTR/DEUTH02429509164X </v>
          </cell>
          <cell r="CK4013" t="str">
            <v>2024-10-21</v>
          </cell>
          <cell r="CL4013">
            <v>9920.2199999999993</v>
          </cell>
          <cell r="CM4013" t="str">
            <v xml:space="preserve">NFT-/XUTR/DEUTH02429530992X </v>
          </cell>
          <cell r="CN4013" t="str">
            <v>2024-10-21</v>
          </cell>
          <cell r="CO4013">
            <v>1494.6880000000001</v>
          </cell>
        </row>
        <row r="4014">
          <cell r="CJ4014" t="str">
            <v xml:space="preserve">NFT-/XUTR/DEUTH02429509164X </v>
          </cell>
          <cell r="CK4014" t="str">
            <v>2024-10-21</v>
          </cell>
          <cell r="CL4014">
            <v>14688.65</v>
          </cell>
          <cell r="CM4014" t="str">
            <v xml:space="preserve">NFT-/XUTR/DEUTH02429530992X </v>
          </cell>
          <cell r="CN4014" t="str">
            <v>2024-10-21</v>
          </cell>
          <cell r="CO4014">
            <v>1957.65</v>
          </cell>
        </row>
        <row r="4015">
          <cell r="CJ4015" t="str">
            <v xml:space="preserve">NFT-/XUTR/DEUTH02429509164X </v>
          </cell>
          <cell r="CK4015" t="str">
            <v>2024-10-21</v>
          </cell>
          <cell r="CL4015">
            <v>14688.65</v>
          </cell>
          <cell r="CM4015" t="str">
            <v xml:space="preserve">NFT-/XUTR/DEUTH02429530992X </v>
          </cell>
          <cell r="CN4015" t="str">
            <v>2024-10-21</v>
          </cell>
          <cell r="CO4015">
            <v>1957.65</v>
          </cell>
        </row>
        <row r="4016">
          <cell r="CJ4016" t="str">
            <v xml:space="preserve">NFT-/XUTR/DEUTH02429509164X </v>
          </cell>
          <cell r="CK4016" t="str">
            <v>2024-10-21</v>
          </cell>
          <cell r="CL4016">
            <v>14688.65</v>
          </cell>
          <cell r="CM4016" t="str">
            <v xml:space="preserve">NFT-/XUTR/DEUTH02429530992X </v>
          </cell>
          <cell r="CN4016" t="str">
            <v>2024-10-21</v>
          </cell>
          <cell r="CO4016">
            <v>1957.65</v>
          </cell>
        </row>
        <row r="4017">
          <cell r="CJ4017" t="str">
            <v xml:space="preserve">NFT-/XUTR/DEUTH02429509164X </v>
          </cell>
          <cell r="CK4017" t="str">
            <v>2024-10-21</v>
          </cell>
          <cell r="CL4017">
            <v>15190.439</v>
          </cell>
          <cell r="CM4017" t="str">
            <v xml:space="preserve">NFT-/XUTR/DEUTH02429530992X </v>
          </cell>
          <cell r="CN4017" t="str">
            <v>2024-10-21</v>
          </cell>
          <cell r="CO4017">
            <v>1455.8620000000001</v>
          </cell>
        </row>
        <row r="4018">
          <cell r="CJ4018" t="str">
            <v xml:space="preserve">NFT-/XUTR/DEUTH02429509164X </v>
          </cell>
          <cell r="CK4018" t="str">
            <v>2024-10-21</v>
          </cell>
          <cell r="CL4018">
            <v>14688.65</v>
          </cell>
          <cell r="CM4018" t="str">
            <v xml:space="preserve">NFT-/XUTR/DEUTH02429530992X </v>
          </cell>
          <cell r="CN4018" t="str">
            <v>2024-10-21</v>
          </cell>
          <cell r="CO4018">
            <v>1957.65</v>
          </cell>
        </row>
        <row r="4019">
          <cell r="CJ4019" t="str">
            <v xml:space="preserve">NFT-/XUTR/DEUTH02429509164X </v>
          </cell>
          <cell r="CK4019" t="str">
            <v>2024-10-21</v>
          </cell>
          <cell r="CL4019">
            <v>14688.65</v>
          </cell>
          <cell r="CM4019" t="str">
            <v xml:space="preserve">NFT-/XUTR/DEUTH02429530992X </v>
          </cell>
          <cell r="CN4019" t="str">
            <v>2024-10-21</v>
          </cell>
          <cell r="CO4019">
            <v>1957.65</v>
          </cell>
        </row>
        <row r="4020">
          <cell r="CJ4020" t="str">
            <v xml:space="preserve">NFT-/XUTR/DEUTH02429509164X </v>
          </cell>
          <cell r="CK4020" t="str">
            <v>2024-10-21</v>
          </cell>
          <cell r="CL4020">
            <v>14669.77</v>
          </cell>
          <cell r="CM4020" t="str">
            <v xml:space="preserve">NFT-/XUTR/DEUTH02429530992X </v>
          </cell>
          <cell r="CN4020" t="str">
            <v>2024-10-21</v>
          </cell>
          <cell r="CO4020">
            <v>1957.65</v>
          </cell>
        </row>
        <row r="4021">
          <cell r="CJ4021" t="str">
            <v xml:space="preserve">NFT-/XUTR/DEUTH02429509164X </v>
          </cell>
          <cell r="CK4021" t="str">
            <v>2024-10-21</v>
          </cell>
          <cell r="CL4021">
            <v>14500.36</v>
          </cell>
          <cell r="CM4021" t="str">
            <v xml:space="preserve">NFT-/XUTR/DEUTH02429530992X </v>
          </cell>
          <cell r="CN4021" t="str">
            <v>2024-10-21</v>
          </cell>
          <cell r="CO4021">
            <v>1951.825</v>
          </cell>
        </row>
        <row r="4022">
          <cell r="CJ4022" t="str">
            <v xml:space="preserve">NFT-/XUTR/DEUTH02429509164X </v>
          </cell>
          <cell r="CK4022" t="str">
            <v>2024-10-21</v>
          </cell>
          <cell r="CL4022">
            <v>79137.286999999997</v>
          </cell>
          <cell r="CM4022" t="str">
            <v xml:space="preserve">NFT-/XUTR/DEUTH02429530992X </v>
          </cell>
          <cell r="CN4022" t="str">
            <v>2024-10-21</v>
          </cell>
          <cell r="CO4022">
            <v>2450.7020000000002</v>
          </cell>
        </row>
        <row r="4023">
          <cell r="CJ4023" t="str">
            <v xml:space="preserve">NFT-/XUTR/DEUTH02429509164X </v>
          </cell>
          <cell r="CK4023" t="str">
            <v>2024-10-21</v>
          </cell>
          <cell r="CL4023">
            <v>14669.77</v>
          </cell>
          <cell r="CM4023" t="str">
            <v xml:space="preserve">NFT-/XUTR/DEUTH02429530992X </v>
          </cell>
          <cell r="CN4023" t="str">
            <v>2024-10-21</v>
          </cell>
          <cell r="CO4023">
            <v>1957.65</v>
          </cell>
        </row>
        <row r="4024">
          <cell r="CJ4024" t="str">
            <v xml:space="preserve">NFT-/XUTR/DEUTH02429509164X </v>
          </cell>
          <cell r="CK4024" t="str">
            <v>2024-10-21</v>
          </cell>
          <cell r="CL4024">
            <v>4887.7939999999999</v>
          </cell>
          <cell r="CM4024" t="str">
            <v xml:space="preserve">NFT-/XUTR/DEUTH02429530992X </v>
          </cell>
          <cell r="CN4024" t="str">
            <v>2024-10-21</v>
          </cell>
          <cell r="CO4024">
            <v>655.13800000000003</v>
          </cell>
        </row>
        <row r="4025">
          <cell r="CJ4025" t="str">
            <v xml:space="preserve">NFT-/XUTR/DEUTH02429509164X </v>
          </cell>
          <cell r="CK4025" t="str">
            <v>2024-10-21</v>
          </cell>
          <cell r="CL4025">
            <v>14669.77</v>
          </cell>
          <cell r="CM4025" t="str">
            <v xml:space="preserve">NFT-/XUTR/DEUTH02429530992X </v>
          </cell>
          <cell r="CN4025" t="str">
            <v>2024-10-21</v>
          </cell>
          <cell r="CO4025">
            <v>1957.65</v>
          </cell>
        </row>
        <row r="4026">
          <cell r="CJ4026" t="str">
            <v xml:space="preserve">NFT-/XUTR/DEUTH02429509164X </v>
          </cell>
          <cell r="CK4026" t="str">
            <v>2024-10-21</v>
          </cell>
          <cell r="CL4026">
            <v>14669.77</v>
          </cell>
          <cell r="CM4026" t="str">
            <v xml:space="preserve">NFT-/XUTR/DEUTH02429530992X </v>
          </cell>
          <cell r="CN4026" t="str">
            <v>2024-10-21</v>
          </cell>
          <cell r="CO4026">
            <v>1957.65</v>
          </cell>
        </row>
        <row r="4027">
          <cell r="CJ4027" t="str">
            <v xml:space="preserve">NFT-/XUTR/DEUTH02429509164X </v>
          </cell>
          <cell r="CK4027" t="str">
            <v>2024-10-21</v>
          </cell>
          <cell r="CL4027">
            <v>14688.65</v>
          </cell>
          <cell r="CM4027" t="str">
            <v xml:space="preserve">NFT-/XUTR/DEUTH02429530992X </v>
          </cell>
          <cell r="CN4027" t="str">
            <v>2024-10-21</v>
          </cell>
          <cell r="CO4027">
            <v>1957.65</v>
          </cell>
        </row>
        <row r="4028">
          <cell r="CJ4028" t="str">
            <v xml:space="preserve">NFT-/XUTR/DEUTH02429509164X </v>
          </cell>
          <cell r="CK4028" t="str">
            <v>2024-10-21</v>
          </cell>
          <cell r="CL4028">
            <v>16144.513000000001</v>
          </cell>
          <cell r="CM4028" t="str">
            <v xml:space="preserve">NFT-/XUTR/DEUTH02429530992X </v>
          </cell>
          <cell r="CN4028" t="str">
            <v>2024-10-21</v>
          </cell>
          <cell r="CO4028">
            <v>501.78800000000001</v>
          </cell>
          <cell r="CP4028" t="str">
            <v xml:space="preserve">NFT-/XUTR/DEUTH02431152062X </v>
          </cell>
          <cell r="CQ4028" t="str">
            <v>2024-11-06</v>
          </cell>
          <cell r="CR4028">
            <v>-16144.513000000001</v>
          </cell>
          <cell r="CS4028" t="str">
            <v xml:space="preserve">NFT-/XUTR/DEUTH02431162755X </v>
          </cell>
          <cell r="CT4028" t="str">
            <v>2024-11-06</v>
          </cell>
          <cell r="CU4028">
            <v>-501.78800000000001</v>
          </cell>
        </row>
        <row r="4029">
          <cell r="CJ4029" t="str">
            <v xml:space="preserve">NFT-/XUTR/DEUTH02429509164X </v>
          </cell>
          <cell r="CK4029" t="str">
            <v>2024-10-21</v>
          </cell>
          <cell r="CL4029">
            <v>14688.65</v>
          </cell>
          <cell r="CM4029" t="str">
            <v xml:space="preserve">NFT-/XUTR/DEUTH02429530992X </v>
          </cell>
          <cell r="CN4029" t="str">
            <v>2024-10-21</v>
          </cell>
          <cell r="CO4029">
            <v>1957.65</v>
          </cell>
        </row>
        <row r="4030">
          <cell r="CJ4030" t="str">
            <v xml:space="preserve">NFT-/XUTR/DEUTH02429509164X </v>
          </cell>
          <cell r="CK4030" t="str">
            <v>2024-10-21</v>
          </cell>
          <cell r="CL4030">
            <v>14688.65</v>
          </cell>
          <cell r="CM4030" t="str">
            <v xml:space="preserve">NFT-/XUTR/DEUTH02429530992X </v>
          </cell>
          <cell r="CN4030" t="str">
            <v>2024-10-21</v>
          </cell>
          <cell r="CO4030">
            <v>1957.65</v>
          </cell>
        </row>
        <row r="4031">
          <cell r="CJ4031" t="str">
            <v xml:space="preserve">NFT-/XUTR/DEUTH02429509164X </v>
          </cell>
          <cell r="CK4031" t="str">
            <v>2024-10-21</v>
          </cell>
          <cell r="CL4031">
            <v>9780.4590000000007</v>
          </cell>
          <cell r="CM4031" t="str">
            <v xml:space="preserve">NFT-/XUTR/DEUTH02429530992X </v>
          </cell>
          <cell r="CN4031" t="str">
            <v>2024-10-21</v>
          </cell>
          <cell r="CO4031">
            <v>1304.45</v>
          </cell>
        </row>
        <row r="4032">
          <cell r="CJ4032" t="str">
            <v xml:space="preserve">NFT-/XUTR/DEUTH02429509164X </v>
          </cell>
          <cell r="CK4032" t="str">
            <v>2024-10-21</v>
          </cell>
          <cell r="CL4032">
            <v>14688.65</v>
          </cell>
          <cell r="CM4032" t="str">
            <v xml:space="preserve">NFT-/XUTR/DEUTH02429530992X </v>
          </cell>
          <cell r="CN4032" t="str">
            <v>2024-10-21</v>
          </cell>
          <cell r="CO4032">
            <v>1957.65</v>
          </cell>
        </row>
        <row r="4033">
          <cell r="CJ4033" t="str">
            <v xml:space="preserve">NFT-/XUTR/DEUTH02429509164X </v>
          </cell>
          <cell r="CK4033" t="str">
            <v>2024-10-21</v>
          </cell>
          <cell r="CL4033">
            <v>76739.975000000006</v>
          </cell>
          <cell r="CM4033" t="str">
            <v xml:space="preserve">NFT-/XUTR/DEUTH02429530992X </v>
          </cell>
          <cell r="CN4033" t="str">
            <v>2024-10-21</v>
          </cell>
          <cell r="CO4033">
            <v>4848.0230000000001</v>
          </cell>
        </row>
        <row r="4034">
          <cell r="CJ4034" t="str">
            <v xml:space="preserve">NFT-/XUTR/DEUTH02429509164X </v>
          </cell>
          <cell r="CK4034" t="str">
            <v>2024-10-21</v>
          </cell>
          <cell r="CL4034">
            <v>14688.65</v>
          </cell>
          <cell r="CM4034" t="str">
            <v xml:space="preserve">NFT-/XUTR/DEUTH02429530992X </v>
          </cell>
          <cell r="CN4034" t="str">
            <v>2024-10-21</v>
          </cell>
          <cell r="CO4034">
            <v>1957.65</v>
          </cell>
        </row>
        <row r="4035">
          <cell r="CJ4035" t="str">
            <v xml:space="preserve">NFT-/XUTR/DEUTH02429509164X </v>
          </cell>
          <cell r="CK4035" t="str">
            <v>2024-10-21</v>
          </cell>
          <cell r="CL4035">
            <v>14688.65</v>
          </cell>
          <cell r="CM4035" t="str">
            <v xml:space="preserve">NFT-/XUTR/DEUTH02429530992X </v>
          </cell>
          <cell r="CN4035" t="str">
            <v>2024-10-21</v>
          </cell>
          <cell r="CO4035">
            <v>1957.65</v>
          </cell>
        </row>
        <row r="4036">
          <cell r="CJ4036" t="str">
            <v xml:space="preserve">NFT-/XUTR/DEUTH02429509164X </v>
          </cell>
          <cell r="CK4036" t="str">
            <v>2024-10-21</v>
          </cell>
          <cell r="CL4036">
            <v>79137.286999999997</v>
          </cell>
          <cell r="CM4036" t="str">
            <v xml:space="preserve">NFT-/XUTR/DEUTH02429530992X </v>
          </cell>
          <cell r="CN4036" t="str">
            <v>2024-10-21</v>
          </cell>
          <cell r="CO4036">
            <v>2450.7020000000002</v>
          </cell>
        </row>
        <row r="4037">
          <cell r="CJ4037" t="str">
            <v xml:space="preserve">NFT-/XUTR/DEUTH02429509164X </v>
          </cell>
          <cell r="CK4037" t="str">
            <v>2024-10-21</v>
          </cell>
          <cell r="CL4037">
            <v>11069.382</v>
          </cell>
          <cell r="CM4037" t="str">
            <v xml:space="preserve">NFT-/XUTR/DEUTH02429530992X </v>
          </cell>
          <cell r="CN4037" t="str">
            <v>2024-10-21</v>
          </cell>
          <cell r="CO4037">
            <v>345.52600000000001</v>
          </cell>
        </row>
        <row r="4038">
          <cell r="CJ4038" t="str">
            <v xml:space="preserve">NFT-/XUTR/DEUTH02429509164X </v>
          </cell>
          <cell r="CK4038" t="str">
            <v>2024-10-21</v>
          </cell>
          <cell r="CL4038">
            <v>6564.4049999999997</v>
          </cell>
          <cell r="CM4038" t="str">
            <v xml:space="preserve">NFT-/XUTR/DEUTH02429530992X </v>
          </cell>
          <cell r="CN4038" t="str">
            <v>2024-10-21</v>
          </cell>
          <cell r="CO4038">
            <v>213.52500000000001</v>
          </cell>
        </row>
        <row r="4039">
          <cell r="CJ4039" t="str">
            <v xml:space="preserve">NFT-/XUTR/DEUTH02429509164X </v>
          </cell>
          <cell r="CK4039" t="str">
            <v>2024-10-21</v>
          </cell>
          <cell r="CL4039">
            <v>14667.298000000001</v>
          </cell>
          <cell r="CM4039" t="str">
            <v xml:space="preserve">NFT-/XUTR/DEUTH02429530992X </v>
          </cell>
          <cell r="CN4039" t="str">
            <v>2024-10-21</v>
          </cell>
          <cell r="CO4039">
            <v>1979.002</v>
          </cell>
        </row>
        <row r="4040">
          <cell r="CJ4040" t="str">
            <v xml:space="preserve">NFT-/XUTR/DEUTH02429509164X </v>
          </cell>
          <cell r="CK4040" t="str">
            <v>2024-10-21</v>
          </cell>
          <cell r="CL4040">
            <v>14688.65</v>
          </cell>
          <cell r="CM4040" t="str">
            <v xml:space="preserve">NFT-/XUTR/DEUTH02429530992X </v>
          </cell>
          <cell r="CN4040" t="str">
            <v>2024-10-21</v>
          </cell>
          <cell r="CO4040">
            <v>1957.65</v>
          </cell>
          <cell r="CP4040" t="str">
            <v xml:space="preserve">NFT-/XUTR/DEUTH024299A09NOX </v>
          </cell>
          <cell r="CQ4040" t="str">
            <v>2024-10-25</v>
          </cell>
          <cell r="CR4040">
            <v>-14688.65</v>
          </cell>
          <cell r="CS4040" t="str">
            <v xml:space="preserve">NFT-/XUTR/DEUTH024309A02A3X </v>
          </cell>
          <cell r="CT4040" t="str">
            <v>2024-11-04</v>
          </cell>
          <cell r="CU4040">
            <v>-1957.65</v>
          </cell>
        </row>
        <row r="4041">
          <cell r="CJ4041" t="str">
            <v xml:space="preserve">NFT-/XUTR/DEUTH02429509164X </v>
          </cell>
          <cell r="CK4041" t="str">
            <v>2024-10-21</v>
          </cell>
          <cell r="CL4041">
            <v>5312.9030000000002</v>
          </cell>
          <cell r="CM4041" t="str">
            <v xml:space="preserve">NFT-/XUTR/DEUTH02429530992X </v>
          </cell>
          <cell r="CN4041" t="str">
            <v>2024-10-21</v>
          </cell>
          <cell r="CO4041">
            <v>598.84500000000003</v>
          </cell>
        </row>
        <row r="4042">
          <cell r="CJ4042" t="str">
            <v xml:space="preserve">NFT-/XUTR/DEUTH02429509164X </v>
          </cell>
          <cell r="CK4042" t="str">
            <v>2024-10-21</v>
          </cell>
          <cell r="CL4042">
            <v>79122.2</v>
          </cell>
          <cell r="CM4042" t="str">
            <v xml:space="preserve">NFT-/XUTR/DEUTH02429530992X </v>
          </cell>
          <cell r="CN4042" t="str">
            <v>2024-10-21</v>
          </cell>
          <cell r="CO4042">
            <v>2911.7240000000002</v>
          </cell>
          <cell r="CP4042" t="str">
            <v xml:space="preserve">NFT-/XUTR/DEUTH02430980595X </v>
          </cell>
          <cell r="CQ4042" t="str">
            <v>2024-11-04</v>
          </cell>
          <cell r="CR4042">
            <v>-79122.2</v>
          </cell>
          <cell r="CS4042" t="str">
            <v xml:space="preserve">NFT-/XUTR/DEUTH024309A02A3X </v>
          </cell>
          <cell r="CT4042" t="str">
            <v>2024-11-04</v>
          </cell>
          <cell r="CU4042">
            <v>-2911.7240000000002</v>
          </cell>
        </row>
        <row r="4043">
          <cell r="CJ4043" t="str">
            <v xml:space="preserve">NFT-/XUTR/DEUTH02429509164X </v>
          </cell>
          <cell r="CK4043" t="str">
            <v>2024-10-21</v>
          </cell>
          <cell r="CL4043">
            <v>79156.167000000001</v>
          </cell>
          <cell r="CM4043" t="str">
            <v xml:space="preserve">NFT-/XUTR/DEUTH02429530992X </v>
          </cell>
          <cell r="CN4043" t="str">
            <v>2024-10-21</v>
          </cell>
          <cell r="CO4043">
            <v>2450.701</v>
          </cell>
        </row>
        <row r="4044">
          <cell r="CJ4044" t="str">
            <v xml:space="preserve">NFT-/XUTR/DEUTH02429509164X </v>
          </cell>
          <cell r="CK4044" t="str">
            <v>2024-10-21</v>
          </cell>
          <cell r="CL4044">
            <v>79551.729000000007</v>
          </cell>
          <cell r="CM4044" t="str">
            <v xml:space="preserve">NFT-/XUTR/DEUTH02429530992X </v>
          </cell>
          <cell r="CN4044" t="str">
            <v>2024-10-21</v>
          </cell>
          <cell r="CO4044">
            <v>2463.3159999999998</v>
          </cell>
        </row>
        <row r="4045">
          <cell r="CJ4045" t="str">
            <v xml:space="preserve">NFT-/XUTR/DEUTH02429509164X </v>
          </cell>
          <cell r="CK4045" t="str">
            <v>2024-10-21</v>
          </cell>
          <cell r="CL4045">
            <v>14437.28</v>
          </cell>
          <cell r="CM4045" t="str">
            <v xml:space="preserve">NFT-/XUTR/DEUTH02429530992X </v>
          </cell>
          <cell r="CN4045" t="str">
            <v>2024-10-21</v>
          </cell>
          <cell r="CO4045">
            <v>2296.377</v>
          </cell>
        </row>
        <row r="4046">
          <cell r="CJ4046" t="str">
            <v xml:space="preserve">NFT-/XUTR/DEUTH02429509164X </v>
          </cell>
          <cell r="CK4046" t="str">
            <v>2024-10-21</v>
          </cell>
          <cell r="CL4046">
            <v>41667.716999999997</v>
          </cell>
        </row>
        <row r="4047">
          <cell r="CJ4047" t="str">
            <v xml:space="preserve">NFT-/XUTR/DEUTH02429509164X </v>
          </cell>
          <cell r="CK4047" t="str">
            <v>2024-10-21</v>
          </cell>
          <cell r="CL4047">
            <v>39026.786</v>
          </cell>
          <cell r="CM4047" t="str">
            <v xml:space="preserve">NFT-/XUTR/DEUTH02429530992X </v>
          </cell>
          <cell r="CN4047" t="str">
            <v>2024-10-21</v>
          </cell>
          <cell r="CO4047">
            <v>2058.585</v>
          </cell>
        </row>
        <row r="4048">
          <cell r="CJ4048" t="str">
            <v xml:space="preserve">NFT-/XUTR/DEUTH02429509164X </v>
          </cell>
          <cell r="CK4048" t="str">
            <v>2024-10-21</v>
          </cell>
          <cell r="CL4048">
            <v>14754.214</v>
          </cell>
          <cell r="CM4048" t="str">
            <v xml:space="preserve">NFT-/XUTR/DEUTH02429530992X </v>
          </cell>
          <cell r="CN4048" t="str">
            <v>2024-10-21</v>
          </cell>
          <cell r="CO4048">
            <v>1960.5630000000001</v>
          </cell>
        </row>
        <row r="4049">
          <cell r="CJ4049" t="str">
            <v xml:space="preserve">NFT-/XUTR/DEUTH02429509164X </v>
          </cell>
          <cell r="CK4049" t="str">
            <v>2024-10-21</v>
          </cell>
          <cell r="CL4049">
            <v>14773.093999999999</v>
          </cell>
          <cell r="CM4049" t="str">
            <v xml:space="preserve">NFT-/XUTR/DEUTH02429530992X </v>
          </cell>
          <cell r="CN4049" t="str">
            <v>2024-10-21</v>
          </cell>
          <cell r="CO4049">
            <v>1960.5630000000001</v>
          </cell>
        </row>
        <row r="4050">
          <cell r="CJ4050" t="str">
            <v xml:space="preserve">NFT-/XUTR/DEUTH02429509164X </v>
          </cell>
          <cell r="CK4050" t="str">
            <v>2024-10-21</v>
          </cell>
          <cell r="CL4050">
            <v>14437.28</v>
          </cell>
          <cell r="CM4050" t="str">
            <v xml:space="preserve">NFT-/XUTR/DEUTH02429530992X </v>
          </cell>
          <cell r="CN4050" t="str">
            <v>2024-10-21</v>
          </cell>
          <cell r="CO4050">
            <v>2296.377</v>
          </cell>
        </row>
        <row r="4051">
          <cell r="CJ4051" t="str">
            <v xml:space="preserve">NFT-/XUTR/DEUTH02429509164X </v>
          </cell>
          <cell r="CK4051" t="str">
            <v>2024-10-21</v>
          </cell>
          <cell r="CL4051">
            <v>14669.77</v>
          </cell>
          <cell r="CM4051" t="str">
            <v xml:space="preserve">NFT-/XUTR/DEUTH02429530992X </v>
          </cell>
          <cell r="CN4051" t="str">
            <v>2024-10-21</v>
          </cell>
          <cell r="CO4051">
            <v>1957.65</v>
          </cell>
        </row>
        <row r="4052">
          <cell r="CJ4052" t="str">
            <v xml:space="preserve">NFT-/XUTR/DEUTH02429509164X </v>
          </cell>
          <cell r="CK4052" t="str">
            <v>2024-10-21</v>
          </cell>
          <cell r="CL4052">
            <v>15874.261</v>
          </cell>
          <cell r="CM4052" t="str">
            <v xml:space="preserve">NFT-/XUTR/DEUTH02429530992X </v>
          </cell>
          <cell r="CN4052" t="str">
            <v>2024-10-21</v>
          </cell>
          <cell r="CO4052">
            <v>840.51499999999999</v>
          </cell>
        </row>
        <row r="4053">
          <cell r="CJ4053" t="str">
            <v xml:space="preserve">NFT-/XUTR/DEUTH02429509164X </v>
          </cell>
          <cell r="CK4053" t="str">
            <v>2024-10-21</v>
          </cell>
          <cell r="CL4053">
            <v>14349.923000000001</v>
          </cell>
          <cell r="CM4053" t="str">
            <v xml:space="preserve">NFT-/XUTR/DEUTH02429530992X </v>
          </cell>
          <cell r="CN4053" t="str">
            <v>2024-10-21</v>
          </cell>
          <cell r="CO4053">
            <v>2383.7339999999999</v>
          </cell>
        </row>
        <row r="4054">
          <cell r="CJ4054" t="str">
            <v xml:space="preserve">NFT-/XUTR/DEUTH02429509164X </v>
          </cell>
          <cell r="CK4054" t="str">
            <v>2024-10-21</v>
          </cell>
          <cell r="CL4054">
            <v>14418.4</v>
          </cell>
          <cell r="CM4054" t="str">
            <v xml:space="preserve">NFT-/XUTR/DEUTH02429530992X </v>
          </cell>
          <cell r="CN4054" t="str">
            <v>2024-10-21</v>
          </cell>
          <cell r="CO4054">
            <v>2296.377</v>
          </cell>
        </row>
        <row r="4055">
          <cell r="CJ4055" t="str">
            <v xml:space="preserve">NFT-/XUTR/DEUTH02429509164X </v>
          </cell>
          <cell r="CK4055" t="str">
            <v>2024-10-21</v>
          </cell>
          <cell r="CL4055">
            <v>16144.512000000001</v>
          </cell>
          <cell r="CM4055" t="str">
            <v xml:space="preserve">NFT-/XUTR/DEUTH02429530992X </v>
          </cell>
          <cell r="CN4055" t="str">
            <v>2024-10-21</v>
          </cell>
          <cell r="CO4055">
            <v>501.78800000000001</v>
          </cell>
        </row>
        <row r="4056">
          <cell r="CJ4056" t="str">
            <v xml:space="preserve">NFT-/XUTR/DEUTH02429509164X </v>
          </cell>
          <cell r="CK4056" t="str">
            <v>2024-10-21</v>
          </cell>
          <cell r="CL4056">
            <v>1181.1610000000001</v>
          </cell>
          <cell r="CM4056" t="str">
            <v xml:space="preserve">NFT-/XUTR/DEUTH02429530992X </v>
          </cell>
          <cell r="CN4056" t="str">
            <v>2024-10-21</v>
          </cell>
          <cell r="CO4056">
            <v>188.29</v>
          </cell>
        </row>
        <row r="4057">
          <cell r="CJ4057" t="str">
            <v xml:space="preserve">NFT-/XUTR/DEUTH02429509164X </v>
          </cell>
          <cell r="CK4057" t="str">
            <v>2024-10-21</v>
          </cell>
          <cell r="CL4057">
            <v>39561.135999999999</v>
          </cell>
          <cell r="CM4057" t="str">
            <v xml:space="preserve">NFT-/XUTR/DEUTH02429530992X </v>
          </cell>
          <cell r="CN4057" t="str">
            <v>2024-10-21</v>
          </cell>
          <cell r="CO4057">
            <v>2087.71</v>
          </cell>
        </row>
        <row r="4058">
          <cell r="CJ4058" t="str">
            <v xml:space="preserve">NFT-/XUTR/DEUTH02429509164X </v>
          </cell>
          <cell r="CK4058" t="str">
            <v>2024-10-21</v>
          </cell>
          <cell r="CL4058">
            <v>14418.4</v>
          </cell>
          <cell r="CM4058" t="str">
            <v xml:space="preserve">NFT-/XUTR/DEUTH02429530992X </v>
          </cell>
          <cell r="CN4058" t="str">
            <v>2024-10-21</v>
          </cell>
          <cell r="CO4058">
            <v>2296.377</v>
          </cell>
        </row>
        <row r="4059">
          <cell r="CJ4059" t="str">
            <v xml:space="preserve">NFT-/XUTR/DEUTH02429509164X </v>
          </cell>
          <cell r="CK4059" t="str">
            <v>2024-10-21</v>
          </cell>
          <cell r="CL4059">
            <v>39007.906000000003</v>
          </cell>
          <cell r="CM4059" t="str">
            <v xml:space="preserve">NFT-/XUTR/DEUTH02429530992X </v>
          </cell>
          <cell r="CN4059" t="str">
            <v>2024-10-21</v>
          </cell>
          <cell r="CO4059">
            <v>2058.585</v>
          </cell>
        </row>
        <row r="4060">
          <cell r="CJ4060" t="str">
            <v xml:space="preserve">NFT-/XUTR/DEUTH02429509164X </v>
          </cell>
          <cell r="CK4060" t="str">
            <v>2024-10-21</v>
          </cell>
          <cell r="CL4060">
            <v>10876.764999999999</v>
          </cell>
          <cell r="CM4060" t="str">
            <v xml:space="preserve">NFT-/XUTR/DEUTH02429530992X </v>
          </cell>
          <cell r="CN4060" t="str">
            <v>2024-10-21</v>
          </cell>
          <cell r="CO4060">
            <v>577.49400000000003</v>
          </cell>
        </row>
        <row r="4061">
          <cell r="CJ4061" t="str">
            <v xml:space="preserve">NFT-/XUTR/DEUTH02429509164X </v>
          </cell>
          <cell r="CK4061" t="str">
            <v>2024-10-21</v>
          </cell>
          <cell r="CL4061">
            <v>37570.925000000003</v>
          </cell>
          <cell r="CM4061" t="str">
            <v xml:space="preserve">NFT-/XUTR/DEUTH02429530992X </v>
          </cell>
          <cell r="CN4061" t="str">
            <v>2024-10-21</v>
          </cell>
          <cell r="CO4061">
            <v>3514.4470000000001</v>
          </cell>
        </row>
        <row r="4062">
          <cell r="CJ4062" t="str">
            <v xml:space="preserve">NFT-/XUTR/DEUTH02429509164X </v>
          </cell>
          <cell r="CK4062" t="str">
            <v>2024-10-21</v>
          </cell>
          <cell r="CL4062">
            <v>14418.4</v>
          </cell>
          <cell r="CM4062" t="str">
            <v xml:space="preserve">NFT-/XUTR/DEUTH02429530992X </v>
          </cell>
          <cell r="CN4062" t="str">
            <v>2024-10-21</v>
          </cell>
          <cell r="CO4062">
            <v>2296.377</v>
          </cell>
        </row>
        <row r="4063">
          <cell r="CJ4063" t="str">
            <v xml:space="preserve">NFT-/XUTR/DEUTH02429509164X </v>
          </cell>
          <cell r="CK4063" t="str">
            <v>2024-10-21</v>
          </cell>
          <cell r="CL4063">
            <v>39007.906000000003</v>
          </cell>
          <cell r="CM4063" t="str">
            <v xml:space="preserve">NFT-/XUTR/DEUTH02429530992X </v>
          </cell>
          <cell r="CN4063" t="str">
            <v>2024-10-21</v>
          </cell>
          <cell r="CO4063">
            <v>2058.585</v>
          </cell>
        </row>
        <row r="4064">
          <cell r="CJ4064" t="str">
            <v xml:space="preserve">NFT-/XUTR/DEUTH02429509164X </v>
          </cell>
          <cell r="CK4064" t="str">
            <v>2024-10-21</v>
          </cell>
          <cell r="CL4064">
            <v>14416.892</v>
          </cell>
          <cell r="CM4064" t="str">
            <v xml:space="preserve">NFT-/XUTR/DEUTH02429530992X </v>
          </cell>
          <cell r="CN4064" t="str">
            <v>2024-10-21</v>
          </cell>
          <cell r="CO4064">
            <v>2316.7649999999999</v>
          </cell>
        </row>
        <row r="4065">
          <cell r="CJ4065" t="str">
            <v xml:space="preserve">NFT-/XUTR/DEUTH02429509164X </v>
          </cell>
          <cell r="CK4065" t="str">
            <v>2024-10-21</v>
          </cell>
          <cell r="CL4065">
            <v>15893.141</v>
          </cell>
          <cell r="CM4065" t="str">
            <v xml:space="preserve">NFT-/XUTR/DEUTH02429530992X </v>
          </cell>
          <cell r="CN4065" t="str">
            <v>2024-10-21</v>
          </cell>
          <cell r="CO4065">
            <v>840.51499999999999</v>
          </cell>
          <cell r="CP4065" t="str">
            <v xml:space="preserve">NFT-/XUTR/DEUTH02431649943X </v>
          </cell>
          <cell r="CQ4065" t="str">
            <v>2024-11-11</v>
          </cell>
          <cell r="CR4065">
            <v>-15893.141</v>
          </cell>
          <cell r="CS4065" t="str">
            <v xml:space="preserve">NFT-/XUTR/DEUTH02431658955X </v>
          </cell>
          <cell r="CT4065" t="str">
            <v>2024-11-11</v>
          </cell>
          <cell r="CU4065">
            <v>-840.51499999999999</v>
          </cell>
        </row>
        <row r="4066">
          <cell r="CJ4066" t="str">
            <v xml:space="preserve">NFT-/XUTR/DEUTH02429509164X </v>
          </cell>
          <cell r="CK4066" t="str">
            <v>2024-10-21</v>
          </cell>
          <cell r="CL4066">
            <v>14437.28</v>
          </cell>
          <cell r="CM4066" t="str">
            <v xml:space="preserve">NFT-/XUTR/DEUTH02429530992X </v>
          </cell>
          <cell r="CN4066" t="str">
            <v>2024-10-21</v>
          </cell>
          <cell r="CO4066">
            <v>2296.377</v>
          </cell>
        </row>
        <row r="4067">
          <cell r="CJ4067" t="str">
            <v xml:space="preserve">NFT-/XUTR/DEUTH02429509164X </v>
          </cell>
          <cell r="CK4067" t="str">
            <v>2024-10-21</v>
          </cell>
          <cell r="CL4067">
            <v>14437.28</v>
          </cell>
          <cell r="CM4067" t="str">
            <v xml:space="preserve">NFT-/XUTR/DEUTH02429530992X </v>
          </cell>
          <cell r="CN4067" t="str">
            <v>2024-10-21</v>
          </cell>
          <cell r="CO4067">
            <v>2296.377</v>
          </cell>
        </row>
        <row r="4068">
          <cell r="CJ4068" t="str">
            <v xml:space="preserve">NFT-/XUTR/DEUTH02429509164X </v>
          </cell>
          <cell r="CK4068" t="str">
            <v>2024-10-21</v>
          </cell>
          <cell r="CL4068">
            <v>14274.751</v>
          </cell>
          <cell r="CM4068" t="str">
            <v xml:space="preserve">NFT-/XUTR/DEUTH02429530992X </v>
          </cell>
          <cell r="CN4068" t="str">
            <v>2024-10-21</v>
          </cell>
          <cell r="CO4068">
            <v>2440.0259999999998</v>
          </cell>
        </row>
        <row r="4069">
          <cell r="CJ4069" t="str">
            <v xml:space="preserve">NFT-/XUTR/DEUTH02429509164X </v>
          </cell>
          <cell r="CK4069" t="str">
            <v>2024-10-21</v>
          </cell>
          <cell r="CL4069">
            <v>16144.512000000001</v>
          </cell>
          <cell r="CM4069" t="str">
            <v xml:space="preserve">NFT-/XUTR/DEUTH02429530992X </v>
          </cell>
          <cell r="CN4069" t="str">
            <v>2024-10-21</v>
          </cell>
          <cell r="CO4069">
            <v>501.78800000000001</v>
          </cell>
        </row>
        <row r="4070">
          <cell r="CJ4070" t="str">
            <v xml:space="preserve">NFT-/XUTR/DEUTH02429509164X </v>
          </cell>
          <cell r="CK4070" t="str">
            <v>2024-10-21</v>
          </cell>
          <cell r="CL4070">
            <v>14418.4</v>
          </cell>
          <cell r="CM4070" t="str">
            <v xml:space="preserve">NFT-/XUTR/DEUTH02429530992X </v>
          </cell>
          <cell r="CN4070" t="str">
            <v>2024-10-21</v>
          </cell>
          <cell r="CO4070">
            <v>2296.377</v>
          </cell>
        </row>
        <row r="4071">
          <cell r="CJ4071" t="str">
            <v xml:space="preserve">NFT-/XUTR/DEUTH02429509164X </v>
          </cell>
          <cell r="CK4071" t="str">
            <v>2024-10-21</v>
          </cell>
          <cell r="CL4071">
            <v>14418.4</v>
          </cell>
          <cell r="CM4071" t="str">
            <v xml:space="preserve">NFT-/XUTR/DEUTH02429530992X </v>
          </cell>
          <cell r="CN4071" t="str">
            <v>2024-10-21</v>
          </cell>
          <cell r="CO4071">
            <v>2296.377</v>
          </cell>
        </row>
        <row r="4072">
          <cell r="CJ4072" t="str">
            <v xml:space="preserve">NFT-/XUTR/DEUTH02429509164X </v>
          </cell>
          <cell r="CK4072" t="str">
            <v>2024-10-21</v>
          </cell>
          <cell r="CL4072">
            <v>14406.216</v>
          </cell>
          <cell r="CM4072" t="str">
            <v xml:space="preserve">NFT-/XUTR/DEUTH02429530992X </v>
          </cell>
          <cell r="CN4072" t="str">
            <v>2024-10-21</v>
          </cell>
          <cell r="CO4072">
            <v>2240.0859999999998</v>
          </cell>
        </row>
        <row r="4073">
          <cell r="CJ4073" t="str">
            <v xml:space="preserve">NFT-/XUTR/DEUTH02429509164X </v>
          </cell>
          <cell r="CK4073" t="str">
            <v>2024-10-21</v>
          </cell>
          <cell r="CL4073">
            <v>9441.2909999999993</v>
          </cell>
          <cell r="CM4073" t="str">
            <v xml:space="preserve">NFT-/XUTR/DEUTH02429530992X </v>
          </cell>
          <cell r="CN4073" t="str">
            <v>2024-10-21</v>
          </cell>
          <cell r="CO4073">
            <v>1682.979</v>
          </cell>
        </row>
        <row r="4074">
          <cell r="CJ4074" t="str">
            <v xml:space="preserve">NFT-/XUTR/DEUTH02429509164X </v>
          </cell>
          <cell r="CK4074" t="str">
            <v>2024-10-21</v>
          </cell>
          <cell r="CL4074">
            <v>79122.2</v>
          </cell>
          <cell r="CM4074" t="str">
            <v xml:space="preserve">NFT-/XUTR/DEUTH02429530992X </v>
          </cell>
          <cell r="CN4074" t="str">
            <v>2024-10-21</v>
          </cell>
          <cell r="CO4074">
            <v>2911.7240000000002</v>
          </cell>
        </row>
        <row r="4075">
          <cell r="CJ4075" t="str">
            <v xml:space="preserve">NFT-/XUTR/DEUTH02429509164X </v>
          </cell>
          <cell r="CK4075" t="str">
            <v>2024-10-21</v>
          </cell>
          <cell r="CL4075">
            <v>79122.201000000001</v>
          </cell>
          <cell r="CM4075" t="str">
            <v xml:space="preserve">NFT-/XUTR/DEUTH02429530992X </v>
          </cell>
          <cell r="CN4075" t="str">
            <v>2024-10-21</v>
          </cell>
          <cell r="CO4075">
            <v>2911.723</v>
          </cell>
        </row>
        <row r="4076">
          <cell r="CJ4076" t="str">
            <v xml:space="preserve">NFT-/XUTR/DEUTH02429509164X </v>
          </cell>
          <cell r="CK4076" t="str">
            <v>2024-10-21</v>
          </cell>
          <cell r="CL4076">
            <v>15874.261</v>
          </cell>
          <cell r="CM4076" t="str">
            <v xml:space="preserve">NFT-/XUTR/DEUTH02429530992X </v>
          </cell>
          <cell r="CN4076" t="str">
            <v>2024-10-21</v>
          </cell>
          <cell r="CO4076">
            <v>840.51499999999999</v>
          </cell>
        </row>
        <row r="4077">
          <cell r="CJ4077" t="str">
            <v xml:space="preserve">NFT-/XUTR/DEUTH02429509164X </v>
          </cell>
          <cell r="CK4077" t="str">
            <v>2024-10-21</v>
          </cell>
          <cell r="CL4077">
            <v>30311.53</v>
          </cell>
          <cell r="CM4077" t="str">
            <v xml:space="preserve">NFT-/XUTR/DEUTH02429530992X </v>
          </cell>
          <cell r="CN4077" t="str">
            <v>2024-10-21</v>
          </cell>
          <cell r="CO4077">
            <v>3136.8919999999998</v>
          </cell>
        </row>
        <row r="4078">
          <cell r="CJ4078" t="str">
            <v xml:space="preserve">NFT-/XUTR/DEUTH02429509164X </v>
          </cell>
          <cell r="CK4078" t="str">
            <v>2024-10-21</v>
          </cell>
          <cell r="CL4078">
            <v>80423.717999999993</v>
          </cell>
          <cell r="CM4078" t="str">
            <v xml:space="preserve">NFT-/XUTR/DEUTH02429530992X </v>
          </cell>
          <cell r="CN4078" t="str">
            <v>2024-10-21</v>
          </cell>
          <cell r="CO4078">
            <v>2911.7240000000002</v>
          </cell>
        </row>
        <row r="4079">
          <cell r="CJ4079" t="str">
            <v xml:space="preserve">NFT-/XUTR/DEUTH02429509164X </v>
          </cell>
          <cell r="CK4079" t="str">
            <v>2024-10-21</v>
          </cell>
          <cell r="CL4079">
            <v>14688.65</v>
          </cell>
          <cell r="CM4079" t="str">
            <v xml:space="preserve">NFT-/XUTR/DEUTH02429530992X </v>
          </cell>
          <cell r="CN4079" t="str">
            <v>2024-10-21</v>
          </cell>
          <cell r="CO4079">
            <v>1957.65</v>
          </cell>
        </row>
        <row r="4080">
          <cell r="CJ4080" t="str">
            <v xml:space="preserve">NFT-/XUTR/DEUTH02429509164X </v>
          </cell>
          <cell r="CK4080" t="str">
            <v>2024-10-21</v>
          </cell>
          <cell r="CL4080">
            <v>13999.547</v>
          </cell>
          <cell r="CM4080" t="str">
            <v xml:space="preserve">NFT-/XUTR/DEUTH02429530992X </v>
          </cell>
          <cell r="CN4080" t="str">
            <v>2024-10-21</v>
          </cell>
          <cell r="CO4080">
            <v>2734.1120000000001</v>
          </cell>
        </row>
        <row r="4081">
          <cell r="CJ4081" t="str">
            <v xml:space="preserve">NFT-/XUTR/DEUTH02429509164X </v>
          </cell>
          <cell r="CK4081" t="str">
            <v>2024-10-21</v>
          </cell>
          <cell r="CL4081">
            <v>14418.4</v>
          </cell>
          <cell r="CM4081" t="str">
            <v xml:space="preserve">NFT-/XUTR/DEUTH02429530992X </v>
          </cell>
          <cell r="CN4081" t="str">
            <v>2024-10-21</v>
          </cell>
          <cell r="CO4081">
            <v>2296.377</v>
          </cell>
        </row>
        <row r="4082">
          <cell r="CJ4082" t="str">
            <v xml:space="preserve">NFT-/XUTR/DEUTH02429509164X </v>
          </cell>
          <cell r="CK4082" t="str">
            <v>2024-10-21</v>
          </cell>
          <cell r="CL4082">
            <v>14669.77</v>
          </cell>
          <cell r="CM4082" t="str">
            <v xml:space="preserve">NFT-/XUTR/DEUTH02429530992X </v>
          </cell>
          <cell r="CN4082" t="str">
            <v>2024-10-21</v>
          </cell>
          <cell r="CO4082">
            <v>1957.65</v>
          </cell>
        </row>
        <row r="4083">
          <cell r="CJ4083" t="str">
            <v xml:space="preserve">NFT-/XUTR/DEUTH02429509164X </v>
          </cell>
          <cell r="CK4083" t="str">
            <v>2024-10-21</v>
          </cell>
          <cell r="CL4083">
            <v>14437.28</v>
          </cell>
          <cell r="CM4083" t="str">
            <v xml:space="preserve">NFT-/XUTR/DEUTH02429530992X </v>
          </cell>
          <cell r="CN4083" t="str">
            <v>2024-10-21</v>
          </cell>
          <cell r="CO4083">
            <v>2296.377</v>
          </cell>
        </row>
        <row r="4084">
          <cell r="CJ4084" t="str">
            <v xml:space="preserve">NFT-/XUTR/DEUTH02429509164X </v>
          </cell>
          <cell r="CK4084" t="str">
            <v>2024-10-21</v>
          </cell>
          <cell r="CL4084">
            <v>46223.552000000003</v>
          </cell>
          <cell r="CM4084" t="str">
            <v xml:space="preserve">NFT-/XUTR/DEUTH02429530992X </v>
          </cell>
          <cell r="CN4084" t="str">
            <v>2024-10-21</v>
          </cell>
          <cell r="CO4084">
            <v>3977.4189999999999</v>
          </cell>
        </row>
        <row r="4085">
          <cell r="CJ4085" t="str">
            <v xml:space="preserve">NFT-/XUTR/DEUTH02429509164X </v>
          </cell>
          <cell r="CK4085" t="str">
            <v>2024-10-21</v>
          </cell>
          <cell r="CL4085">
            <v>14418.4</v>
          </cell>
          <cell r="CM4085" t="str">
            <v xml:space="preserve">NFT-/XUTR/DEUTH02429530992X </v>
          </cell>
          <cell r="CN4085" t="str">
            <v>2024-10-21</v>
          </cell>
          <cell r="CO4085">
            <v>2296.377</v>
          </cell>
        </row>
        <row r="4086">
          <cell r="CJ4086" t="str">
            <v xml:space="preserve">NFT-/XUTR/DEUTH02429509164X </v>
          </cell>
          <cell r="CK4086" t="str">
            <v>2024-10-21</v>
          </cell>
          <cell r="CL4086">
            <v>14418.4</v>
          </cell>
          <cell r="CM4086" t="str">
            <v xml:space="preserve">NFT-/XUTR/DEUTH02429530992X </v>
          </cell>
          <cell r="CN4086" t="str">
            <v>2024-10-21</v>
          </cell>
          <cell r="CO4086">
            <v>2296.377</v>
          </cell>
        </row>
        <row r="4087">
          <cell r="CJ4087" t="str">
            <v xml:space="preserve">NFT-/XUTR/DEUTH02429509164X </v>
          </cell>
          <cell r="CK4087" t="str">
            <v>2024-10-21</v>
          </cell>
          <cell r="CL4087">
            <v>79156.167000000001</v>
          </cell>
          <cell r="CM4087" t="str">
            <v xml:space="preserve">NFT-/XUTR/DEUTH02429530992X </v>
          </cell>
          <cell r="CN4087" t="str">
            <v>2024-10-21</v>
          </cell>
          <cell r="CO4087">
            <v>2450.7020000000002</v>
          </cell>
        </row>
        <row r="4088">
          <cell r="CJ4088" t="str">
            <v xml:space="preserve">NFT-/XUTR/DEUTH02429509164X </v>
          </cell>
          <cell r="CK4088" t="str">
            <v>2024-10-21</v>
          </cell>
          <cell r="CL4088">
            <v>79103.320000000007</v>
          </cell>
          <cell r="CM4088" t="str">
            <v xml:space="preserve">NFT-/XUTR/DEUTH02429530992X </v>
          </cell>
          <cell r="CN4088" t="str">
            <v>2024-10-21</v>
          </cell>
          <cell r="CO4088">
            <v>2911.7240000000002</v>
          </cell>
        </row>
        <row r="4089">
          <cell r="CJ4089" t="str">
            <v xml:space="preserve">NFT-/XUTR/DEUTH02429509164X </v>
          </cell>
          <cell r="CK4089" t="str">
            <v>2024-10-21</v>
          </cell>
          <cell r="CL4089">
            <v>37570.925000000003</v>
          </cell>
          <cell r="CM4089" t="str">
            <v xml:space="preserve">NFT-/XUTR/DEUTH02429530992X </v>
          </cell>
          <cell r="CN4089" t="str">
            <v>2024-10-21</v>
          </cell>
          <cell r="CO4089">
            <v>3514.4470000000001</v>
          </cell>
        </row>
        <row r="4090">
          <cell r="CJ4090" t="str">
            <v xml:space="preserve">NFT-/XUTR/DEUTH02429509164X </v>
          </cell>
          <cell r="CK4090" t="str">
            <v>2024-10-21</v>
          </cell>
          <cell r="CL4090">
            <v>9740.6679999999997</v>
          </cell>
          <cell r="CM4090" t="str">
            <v xml:space="preserve">NFT-/XUTR/DEUTH02429530992X </v>
          </cell>
          <cell r="CN4090" t="str">
            <v>2024-10-21</v>
          </cell>
          <cell r="CO4090">
            <v>1732.473</v>
          </cell>
        </row>
        <row r="4091">
          <cell r="CJ4091" t="str">
            <v xml:space="preserve">NFT-/XUTR/DEUTH02429509164X </v>
          </cell>
          <cell r="CK4091" t="str">
            <v>2024-10-21</v>
          </cell>
          <cell r="CL4091">
            <v>14418.4</v>
          </cell>
          <cell r="CM4091" t="str">
            <v xml:space="preserve">NFT-/XUTR/DEUTH02429530992X </v>
          </cell>
          <cell r="CN4091" t="str">
            <v>2024-10-21</v>
          </cell>
          <cell r="CO4091">
            <v>2296.377</v>
          </cell>
        </row>
        <row r="4092">
          <cell r="CJ4092" t="str">
            <v xml:space="preserve">NFT-/XUTR/DEUTH02429509164X </v>
          </cell>
          <cell r="CK4092" t="str">
            <v>2024-10-21</v>
          </cell>
          <cell r="CL4092">
            <v>14420.338</v>
          </cell>
          <cell r="CM4092" t="str">
            <v xml:space="preserve">NFT-/XUTR/DEUTH02429530992X </v>
          </cell>
          <cell r="CN4092" t="str">
            <v>2024-10-21</v>
          </cell>
          <cell r="CO4092">
            <v>2294.4389999999999</v>
          </cell>
        </row>
        <row r="4093">
          <cell r="CJ4093" t="str">
            <v xml:space="preserve">NFT-/XUTR/DEUTH02429509164X </v>
          </cell>
          <cell r="CK4093" t="str">
            <v>2024-10-21</v>
          </cell>
          <cell r="CL4093">
            <v>14437.28</v>
          </cell>
          <cell r="CM4093" t="str">
            <v xml:space="preserve">NFT-/XUTR/DEUTH02429530992X </v>
          </cell>
          <cell r="CN4093" t="str">
            <v>2024-10-21</v>
          </cell>
          <cell r="CO4093">
            <v>2296.377</v>
          </cell>
        </row>
        <row r="4094">
          <cell r="CJ4094" t="str">
            <v xml:space="preserve">NFT-/XUTR/DEUTH02429509164X </v>
          </cell>
          <cell r="CK4094" t="str">
            <v>2024-10-21</v>
          </cell>
          <cell r="CL4094">
            <v>14437.28</v>
          </cell>
          <cell r="CM4094" t="str">
            <v xml:space="preserve">NFT-/XUTR/DEUTH02429530992X </v>
          </cell>
          <cell r="CN4094" t="str">
            <v>2024-10-21</v>
          </cell>
          <cell r="CO4094">
            <v>2296.377</v>
          </cell>
          <cell r="CP4094" t="str">
            <v xml:space="preserve">NFT-/XUTR/DEUTH02431152062X </v>
          </cell>
          <cell r="CQ4094" t="str">
            <v>2024-11-06</v>
          </cell>
          <cell r="CR4094">
            <v>-14437.28</v>
          </cell>
          <cell r="CS4094" t="str">
            <v xml:space="preserve">NFT-/XUTR/DEUTH02431162755X </v>
          </cell>
          <cell r="CT4094" t="str">
            <v>2024-11-06</v>
          </cell>
          <cell r="CU4094">
            <v>-2296.377</v>
          </cell>
        </row>
        <row r="4095">
          <cell r="CJ4095" t="str">
            <v xml:space="preserve">NFT-/XUTR/DEUTH02429509164X </v>
          </cell>
          <cell r="CK4095" t="str">
            <v>2024-10-21</v>
          </cell>
          <cell r="CL4095">
            <v>14418.4</v>
          </cell>
          <cell r="CM4095" t="str">
            <v xml:space="preserve">NFT-/XUTR/DEUTH02429530992X </v>
          </cell>
          <cell r="CN4095" t="str">
            <v>2024-10-21</v>
          </cell>
          <cell r="CO4095">
            <v>2296.377</v>
          </cell>
        </row>
        <row r="4096">
          <cell r="CJ4096" t="str">
            <v xml:space="preserve">NFT-/XUTR/DEUTH02429509164X </v>
          </cell>
          <cell r="CK4096" t="str">
            <v>2024-10-21</v>
          </cell>
          <cell r="CL4096">
            <v>14437.28</v>
          </cell>
          <cell r="CM4096" t="str">
            <v xml:space="preserve">NFT-/XUTR/DEUTH02429530992X </v>
          </cell>
          <cell r="CN4096" t="str">
            <v>2024-10-21</v>
          </cell>
          <cell r="CO4096">
            <v>2296.377</v>
          </cell>
        </row>
        <row r="4097">
          <cell r="CJ4097" t="str">
            <v xml:space="preserve">NFT-/XUTR/DEUTH02429509164X </v>
          </cell>
          <cell r="CK4097" t="str">
            <v>2024-10-21</v>
          </cell>
          <cell r="CL4097">
            <v>14418.4</v>
          </cell>
          <cell r="CM4097" t="str">
            <v xml:space="preserve">NFT-/XUTR/DEUTH02429530992X </v>
          </cell>
          <cell r="CN4097" t="str">
            <v>2024-10-21</v>
          </cell>
          <cell r="CO4097">
            <v>2296.377</v>
          </cell>
        </row>
        <row r="4098">
          <cell r="CJ4098" t="str">
            <v xml:space="preserve">NFT-/XUTR/DEUTH02429509164X </v>
          </cell>
          <cell r="CK4098" t="str">
            <v>2024-10-21</v>
          </cell>
          <cell r="CL4098">
            <v>14466.928</v>
          </cell>
          <cell r="CM4098" t="str">
            <v xml:space="preserve">NFT-/XUTR/DEUTH02429530992X </v>
          </cell>
          <cell r="CN4098" t="str">
            <v>2024-10-21</v>
          </cell>
          <cell r="CO4098">
            <v>2247.8490000000002</v>
          </cell>
        </row>
        <row r="4100">
          <cell r="CJ4100" t="str">
            <v xml:space="preserve">NFT-/XUTR/DEUTH02429509164X </v>
          </cell>
          <cell r="CK4100" t="str">
            <v>2024-10-21</v>
          </cell>
          <cell r="CL4100">
            <v>10563.708000000001</v>
          </cell>
          <cell r="CM4100" t="str">
            <v xml:space="preserve">NFT-/XUTR/DEUTH02429530992X </v>
          </cell>
          <cell r="CN4100" t="str">
            <v>2024-10-21</v>
          </cell>
          <cell r="CO4100">
            <v>909.43200000000002</v>
          </cell>
        </row>
        <row r="4101">
          <cell r="CJ4101" t="str">
            <v xml:space="preserve">NFT-/XUTR/DEUTH02429509164X </v>
          </cell>
          <cell r="CK4101" t="str">
            <v>2024-10-21</v>
          </cell>
          <cell r="CL4101">
            <v>79122.2</v>
          </cell>
          <cell r="CM4101" t="str">
            <v xml:space="preserve">NFT-/XUTR/DEUTH02429530992X </v>
          </cell>
          <cell r="CN4101" t="str">
            <v>2024-10-21</v>
          </cell>
          <cell r="CO4101">
            <v>2911.7240000000002</v>
          </cell>
        </row>
        <row r="4102">
          <cell r="CJ4102" t="str">
            <v xml:space="preserve">NFT-/XUTR/DEUTH02429509164X </v>
          </cell>
          <cell r="CK4102" t="str">
            <v>2024-10-21</v>
          </cell>
          <cell r="CL4102">
            <v>42328.608</v>
          </cell>
          <cell r="CM4102" t="str">
            <v xml:space="preserve">NFT-/XUTR/DEUTH02429530992X </v>
          </cell>
          <cell r="CN4102" t="str">
            <v>2024-10-21</v>
          </cell>
          <cell r="CO4102">
            <v>2243.9720000000002</v>
          </cell>
        </row>
        <row r="4103">
          <cell r="CJ4103" t="str">
            <v xml:space="preserve">NFT-/XUTR/DEUTH02429509164X </v>
          </cell>
          <cell r="CK4103" t="str">
            <v>2024-10-21</v>
          </cell>
          <cell r="CL4103">
            <v>79103.320000000007</v>
          </cell>
          <cell r="CM4103" t="str">
            <v xml:space="preserve">NFT-/XUTR/DEUTH02429530992X </v>
          </cell>
          <cell r="CN4103" t="str">
            <v>2024-10-21</v>
          </cell>
          <cell r="CO4103">
            <v>2911.7240000000002</v>
          </cell>
        </row>
        <row r="4104">
          <cell r="CJ4104" t="str">
            <v xml:space="preserve">NFT-/XUTR/DEUTH02429509164X </v>
          </cell>
          <cell r="CK4104" t="str">
            <v>2024-10-21</v>
          </cell>
          <cell r="CL4104">
            <v>37570.925000000003</v>
          </cell>
          <cell r="CM4104" t="str">
            <v xml:space="preserve">NFT-/XUTR/DEUTH02429530992X </v>
          </cell>
          <cell r="CN4104" t="str">
            <v>2024-10-21</v>
          </cell>
          <cell r="CO4104">
            <v>3514.4470000000001</v>
          </cell>
        </row>
        <row r="4105">
          <cell r="CJ4105" t="str">
            <v xml:space="preserve">NFT-/XUTR/DEUTH02429509164X </v>
          </cell>
          <cell r="CK4105" t="str">
            <v>2024-10-21</v>
          </cell>
          <cell r="CL4105">
            <v>79156.167000000001</v>
          </cell>
          <cell r="CM4105" t="str">
            <v xml:space="preserve">NFT-/XUTR/DEUTH02429530992X </v>
          </cell>
          <cell r="CN4105" t="str">
            <v>2024-10-21</v>
          </cell>
          <cell r="CO4105">
            <v>2450.701</v>
          </cell>
        </row>
        <row r="4106">
          <cell r="CJ4106" t="str">
            <v xml:space="preserve">NFT-/XUTR/DEUTH02429509164X </v>
          </cell>
          <cell r="CK4106" t="str">
            <v>2024-10-21</v>
          </cell>
          <cell r="CL4106">
            <v>7275.9369999999999</v>
          </cell>
          <cell r="CM4106" t="str">
            <v xml:space="preserve">NFT-/XUTR/DEUTH02429530992X </v>
          </cell>
          <cell r="CN4106" t="str">
            <v>2024-10-21</v>
          </cell>
          <cell r="CO4106">
            <v>1101.598</v>
          </cell>
        </row>
        <row r="4107">
          <cell r="CJ4107" t="str">
            <v xml:space="preserve">NFT-/XUTR/DEUTH02429509164X </v>
          </cell>
          <cell r="CK4107" t="str">
            <v>2024-10-21</v>
          </cell>
          <cell r="CL4107">
            <v>39580.016000000003</v>
          </cell>
          <cell r="CM4107" t="str">
            <v xml:space="preserve">NFT-/XUTR/DEUTH02429530992X </v>
          </cell>
          <cell r="CN4107" t="str">
            <v>2024-10-21</v>
          </cell>
          <cell r="CO4107">
            <v>2087.71</v>
          </cell>
        </row>
        <row r="4108">
          <cell r="CJ4108" t="str">
            <v xml:space="preserve">NFT-/XUTR/DEUTH02429509164X </v>
          </cell>
          <cell r="CK4108" t="str">
            <v>2024-10-21</v>
          </cell>
          <cell r="CL4108">
            <v>14669.77</v>
          </cell>
          <cell r="CM4108" t="str">
            <v xml:space="preserve">NFT-/XUTR/DEUTH02429530992X </v>
          </cell>
          <cell r="CN4108" t="str">
            <v>2024-10-21</v>
          </cell>
          <cell r="CO4108">
            <v>1957.65</v>
          </cell>
        </row>
        <row r="4109">
          <cell r="CJ4109" t="str">
            <v xml:space="preserve">NFT-/XUTR/DEUTH02429509164X </v>
          </cell>
          <cell r="CK4109" t="str">
            <v>2024-10-21</v>
          </cell>
          <cell r="CL4109">
            <v>16646.300999999999</v>
          </cell>
          <cell r="CM4109" t="str">
            <v xml:space="preserve">NFT-/XUTR/DEUTH024299A09NOX </v>
          </cell>
          <cell r="CN4109" t="str">
            <v>2024-10-25</v>
          </cell>
          <cell r="CO4109">
            <v>-16646.300999999999</v>
          </cell>
        </row>
        <row r="4110">
          <cell r="CJ4110" t="str">
            <v xml:space="preserve">NFT-/XUTR/DEUTH02429509164X </v>
          </cell>
          <cell r="CK4110" t="str">
            <v>2024-10-21</v>
          </cell>
          <cell r="CL4110">
            <v>14437.28</v>
          </cell>
          <cell r="CM4110" t="str">
            <v xml:space="preserve">NFT-/XUTR/DEUTH02429530992X </v>
          </cell>
          <cell r="CN4110" t="str">
            <v>2024-10-21</v>
          </cell>
          <cell r="CO4110">
            <v>2296.377</v>
          </cell>
          <cell r="CP4110" t="str">
            <v xml:space="preserve">NFT-/XUTR/DEUTH02431649943X </v>
          </cell>
          <cell r="CQ4110" t="str">
            <v>2024-11-11</v>
          </cell>
          <cell r="CR4110">
            <v>-14437.28</v>
          </cell>
          <cell r="CS4110" t="str">
            <v xml:space="preserve">NFT-/XUTR/DEUTH02431658955X </v>
          </cell>
          <cell r="CT4110" t="str">
            <v>2024-11-11</v>
          </cell>
          <cell r="CU4110">
            <v>-2296.377</v>
          </cell>
        </row>
        <row r="4111">
          <cell r="CJ4111" t="str">
            <v xml:space="preserve">NFT-/XUTR/DEUTH02429509164X </v>
          </cell>
          <cell r="CK4111" t="str">
            <v>2024-10-21</v>
          </cell>
          <cell r="CL4111">
            <v>14418.4</v>
          </cell>
          <cell r="CM4111" t="str">
            <v xml:space="preserve">NFT-/XUTR/DEUTH02429530992X </v>
          </cell>
          <cell r="CN4111" t="str">
            <v>2024-10-21</v>
          </cell>
          <cell r="CO4111">
            <v>2296.377</v>
          </cell>
        </row>
        <row r="4112">
          <cell r="CJ4112" t="str">
            <v xml:space="preserve">NFT-/XUTR/DEUTH02429509164X </v>
          </cell>
          <cell r="CK4112" t="str">
            <v>2024-10-21</v>
          </cell>
          <cell r="CL4112">
            <v>14418.4</v>
          </cell>
          <cell r="CM4112" t="str">
            <v xml:space="preserve">NFT-/XUTR/DEUTH02429530992X </v>
          </cell>
          <cell r="CN4112" t="str">
            <v>2024-10-21</v>
          </cell>
          <cell r="CO4112">
            <v>2296.377</v>
          </cell>
        </row>
        <row r="4113">
          <cell r="CJ4113" t="str">
            <v xml:space="preserve">NFT-/XUTR/DEUTH02429509164X </v>
          </cell>
          <cell r="CK4113" t="str">
            <v>2024-10-21</v>
          </cell>
          <cell r="CL4113">
            <v>14418.4</v>
          </cell>
          <cell r="CM4113" t="str">
            <v xml:space="preserve">NFT-/XUTR/DEUTH02429530992X </v>
          </cell>
          <cell r="CN4113" t="str">
            <v>2024-10-21</v>
          </cell>
          <cell r="CO4113">
            <v>2296.377</v>
          </cell>
        </row>
        <row r="4114">
          <cell r="CJ4114" t="str">
            <v xml:space="preserve">NFT-/XUTR/DEUTH02429509164X </v>
          </cell>
          <cell r="CK4114" t="str">
            <v>2024-10-21</v>
          </cell>
          <cell r="CL4114">
            <v>14437.28</v>
          </cell>
          <cell r="CM4114" t="str">
            <v xml:space="preserve">NFT-/XUTR/DEUTH02429530992X </v>
          </cell>
          <cell r="CN4114" t="str">
            <v>2024-10-21</v>
          </cell>
          <cell r="CO4114">
            <v>2296.377</v>
          </cell>
        </row>
        <row r="4115">
          <cell r="CJ4115" t="str">
            <v xml:space="preserve">NFT-/XUTR/DEUTH02429509164X </v>
          </cell>
          <cell r="CK4115" t="str">
            <v>2024-10-21</v>
          </cell>
          <cell r="CL4115">
            <v>14437.28</v>
          </cell>
          <cell r="CM4115" t="str">
            <v xml:space="preserve">NFT-/XUTR/DEUTH02429530992X </v>
          </cell>
          <cell r="CN4115" t="str">
            <v>2024-10-21</v>
          </cell>
          <cell r="CO4115">
            <v>2296.377</v>
          </cell>
        </row>
        <row r="4116">
          <cell r="CJ4116" t="str">
            <v xml:space="preserve">NFT-/XUTR/DEUTH02429509164X </v>
          </cell>
          <cell r="CK4116" t="str">
            <v>2024-10-21</v>
          </cell>
          <cell r="CL4116">
            <v>14418.4</v>
          </cell>
          <cell r="CM4116" t="str">
            <v xml:space="preserve">NFT-/XUTR/DEUTH02429530992X </v>
          </cell>
          <cell r="CN4116" t="str">
            <v>2024-10-21</v>
          </cell>
          <cell r="CO4116">
            <v>2296.377</v>
          </cell>
        </row>
        <row r="4117">
          <cell r="CJ4117" t="str">
            <v xml:space="preserve">NFT-/XUTR/DEUTH02429509164X </v>
          </cell>
          <cell r="CK4117" t="str">
            <v>2024-10-21</v>
          </cell>
          <cell r="CL4117">
            <v>14418.4</v>
          </cell>
          <cell r="CM4117" t="str">
            <v xml:space="preserve">NFT-/XUTR/DEUTH02429530992X </v>
          </cell>
          <cell r="CN4117" t="str">
            <v>2024-10-21</v>
          </cell>
          <cell r="CO4117">
            <v>2296.377</v>
          </cell>
        </row>
        <row r="4118">
          <cell r="CJ4118" t="str">
            <v xml:space="preserve">NFT-/XUTR/DEUTH02429509164X </v>
          </cell>
          <cell r="CK4118" t="str">
            <v>2024-10-21</v>
          </cell>
          <cell r="CL4118">
            <v>14418.4</v>
          </cell>
          <cell r="CM4118" t="str">
            <v xml:space="preserve">NFT-/XUTR/DEUTH02429530992X </v>
          </cell>
          <cell r="CN4118" t="str">
            <v>2024-10-21</v>
          </cell>
          <cell r="CO4118">
            <v>2296.377</v>
          </cell>
        </row>
        <row r="4119">
          <cell r="CJ4119" t="str">
            <v xml:space="preserve">NFT-/XUTR/DEUTH02429509164X </v>
          </cell>
          <cell r="CK4119" t="str">
            <v>2024-10-21</v>
          </cell>
          <cell r="CL4119">
            <v>14703.214</v>
          </cell>
          <cell r="CM4119" t="str">
            <v xml:space="preserve">NFT-/XUTR/DEUTH02429530992X </v>
          </cell>
          <cell r="CN4119" t="str">
            <v>2024-10-21</v>
          </cell>
          <cell r="CO4119">
            <v>1943.088</v>
          </cell>
        </row>
        <row r="4120">
          <cell r="CJ4120" t="str">
            <v xml:space="preserve">NFT-/XUTR/DEUTH02429509164X </v>
          </cell>
          <cell r="CK4120" t="str">
            <v>2024-10-21</v>
          </cell>
          <cell r="CL4120">
            <v>14424.215</v>
          </cell>
          <cell r="CM4120" t="str">
            <v xml:space="preserve">NFT-/XUTR/DEUTH02429530992X </v>
          </cell>
          <cell r="CN4120" t="str">
            <v>2024-10-21</v>
          </cell>
          <cell r="CO4120">
            <v>2290.5520000000001</v>
          </cell>
        </row>
        <row r="4121">
          <cell r="CJ4121" t="str">
            <v xml:space="preserve">NFT-/XUTR/DEUTH02429509164X </v>
          </cell>
          <cell r="CK4121" t="str">
            <v>2024-10-21</v>
          </cell>
          <cell r="CL4121">
            <v>14437.28</v>
          </cell>
          <cell r="CM4121" t="str">
            <v xml:space="preserve">NFT-/XUTR/DEUTH02429530992X </v>
          </cell>
          <cell r="CN4121" t="str">
            <v>2024-10-21</v>
          </cell>
          <cell r="CO4121">
            <v>2296.377</v>
          </cell>
        </row>
        <row r="4122">
          <cell r="CJ4122" t="str">
            <v xml:space="preserve">NFT-/XUTR/DEUTH02429509164X </v>
          </cell>
          <cell r="CK4122" t="str">
            <v>2024-10-21</v>
          </cell>
          <cell r="CL4122">
            <v>9441.2909999999993</v>
          </cell>
          <cell r="CM4122" t="str">
            <v xml:space="preserve">NFT-/XUTR/DEUTH02429530992X </v>
          </cell>
          <cell r="CN4122" t="str">
            <v>2024-10-21</v>
          </cell>
          <cell r="CO4122">
            <v>1682.979</v>
          </cell>
        </row>
        <row r="4123">
          <cell r="CJ4123" t="str">
            <v xml:space="preserve">NFT-/XUTR/DEUTH02429509164X </v>
          </cell>
          <cell r="CK4123" t="str">
            <v>2024-10-21</v>
          </cell>
          <cell r="CL4123">
            <v>39580.016000000003</v>
          </cell>
          <cell r="CM4123" t="str">
            <v xml:space="preserve">NFT-/XUTR/DEUTH02429530992X </v>
          </cell>
          <cell r="CN4123" t="str">
            <v>2024-10-21</v>
          </cell>
          <cell r="CO4123">
            <v>2087.71</v>
          </cell>
        </row>
        <row r="4124">
          <cell r="CJ4124" t="str">
            <v xml:space="preserve">NFT-/XUTR/DEUTH02429509164X </v>
          </cell>
          <cell r="CK4124" t="str">
            <v>2024-10-21</v>
          </cell>
          <cell r="CL4124">
            <v>37552.044999999998</v>
          </cell>
          <cell r="CM4124" t="str">
            <v xml:space="preserve">NFT-/XUTR/DEUTH02429530992X </v>
          </cell>
          <cell r="CN4124" t="str">
            <v>2024-10-21</v>
          </cell>
          <cell r="CO4124">
            <v>3514.4470000000001</v>
          </cell>
        </row>
        <row r="4125">
          <cell r="CJ4125" t="str">
            <v xml:space="preserve">NFT-/XUTR/DEUTH02429509164X </v>
          </cell>
          <cell r="CK4125" t="str">
            <v>2024-10-21</v>
          </cell>
          <cell r="CL4125">
            <v>79122.2</v>
          </cell>
          <cell r="CM4125" t="str">
            <v xml:space="preserve">NFT-/XUTR/DEUTH02429530992X </v>
          </cell>
          <cell r="CN4125" t="str">
            <v>2024-10-21</v>
          </cell>
          <cell r="CO4125">
            <v>2911.7240000000002</v>
          </cell>
        </row>
        <row r="4126">
          <cell r="CJ4126" t="str">
            <v xml:space="preserve">NFT-/XUTR/DEUTH02429509164X </v>
          </cell>
          <cell r="CK4126" t="str">
            <v>2024-10-21</v>
          </cell>
          <cell r="CL4126">
            <v>39026.786</v>
          </cell>
          <cell r="CM4126" t="str">
            <v xml:space="preserve">NFT-/XUTR/DEUTH02429530992X </v>
          </cell>
          <cell r="CN4126" t="str">
            <v>2024-10-21</v>
          </cell>
          <cell r="CO4126">
            <v>2058.585</v>
          </cell>
        </row>
        <row r="4127">
          <cell r="CJ4127" t="str">
            <v xml:space="preserve">NFT-/XUTR/DEUTH02429509164X </v>
          </cell>
          <cell r="CK4127" t="str">
            <v>2024-10-21</v>
          </cell>
          <cell r="CL4127">
            <v>39580.016000000003</v>
          </cell>
          <cell r="CM4127" t="str">
            <v xml:space="preserve">NFT-/XUTR/DEUTH02429530992X </v>
          </cell>
          <cell r="CN4127" t="str">
            <v>2024-10-21</v>
          </cell>
          <cell r="CO4127">
            <v>2087.71</v>
          </cell>
        </row>
        <row r="4128">
          <cell r="CJ4128" t="str">
            <v xml:space="preserve">NFT-/XUTR/DEUTH02429509164X </v>
          </cell>
          <cell r="CK4128" t="str">
            <v>2024-10-21</v>
          </cell>
          <cell r="CL4128">
            <v>14437.28</v>
          </cell>
          <cell r="CM4128" t="str">
            <v xml:space="preserve">NFT-/XUTR/DEUTH02429530992X </v>
          </cell>
          <cell r="CN4128" t="str">
            <v>2024-10-21</v>
          </cell>
          <cell r="CO4128">
            <v>2296.377</v>
          </cell>
        </row>
        <row r="4129">
          <cell r="CJ4129" t="str">
            <v xml:space="preserve">NFT-/XUTR/DEUTH02429509164X </v>
          </cell>
          <cell r="CK4129" t="str">
            <v>2024-10-21</v>
          </cell>
          <cell r="CL4129">
            <v>14437.28</v>
          </cell>
          <cell r="CM4129" t="str">
            <v xml:space="preserve">NFT-/XUTR/DEUTH02429530992X </v>
          </cell>
          <cell r="CN4129" t="str">
            <v>2024-10-21</v>
          </cell>
          <cell r="CO4129">
            <v>2296.377</v>
          </cell>
        </row>
        <row r="4130">
          <cell r="CJ4130" t="str">
            <v xml:space="preserve">NFT-/XUTR/DEUTH02429509164X </v>
          </cell>
          <cell r="CK4130" t="str">
            <v>2024-10-21</v>
          </cell>
          <cell r="CL4130">
            <v>14688.65</v>
          </cell>
          <cell r="CM4130" t="str">
            <v xml:space="preserve">NFT-/XUTR/DEUTH02429530992X </v>
          </cell>
          <cell r="CN4130" t="str">
            <v>2024-10-21</v>
          </cell>
          <cell r="CO4130">
            <v>1957.65</v>
          </cell>
        </row>
        <row r="4131">
          <cell r="CJ4131" t="str">
            <v xml:space="preserve">NFT-/XUTR/DEUTH02429509164X </v>
          </cell>
          <cell r="CK4131" t="str">
            <v>2024-10-21</v>
          </cell>
          <cell r="CL4131">
            <v>15874.261</v>
          </cell>
          <cell r="CM4131" t="str">
            <v xml:space="preserve">NFT-/XUTR/DEUTH02429530992X </v>
          </cell>
          <cell r="CN4131" t="str">
            <v>2024-10-21</v>
          </cell>
          <cell r="CO4131">
            <v>840.51499999999999</v>
          </cell>
        </row>
        <row r="4132">
          <cell r="CJ4132" t="str">
            <v xml:space="preserve">NFT-/XUTR/DEUTH02429509164X </v>
          </cell>
          <cell r="CK4132" t="str">
            <v>2024-10-21</v>
          </cell>
          <cell r="CL4132">
            <v>14688.65</v>
          </cell>
          <cell r="CM4132" t="str">
            <v xml:space="preserve">NFT-/XUTR/DEUTH02429530992X </v>
          </cell>
          <cell r="CN4132" t="str">
            <v>2024-10-21</v>
          </cell>
          <cell r="CO4132">
            <v>1957.65</v>
          </cell>
        </row>
        <row r="4133">
          <cell r="CJ4133" t="str">
            <v xml:space="preserve">NFT-/XUTR/DEUTH02429509164X </v>
          </cell>
          <cell r="CK4133" t="str">
            <v>2024-10-21</v>
          </cell>
          <cell r="CL4133">
            <v>14437.28</v>
          </cell>
          <cell r="CM4133" t="str">
            <v xml:space="preserve">NFT-/XUTR/DEUTH02429530992X </v>
          </cell>
          <cell r="CN4133" t="str">
            <v>2024-10-21</v>
          </cell>
          <cell r="CO4133">
            <v>2296.377</v>
          </cell>
        </row>
        <row r="4134">
          <cell r="CJ4134" t="str">
            <v xml:space="preserve">NFT-/XUTR/DEUTH02429509164X </v>
          </cell>
          <cell r="CK4134" t="str">
            <v>2024-10-21</v>
          </cell>
          <cell r="CL4134">
            <v>1369.46</v>
          </cell>
          <cell r="CM4134" t="str">
            <v xml:space="preserve">NFT-/XUTR/DEUTH02430209185X </v>
          </cell>
          <cell r="CN4134" t="str">
            <v>2024-10-28</v>
          </cell>
          <cell r="CO4134">
            <v>-1369.46</v>
          </cell>
        </row>
        <row r="4135">
          <cell r="CJ4135" t="str">
            <v xml:space="preserve">NFT-/XUTR/DEUTH02429509164X </v>
          </cell>
          <cell r="CK4135" t="str">
            <v>2024-10-21</v>
          </cell>
          <cell r="CL4135">
            <v>9441.2909999999993</v>
          </cell>
          <cell r="CM4135" t="str">
            <v xml:space="preserve">NFT-/XUTR/DEUTH02429530992X </v>
          </cell>
          <cell r="CN4135" t="str">
            <v>2024-10-21</v>
          </cell>
          <cell r="CO4135">
            <v>1682.979</v>
          </cell>
        </row>
        <row r="4136">
          <cell r="CJ4136" t="str">
            <v xml:space="preserve">NFT-/XUTR/DEUTH02429509164X </v>
          </cell>
          <cell r="CK4136" t="str">
            <v>2024-10-21</v>
          </cell>
          <cell r="CL4136">
            <v>39580.016000000003</v>
          </cell>
          <cell r="CM4136" t="str">
            <v xml:space="preserve">NFT-/XUTR/DEUTH02429530992X </v>
          </cell>
          <cell r="CN4136" t="str">
            <v>2024-10-21</v>
          </cell>
          <cell r="CO4136">
            <v>2087.71</v>
          </cell>
        </row>
        <row r="4137">
          <cell r="CJ4137" t="str">
            <v xml:space="preserve">NFT-/XUTR/DEUTH02429509164X </v>
          </cell>
          <cell r="CK4137" t="str">
            <v>2024-10-21</v>
          </cell>
          <cell r="CL4137">
            <v>14418.4</v>
          </cell>
          <cell r="CM4137" t="str">
            <v xml:space="preserve">NFT-/XUTR/DEUTH02429530992X </v>
          </cell>
          <cell r="CN4137" t="str">
            <v>2024-10-21</v>
          </cell>
          <cell r="CO4137">
            <v>2296.377</v>
          </cell>
        </row>
        <row r="4138">
          <cell r="CJ4138" t="str">
            <v xml:space="preserve">NFT-/XUTR/DEUTH02429509164X </v>
          </cell>
          <cell r="CK4138" t="str">
            <v>2024-10-21</v>
          </cell>
          <cell r="CL4138">
            <v>15075.475</v>
          </cell>
          <cell r="CM4138" t="str">
            <v xml:space="preserve">NFT-/XUTR/DEUTH02429530992X </v>
          </cell>
          <cell r="CN4138" t="str">
            <v>2024-10-21</v>
          </cell>
          <cell r="CO4138">
            <v>1639.3009999999999</v>
          </cell>
        </row>
        <row r="4139">
          <cell r="CJ4139" t="str">
            <v xml:space="preserve">NFT-/XUTR/DEUTH02429760724X </v>
          </cell>
          <cell r="CK4139" t="str">
            <v>2024-10-23</v>
          </cell>
          <cell r="CL4139">
            <v>38348.881999999998</v>
          </cell>
          <cell r="CM4139" t="str">
            <v xml:space="preserve">NFT-/XUTR/DEUTH02429764618X </v>
          </cell>
          <cell r="CN4139" t="str">
            <v>2024-10-23</v>
          </cell>
          <cell r="CO4139">
            <v>2717.61</v>
          </cell>
        </row>
        <row r="4140">
          <cell r="CJ4140" t="str">
            <v xml:space="preserve">NFT-/XUTR/DEUTH02429509164X </v>
          </cell>
          <cell r="CK4140" t="str">
            <v>2024-10-21</v>
          </cell>
          <cell r="CL4140">
            <v>13968.052</v>
          </cell>
          <cell r="CM4140" t="str">
            <v xml:space="preserve">NFT-/XUTR/DEUTH02429530992X </v>
          </cell>
          <cell r="CN4140" t="str">
            <v>2024-10-21</v>
          </cell>
          <cell r="CO4140">
            <v>2746.7249999999999</v>
          </cell>
        </row>
        <row r="4141">
          <cell r="CJ4141" t="str">
            <v xml:space="preserve">NFT-/XUTR/DEUTH02429509164X </v>
          </cell>
          <cell r="CK4141" t="str">
            <v>2024-10-21</v>
          </cell>
          <cell r="CL4141">
            <v>14437.28</v>
          </cell>
          <cell r="CM4141" t="str">
            <v xml:space="preserve">NFT-/XUTR/DEUTH02429530992X </v>
          </cell>
          <cell r="CN4141" t="str">
            <v>2024-10-21</v>
          </cell>
          <cell r="CO4141">
            <v>2296.377</v>
          </cell>
        </row>
        <row r="4142">
          <cell r="CJ4142" t="str">
            <v xml:space="preserve">NFT-/XUTR/DEUTH02429509164X </v>
          </cell>
          <cell r="CK4142" t="str">
            <v>2024-10-21</v>
          </cell>
          <cell r="CL4142">
            <v>14418.4</v>
          </cell>
          <cell r="CM4142" t="str">
            <v xml:space="preserve">NFT-/XUTR/DEUTH02429530992X </v>
          </cell>
          <cell r="CN4142" t="str">
            <v>2024-10-21</v>
          </cell>
          <cell r="CO4142">
            <v>2296.377</v>
          </cell>
        </row>
        <row r="4143">
          <cell r="CJ4143" t="str">
            <v xml:space="preserve">NFT-/XUTR/DEUTH02429509164X </v>
          </cell>
          <cell r="CK4143" t="str">
            <v>2024-10-21</v>
          </cell>
          <cell r="CL4143">
            <v>15094.356</v>
          </cell>
          <cell r="CM4143" t="str">
            <v xml:space="preserve">NFT-/XUTR/DEUTH02429530992X </v>
          </cell>
          <cell r="CN4143" t="str">
            <v>2024-10-21</v>
          </cell>
          <cell r="CO4143">
            <v>1639.3</v>
          </cell>
        </row>
        <row r="4144">
          <cell r="CJ4144" t="str">
            <v xml:space="preserve">NFT-/XUTR/DEUTH02429509164X </v>
          </cell>
          <cell r="CK4144" t="str">
            <v>2024-10-21</v>
          </cell>
          <cell r="CL4144">
            <v>30311.53</v>
          </cell>
          <cell r="CM4144" t="str">
            <v xml:space="preserve">NFT-/XUTR/DEUTH02429530992X </v>
          </cell>
          <cell r="CN4144" t="str">
            <v>2024-10-21</v>
          </cell>
          <cell r="CO4144">
            <v>3136.8919999999998</v>
          </cell>
        </row>
        <row r="4145">
          <cell r="CJ4145" t="str">
            <v xml:space="preserve">NFT-/XUTR/DEUTH02429509164X </v>
          </cell>
          <cell r="CK4145" t="str">
            <v>2024-10-21</v>
          </cell>
          <cell r="CL4145">
            <v>14437.28</v>
          </cell>
          <cell r="CM4145" t="str">
            <v xml:space="preserve">NFT-/XUTR/DEUTH02429530992X </v>
          </cell>
          <cell r="CN4145" t="str">
            <v>2024-10-21</v>
          </cell>
          <cell r="CO4145">
            <v>2296.377</v>
          </cell>
        </row>
        <row r="4146">
          <cell r="CJ4146" t="str">
            <v xml:space="preserve">NFT-/XUTR/DEUTH02429509164X </v>
          </cell>
          <cell r="CK4146" t="str">
            <v>2024-10-21</v>
          </cell>
          <cell r="CL4146">
            <v>13639.458000000001</v>
          </cell>
          <cell r="CM4146" t="str">
            <v xml:space="preserve">NFT-/XUTR/DEUTH02429530992X </v>
          </cell>
          <cell r="CN4146" t="str">
            <v>2024-10-21</v>
          </cell>
          <cell r="CO4146">
            <v>3094.1869999999999</v>
          </cell>
        </row>
        <row r="4147">
          <cell r="CJ4147" t="str">
            <v xml:space="preserve">NFT-/XUTR/DEUTH02429760724X </v>
          </cell>
          <cell r="CK4147" t="str">
            <v>2024-10-23</v>
          </cell>
          <cell r="CL4147">
            <v>15874.261</v>
          </cell>
          <cell r="CM4147" t="str">
            <v xml:space="preserve">NFT-/XUTR/DEUTH02429764618X </v>
          </cell>
          <cell r="CN4147" t="str">
            <v>2024-10-23</v>
          </cell>
          <cell r="CO4147">
            <v>840.51499999999999</v>
          </cell>
        </row>
        <row r="4148">
          <cell r="CJ4148" t="str">
            <v xml:space="preserve">NFT-/XUTR/DEUTH02429509164X </v>
          </cell>
          <cell r="CK4148" t="str">
            <v>2024-10-21</v>
          </cell>
          <cell r="CL4148">
            <v>14437.28</v>
          </cell>
          <cell r="CM4148" t="str">
            <v xml:space="preserve">NFT-/XUTR/DEUTH02429530992X </v>
          </cell>
          <cell r="CN4148" t="str">
            <v>2024-10-21</v>
          </cell>
          <cell r="CO4148">
            <v>2296.377</v>
          </cell>
        </row>
        <row r="4149">
          <cell r="CJ4149" t="str">
            <v xml:space="preserve">NFT-/XUTR/DEUTH02429509164X </v>
          </cell>
          <cell r="CK4149" t="str">
            <v>2024-10-21</v>
          </cell>
          <cell r="CL4149">
            <v>15874.261</v>
          </cell>
          <cell r="CM4149" t="str">
            <v xml:space="preserve">NFT-/XUTR/DEUTH02429530992X </v>
          </cell>
          <cell r="CN4149" t="str">
            <v>2024-10-21</v>
          </cell>
          <cell r="CO4149">
            <v>840.51499999999999</v>
          </cell>
        </row>
        <row r="4150">
          <cell r="CJ4150" t="str">
            <v xml:space="preserve">NFT-/XUTR/DEUTH02429509164X </v>
          </cell>
          <cell r="CK4150" t="str">
            <v>2024-10-21</v>
          </cell>
          <cell r="CL4150">
            <v>14688.65</v>
          </cell>
          <cell r="CM4150" t="str">
            <v xml:space="preserve">NFT-/XUTR/DEUTH02429530992X </v>
          </cell>
          <cell r="CN4150" t="str">
            <v>2024-10-21</v>
          </cell>
          <cell r="CO4150">
            <v>1957.65</v>
          </cell>
        </row>
        <row r="4151">
          <cell r="CJ4151" t="str">
            <v xml:space="preserve">NFT-/XUTR/DEUTH02429509164X </v>
          </cell>
          <cell r="CK4151" t="str">
            <v>2024-10-21</v>
          </cell>
          <cell r="CL4151">
            <v>14437.28</v>
          </cell>
          <cell r="CM4151" t="str">
            <v xml:space="preserve">NFT-/XUTR/DEUTH02429530992X </v>
          </cell>
          <cell r="CN4151" t="str">
            <v>2024-10-21</v>
          </cell>
          <cell r="CO4151">
            <v>2296.377</v>
          </cell>
        </row>
        <row r="4152">
          <cell r="CJ4152" t="str">
            <v xml:space="preserve">NFT-/XUTR/DEUTH02429509164X </v>
          </cell>
          <cell r="CK4152" t="str">
            <v>2024-10-21</v>
          </cell>
          <cell r="CL4152">
            <v>14168.956</v>
          </cell>
          <cell r="CM4152" t="str">
            <v xml:space="preserve">NFT-/XUTR/DEUTH02429530992X </v>
          </cell>
          <cell r="CN4152" t="str">
            <v>2024-10-21</v>
          </cell>
          <cell r="CO4152">
            <v>2545.8200000000002</v>
          </cell>
        </row>
        <row r="4153">
          <cell r="CJ4153" t="str">
            <v xml:space="preserve">NFT-/XUTR/DEUTH02429509164X </v>
          </cell>
          <cell r="CK4153" t="str">
            <v>2024-10-21</v>
          </cell>
          <cell r="CL4153">
            <v>10563.277</v>
          </cell>
          <cell r="CM4153" t="str">
            <v xml:space="preserve">NFT-/XUTR/DEUTH02429530992X </v>
          </cell>
          <cell r="CN4153" t="str">
            <v>2024-10-21</v>
          </cell>
          <cell r="CO4153">
            <v>560.99300000000005</v>
          </cell>
        </row>
        <row r="4154">
          <cell r="CJ4154" t="str">
            <v xml:space="preserve">NFT-/XUTR/DEUTH02429509164X </v>
          </cell>
          <cell r="CK4154" t="str">
            <v>2024-10-21</v>
          </cell>
          <cell r="CL4154">
            <v>79103.320000000007</v>
          </cell>
          <cell r="CM4154" t="str">
            <v xml:space="preserve">NFT-/XUTR/DEUTH02429530992X </v>
          </cell>
          <cell r="CN4154" t="str">
            <v>2024-10-21</v>
          </cell>
          <cell r="CO4154">
            <v>2911.7240000000002</v>
          </cell>
        </row>
        <row r="4155">
          <cell r="CJ4155" t="str">
            <v xml:space="preserve">NFT-/XUTR/DEUTH02429509164X </v>
          </cell>
          <cell r="CK4155" t="str">
            <v>2024-10-21</v>
          </cell>
          <cell r="CL4155">
            <v>5312.9030000000002</v>
          </cell>
          <cell r="CM4155" t="str">
            <v xml:space="preserve">NFT-/XUTR/DEUTH02429530992X </v>
          </cell>
          <cell r="CN4155" t="str">
            <v>2024-10-21</v>
          </cell>
          <cell r="CO4155">
            <v>598.84500000000003</v>
          </cell>
        </row>
        <row r="4156">
          <cell r="CJ4156" t="str">
            <v xml:space="preserve">NFT-/XUTR/DEUTH02429509164X </v>
          </cell>
          <cell r="CK4156" t="str">
            <v>2024-10-21</v>
          </cell>
          <cell r="CL4156">
            <v>80277.712</v>
          </cell>
          <cell r="CM4156" t="str">
            <v xml:space="preserve">NFT-/XUTR/DEUTH02429530992X </v>
          </cell>
          <cell r="CN4156" t="str">
            <v>2024-10-21</v>
          </cell>
          <cell r="CO4156">
            <v>2911.7240000000002</v>
          </cell>
        </row>
        <row r="4157">
          <cell r="CJ4157" t="str">
            <v xml:space="preserve">NFT-/XUTR/DEUTH02429509164X </v>
          </cell>
          <cell r="CK4157" t="str">
            <v>2024-10-21</v>
          </cell>
          <cell r="CL4157">
            <v>14300.954</v>
          </cell>
          <cell r="CM4157" t="str">
            <v xml:space="preserve">NFT-/XUTR/DEUTH02429530992X </v>
          </cell>
          <cell r="CN4157" t="str">
            <v>2024-10-21</v>
          </cell>
          <cell r="CO4157">
            <v>2413.8220000000001</v>
          </cell>
        </row>
        <row r="4158">
          <cell r="CJ4158" t="str">
            <v xml:space="preserve">NFT-/XUTR/DEUTH02429509164X </v>
          </cell>
          <cell r="CK4158" t="str">
            <v>2024-10-21</v>
          </cell>
          <cell r="CL4158">
            <v>82033.923999999999</v>
          </cell>
          <cell r="CM4158" t="str">
            <v xml:space="preserve">NFT-/XUTR/DEUTH02432045075X </v>
          </cell>
          <cell r="CN4158" t="str">
            <v>2024-11-15</v>
          </cell>
          <cell r="CO4158">
            <v>-82033.923999999999</v>
          </cell>
        </row>
        <row r="4159">
          <cell r="CJ4159" t="str">
            <v xml:space="preserve">NFT-/XUTR/DEUTH02429509164X </v>
          </cell>
          <cell r="CK4159" t="str">
            <v>2024-10-21</v>
          </cell>
          <cell r="CL4159">
            <v>14437.28</v>
          </cell>
          <cell r="CM4159" t="str">
            <v xml:space="preserve">NFT-/XUTR/DEUTH02429530992X </v>
          </cell>
          <cell r="CN4159" t="str">
            <v>2024-10-21</v>
          </cell>
          <cell r="CO4159">
            <v>2296.377</v>
          </cell>
        </row>
        <row r="4160">
          <cell r="CJ4160" t="str">
            <v xml:space="preserve">NFT-/XUTR/DEUTH02429509164X </v>
          </cell>
          <cell r="CK4160" t="str">
            <v>2024-10-21</v>
          </cell>
          <cell r="CL4160">
            <v>14418.4</v>
          </cell>
          <cell r="CM4160" t="str">
            <v xml:space="preserve">NFT-/XUTR/DEUTH02429530992X </v>
          </cell>
          <cell r="CN4160" t="str">
            <v>2024-10-21</v>
          </cell>
          <cell r="CO4160">
            <v>2296.377</v>
          </cell>
        </row>
        <row r="4161">
          <cell r="CJ4161" t="str">
            <v xml:space="preserve">NFT-/XUTR/DEUTH02429509164X </v>
          </cell>
          <cell r="CK4161" t="str">
            <v>2024-10-21</v>
          </cell>
          <cell r="CL4161">
            <v>39007.906000000003</v>
          </cell>
          <cell r="CM4161" t="str">
            <v xml:space="preserve">NFT-/XUTR/DEUTH02429530992X </v>
          </cell>
          <cell r="CN4161" t="str">
            <v>2024-10-21</v>
          </cell>
          <cell r="CO4161">
            <v>2058.585</v>
          </cell>
        </row>
        <row r="4162">
          <cell r="CJ4162" t="str">
            <v xml:space="preserve">NFT-/XUTR/DEUTH02429509164X </v>
          </cell>
          <cell r="CK4162" t="str">
            <v>2024-10-21</v>
          </cell>
          <cell r="CL4162">
            <v>14437.28</v>
          </cell>
          <cell r="CM4162" t="str">
            <v xml:space="preserve">NFT-/XUTR/DEUTH02429530992X </v>
          </cell>
          <cell r="CN4162" t="str">
            <v>2024-10-21</v>
          </cell>
          <cell r="CO4162">
            <v>2296.377</v>
          </cell>
        </row>
        <row r="4163">
          <cell r="CJ4163" t="str">
            <v xml:space="preserve">NFT-/XUTR/DEUTH02429509164X </v>
          </cell>
          <cell r="CK4163" t="str">
            <v>2024-10-21</v>
          </cell>
          <cell r="CL4163">
            <v>14420.338</v>
          </cell>
          <cell r="CM4163" t="str">
            <v xml:space="preserve">NFT-/XUTR/DEUTH02429530992X </v>
          </cell>
          <cell r="CN4163" t="str">
            <v>2024-10-21</v>
          </cell>
          <cell r="CO4163">
            <v>2294.4389999999999</v>
          </cell>
        </row>
        <row r="4164">
          <cell r="CJ4164" t="str">
            <v xml:space="preserve">NFT-/XUTR/DEUTH02429509164X </v>
          </cell>
          <cell r="CK4164" t="str">
            <v>2024-10-21</v>
          </cell>
          <cell r="CL4164">
            <v>14418.4</v>
          </cell>
          <cell r="CM4164" t="str">
            <v xml:space="preserve">NFT-/XUTR/DEUTH02429530992X </v>
          </cell>
          <cell r="CN4164" t="str">
            <v>2024-10-21</v>
          </cell>
          <cell r="CO4164">
            <v>2296.377</v>
          </cell>
        </row>
        <row r="4165">
          <cell r="CJ4165" t="str">
            <v xml:space="preserve">NFT-/XUTR/DEUTH02429509164X </v>
          </cell>
          <cell r="CK4165" t="str">
            <v>2024-10-21</v>
          </cell>
          <cell r="CL4165">
            <v>14418.4</v>
          </cell>
          <cell r="CM4165" t="str">
            <v xml:space="preserve">NFT-/XUTR/DEUTH02429530992X </v>
          </cell>
          <cell r="CN4165" t="str">
            <v>2024-10-21</v>
          </cell>
          <cell r="CO4165">
            <v>2296.377</v>
          </cell>
        </row>
        <row r="4166">
          <cell r="CJ4166" t="str">
            <v xml:space="preserve">NFT-/XUTR/DEUTH02429509164X </v>
          </cell>
          <cell r="CK4166" t="str">
            <v>2024-10-21</v>
          </cell>
          <cell r="CL4166">
            <v>14669.77</v>
          </cell>
          <cell r="CM4166" t="str">
            <v xml:space="preserve">NFT-/XUTR/DEUTH02429530992X </v>
          </cell>
          <cell r="CN4166" t="str">
            <v>2024-10-21</v>
          </cell>
          <cell r="CO4166">
            <v>1957.65</v>
          </cell>
        </row>
        <row r="4167">
          <cell r="CJ4167" t="str">
            <v xml:space="preserve">NFT-/XUTR/DEUTH02429509164X </v>
          </cell>
          <cell r="CK4167" t="str">
            <v>2024-10-21</v>
          </cell>
          <cell r="CL4167">
            <v>14437.28</v>
          </cell>
          <cell r="CM4167" t="str">
            <v xml:space="preserve">NFT-/XUTR/DEUTH02429530992X </v>
          </cell>
          <cell r="CN4167" t="str">
            <v>2024-10-21</v>
          </cell>
          <cell r="CO4167">
            <v>2296.377</v>
          </cell>
        </row>
        <row r="4168">
          <cell r="CJ4168" t="str">
            <v xml:space="preserve">NFT-/XUTR/DEUTH02429509164X </v>
          </cell>
          <cell r="CK4168" t="str">
            <v>2024-10-21</v>
          </cell>
          <cell r="CL4168">
            <v>14418.4</v>
          </cell>
          <cell r="CM4168" t="str">
            <v xml:space="preserve">NFT-/XUTR/DEUTH02429530992X </v>
          </cell>
          <cell r="CN4168" t="str">
            <v>2024-10-21</v>
          </cell>
          <cell r="CO4168">
            <v>2296.377</v>
          </cell>
        </row>
        <row r="4169">
          <cell r="CJ4169" t="str">
            <v xml:space="preserve">NFT-/XUTR/DEUTH02429509164X </v>
          </cell>
          <cell r="CK4169" t="str">
            <v>2024-10-21</v>
          </cell>
          <cell r="CL4169">
            <v>9460.1710000000003</v>
          </cell>
          <cell r="CM4169" t="str">
            <v xml:space="preserve">NFT-/XUTR/DEUTH02429530992X </v>
          </cell>
          <cell r="CN4169" t="str">
            <v>2024-10-21</v>
          </cell>
          <cell r="CO4169">
            <v>1682.979</v>
          </cell>
        </row>
        <row r="4170">
          <cell r="CJ4170" t="str">
            <v xml:space="preserve">NFT-/XUTR/DEUTH02429509164X </v>
          </cell>
          <cell r="CK4170" t="str">
            <v>2024-10-21</v>
          </cell>
          <cell r="CL4170">
            <v>80296.592000000004</v>
          </cell>
          <cell r="CM4170" t="str">
            <v xml:space="preserve">NFT-/XUTR/DEUTH02429530992X </v>
          </cell>
          <cell r="CN4170" t="str">
            <v>2024-10-21</v>
          </cell>
          <cell r="CO4170">
            <v>2911.7240000000002</v>
          </cell>
        </row>
        <row r="4171">
          <cell r="CJ4171" t="str">
            <v xml:space="preserve">NFT-/XUTR/DEUTH02429509164X </v>
          </cell>
          <cell r="CK4171" t="str">
            <v>2024-10-21</v>
          </cell>
          <cell r="CL4171">
            <v>14437.28</v>
          </cell>
          <cell r="CM4171" t="str">
            <v xml:space="preserve">NFT-/XUTR/DEUTH02429530992X </v>
          </cell>
          <cell r="CN4171" t="str">
            <v>2024-10-21</v>
          </cell>
          <cell r="CO4171">
            <v>2296.377</v>
          </cell>
        </row>
        <row r="4172">
          <cell r="CJ4172" t="str">
            <v xml:space="preserve">NFT-/XUTR/DEUTH02429509164X </v>
          </cell>
          <cell r="CK4172" t="str">
            <v>2024-10-21</v>
          </cell>
          <cell r="CL4172">
            <v>14437.28</v>
          </cell>
          <cell r="CM4172" t="str">
            <v xml:space="preserve">NFT-/XUTR/DEUTH02429530992X </v>
          </cell>
          <cell r="CN4172" t="str">
            <v>2024-10-21</v>
          </cell>
          <cell r="CO4172">
            <v>2296.377</v>
          </cell>
        </row>
        <row r="4173">
          <cell r="CJ4173" t="str">
            <v xml:space="preserve">NFT-/XUTR/DEUTH02429509164X </v>
          </cell>
          <cell r="CK4173" t="str">
            <v>2024-10-21</v>
          </cell>
          <cell r="CL4173">
            <v>14437.28</v>
          </cell>
          <cell r="CM4173" t="str">
            <v xml:space="preserve">NFT-/XUTR/DEUTH02429530992X </v>
          </cell>
          <cell r="CN4173" t="str">
            <v>2024-10-21</v>
          </cell>
          <cell r="CO4173">
            <v>2296.377</v>
          </cell>
        </row>
        <row r="4174">
          <cell r="CJ4174" t="str">
            <v xml:space="preserve">NFT-/XUTR/DEUTH02429509164X </v>
          </cell>
          <cell r="CK4174" t="str">
            <v>2024-10-21</v>
          </cell>
          <cell r="CL4174">
            <v>78414.645999999993</v>
          </cell>
          <cell r="CM4174" t="str">
            <v xml:space="preserve">NFT-/XUTR/DEUTH02429530992X </v>
          </cell>
          <cell r="CN4174" t="str">
            <v>2024-10-21</v>
          </cell>
          <cell r="CO4174">
            <v>3619.277</v>
          </cell>
          <cell r="CP4174" t="str">
            <v xml:space="preserve">NFT-/XUTR/DEUTH024299A09NOX </v>
          </cell>
          <cell r="CQ4174" t="str">
            <v>2024-10-25</v>
          </cell>
          <cell r="CR4174">
            <v>-78414.645999999993</v>
          </cell>
          <cell r="CS4174" t="str">
            <v xml:space="preserve">NFT-/XUTR/DEUTH024309A02A3X </v>
          </cell>
          <cell r="CT4174" t="str">
            <v>2024-11-04</v>
          </cell>
          <cell r="CU4174">
            <v>-3619.277</v>
          </cell>
        </row>
        <row r="4175">
          <cell r="CJ4175" t="str">
            <v xml:space="preserve">NFT-/XUTR/DEUTH02429509164X </v>
          </cell>
          <cell r="CK4175" t="str">
            <v>2024-10-21</v>
          </cell>
          <cell r="CL4175">
            <v>14437.28</v>
          </cell>
          <cell r="CM4175" t="str">
            <v xml:space="preserve">NFT-/XUTR/DEUTH02429530992X </v>
          </cell>
          <cell r="CN4175" t="str">
            <v>2024-10-21</v>
          </cell>
          <cell r="CO4175">
            <v>2296.377</v>
          </cell>
          <cell r="CP4175" t="str">
            <v xml:space="preserve">NFT-/XUTR/DEUTH024299A09NOX </v>
          </cell>
          <cell r="CQ4175" t="str">
            <v>2024-10-25</v>
          </cell>
          <cell r="CR4175">
            <v>-14437.28</v>
          </cell>
          <cell r="CS4175" t="str">
            <v xml:space="preserve">NFT-/XUTR/DEUTH024309A02A3X </v>
          </cell>
          <cell r="CT4175" t="str">
            <v>2024-11-04</v>
          </cell>
          <cell r="CU4175">
            <v>-2296.377</v>
          </cell>
        </row>
        <row r="4176">
          <cell r="CJ4176" t="str">
            <v xml:space="preserve">NFT-/XUTR/DEUTH02429509164X </v>
          </cell>
          <cell r="CK4176" t="str">
            <v>2024-10-21</v>
          </cell>
          <cell r="CL4176">
            <v>14418.4</v>
          </cell>
          <cell r="CM4176" t="str">
            <v xml:space="preserve">NFT-/XUTR/DEUTH02429530992X </v>
          </cell>
          <cell r="CN4176" t="str">
            <v>2024-10-21</v>
          </cell>
          <cell r="CO4176">
            <v>2296.377</v>
          </cell>
        </row>
        <row r="4177">
          <cell r="CJ4177" t="str">
            <v xml:space="preserve">NFT-/XUTR/DEUTH02429509164X </v>
          </cell>
          <cell r="CK4177" t="str">
            <v>2024-10-21</v>
          </cell>
          <cell r="CL4177">
            <v>14418.4</v>
          </cell>
          <cell r="CM4177" t="str">
            <v xml:space="preserve">NFT-/XUTR/DEUTH02429530992X </v>
          </cell>
          <cell r="CN4177" t="str">
            <v>2024-10-21</v>
          </cell>
          <cell r="CO4177">
            <v>2296.377</v>
          </cell>
        </row>
        <row r="4178">
          <cell r="CJ4178" t="str">
            <v xml:space="preserve">NFT-/XUTR/DEUTH02429509164X </v>
          </cell>
          <cell r="CK4178" t="str">
            <v>2024-10-21</v>
          </cell>
          <cell r="CL4178">
            <v>14418.4</v>
          </cell>
          <cell r="CM4178" t="str">
            <v xml:space="preserve">NFT-/XUTR/DEUTH02429530992X </v>
          </cell>
          <cell r="CN4178" t="str">
            <v>2024-10-21</v>
          </cell>
          <cell r="CO4178">
            <v>2296.377</v>
          </cell>
        </row>
        <row r="4179">
          <cell r="CJ4179" t="str">
            <v xml:space="preserve">NFT-/XUTR/DEUTH02429509164X </v>
          </cell>
          <cell r="CK4179" t="str">
            <v>2024-10-21</v>
          </cell>
          <cell r="CL4179">
            <v>14437.28</v>
          </cell>
          <cell r="CM4179" t="str">
            <v xml:space="preserve">NFT-/XUTR/DEUTH02429530992X </v>
          </cell>
          <cell r="CN4179" t="str">
            <v>2024-10-21</v>
          </cell>
          <cell r="CO4179">
            <v>2296.377</v>
          </cell>
        </row>
        <row r="4180">
          <cell r="CJ4180" t="str">
            <v xml:space="preserve">NFT-/XUTR/DEUTH02429509164X </v>
          </cell>
          <cell r="CK4180" t="str">
            <v>2024-10-21</v>
          </cell>
          <cell r="CL4180">
            <v>15893.141</v>
          </cell>
          <cell r="CM4180" t="str">
            <v xml:space="preserve">NFT-/XUTR/DEUTH02429530992X </v>
          </cell>
          <cell r="CN4180" t="str">
            <v>2024-10-21</v>
          </cell>
          <cell r="CO4180">
            <v>840.51499999999999</v>
          </cell>
        </row>
        <row r="4181">
          <cell r="CJ4181" t="str">
            <v xml:space="preserve">NFT-/XUTR/DEUTH02429509164X </v>
          </cell>
          <cell r="CK4181" t="str">
            <v>2024-10-21</v>
          </cell>
          <cell r="CL4181">
            <v>14437.28</v>
          </cell>
          <cell r="CM4181" t="str">
            <v xml:space="preserve">NFT-/XUTR/DEUTH02429530992X </v>
          </cell>
          <cell r="CN4181" t="str">
            <v>2024-10-21</v>
          </cell>
          <cell r="CO4181">
            <v>2296.377</v>
          </cell>
          <cell r="CP4181" t="str">
            <v xml:space="preserve">NFT-/XUTR/DEUTH024299A09NOX </v>
          </cell>
          <cell r="CQ4181" t="str">
            <v>2024-10-25</v>
          </cell>
          <cell r="CR4181">
            <v>-14437.28</v>
          </cell>
          <cell r="CS4181" t="str">
            <v xml:space="preserve">NFT-/XUTR/DEUTH024309A02A3X </v>
          </cell>
          <cell r="CT4181" t="str">
            <v>2024-11-04</v>
          </cell>
          <cell r="CU4181">
            <v>-2296.377</v>
          </cell>
        </row>
        <row r="4182">
          <cell r="CJ4182" t="str">
            <v xml:space="preserve">NFT-/XUTR/DEUTH02429509164X </v>
          </cell>
          <cell r="CK4182" t="str">
            <v>2024-10-21</v>
          </cell>
          <cell r="CL4182">
            <v>14437.28</v>
          </cell>
          <cell r="CM4182" t="str">
            <v xml:space="preserve">NFT-/XUTR/DEUTH02429530992X </v>
          </cell>
          <cell r="CN4182" t="str">
            <v>2024-10-21</v>
          </cell>
          <cell r="CO4182">
            <v>2296.377</v>
          </cell>
        </row>
        <row r="4183">
          <cell r="CJ4183" t="str">
            <v xml:space="preserve">NFT-/XUTR/DEUTH02429509164X </v>
          </cell>
          <cell r="CK4183" t="str">
            <v>2024-10-21</v>
          </cell>
          <cell r="CL4183">
            <v>14437.28</v>
          </cell>
          <cell r="CM4183" t="str">
            <v xml:space="preserve">NFT-/XUTR/DEUTH02429530992X </v>
          </cell>
          <cell r="CN4183" t="str">
            <v>2024-10-21</v>
          </cell>
          <cell r="CO4183">
            <v>2296.377</v>
          </cell>
        </row>
        <row r="4184">
          <cell r="CJ4184" t="str">
            <v xml:space="preserve">NFT-/XUTR/DEUTH02429509164X </v>
          </cell>
          <cell r="CK4184" t="str">
            <v>2024-10-21</v>
          </cell>
          <cell r="CL4184">
            <v>14418.4</v>
          </cell>
          <cell r="CM4184" t="str">
            <v xml:space="preserve">NFT-/XUTR/DEUTH02429530992X </v>
          </cell>
          <cell r="CN4184" t="str">
            <v>2024-10-21</v>
          </cell>
          <cell r="CO4184">
            <v>2296.377</v>
          </cell>
        </row>
        <row r="4185">
          <cell r="CJ4185" t="str">
            <v xml:space="preserve">NFT-/XUTR/DEUTH02429509164X </v>
          </cell>
          <cell r="CK4185" t="str">
            <v>2024-10-21</v>
          </cell>
          <cell r="CL4185">
            <v>14437.28</v>
          </cell>
          <cell r="CM4185" t="str">
            <v xml:space="preserve">NFT-/XUTR/DEUTH02429530992X </v>
          </cell>
          <cell r="CN4185" t="str">
            <v>2024-10-21</v>
          </cell>
          <cell r="CO4185">
            <v>2296.377</v>
          </cell>
        </row>
        <row r="4186">
          <cell r="CJ4186" t="str">
            <v xml:space="preserve">NFT-/XUTR/DEUTH02429509164X </v>
          </cell>
          <cell r="CK4186" t="str">
            <v>2024-10-21</v>
          </cell>
          <cell r="CL4186">
            <v>14437.28</v>
          </cell>
          <cell r="CM4186" t="str">
            <v xml:space="preserve">NFT-/XUTR/DEUTH02429530992X </v>
          </cell>
          <cell r="CN4186" t="str">
            <v>2024-10-21</v>
          </cell>
          <cell r="CO4186">
            <v>2296.377</v>
          </cell>
        </row>
        <row r="4187">
          <cell r="CJ4187" t="str">
            <v xml:space="preserve">NFT-/XUTR/DEUTH02429509164X </v>
          </cell>
          <cell r="CK4187" t="str">
            <v>2024-10-21</v>
          </cell>
          <cell r="CL4187">
            <v>14437.28</v>
          </cell>
          <cell r="CM4187" t="str">
            <v xml:space="preserve">NFT-/XUTR/DEUTH02429530992X </v>
          </cell>
          <cell r="CN4187" t="str">
            <v>2024-10-21</v>
          </cell>
          <cell r="CO4187">
            <v>2296.377</v>
          </cell>
        </row>
        <row r="4188">
          <cell r="CJ4188" t="str">
            <v xml:space="preserve">NFT-/XUTR/DEUTH02429509164X </v>
          </cell>
          <cell r="CK4188" t="str">
            <v>2024-10-21</v>
          </cell>
          <cell r="CL4188">
            <v>14437.28</v>
          </cell>
          <cell r="CM4188" t="str">
            <v xml:space="preserve">NFT-/XUTR/DEUTH02429530992X </v>
          </cell>
          <cell r="CN4188" t="str">
            <v>2024-10-21</v>
          </cell>
          <cell r="CO4188">
            <v>2296.377</v>
          </cell>
        </row>
        <row r="4189">
          <cell r="CJ4189" t="str">
            <v xml:space="preserve">NFT-/XUTR/DEUTH02429509164X </v>
          </cell>
          <cell r="CK4189" t="str">
            <v>2024-10-21</v>
          </cell>
          <cell r="CL4189">
            <v>14437.28</v>
          </cell>
          <cell r="CM4189" t="str">
            <v xml:space="preserve">NFT-/XUTR/DEUTH02429530992X </v>
          </cell>
          <cell r="CN4189" t="str">
            <v>2024-10-21</v>
          </cell>
          <cell r="CO4189">
            <v>2296.377</v>
          </cell>
        </row>
        <row r="4190">
          <cell r="CJ4190" t="str">
            <v xml:space="preserve">NFT-/XUTR/DEUTH02429509164X </v>
          </cell>
          <cell r="CK4190" t="str">
            <v>2024-10-21</v>
          </cell>
          <cell r="CL4190">
            <v>77666.339000000007</v>
          </cell>
          <cell r="CM4190" t="str">
            <v xml:space="preserve">NFT-/XUTR/DEUTH02429530992X </v>
          </cell>
          <cell r="CN4190" t="str">
            <v>2024-10-21</v>
          </cell>
          <cell r="CO4190">
            <v>4367.585</v>
          </cell>
        </row>
        <row r="4191">
          <cell r="CJ4191" t="str">
            <v xml:space="preserve">NFT-/XUTR/DEUTH02429509164X </v>
          </cell>
          <cell r="CK4191" t="str">
            <v>2024-10-21</v>
          </cell>
          <cell r="CL4191">
            <v>79122.2</v>
          </cell>
          <cell r="CM4191" t="str">
            <v xml:space="preserve">NFT-/XUTR/DEUTH02429530992X </v>
          </cell>
          <cell r="CN4191" t="str">
            <v>2024-10-21</v>
          </cell>
          <cell r="CO4191">
            <v>2911.7240000000002</v>
          </cell>
        </row>
        <row r="4192">
          <cell r="CJ4192" t="str">
            <v xml:space="preserve">NFT-/XUTR/DEUTH02429509164X </v>
          </cell>
          <cell r="CK4192" t="str">
            <v>2024-10-21</v>
          </cell>
          <cell r="CL4192">
            <v>14418.4</v>
          </cell>
          <cell r="CM4192" t="str">
            <v xml:space="preserve">NFT-/XUTR/DEUTH02429530992X </v>
          </cell>
          <cell r="CN4192" t="str">
            <v>2024-10-21</v>
          </cell>
          <cell r="CO4192">
            <v>2296.377</v>
          </cell>
        </row>
        <row r="4193">
          <cell r="CJ4193" t="str">
            <v xml:space="preserve">NFT-/XUTR/DEUTH02429509164X </v>
          </cell>
          <cell r="CK4193" t="str">
            <v>2024-10-21</v>
          </cell>
          <cell r="CL4193">
            <v>14418.4</v>
          </cell>
          <cell r="CM4193" t="str">
            <v xml:space="preserve">NFT-/XUTR/DEUTH02429530992X </v>
          </cell>
          <cell r="CN4193" t="str">
            <v>2024-10-21</v>
          </cell>
          <cell r="CO4193">
            <v>2296.377</v>
          </cell>
        </row>
        <row r="4194">
          <cell r="CJ4194" t="str">
            <v xml:space="preserve">NFT-/XUTR/DEUTH02429509164X </v>
          </cell>
          <cell r="CK4194" t="str">
            <v>2024-10-21</v>
          </cell>
          <cell r="CL4194">
            <v>13845.755999999999</v>
          </cell>
          <cell r="CM4194" t="str">
            <v xml:space="preserve">NFT-/XUTR/DEUTH02429530992X </v>
          </cell>
          <cell r="CN4194" t="str">
            <v>2024-10-21</v>
          </cell>
          <cell r="CO4194">
            <v>2869.02</v>
          </cell>
        </row>
        <row r="4195">
          <cell r="CJ4195" t="str">
            <v xml:space="preserve">NFT-/XUTR/DEUTH02429509164X </v>
          </cell>
          <cell r="CK4195" t="str">
            <v>2024-10-21</v>
          </cell>
          <cell r="CL4195">
            <v>37552.044999999998</v>
          </cell>
          <cell r="CM4195" t="str">
            <v xml:space="preserve">NFT-/XUTR/DEUTH02429530992X </v>
          </cell>
          <cell r="CN4195" t="str">
            <v>2024-10-21</v>
          </cell>
          <cell r="CO4195">
            <v>3514.4470000000001</v>
          </cell>
        </row>
        <row r="4196">
          <cell r="CJ4196" t="str">
            <v xml:space="preserve">NFT-/XUTR/DEUTH02429509164X </v>
          </cell>
          <cell r="CK4196" t="str">
            <v>2024-10-21</v>
          </cell>
          <cell r="CL4196">
            <v>14437.28</v>
          </cell>
          <cell r="CM4196" t="str">
            <v xml:space="preserve">NFT-/XUTR/DEUTH02429530992X </v>
          </cell>
          <cell r="CN4196" t="str">
            <v>2024-10-21</v>
          </cell>
          <cell r="CO4196">
            <v>2296.377</v>
          </cell>
        </row>
        <row r="4197">
          <cell r="CJ4197" t="str">
            <v xml:space="preserve">NFT-/XUTR/DEUTH02429509164X </v>
          </cell>
          <cell r="CK4197" t="str">
            <v>2024-10-21</v>
          </cell>
          <cell r="CL4197">
            <v>14418.4</v>
          </cell>
          <cell r="CM4197" t="str">
            <v xml:space="preserve">NFT-/XUTR/DEUTH02429530992X </v>
          </cell>
          <cell r="CN4197" t="str">
            <v>2024-10-21</v>
          </cell>
          <cell r="CO4197">
            <v>2296.377</v>
          </cell>
          <cell r="CP4197" t="str">
            <v xml:space="preserve">NFT-/XUTR/DEUTH02430209185X </v>
          </cell>
          <cell r="CQ4197" t="str">
            <v>2024-10-28</v>
          </cell>
          <cell r="CR4197">
            <v>-14418.4</v>
          </cell>
          <cell r="CS4197" t="str">
            <v xml:space="preserve">NFT-/XUTR/DEUTH024309A02A3X </v>
          </cell>
          <cell r="CT4197" t="str">
            <v>2024-11-04</v>
          </cell>
          <cell r="CU4197">
            <v>-2296.377</v>
          </cell>
        </row>
        <row r="4198">
          <cell r="CJ4198" t="str">
            <v xml:space="preserve">NFT-/XUTR/DEUTH02429509164X </v>
          </cell>
          <cell r="CK4198" t="str">
            <v>2024-10-21</v>
          </cell>
          <cell r="CL4198">
            <v>14437.28</v>
          </cell>
          <cell r="CM4198" t="str">
            <v xml:space="preserve">NFT-/XUTR/DEUTH02429530992X </v>
          </cell>
          <cell r="CN4198" t="str">
            <v>2024-10-21</v>
          </cell>
          <cell r="CO4198">
            <v>2296.377</v>
          </cell>
        </row>
        <row r="4199">
          <cell r="CJ4199" t="str">
            <v xml:space="preserve">NFT-/XUTR/DEUTH02429509164X </v>
          </cell>
          <cell r="CK4199" t="str">
            <v>2024-10-21</v>
          </cell>
          <cell r="CL4199">
            <v>14437.28</v>
          </cell>
          <cell r="CM4199" t="str">
            <v xml:space="preserve">NFT-/XUTR/DEUTH02429530992X </v>
          </cell>
          <cell r="CN4199" t="str">
            <v>2024-10-21</v>
          </cell>
          <cell r="CO4199">
            <v>2296.377</v>
          </cell>
        </row>
        <row r="4200">
          <cell r="CJ4200" t="str">
            <v xml:space="preserve">NFT-/XUTR/DEUTH02429509164X </v>
          </cell>
          <cell r="CK4200" t="str">
            <v>2024-10-21</v>
          </cell>
          <cell r="CL4200">
            <v>14437.28</v>
          </cell>
          <cell r="CM4200" t="str">
            <v xml:space="preserve">NFT-/XUTR/DEUTH02429530992X </v>
          </cell>
          <cell r="CN4200" t="str">
            <v>2024-10-21</v>
          </cell>
          <cell r="CO4200">
            <v>2296.377</v>
          </cell>
          <cell r="CP4200" t="str">
            <v xml:space="preserve">NFT-/XUTR/DEUTH024299A09NOX </v>
          </cell>
          <cell r="CQ4200" t="str">
            <v>2024-10-25</v>
          </cell>
          <cell r="CR4200">
            <v>-14437.28</v>
          </cell>
          <cell r="CS4200" t="str">
            <v xml:space="preserve">NFT-/XUTR/DEUTH024309A02A3X </v>
          </cell>
          <cell r="CT4200" t="str">
            <v>2024-11-04</v>
          </cell>
          <cell r="CU4200">
            <v>-2296.377</v>
          </cell>
        </row>
        <row r="4201">
          <cell r="CJ4201" t="str">
            <v xml:space="preserve">NFT-/XUTR/DEUTH02429509164X </v>
          </cell>
          <cell r="CK4201" t="str">
            <v>2024-10-21</v>
          </cell>
          <cell r="CL4201">
            <v>14437.28</v>
          </cell>
          <cell r="CM4201" t="str">
            <v xml:space="preserve">NFT-/XUTR/DEUTH02429530992X </v>
          </cell>
          <cell r="CN4201" t="str">
            <v>2024-10-21</v>
          </cell>
          <cell r="CO4201">
            <v>2296.377</v>
          </cell>
          <cell r="CP4201" t="str">
            <v xml:space="preserve">NFT-/XUTR/DEUTH024299A09NOX </v>
          </cell>
          <cell r="CQ4201" t="str">
            <v>2024-10-25</v>
          </cell>
          <cell r="CR4201">
            <v>-14437.28</v>
          </cell>
          <cell r="CS4201" t="str">
            <v xml:space="preserve">NFT-/XUTR/DEUTH024309A02A3X </v>
          </cell>
          <cell r="CT4201" t="str">
            <v>2024-11-04</v>
          </cell>
          <cell r="CU4201">
            <v>-2296.377</v>
          </cell>
        </row>
        <row r="4202">
          <cell r="CJ4202" t="str">
            <v xml:space="preserve">NFT-/XUTR/DEUTH02429509164X </v>
          </cell>
          <cell r="CK4202" t="str">
            <v>2024-10-21</v>
          </cell>
          <cell r="CL4202">
            <v>14418.4</v>
          </cell>
          <cell r="CM4202" t="str">
            <v xml:space="preserve">NFT-/XUTR/DEUTH02429530992X </v>
          </cell>
          <cell r="CN4202" t="str">
            <v>2024-10-21</v>
          </cell>
          <cell r="CO4202">
            <v>2296.377</v>
          </cell>
        </row>
        <row r="4203">
          <cell r="CJ4203" t="str">
            <v xml:space="preserve">NFT-/XUTR/DEUTH02429509164X </v>
          </cell>
          <cell r="CK4203" t="str">
            <v>2024-10-21</v>
          </cell>
          <cell r="CL4203">
            <v>13638.493</v>
          </cell>
          <cell r="CM4203" t="str">
            <v xml:space="preserve">NFT-/XUTR/DEUTH02429530992X </v>
          </cell>
          <cell r="CN4203" t="str">
            <v>2024-10-21</v>
          </cell>
          <cell r="CO4203">
            <v>3095.1619999999998</v>
          </cell>
        </row>
        <row r="4204">
          <cell r="CJ4204" t="str">
            <v xml:space="preserve">NFT-/XUTR/DEUTH02429509164X </v>
          </cell>
          <cell r="CK4204" t="str">
            <v>2024-10-21</v>
          </cell>
          <cell r="CL4204">
            <v>14418.4</v>
          </cell>
          <cell r="CM4204" t="str">
            <v xml:space="preserve">NFT-/XUTR/DEUTH02429530992X </v>
          </cell>
          <cell r="CN4204" t="str">
            <v>2024-10-21</v>
          </cell>
          <cell r="CO4204">
            <v>2296.377</v>
          </cell>
        </row>
        <row r="4205">
          <cell r="CJ4205" t="str">
            <v xml:space="preserve">NFT-/XUTR/DEUTH02429509164X </v>
          </cell>
          <cell r="CK4205" t="str">
            <v>2024-10-21</v>
          </cell>
          <cell r="CL4205">
            <v>14437.28</v>
          </cell>
          <cell r="CM4205" t="str">
            <v xml:space="preserve">NFT-/XUTR/DEUTH02429530992X </v>
          </cell>
          <cell r="CN4205" t="str">
            <v>2024-10-21</v>
          </cell>
          <cell r="CO4205">
            <v>2296.377</v>
          </cell>
          <cell r="CP4205" t="str">
            <v xml:space="preserve">NFT-/XUTR/DEUTH024299A09NOX </v>
          </cell>
          <cell r="CQ4205" t="str">
            <v>2024-10-25</v>
          </cell>
          <cell r="CR4205">
            <v>-14437.28</v>
          </cell>
          <cell r="CS4205" t="str">
            <v xml:space="preserve">NFT-/XUTR/DEUTH024309A02A3X </v>
          </cell>
          <cell r="CT4205" t="str">
            <v>2024-11-04</v>
          </cell>
          <cell r="CU4205">
            <v>-2296.377</v>
          </cell>
        </row>
        <row r="4206">
          <cell r="CJ4206" t="str">
            <v xml:space="preserve">NFT-/XUTR/DEUTH02429509164X </v>
          </cell>
          <cell r="CK4206" t="str">
            <v>2024-10-21</v>
          </cell>
          <cell r="CL4206">
            <v>14418.4</v>
          </cell>
          <cell r="CM4206" t="str">
            <v xml:space="preserve">NFT-/XUTR/DEUTH02429530992X </v>
          </cell>
          <cell r="CN4206" t="str">
            <v>2024-10-21</v>
          </cell>
          <cell r="CO4206">
            <v>2296.377</v>
          </cell>
        </row>
        <row r="4207">
          <cell r="CJ4207" t="str">
            <v xml:space="preserve">NFT-/XUTR/DEUTH02429509164X </v>
          </cell>
          <cell r="CK4207" t="str">
            <v>2024-10-21</v>
          </cell>
          <cell r="CL4207">
            <v>15893.141</v>
          </cell>
          <cell r="CM4207" t="str">
            <v xml:space="preserve">NFT-/XUTR/DEUTH02429530992X </v>
          </cell>
          <cell r="CN4207" t="str">
            <v>2024-10-21</v>
          </cell>
          <cell r="CO4207">
            <v>840.51499999999999</v>
          </cell>
        </row>
        <row r="4208">
          <cell r="CJ4208" t="str">
            <v xml:space="preserve">NFT-/XUTR/DEUTH02429509164X </v>
          </cell>
          <cell r="CK4208" t="str">
            <v>2024-10-21</v>
          </cell>
          <cell r="CL4208">
            <v>14437.28</v>
          </cell>
          <cell r="CM4208" t="str">
            <v xml:space="preserve">NFT-/XUTR/DEUTH02429530992X </v>
          </cell>
          <cell r="CN4208" t="str">
            <v>2024-10-21</v>
          </cell>
          <cell r="CO4208">
            <v>2296.377</v>
          </cell>
        </row>
        <row r="4209">
          <cell r="CJ4209" t="str">
            <v xml:space="preserve">NFT-/XUTR/DEUTH02429509164X </v>
          </cell>
          <cell r="CK4209" t="str">
            <v>2024-10-21</v>
          </cell>
          <cell r="CL4209">
            <v>14437.28</v>
          </cell>
          <cell r="CM4209" t="str">
            <v xml:space="preserve">NFT-/XUTR/DEUTH02429530992X </v>
          </cell>
          <cell r="CN4209" t="str">
            <v>2024-10-21</v>
          </cell>
          <cell r="CO4209">
            <v>2296.377</v>
          </cell>
          <cell r="CP4209" t="str">
            <v xml:space="preserve">NFT-/XUTR/DEUTH024299A09NOX </v>
          </cell>
          <cell r="CQ4209" t="str">
            <v>2024-10-25</v>
          </cell>
          <cell r="CR4209">
            <v>-14437.28</v>
          </cell>
          <cell r="CS4209" t="str">
            <v xml:space="preserve">NFT-/XUTR/DEUTH024309A02A3X </v>
          </cell>
          <cell r="CT4209" t="str">
            <v>2024-11-04</v>
          </cell>
          <cell r="CU4209">
            <v>-2296.377</v>
          </cell>
        </row>
        <row r="4210">
          <cell r="CJ4210" t="str">
            <v xml:space="preserve">NFT-/XUTR/DEUTH02429509164X </v>
          </cell>
          <cell r="CK4210" t="str">
            <v>2024-10-21</v>
          </cell>
          <cell r="CL4210">
            <v>14418.4</v>
          </cell>
          <cell r="CM4210" t="str">
            <v xml:space="preserve">NFT-/XUTR/DEUTH02429530992X </v>
          </cell>
          <cell r="CN4210" t="str">
            <v>2024-10-21</v>
          </cell>
          <cell r="CO4210">
            <v>2296.377</v>
          </cell>
        </row>
        <row r="4211">
          <cell r="CJ4211" t="str">
            <v xml:space="preserve">NFT-/XUTR/DEUTH02429509164X </v>
          </cell>
          <cell r="CK4211" t="str">
            <v>2024-10-21</v>
          </cell>
          <cell r="CL4211">
            <v>14437.28</v>
          </cell>
          <cell r="CM4211" t="str">
            <v xml:space="preserve">NFT-/XUTR/DEUTH02429530992X </v>
          </cell>
          <cell r="CN4211" t="str">
            <v>2024-10-21</v>
          </cell>
          <cell r="CO4211">
            <v>2296.377</v>
          </cell>
        </row>
        <row r="4212">
          <cell r="CJ4212" t="str">
            <v xml:space="preserve">NFT-/XUTR/DEUTH02429509164X </v>
          </cell>
          <cell r="CK4212" t="str">
            <v>2024-10-21</v>
          </cell>
          <cell r="CL4212">
            <v>13638.494000000001</v>
          </cell>
          <cell r="CM4212" t="str">
            <v xml:space="preserve">NFT-/XUTR/DEUTH02429530992X </v>
          </cell>
          <cell r="CN4212" t="str">
            <v>2024-10-21</v>
          </cell>
          <cell r="CO4212">
            <v>3095.163</v>
          </cell>
        </row>
        <row r="4213">
          <cell r="CJ4213" t="str">
            <v xml:space="preserve">NFT-/XUTR/DEUTH02429509164X </v>
          </cell>
          <cell r="CK4213" t="str">
            <v>2024-10-21</v>
          </cell>
          <cell r="CL4213">
            <v>13638.494000000001</v>
          </cell>
          <cell r="CM4213" t="str">
            <v xml:space="preserve">NFT-/XUTR/DEUTH02429530992X </v>
          </cell>
          <cell r="CN4213" t="str">
            <v>2024-10-21</v>
          </cell>
          <cell r="CO4213">
            <v>3095.163</v>
          </cell>
          <cell r="CP4213" t="str">
            <v xml:space="preserve">NFT-/XUTR/DEUTH024299A09NOX </v>
          </cell>
          <cell r="CQ4213" t="str">
            <v>2024-10-25</v>
          </cell>
          <cell r="CR4213">
            <v>-13638.494000000001</v>
          </cell>
          <cell r="CS4213" t="str">
            <v xml:space="preserve">NFT-/XUTR/DEUTH024309A02A3X </v>
          </cell>
          <cell r="CT4213" t="str">
            <v>2024-11-04</v>
          </cell>
          <cell r="CU4213">
            <v>-3095.163</v>
          </cell>
        </row>
        <row r="4214">
          <cell r="CJ4214" t="str">
            <v xml:space="preserve">NFT-/XUTR/DEUTH02429509164X </v>
          </cell>
          <cell r="CK4214" t="str">
            <v>2024-10-21</v>
          </cell>
          <cell r="CL4214">
            <v>14418.4</v>
          </cell>
          <cell r="CM4214" t="str">
            <v xml:space="preserve">NFT-/XUTR/DEUTH02429530992X </v>
          </cell>
          <cell r="CN4214" t="str">
            <v>2024-10-21</v>
          </cell>
          <cell r="CO4214">
            <v>2296.377</v>
          </cell>
        </row>
        <row r="4215">
          <cell r="CJ4215" t="str">
            <v xml:space="preserve">NFT-/XUTR/DEUTH02429509164X </v>
          </cell>
          <cell r="CK4215" t="str">
            <v>2024-10-21</v>
          </cell>
          <cell r="CL4215">
            <v>39026.786</v>
          </cell>
          <cell r="CM4215" t="str">
            <v xml:space="preserve">NFT-/XUTR/DEUTH02429530992X </v>
          </cell>
          <cell r="CN4215" t="str">
            <v>2024-10-21</v>
          </cell>
          <cell r="CO4215">
            <v>2058.585</v>
          </cell>
        </row>
        <row r="4216">
          <cell r="CJ4216" t="str">
            <v xml:space="preserve">NFT-/XUTR/DEUTH02429509164X </v>
          </cell>
          <cell r="CK4216" t="str">
            <v>2024-10-21</v>
          </cell>
          <cell r="CL4216">
            <v>14418.4</v>
          </cell>
          <cell r="CM4216" t="str">
            <v xml:space="preserve">NFT-/XUTR/DEUTH02429530992X </v>
          </cell>
          <cell r="CN4216" t="str">
            <v>2024-10-21</v>
          </cell>
          <cell r="CO4216">
            <v>2296.377</v>
          </cell>
        </row>
        <row r="4217">
          <cell r="CJ4217" t="str">
            <v xml:space="preserve">NFT-/XUTR/DEUTH02429509164X </v>
          </cell>
          <cell r="CK4217" t="str">
            <v>2024-10-21</v>
          </cell>
          <cell r="CL4217">
            <v>39580.016000000003</v>
          </cell>
          <cell r="CM4217" t="str">
            <v xml:space="preserve">NFT-/XUTR/DEUTH02429530992X </v>
          </cell>
          <cell r="CN4217" t="str">
            <v>2024-10-21</v>
          </cell>
          <cell r="CO4217">
            <v>2087.71</v>
          </cell>
          <cell r="CP4217" t="str">
            <v xml:space="preserve">NFT-/XUTR/DEUTH024299A09NOX </v>
          </cell>
          <cell r="CQ4217" t="str">
            <v>2024-10-25</v>
          </cell>
          <cell r="CR4217">
            <v>-39580.016000000003</v>
          </cell>
          <cell r="CS4217" t="str">
            <v xml:space="preserve">NFT-/XUTR/DEUTH024309A02A3X </v>
          </cell>
          <cell r="CT4217" t="str">
            <v>2024-11-04</v>
          </cell>
          <cell r="CU4217">
            <v>-2087.71</v>
          </cell>
        </row>
        <row r="4218">
          <cell r="CJ4218" t="str">
            <v xml:space="preserve">NFT-/XUTR/DEUTH02429509164X </v>
          </cell>
          <cell r="CK4218" t="str">
            <v>2024-10-21</v>
          </cell>
          <cell r="CL4218">
            <v>38962.29</v>
          </cell>
          <cell r="CM4218" t="str">
            <v xml:space="preserve">NFT-/XUTR/DEUTH02429530992X </v>
          </cell>
          <cell r="CN4218" t="str">
            <v>2024-10-21</v>
          </cell>
          <cell r="CO4218">
            <v>2104.21</v>
          </cell>
        </row>
        <row r="4219">
          <cell r="CJ4219" t="str">
            <v xml:space="preserve">NFT-/XUTR/DEUTH02429509164X </v>
          </cell>
          <cell r="CK4219" t="str">
            <v>2024-10-21</v>
          </cell>
          <cell r="CL4219">
            <v>14437.28</v>
          </cell>
          <cell r="CM4219" t="str">
            <v xml:space="preserve">NFT-/XUTR/DEUTH02429530992X </v>
          </cell>
          <cell r="CN4219" t="str">
            <v>2024-10-21</v>
          </cell>
          <cell r="CO4219">
            <v>2296.377</v>
          </cell>
          <cell r="CP4219" t="str">
            <v xml:space="preserve">NFT-/XUTR/DEUTH024299A09NOX </v>
          </cell>
          <cell r="CQ4219" t="str">
            <v>2024-10-25</v>
          </cell>
          <cell r="CR4219">
            <v>-14437.28</v>
          </cell>
          <cell r="CS4219" t="str">
            <v xml:space="preserve">NFT-/XUTR/DEUTH024309A02A3X </v>
          </cell>
          <cell r="CT4219" t="str">
            <v>2024-11-04</v>
          </cell>
          <cell r="CU4219">
            <v>-2296.377</v>
          </cell>
        </row>
        <row r="4220">
          <cell r="CJ4220" t="str">
            <v xml:space="preserve">NFT-/XUTR/DEUTH02429509164X </v>
          </cell>
          <cell r="CK4220" t="str">
            <v>2024-10-21</v>
          </cell>
          <cell r="CL4220">
            <v>15893.141</v>
          </cell>
          <cell r="CM4220" t="str">
            <v xml:space="preserve">NFT-/XUTR/DEUTH02429530992X </v>
          </cell>
          <cell r="CN4220" t="str">
            <v>2024-10-21</v>
          </cell>
          <cell r="CO4220">
            <v>840.51499999999999</v>
          </cell>
        </row>
        <row r="4221">
          <cell r="CJ4221" t="str">
            <v xml:space="preserve">NFT-/XUTR/DEUTH02429509164X </v>
          </cell>
          <cell r="CK4221" t="str">
            <v>2024-10-21</v>
          </cell>
          <cell r="CL4221">
            <v>14437.28</v>
          </cell>
          <cell r="CM4221" t="str">
            <v xml:space="preserve">NFT-/XUTR/DEUTH02429530992X </v>
          </cell>
          <cell r="CN4221" t="str">
            <v>2024-10-21</v>
          </cell>
          <cell r="CO4221">
            <v>2296.377</v>
          </cell>
        </row>
        <row r="4222">
          <cell r="CJ4222" t="str">
            <v xml:space="preserve">NFT-/XUTR/DEUTH02429509164X </v>
          </cell>
          <cell r="CK4222" t="str">
            <v>2024-10-21</v>
          </cell>
          <cell r="CL4222">
            <v>14437.28</v>
          </cell>
          <cell r="CM4222" t="str">
            <v xml:space="preserve">NFT-/XUTR/DEUTH02429530992X </v>
          </cell>
          <cell r="CN4222" t="str">
            <v>2024-10-21</v>
          </cell>
          <cell r="CO4222">
            <v>2296.377</v>
          </cell>
        </row>
        <row r="4223">
          <cell r="CJ4223" t="str">
            <v xml:space="preserve">NFT-/XUTR/DEUTH02429509164X </v>
          </cell>
          <cell r="CK4223" t="str">
            <v>2024-10-21</v>
          </cell>
          <cell r="CL4223">
            <v>14437.28</v>
          </cell>
          <cell r="CM4223" t="str">
            <v xml:space="preserve">NFT-/XUTR/DEUTH02429530992X </v>
          </cell>
          <cell r="CN4223" t="str">
            <v>2024-10-21</v>
          </cell>
          <cell r="CO4223">
            <v>2296.377</v>
          </cell>
        </row>
        <row r="4224">
          <cell r="CJ4224" t="str">
            <v xml:space="preserve">NFT-/XUTR/DEUTH02429509164X </v>
          </cell>
          <cell r="CK4224" t="str">
            <v>2024-10-21</v>
          </cell>
          <cell r="CL4224">
            <v>14437.28</v>
          </cell>
          <cell r="CM4224" t="str">
            <v xml:space="preserve">NFT-/XUTR/DEUTH02429530992X </v>
          </cell>
          <cell r="CN4224" t="str">
            <v>2024-10-21</v>
          </cell>
          <cell r="CO4224">
            <v>2296.377</v>
          </cell>
          <cell r="CP4224" t="str">
            <v xml:space="preserve">NFT-/XUTR/DEUTH024304A0ENJX </v>
          </cell>
          <cell r="CQ4224" t="str">
            <v>2024-10-30</v>
          </cell>
          <cell r="CR4224">
            <v>-14437.28</v>
          </cell>
          <cell r="CS4224" t="str">
            <v xml:space="preserve">NFT-/XUTR/DEUTH024309A02A3X </v>
          </cell>
          <cell r="CT4224" t="str">
            <v>2024-11-04</v>
          </cell>
          <cell r="CU4224">
            <v>-2296.377</v>
          </cell>
        </row>
        <row r="4225">
          <cell r="CJ4225" t="str">
            <v xml:space="preserve">NFT-/XUTR/DEUTH02429509164X </v>
          </cell>
          <cell r="CK4225" t="str">
            <v>2024-10-21</v>
          </cell>
          <cell r="CL4225">
            <v>14437.28</v>
          </cell>
          <cell r="CM4225" t="str">
            <v xml:space="preserve">NFT-/XUTR/DEUTH02429530992X </v>
          </cell>
          <cell r="CN4225" t="str">
            <v>2024-10-21</v>
          </cell>
          <cell r="CO4225">
            <v>2296.377</v>
          </cell>
          <cell r="CP4225" t="str">
            <v xml:space="preserve">NFT-/XUTR/DEUTH024299A09NOX </v>
          </cell>
          <cell r="CQ4225" t="str">
            <v>2024-10-25</v>
          </cell>
          <cell r="CR4225">
            <v>-14437.28</v>
          </cell>
          <cell r="CS4225" t="str">
            <v xml:space="preserve">NFT-/XUTR/DEUTH024309A02A3X </v>
          </cell>
          <cell r="CT4225" t="str">
            <v>2024-11-04</v>
          </cell>
          <cell r="CU4225">
            <v>-2296.377</v>
          </cell>
        </row>
        <row r="4226">
          <cell r="CJ4226" t="str">
            <v xml:space="preserve">NFT-/XUTR/DEUTH02429509164X </v>
          </cell>
          <cell r="CK4226" t="str">
            <v>2024-10-21</v>
          </cell>
          <cell r="CL4226">
            <v>14418.4</v>
          </cell>
          <cell r="CM4226" t="str">
            <v xml:space="preserve">NFT-/XUTR/DEUTH02429530992X </v>
          </cell>
          <cell r="CN4226" t="str">
            <v>2024-10-21</v>
          </cell>
          <cell r="CO4226">
            <v>2296.377</v>
          </cell>
        </row>
        <row r="4227">
          <cell r="CJ4227" t="str">
            <v xml:space="preserve">NFT-/XUTR/DEUTH02429509164X </v>
          </cell>
          <cell r="CK4227" t="str">
            <v>2024-10-21</v>
          </cell>
          <cell r="CL4227">
            <v>14437.28</v>
          </cell>
          <cell r="CM4227" t="str">
            <v xml:space="preserve">NFT-/XUTR/DEUTH02429530992X </v>
          </cell>
          <cell r="CN4227" t="str">
            <v>2024-10-21</v>
          </cell>
          <cell r="CO4227">
            <v>2296.377</v>
          </cell>
        </row>
        <row r="4228">
          <cell r="CJ4228" t="str">
            <v xml:space="preserve">NFT-/XUTR/DEUTH02429509164X </v>
          </cell>
          <cell r="CK4228" t="str">
            <v>2024-10-21</v>
          </cell>
          <cell r="CL4228">
            <v>14437.28</v>
          </cell>
          <cell r="CM4228" t="str">
            <v xml:space="preserve">NFT-/XUTR/DEUTH02429530992X </v>
          </cell>
          <cell r="CN4228" t="str">
            <v>2024-10-21</v>
          </cell>
          <cell r="CO4228">
            <v>2296.377</v>
          </cell>
        </row>
        <row r="4229">
          <cell r="CJ4229" t="str">
            <v xml:space="preserve">NFT-/XUTR/DEUTH02429509164X </v>
          </cell>
          <cell r="CK4229" t="str">
            <v>2024-10-21</v>
          </cell>
          <cell r="CL4229">
            <v>14437.28</v>
          </cell>
          <cell r="CM4229" t="str">
            <v xml:space="preserve">NFT-/XUTR/DEUTH02429530992X </v>
          </cell>
          <cell r="CN4229" t="str">
            <v>2024-10-21</v>
          </cell>
          <cell r="CO4229">
            <v>2296.377</v>
          </cell>
        </row>
        <row r="4230">
          <cell r="CJ4230" t="str">
            <v xml:space="preserve">NFT-/XUTR/DEUTH02429509164X </v>
          </cell>
          <cell r="CK4230" t="str">
            <v>2024-10-21</v>
          </cell>
          <cell r="CL4230">
            <v>14437.28</v>
          </cell>
          <cell r="CM4230" t="str">
            <v xml:space="preserve">NFT-/XUTR/DEUTH02429530992X </v>
          </cell>
          <cell r="CN4230" t="str">
            <v>2024-10-21</v>
          </cell>
          <cell r="CO4230">
            <v>2296.377</v>
          </cell>
        </row>
        <row r="4231">
          <cell r="CJ4231" t="str">
            <v xml:space="preserve">NFT-/XUTR/DEUTH02429509164X </v>
          </cell>
          <cell r="CK4231" t="str">
            <v>2024-10-21</v>
          </cell>
          <cell r="CL4231">
            <v>14418.4</v>
          </cell>
          <cell r="CM4231" t="str">
            <v xml:space="preserve">NFT-/XUTR/DEUTH02429530992X </v>
          </cell>
          <cell r="CN4231" t="str">
            <v>2024-10-21</v>
          </cell>
          <cell r="CO4231">
            <v>2296.377</v>
          </cell>
        </row>
        <row r="4232">
          <cell r="CJ4232" t="str">
            <v xml:space="preserve">NFT-/XUTR/DEUTH02429509164X </v>
          </cell>
          <cell r="CK4232" t="str">
            <v>2024-10-21</v>
          </cell>
          <cell r="CL4232">
            <v>14418.4</v>
          </cell>
          <cell r="CM4232" t="str">
            <v xml:space="preserve">NFT-/XUTR/DEUTH02429530992X </v>
          </cell>
          <cell r="CN4232" t="str">
            <v>2024-10-21</v>
          </cell>
          <cell r="CO4232">
            <v>2296.377</v>
          </cell>
        </row>
        <row r="4233">
          <cell r="CJ4233" t="str">
            <v xml:space="preserve">NFT-/XUTR/DEUTH02429509164X </v>
          </cell>
          <cell r="CK4233" t="str">
            <v>2024-10-21</v>
          </cell>
          <cell r="CL4233">
            <v>14285.428</v>
          </cell>
          <cell r="CM4233" t="str">
            <v xml:space="preserve">NFT-/XUTR/DEUTH02429530992X </v>
          </cell>
          <cell r="CN4233" t="str">
            <v>2024-10-21</v>
          </cell>
          <cell r="CO4233">
            <v>2429.3490000000002</v>
          </cell>
        </row>
        <row r="4234">
          <cell r="CJ4234" t="str">
            <v xml:space="preserve">NFT-/XUTR/DEUTH02429509164X </v>
          </cell>
          <cell r="CK4234" t="str">
            <v>2024-10-21</v>
          </cell>
          <cell r="CL4234">
            <v>14437.28</v>
          </cell>
          <cell r="CM4234" t="str">
            <v xml:space="preserve">NFT-/XUTR/DEUTH02429530992X </v>
          </cell>
          <cell r="CN4234" t="str">
            <v>2024-10-21</v>
          </cell>
          <cell r="CO4234">
            <v>2296.377</v>
          </cell>
        </row>
        <row r="4235">
          <cell r="CJ4235" t="str">
            <v xml:space="preserve">NFT-/XUTR/DEUTH02429509164X </v>
          </cell>
          <cell r="CK4235" t="str">
            <v>2024-10-21</v>
          </cell>
          <cell r="CL4235">
            <v>14437.28</v>
          </cell>
          <cell r="CM4235" t="str">
            <v xml:space="preserve">NFT-/XUTR/DEUTH02429530992X </v>
          </cell>
          <cell r="CN4235" t="str">
            <v>2024-10-21</v>
          </cell>
          <cell r="CO4235">
            <v>2296.377</v>
          </cell>
        </row>
        <row r="4236">
          <cell r="CJ4236" t="str">
            <v xml:space="preserve">NFT-/XUTR/DEUTH02429509164X </v>
          </cell>
          <cell r="CK4236" t="str">
            <v>2024-10-21</v>
          </cell>
          <cell r="CL4236">
            <v>14418.4</v>
          </cell>
          <cell r="CM4236" t="str">
            <v xml:space="preserve">NFT-/XUTR/DEUTH02429530992X </v>
          </cell>
          <cell r="CN4236" t="str">
            <v>2024-10-21</v>
          </cell>
          <cell r="CO4236">
            <v>2296.377</v>
          </cell>
        </row>
        <row r="4237">
          <cell r="CJ4237" t="str">
            <v xml:space="preserve">NFT-/XUTR/DEUTH02429509164X </v>
          </cell>
          <cell r="CK4237" t="str">
            <v>2024-10-21</v>
          </cell>
          <cell r="CL4237">
            <v>14418.4</v>
          </cell>
          <cell r="CM4237" t="str">
            <v xml:space="preserve">NFT-/XUTR/DEUTH02429530992X </v>
          </cell>
          <cell r="CN4237" t="str">
            <v>2024-10-21</v>
          </cell>
          <cell r="CO4237">
            <v>2296.377</v>
          </cell>
        </row>
        <row r="4238">
          <cell r="CJ4238" t="str">
            <v xml:space="preserve">NFT-/XUTR/DEUTH02429509164X </v>
          </cell>
          <cell r="CK4238" t="str">
            <v>2024-10-21</v>
          </cell>
          <cell r="CL4238">
            <v>14437.28</v>
          </cell>
          <cell r="CM4238" t="str">
            <v xml:space="preserve">NFT-/XUTR/DEUTH02429530992X </v>
          </cell>
          <cell r="CN4238" t="str">
            <v>2024-10-21</v>
          </cell>
          <cell r="CO4238">
            <v>2296.377</v>
          </cell>
        </row>
        <row r="4239">
          <cell r="CJ4239" t="str">
            <v xml:space="preserve">NFT-/XUTR/DEUTH02429509164X </v>
          </cell>
          <cell r="CK4239" t="str">
            <v>2024-10-21</v>
          </cell>
          <cell r="CL4239">
            <v>4812.0889999999999</v>
          </cell>
          <cell r="CM4239" t="str">
            <v xml:space="preserve">NFT-/XUTR/DEUTH02429530992X </v>
          </cell>
          <cell r="CN4239" t="str">
            <v>2024-10-21</v>
          </cell>
          <cell r="CO4239">
            <v>759.95799999999997</v>
          </cell>
        </row>
        <row r="4240">
          <cell r="CJ4240" t="str">
            <v xml:space="preserve">NFT-/XUTR/DEUTH02429509164X </v>
          </cell>
          <cell r="CK4240" t="str">
            <v>2024-10-21</v>
          </cell>
          <cell r="CL4240">
            <v>11124.26</v>
          </cell>
        </row>
        <row r="4241">
          <cell r="CJ4241" t="str">
            <v xml:space="preserve">NFT-/XUTR/DEUTH02429509164X </v>
          </cell>
          <cell r="CK4241" t="str">
            <v>2024-10-21</v>
          </cell>
          <cell r="CL4241">
            <v>9740.6679999999997</v>
          </cell>
          <cell r="CM4241" t="str">
            <v xml:space="preserve">NFT-/XUTR/DEUTH02429530992X </v>
          </cell>
          <cell r="CN4241" t="str">
            <v>2024-10-21</v>
          </cell>
          <cell r="CO4241">
            <v>1732.473</v>
          </cell>
        </row>
        <row r="4242">
          <cell r="CJ4242" t="str">
            <v xml:space="preserve">NFT-/XUTR/DEUTH02429509164X </v>
          </cell>
          <cell r="CK4242" t="str">
            <v>2024-10-21</v>
          </cell>
          <cell r="CL4242">
            <v>14418.4</v>
          </cell>
          <cell r="CM4242" t="str">
            <v xml:space="preserve">NFT-/XUTR/DEUTH02429530992X </v>
          </cell>
          <cell r="CN4242" t="str">
            <v>2024-10-21</v>
          </cell>
          <cell r="CO4242">
            <v>2296.377</v>
          </cell>
        </row>
        <row r="4243">
          <cell r="CJ4243" t="str">
            <v xml:space="preserve">NFT-/XUTR/DEUTH02429509164X </v>
          </cell>
          <cell r="CK4243" t="str">
            <v>2024-10-21</v>
          </cell>
          <cell r="CL4243">
            <v>14437.28</v>
          </cell>
          <cell r="CM4243" t="str">
            <v xml:space="preserve">NFT-/XUTR/DEUTH02429530992X </v>
          </cell>
          <cell r="CN4243" t="str">
            <v>2024-10-21</v>
          </cell>
          <cell r="CO4243">
            <v>2296.377</v>
          </cell>
          <cell r="CP4243" t="str">
            <v xml:space="preserve">NFT-/XUTR/DEUTH024299A09NOX </v>
          </cell>
          <cell r="CQ4243" t="str">
            <v>2024-10-25</v>
          </cell>
          <cell r="CR4243">
            <v>-14437.28</v>
          </cell>
          <cell r="CS4243" t="str">
            <v xml:space="preserve">NFT-/XUTR/DEUTH024309A02A3X </v>
          </cell>
          <cell r="CT4243" t="str">
            <v>2024-11-04</v>
          </cell>
          <cell r="CU4243">
            <v>-2296.377</v>
          </cell>
        </row>
        <row r="4244">
          <cell r="CJ4244" t="str">
            <v xml:space="preserve">NFT-/XUTR/DEUTH02429509164X </v>
          </cell>
          <cell r="CK4244" t="str">
            <v>2024-10-21</v>
          </cell>
          <cell r="CL4244">
            <v>14418.4</v>
          </cell>
          <cell r="CM4244" t="str">
            <v xml:space="preserve">NFT-/XUTR/DEUTH02429530992X </v>
          </cell>
          <cell r="CN4244" t="str">
            <v>2024-10-21</v>
          </cell>
          <cell r="CO4244">
            <v>2296.377</v>
          </cell>
        </row>
        <row r="4245">
          <cell r="CJ4245" t="str">
            <v xml:space="preserve">NFT-/XUTR/DEUTH02429509164X </v>
          </cell>
          <cell r="CK4245" t="str">
            <v>2024-10-21</v>
          </cell>
          <cell r="CL4245">
            <v>14326.192999999999</v>
          </cell>
          <cell r="CM4245" t="str">
            <v xml:space="preserve">NFT-/XUTR/DEUTH02429530992X </v>
          </cell>
          <cell r="CN4245" t="str">
            <v>2024-10-21</v>
          </cell>
          <cell r="CO4245">
            <v>2388.5839999999998</v>
          </cell>
        </row>
        <row r="4246">
          <cell r="CJ4246" t="str">
            <v xml:space="preserve">NFT-/XUTR/DEUTH02429509164X </v>
          </cell>
          <cell r="CK4246" t="str">
            <v>2024-10-21</v>
          </cell>
          <cell r="CL4246">
            <v>14437.28</v>
          </cell>
          <cell r="CM4246" t="str">
            <v xml:space="preserve">NFT-/XUTR/DEUTH02429530992X </v>
          </cell>
          <cell r="CN4246" t="str">
            <v>2024-10-21</v>
          </cell>
          <cell r="CO4246">
            <v>2296.377</v>
          </cell>
          <cell r="CP4246" t="str">
            <v xml:space="preserve">NFT-/XUTR/DEUTH02429760724X </v>
          </cell>
          <cell r="CQ4246" t="str">
            <v>2024-10-23</v>
          </cell>
          <cell r="CR4246">
            <v>-14437.28</v>
          </cell>
          <cell r="CS4246" t="str">
            <v xml:space="preserve">NFT-/XUTR/DEUTH02429764618X </v>
          </cell>
          <cell r="CT4246" t="str">
            <v>2024-10-23</v>
          </cell>
          <cell r="CU4246">
            <v>-2296.377</v>
          </cell>
        </row>
        <row r="4247">
          <cell r="CJ4247" t="str">
            <v xml:space="preserve">NFT-/XUTR/DEUTH02429509164X </v>
          </cell>
          <cell r="CK4247" t="str">
            <v>2024-10-21</v>
          </cell>
          <cell r="CL4247">
            <v>14418.4</v>
          </cell>
          <cell r="CM4247" t="str">
            <v xml:space="preserve">NFT-/XUTR/DEUTH02429530992X </v>
          </cell>
          <cell r="CN4247" t="str">
            <v>2024-10-21</v>
          </cell>
          <cell r="CO4247">
            <v>2296.377</v>
          </cell>
        </row>
        <row r="4248">
          <cell r="CJ4248" t="str">
            <v xml:space="preserve">NFT-/XUTR/DEUTH02429509164X </v>
          </cell>
          <cell r="CK4248" t="str">
            <v>2024-10-21</v>
          </cell>
          <cell r="CL4248">
            <v>14437.28</v>
          </cell>
          <cell r="CM4248" t="str">
            <v xml:space="preserve">NFT-/XUTR/DEUTH02429530992X </v>
          </cell>
          <cell r="CN4248" t="str">
            <v>2024-10-21</v>
          </cell>
          <cell r="CO4248">
            <v>2296.377</v>
          </cell>
        </row>
        <row r="4249">
          <cell r="CJ4249" t="str">
            <v xml:space="preserve">NFT-/XUTR/DEUTH02429509164X </v>
          </cell>
          <cell r="CK4249" t="str">
            <v>2024-10-21</v>
          </cell>
          <cell r="CL4249">
            <v>14461.543</v>
          </cell>
          <cell r="CM4249" t="str">
            <v xml:space="preserve">NFT-/XUTR/DEUTH02429530992X </v>
          </cell>
          <cell r="CN4249" t="str">
            <v>2024-10-21</v>
          </cell>
          <cell r="CO4249">
            <v>2272.1129999999998</v>
          </cell>
        </row>
        <row r="4250">
          <cell r="CJ4250" t="str">
            <v xml:space="preserve">NFT-/XUTR/DEUTH02429509164X </v>
          </cell>
          <cell r="CK4250" t="str">
            <v>2024-10-21</v>
          </cell>
          <cell r="CL4250">
            <v>14055.839</v>
          </cell>
          <cell r="CM4250" t="str">
            <v xml:space="preserve">NFT-/XUTR/DEUTH02429530992X </v>
          </cell>
          <cell r="CN4250" t="str">
            <v>2024-10-21</v>
          </cell>
          <cell r="CO4250">
            <v>2677.8180000000002</v>
          </cell>
        </row>
        <row r="4251">
          <cell r="CJ4251" t="str">
            <v xml:space="preserve">NFT-/XUTR/DEUTH02429509164X </v>
          </cell>
          <cell r="CK4251" t="str">
            <v>2024-10-21</v>
          </cell>
          <cell r="CL4251">
            <v>14437.28</v>
          </cell>
          <cell r="CM4251" t="str">
            <v xml:space="preserve">NFT-/XUTR/DEUTH02429530992X </v>
          </cell>
          <cell r="CN4251" t="str">
            <v>2024-10-21</v>
          </cell>
          <cell r="CO4251">
            <v>2296.377</v>
          </cell>
          <cell r="CP4251" t="str">
            <v xml:space="preserve">NFT-/XUTR/DEUTH024299A09NOX </v>
          </cell>
          <cell r="CQ4251" t="str">
            <v>2024-10-25</v>
          </cell>
          <cell r="CR4251">
            <v>-14437.28</v>
          </cell>
          <cell r="CS4251" t="str">
            <v xml:space="preserve">NFT-/XUTR/DEUTH024309A02A3X </v>
          </cell>
          <cell r="CT4251" t="str">
            <v>2024-11-04</v>
          </cell>
          <cell r="CU4251">
            <v>-2296.377</v>
          </cell>
        </row>
        <row r="4252">
          <cell r="CJ4252" t="str">
            <v xml:space="preserve">NFT-/XUTR/DEUTH02429509164X </v>
          </cell>
          <cell r="CK4252" t="str">
            <v>2024-10-21</v>
          </cell>
          <cell r="CL4252">
            <v>14437.28</v>
          </cell>
          <cell r="CM4252" t="str">
            <v xml:space="preserve">NFT-/XUTR/DEUTH02429530992X </v>
          </cell>
          <cell r="CN4252" t="str">
            <v>2024-10-21</v>
          </cell>
          <cell r="CO4252">
            <v>2296.377</v>
          </cell>
        </row>
        <row r="4253">
          <cell r="CJ4253" t="str">
            <v xml:space="preserve">NFT-/XUTR/DEUTH02429509164X </v>
          </cell>
          <cell r="CK4253" t="str">
            <v>2024-10-21</v>
          </cell>
          <cell r="CL4253">
            <v>13638.494000000001</v>
          </cell>
          <cell r="CM4253" t="str">
            <v xml:space="preserve">NFT-/XUTR/DEUTH02429530992X </v>
          </cell>
          <cell r="CN4253" t="str">
            <v>2024-10-21</v>
          </cell>
          <cell r="CO4253">
            <v>3095.163</v>
          </cell>
        </row>
        <row r="4254">
          <cell r="CJ4254" t="str">
            <v xml:space="preserve">NFT-/XUTR/DEUTH02429509164X </v>
          </cell>
          <cell r="CK4254" t="str">
            <v>2024-10-21</v>
          </cell>
          <cell r="CL4254">
            <v>14418.4</v>
          </cell>
          <cell r="CM4254" t="str">
            <v xml:space="preserve">NFT-/XUTR/DEUTH02429530992X </v>
          </cell>
          <cell r="CN4254" t="str">
            <v>2024-10-21</v>
          </cell>
          <cell r="CO4254">
            <v>2296.377</v>
          </cell>
        </row>
        <row r="4255">
          <cell r="CJ4255" t="str">
            <v xml:space="preserve">NFT-/XUTR/DEUTH02429509164X </v>
          </cell>
          <cell r="CK4255" t="str">
            <v>2024-10-21</v>
          </cell>
          <cell r="CL4255">
            <v>14028.221</v>
          </cell>
          <cell r="CM4255" t="str">
            <v xml:space="preserve">NFT-/XUTR/DEUTH02429530992X </v>
          </cell>
          <cell r="CN4255" t="str">
            <v>2024-10-21</v>
          </cell>
          <cell r="CO4255">
            <v>2686.556</v>
          </cell>
        </row>
        <row r="4256">
          <cell r="CJ4256" t="str">
            <v xml:space="preserve">NFT-/XUTR/DEUTH02429509164X </v>
          </cell>
          <cell r="CK4256" t="str">
            <v>2024-10-21</v>
          </cell>
          <cell r="CL4256">
            <v>14446.981</v>
          </cell>
          <cell r="CM4256" t="str">
            <v xml:space="preserve">NFT-/XUTR/DEUTH02429530992X </v>
          </cell>
          <cell r="CN4256" t="str">
            <v>2024-10-21</v>
          </cell>
          <cell r="CO4256">
            <v>2286.6759999999999</v>
          </cell>
          <cell r="CP4256" t="str">
            <v xml:space="preserve">NFT-/XUTR/DEUTH024299A09NOX </v>
          </cell>
          <cell r="CQ4256" t="str">
            <v>2024-10-25</v>
          </cell>
          <cell r="CR4256">
            <v>-14446.981</v>
          </cell>
          <cell r="CS4256" t="str">
            <v xml:space="preserve">NFT-/XUTR/DEUTH024309A02A3X </v>
          </cell>
          <cell r="CT4256" t="str">
            <v>2024-11-04</v>
          </cell>
          <cell r="CU4256">
            <v>-2286.6759999999999</v>
          </cell>
        </row>
        <row r="4257">
          <cell r="CJ4257" t="str">
            <v xml:space="preserve">NFT-/XUTR/DEUTH02429509164X </v>
          </cell>
          <cell r="CK4257" t="str">
            <v>2024-10-21</v>
          </cell>
          <cell r="CL4257">
            <v>14437.28</v>
          </cell>
          <cell r="CM4257" t="str">
            <v xml:space="preserve">NFT-/XUTR/DEUTH02429530992X </v>
          </cell>
          <cell r="CN4257" t="str">
            <v>2024-10-21</v>
          </cell>
          <cell r="CO4257">
            <v>2296.377</v>
          </cell>
        </row>
        <row r="4258">
          <cell r="CJ4258" t="str">
            <v xml:space="preserve">NFT-/XUTR/DEUTH02429509164X </v>
          </cell>
          <cell r="CK4258" t="str">
            <v>2024-10-21</v>
          </cell>
          <cell r="CL4258">
            <v>14437.28</v>
          </cell>
          <cell r="CM4258" t="str">
            <v xml:space="preserve">NFT-/XUTR/DEUTH02429530992X </v>
          </cell>
          <cell r="CN4258" t="str">
            <v>2024-10-21</v>
          </cell>
          <cell r="CO4258">
            <v>2296.377</v>
          </cell>
        </row>
        <row r="4259">
          <cell r="CJ4259" t="str">
            <v xml:space="preserve">NFT-/XUTR/DEUTH02429509164X </v>
          </cell>
          <cell r="CK4259" t="str">
            <v>2024-10-21</v>
          </cell>
          <cell r="CL4259">
            <v>14437.28</v>
          </cell>
          <cell r="CM4259" t="str">
            <v xml:space="preserve">NFT-/XUTR/DEUTH02429530992X </v>
          </cell>
          <cell r="CN4259" t="str">
            <v>2024-10-21</v>
          </cell>
          <cell r="CO4259">
            <v>2296.377</v>
          </cell>
        </row>
        <row r="4260">
          <cell r="CJ4260" t="str">
            <v xml:space="preserve">NFT-/XUTR/DEUTH02429509164X </v>
          </cell>
          <cell r="CK4260" t="str">
            <v>2024-10-21</v>
          </cell>
          <cell r="CL4260">
            <v>14418.4</v>
          </cell>
          <cell r="CM4260" t="str">
            <v xml:space="preserve">NFT-/XUTR/DEUTH02429530992X </v>
          </cell>
          <cell r="CN4260" t="str">
            <v>2024-10-21</v>
          </cell>
          <cell r="CO4260">
            <v>2296.377</v>
          </cell>
        </row>
        <row r="4261">
          <cell r="CJ4261" t="str">
            <v xml:space="preserve">NFT-/XUTR/DEUTH02429509164X </v>
          </cell>
          <cell r="CK4261" t="str">
            <v>2024-10-21</v>
          </cell>
          <cell r="CL4261">
            <v>14437.28</v>
          </cell>
          <cell r="CM4261" t="str">
            <v xml:space="preserve">NFT-/XUTR/DEUTH02429530992X </v>
          </cell>
          <cell r="CN4261" t="str">
            <v>2024-10-21</v>
          </cell>
          <cell r="CO4261">
            <v>2296.377</v>
          </cell>
        </row>
        <row r="4262">
          <cell r="CJ4262" t="str">
            <v xml:space="preserve">NFT-/XUTR/DEUTH02429509164X </v>
          </cell>
          <cell r="CK4262" t="str">
            <v>2024-10-21</v>
          </cell>
          <cell r="CL4262">
            <v>14437.28</v>
          </cell>
          <cell r="CM4262" t="str">
            <v xml:space="preserve">NFT-/XUTR/DEUTH02429530992X </v>
          </cell>
          <cell r="CN4262" t="str">
            <v>2024-10-21</v>
          </cell>
          <cell r="CO4262">
            <v>2296.377</v>
          </cell>
        </row>
        <row r="4263">
          <cell r="CJ4263" t="str">
            <v xml:space="preserve">NFT-/XUTR/DEUTH02429509164X </v>
          </cell>
          <cell r="CK4263" t="str">
            <v>2024-10-21</v>
          </cell>
          <cell r="CL4263">
            <v>14418.4</v>
          </cell>
          <cell r="CM4263" t="str">
            <v xml:space="preserve">NFT-/XUTR/DEUTH02429530992X </v>
          </cell>
          <cell r="CN4263" t="str">
            <v>2024-10-21</v>
          </cell>
          <cell r="CO4263">
            <v>2296.377</v>
          </cell>
        </row>
        <row r="4264">
          <cell r="CJ4264" t="str">
            <v xml:space="preserve">NFT-/XUTR/DEUTH02429509164X </v>
          </cell>
          <cell r="CK4264" t="str">
            <v>2024-10-21</v>
          </cell>
          <cell r="CL4264">
            <v>10838.38</v>
          </cell>
          <cell r="CM4264" t="str">
            <v xml:space="preserve">NFT-/XUTR/DEUTH02429530992X </v>
          </cell>
          <cell r="CN4264" t="str">
            <v>2024-10-21</v>
          </cell>
          <cell r="CO4264">
            <v>634.76099999999997</v>
          </cell>
        </row>
        <row r="4265">
          <cell r="CJ4265" t="str">
            <v xml:space="preserve">NFT-/XUTR/DEUTH02429509164X </v>
          </cell>
          <cell r="CK4265" t="str">
            <v>2024-10-21</v>
          </cell>
          <cell r="CL4265">
            <v>9917.3080000000009</v>
          </cell>
          <cell r="CM4265" t="str">
            <v xml:space="preserve">NFT-/XUTR/DEUTH02429530992X </v>
          </cell>
          <cell r="CN4265" t="str">
            <v>2024-10-21</v>
          </cell>
          <cell r="CO4265">
            <v>1555.8320000000001</v>
          </cell>
        </row>
        <row r="4266">
          <cell r="CJ4266" t="str">
            <v xml:space="preserve">NFT-/XUTR/DEUTH02429509164X </v>
          </cell>
          <cell r="CK4266" t="str">
            <v>2024-10-21</v>
          </cell>
          <cell r="CL4266">
            <v>9460.1710000000003</v>
          </cell>
          <cell r="CM4266" t="str">
            <v xml:space="preserve">NFT-/XUTR/DEUTH02429530992X </v>
          </cell>
          <cell r="CN4266" t="str">
            <v>2024-10-21</v>
          </cell>
          <cell r="CO4266">
            <v>1682.979</v>
          </cell>
        </row>
        <row r="4267">
          <cell r="CJ4267" t="str">
            <v xml:space="preserve">NFT-/XUTR/DEUTH02429509164X </v>
          </cell>
          <cell r="CK4267" t="str">
            <v>2024-10-21</v>
          </cell>
          <cell r="CL4267">
            <v>9740.6679999999997</v>
          </cell>
          <cell r="CM4267" t="str">
            <v xml:space="preserve">NFT-/XUTR/DEUTH02429530992X </v>
          </cell>
          <cell r="CN4267" t="str">
            <v>2024-10-21</v>
          </cell>
          <cell r="CO4267">
            <v>1732.472</v>
          </cell>
        </row>
        <row r="4268">
          <cell r="CJ4268" t="str">
            <v xml:space="preserve">NFT-/XUTR/DEUTH02429509164X </v>
          </cell>
          <cell r="CK4268" t="str">
            <v>2024-10-21</v>
          </cell>
          <cell r="CL4268">
            <v>14418.4</v>
          </cell>
          <cell r="CM4268" t="str">
            <v xml:space="preserve">NFT-/XUTR/DEUTH02429530992X </v>
          </cell>
          <cell r="CN4268" t="str">
            <v>2024-10-21</v>
          </cell>
          <cell r="CO4268">
            <v>2296.377</v>
          </cell>
          <cell r="CP4268" t="str">
            <v xml:space="preserve">NFT-/XUTR/DEUTH02430209185X </v>
          </cell>
          <cell r="CQ4268" t="str">
            <v>2024-10-28</v>
          </cell>
          <cell r="CR4268">
            <v>-14418.4</v>
          </cell>
          <cell r="CS4268" t="str">
            <v xml:space="preserve">NFT-/XUTR/DEUTH024309A02A3X </v>
          </cell>
          <cell r="CT4268" t="str">
            <v>2024-11-04</v>
          </cell>
          <cell r="CU4268">
            <v>-2296.377</v>
          </cell>
        </row>
        <row r="4269">
          <cell r="CJ4269" t="str">
            <v xml:space="preserve">NFT-/XUTR/DEUTH02429509164X </v>
          </cell>
          <cell r="CK4269" t="str">
            <v>2024-10-21</v>
          </cell>
          <cell r="CL4269">
            <v>15893.141</v>
          </cell>
          <cell r="CM4269" t="str">
            <v xml:space="preserve">NFT-/XUTR/DEUTH02429530992X </v>
          </cell>
          <cell r="CN4269" t="str">
            <v>2024-10-21</v>
          </cell>
          <cell r="CO4269">
            <v>840.51499999999999</v>
          </cell>
        </row>
        <row r="4270">
          <cell r="CJ4270" t="str">
            <v xml:space="preserve">NFT-/XUTR/DEUTH02429509164X </v>
          </cell>
          <cell r="CK4270" t="str">
            <v>2024-10-21</v>
          </cell>
          <cell r="CL4270">
            <v>14437.28</v>
          </cell>
          <cell r="CM4270" t="str">
            <v xml:space="preserve">NFT-/XUTR/DEUTH02429530992X </v>
          </cell>
          <cell r="CN4270" t="str">
            <v>2024-10-21</v>
          </cell>
          <cell r="CO4270">
            <v>2296.377</v>
          </cell>
          <cell r="CP4270" t="str">
            <v xml:space="preserve">NFT-/XUTR/DEUTH024299A09NOX </v>
          </cell>
          <cell r="CQ4270" t="str">
            <v>2024-10-25</v>
          </cell>
          <cell r="CR4270">
            <v>-14437.28</v>
          </cell>
          <cell r="CS4270" t="str">
            <v xml:space="preserve">NFT-/XUTR/DEUTH024309A02A3X </v>
          </cell>
          <cell r="CT4270" t="str">
            <v>2024-11-04</v>
          </cell>
          <cell r="CU4270">
            <v>-2296.377</v>
          </cell>
        </row>
        <row r="4271">
          <cell r="CJ4271" t="str">
            <v xml:space="preserve">NFT-/XUTR/DEUTH02429509164X </v>
          </cell>
          <cell r="CK4271" t="str">
            <v>2024-10-21</v>
          </cell>
          <cell r="CL4271">
            <v>14437.28</v>
          </cell>
          <cell r="CM4271" t="str">
            <v xml:space="preserve">NFT-/XUTR/DEUTH02429530992X </v>
          </cell>
          <cell r="CN4271" t="str">
            <v>2024-10-21</v>
          </cell>
          <cell r="CO4271">
            <v>2296.377</v>
          </cell>
        </row>
        <row r="4272">
          <cell r="CJ4272" t="str">
            <v xml:space="preserve">NFT-/XUTR/DEUTH02429509164X </v>
          </cell>
          <cell r="CK4272" t="str">
            <v>2024-10-21</v>
          </cell>
          <cell r="CL4272">
            <v>14437.28</v>
          </cell>
          <cell r="CM4272" t="str">
            <v xml:space="preserve">NFT-/XUTR/DEUTH02429530992X </v>
          </cell>
          <cell r="CN4272" t="str">
            <v>2024-10-21</v>
          </cell>
          <cell r="CO4272">
            <v>2296.377</v>
          </cell>
        </row>
        <row r="4273">
          <cell r="CJ4273" t="str">
            <v xml:space="preserve">NFT-/XUTR/DEUTH02429509164X </v>
          </cell>
          <cell r="CK4273" t="str">
            <v>2024-10-21</v>
          </cell>
          <cell r="CL4273">
            <v>14437.28</v>
          </cell>
          <cell r="CM4273" t="str">
            <v xml:space="preserve">NFT-/XUTR/DEUTH02429530992X </v>
          </cell>
          <cell r="CN4273" t="str">
            <v>2024-10-21</v>
          </cell>
          <cell r="CO4273">
            <v>2296.377</v>
          </cell>
        </row>
        <row r="4274">
          <cell r="CJ4274" t="str">
            <v xml:space="preserve">NFT-/XUTR/DEUTH02429509164X </v>
          </cell>
          <cell r="CK4274" t="str">
            <v>2024-10-21</v>
          </cell>
          <cell r="CL4274">
            <v>14437.28</v>
          </cell>
          <cell r="CM4274" t="str">
            <v xml:space="preserve">NFT-/XUTR/DEUTH02429530992X </v>
          </cell>
          <cell r="CN4274" t="str">
            <v>2024-10-21</v>
          </cell>
          <cell r="CO4274">
            <v>2296.377</v>
          </cell>
        </row>
        <row r="4275">
          <cell r="CJ4275" t="str">
            <v xml:space="preserve">NFT-/XUTR/DEUTH02429509164X </v>
          </cell>
          <cell r="CK4275" t="str">
            <v>2024-10-21</v>
          </cell>
          <cell r="CL4275">
            <v>14437.28</v>
          </cell>
          <cell r="CM4275" t="str">
            <v xml:space="preserve">NFT-/XUTR/DEUTH02429530992X </v>
          </cell>
          <cell r="CN4275" t="str">
            <v>2024-10-21</v>
          </cell>
          <cell r="CO4275">
            <v>2296.377</v>
          </cell>
        </row>
        <row r="4276">
          <cell r="CJ4276" t="str">
            <v xml:space="preserve">NFT-/XUTR/DEUTH02429509164X </v>
          </cell>
          <cell r="CK4276" t="str">
            <v>2024-10-21</v>
          </cell>
          <cell r="CL4276">
            <v>14437.28</v>
          </cell>
          <cell r="CM4276" t="str">
            <v xml:space="preserve">NFT-/XUTR/DEUTH02429530992X </v>
          </cell>
          <cell r="CN4276" t="str">
            <v>2024-10-21</v>
          </cell>
          <cell r="CO4276">
            <v>2296.377</v>
          </cell>
          <cell r="CP4276" t="str">
            <v xml:space="preserve">NFT-/XUTR/DEUTH024299A09NOX </v>
          </cell>
          <cell r="CQ4276" t="str">
            <v>2024-10-25</v>
          </cell>
          <cell r="CR4276">
            <v>-14437.28</v>
          </cell>
          <cell r="CS4276" t="str">
            <v xml:space="preserve">NFT-/XUTR/DEUTH024309A02A3X </v>
          </cell>
          <cell r="CT4276" t="str">
            <v>2024-11-04</v>
          </cell>
          <cell r="CU4276">
            <v>-2296.377</v>
          </cell>
        </row>
        <row r="4277">
          <cell r="CJ4277" t="str">
            <v xml:space="preserve">NFT-/XUTR/DEUTH02429509164X </v>
          </cell>
          <cell r="CK4277" t="str">
            <v>2024-10-21</v>
          </cell>
          <cell r="CL4277">
            <v>14437.28</v>
          </cell>
          <cell r="CM4277" t="str">
            <v xml:space="preserve">NFT-/XUTR/DEUTH02429530992X </v>
          </cell>
          <cell r="CN4277" t="str">
            <v>2024-10-21</v>
          </cell>
          <cell r="CO4277">
            <v>2296.377</v>
          </cell>
        </row>
        <row r="4278">
          <cell r="CJ4278" t="str">
            <v xml:space="preserve">NFT-/XUTR/DEUTH02429509164X </v>
          </cell>
          <cell r="CK4278" t="str">
            <v>2024-10-21</v>
          </cell>
          <cell r="CL4278">
            <v>14437.28</v>
          </cell>
          <cell r="CM4278" t="str">
            <v xml:space="preserve">NFT-/XUTR/DEUTH02429530992X </v>
          </cell>
          <cell r="CN4278" t="str">
            <v>2024-10-21</v>
          </cell>
          <cell r="CO4278">
            <v>2296.377</v>
          </cell>
        </row>
        <row r="4279">
          <cell r="CJ4279" t="str">
            <v xml:space="preserve">NFT-/XUTR/DEUTH02429509164X </v>
          </cell>
          <cell r="CK4279" t="str">
            <v>2024-10-21</v>
          </cell>
          <cell r="CL4279">
            <v>14335.36</v>
          </cell>
          <cell r="CM4279" t="str">
            <v xml:space="preserve">NFT-/XUTR/DEUTH02429530992X </v>
          </cell>
          <cell r="CN4279" t="str">
            <v>2024-10-21</v>
          </cell>
          <cell r="CO4279">
            <v>2398.2849999999999</v>
          </cell>
          <cell r="CP4279" t="str">
            <v xml:space="preserve">NFT-/XUTR/DEUTH02431649943X </v>
          </cell>
          <cell r="CQ4279" t="str">
            <v>2024-11-11</v>
          </cell>
          <cell r="CR4279">
            <v>-14335.36</v>
          </cell>
          <cell r="CS4279" t="str">
            <v xml:space="preserve">NFT-/XUTR/DEUTH02431658955X </v>
          </cell>
          <cell r="CT4279" t="str">
            <v>2024-11-11</v>
          </cell>
          <cell r="CU4279">
            <v>-2398.2849999999999</v>
          </cell>
        </row>
        <row r="4280">
          <cell r="CJ4280" t="str">
            <v xml:space="preserve">NFT-/XUTR/DEUTH02429509164X </v>
          </cell>
          <cell r="CK4280" t="str">
            <v>2024-10-21</v>
          </cell>
          <cell r="CL4280">
            <v>14418.4</v>
          </cell>
          <cell r="CM4280" t="str">
            <v xml:space="preserve">NFT-/XUTR/DEUTH02429530992X </v>
          </cell>
          <cell r="CN4280" t="str">
            <v>2024-10-21</v>
          </cell>
          <cell r="CO4280">
            <v>2296.377</v>
          </cell>
        </row>
        <row r="4281">
          <cell r="CJ4281" t="str">
            <v xml:space="preserve">NFT-/XUTR/DEUTH02429509164X </v>
          </cell>
          <cell r="CK4281" t="str">
            <v>2024-10-21</v>
          </cell>
          <cell r="CL4281">
            <v>14418.4</v>
          </cell>
          <cell r="CM4281" t="str">
            <v xml:space="preserve">NFT-/XUTR/DEUTH02429530992X </v>
          </cell>
          <cell r="CN4281" t="str">
            <v>2024-10-21</v>
          </cell>
          <cell r="CO4281">
            <v>2296.377</v>
          </cell>
        </row>
        <row r="4282">
          <cell r="CJ4282" t="str">
            <v xml:space="preserve">NFT-/XUTR/DEUTH02429509164X </v>
          </cell>
          <cell r="CK4282" t="str">
            <v>2024-10-21</v>
          </cell>
          <cell r="CL4282">
            <v>10582.147000000001</v>
          </cell>
          <cell r="CM4282" t="str">
            <v xml:space="preserve">NFT-/XUTR/DEUTH02429530992X </v>
          </cell>
          <cell r="CN4282" t="str">
            <v>2024-10-21</v>
          </cell>
          <cell r="CO4282">
            <v>560.99300000000005</v>
          </cell>
        </row>
        <row r="4283">
          <cell r="CJ4283" t="str">
            <v xml:space="preserve">NFT-/XUTR/DEUTH02429509164X </v>
          </cell>
          <cell r="CK4283" t="str">
            <v>2024-10-21</v>
          </cell>
          <cell r="CL4283">
            <v>14418.4</v>
          </cell>
          <cell r="CM4283" t="str">
            <v xml:space="preserve">NFT-/XUTR/DEUTH02429530992X </v>
          </cell>
          <cell r="CN4283" t="str">
            <v>2024-10-21</v>
          </cell>
          <cell r="CO4283">
            <v>2296.377</v>
          </cell>
        </row>
        <row r="4284">
          <cell r="CJ4284" t="str">
            <v xml:space="preserve">NFT-/XUTR/DEUTH02429509164X </v>
          </cell>
          <cell r="CK4284" t="str">
            <v>2024-10-21</v>
          </cell>
          <cell r="CL4284">
            <v>14437.28</v>
          </cell>
          <cell r="CM4284" t="str">
            <v xml:space="preserve">NFT-/XUTR/DEUTH02429530992X </v>
          </cell>
          <cell r="CN4284" t="str">
            <v>2024-10-21</v>
          </cell>
          <cell r="CO4284">
            <v>2296.377</v>
          </cell>
        </row>
        <row r="4285">
          <cell r="CJ4285" t="str">
            <v xml:space="preserve">NFT-/XUTR/DEUTH02429509164X </v>
          </cell>
          <cell r="CK4285" t="str">
            <v>2024-10-21</v>
          </cell>
          <cell r="CL4285">
            <v>14437.28</v>
          </cell>
          <cell r="CM4285" t="str">
            <v xml:space="preserve">NFT-/XUTR/DEUTH02429530992X </v>
          </cell>
          <cell r="CN4285" t="str">
            <v>2024-10-21</v>
          </cell>
          <cell r="CO4285">
            <v>2296.377</v>
          </cell>
        </row>
        <row r="4286">
          <cell r="CJ4286" t="str">
            <v xml:space="preserve">NFT-/XUTR/DEUTH02429509164X </v>
          </cell>
          <cell r="CK4286" t="str">
            <v>2024-10-21</v>
          </cell>
          <cell r="CL4286">
            <v>14418.4</v>
          </cell>
          <cell r="CM4286" t="str">
            <v xml:space="preserve">NFT-/XUTR/DEUTH02429530992X </v>
          </cell>
          <cell r="CN4286" t="str">
            <v>2024-10-21</v>
          </cell>
          <cell r="CO4286">
            <v>2296.377</v>
          </cell>
        </row>
        <row r="4287">
          <cell r="CJ4287" t="str">
            <v xml:space="preserve">NFT-/XUTR/DEUTH02429509164X </v>
          </cell>
          <cell r="CK4287" t="str">
            <v>2024-10-21</v>
          </cell>
          <cell r="CL4287">
            <v>39007.906000000003</v>
          </cell>
          <cell r="CM4287" t="str">
            <v xml:space="preserve">NFT-/XUTR/DEUTH02429530992X </v>
          </cell>
          <cell r="CN4287" t="str">
            <v>2024-10-21</v>
          </cell>
          <cell r="CO4287">
            <v>2058.585</v>
          </cell>
        </row>
        <row r="4288">
          <cell r="CJ4288" t="str">
            <v xml:space="preserve">NFT-/XUTR/DEUTH02429509164X </v>
          </cell>
          <cell r="CK4288" t="str">
            <v>2024-10-21</v>
          </cell>
          <cell r="CL4288">
            <v>37570.925000000003</v>
          </cell>
          <cell r="CM4288" t="str">
            <v xml:space="preserve">NFT-/XUTR/DEUTH02429530992X </v>
          </cell>
          <cell r="CN4288" t="str">
            <v>2024-10-21</v>
          </cell>
          <cell r="CO4288">
            <v>3514.4470000000001</v>
          </cell>
        </row>
        <row r="4289">
          <cell r="CJ4289" t="str">
            <v xml:space="preserve">NFT-/XUTR/DEUTH02429509164X </v>
          </cell>
          <cell r="CK4289" t="str">
            <v>2024-10-21</v>
          </cell>
          <cell r="CL4289">
            <v>14418.4</v>
          </cell>
          <cell r="CM4289" t="str">
            <v xml:space="preserve">NFT-/XUTR/DEUTH02429530992X </v>
          </cell>
          <cell r="CN4289" t="str">
            <v>2024-10-21</v>
          </cell>
          <cell r="CO4289">
            <v>2296.377</v>
          </cell>
        </row>
        <row r="4290">
          <cell r="CJ4290" t="str">
            <v xml:space="preserve">NFT-/XUTR/DEUTH02429509164X </v>
          </cell>
          <cell r="CK4290" t="str">
            <v>2024-10-21</v>
          </cell>
          <cell r="CL4290">
            <v>14418.4</v>
          </cell>
          <cell r="CM4290" t="str">
            <v xml:space="preserve">NFT-/XUTR/DEUTH02429530992X </v>
          </cell>
          <cell r="CN4290" t="str">
            <v>2024-10-21</v>
          </cell>
          <cell r="CO4290">
            <v>2296.377</v>
          </cell>
        </row>
        <row r="4291">
          <cell r="CJ4291" t="str">
            <v xml:space="preserve">NFT-/XUTR/DEUTH02429509164X </v>
          </cell>
          <cell r="CK4291" t="str">
            <v>2024-10-21</v>
          </cell>
          <cell r="CL4291">
            <v>14437.28</v>
          </cell>
          <cell r="CM4291" t="str">
            <v xml:space="preserve">NFT-/XUTR/DEUTH02429530992X </v>
          </cell>
          <cell r="CN4291" t="str">
            <v>2024-10-21</v>
          </cell>
          <cell r="CO4291">
            <v>2296.377</v>
          </cell>
        </row>
        <row r="4292">
          <cell r="CJ4292" t="str">
            <v xml:space="preserve">NFT-/XUTR/DEUTH02429509164X </v>
          </cell>
          <cell r="CK4292" t="str">
            <v>2024-10-21</v>
          </cell>
          <cell r="CL4292">
            <v>15893.141</v>
          </cell>
          <cell r="CM4292" t="str">
            <v xml:space="preserve">NFT-/XUTR/DEUTH02429530992X </v>
          </cell>
          <cell r="CN4292" t="str">
            <v>2024-10-21</v>
          </cell>
          <cell r="CO4292">
            <v>840.51499999999999</v>
          </cell>
        </row>
        <row r="4293">
          <cell r="CJ4293" t="str">
            <v xml:space="preserve">NFT-/XUTR/DEUTH02429509164X </v>
          </cell>
          <cell r="CK4293" t="str">
            <v>2024-10-21</v>
          </cell>
          <cell r="CL4293">
            <v>14281.981</v>
          </cell>
          <cell r="CM4293" t="str">
            <v xml:space="preserve">NFT-/XUTR/DEUTH02429530992X </v>
          </cell>
          <cell r="CN4293" t="str">
            <v>2024-10-21</v>
          </cell>
          <cell r="CO4293">
            <v>2451.674</v>
          </cell>
        </row>
        <row r="4294">
          <cell r="CJ4294" t="str">
            <v xml:space="preserve">NFT-/XUTR/DEUTH02429509164X </v>
          </cell>
          <cell r="CK4294" t="str">
            <v>2024-10-21</v>
          </cell>
          <cell r="CL4294">
            <v>14418.4</v>
          </cell>
          <cell r="CM4294" t="str">
            <v xml:space="preserve">NFT-/XUTR/DEUTH02429530992X </v>
          </cell>
          <cell r="CN4294" t="str">
            <v>2024-10-21</v>
          </cell>
          <cell r="CO4294">
            <v>2296.377</v>
          </cell>
        </row>
        <row r="4295">
          <cell r="CJ4295" t="str">
            <v xml:space="preserve">NFT-/XUTR/DEUTH02429509164X </v>
          </cell>
          <cell r="CK4295" t="str">
            <v>2024-10-21</v>
          </cell>
          <cell r="CL4295">
            <v>14418.4</v>
          </cell>
          <cell r="CM4295" t="str">
            <v xml:space="preserve">NFT-/XUTR/DEUTH02429530992X </v>
          </cell>
          <cell r="CN4295" t="str">
            <v>2024-10-21</v>
          </cell>
          <cell r="CO4295">
            <v>2296.377</v>
          </cell>
        </row>
        <row r="4296">
          <cell r="CJ4296" t="str">
            <v xml:space="preserve">NFT-/XUTR/DEUTH02429509164X </v>
          </cell>
          <cell r="CK4296" t="str">
            <v>2024-10-21</v>
          </cell>
          <cell r="CL4296">
            <v>14418.4</v>
          </cell>
          <cell r="CM4296" t="str">
            <v xml:space="preserve">NFT-/XUTR/DEUTH02429530992X </v>
          </cell>
          <cell r="CN4296" t="str">
            <v>2024-10-21</v>
          </cell>
          <cell r="CO4296">
            <v>2296.377</v>
          </cell>
        </row>
        <row r="4297">
          <cell r="CJ4297" t="str">
            <v xml:space="preserve">NFT-/XUTR/DEUTH02429509164X </v>
          </cell>
          <cell r="CK4297" t="str">
            <v>2024-10-21</v>
          </cell>
          <cell r="CL4297">
            <v>14418.4</v>
          </cell>
          <cell r="CM4297" t="str">
            <v xml:space="preserve">NFT-/XUTR/DEUTH02429530992X </v>
          </cell>
          <cell r="CN4297" t="str">
            <v>2024-10-21</v>
          </cell>
          <cell r="CO4297">
            <v>2296.377</v>
          </cell>
        </row>
        <row r="4298">
          <cell r="CJ4298" t="str">
            <v xml:space="preserve">NFT-/XUTR/DEUTH02429509164X </v>
          </cell>
          <cell r="CK4298" t="str">
            <v>2024-10-21</v>
          </cell>
          <cell r="CL4298">
            <v>14418.4</v>
          </cell>
          <cell r="CM4298" t="str">
            <v xml:space="preserve">NFT-/XUTR/DEUTH02429530992X </v>
          </cell>
          <cell r="CN4298" t="str">
            <v>2024-10-21</v>
          </cell>
          <cell r="CO4298">
            <v>2296.377</v>
          </cell>
        </row>
        <row r="4299">
          <cell r="CJ4299" t="str">
            <v xml:space="preserve">NFT-/XUTR/DEUTH02429509164X </v>
          </cell>
          <cell r="CK4299" t="str">
            <v>2024-10-21</v>
          </cell>
          <cell r="CL4299">
            <v>14437.28</v>
          </cell>
          <cell r="CM4299" t="str">
            <v xml:space="preserve">NFT-/XUTR/DEUTH02429530992X </v>
          </cell>
          <cell r="CN4299" t="str">
            <v>2024-10-21</v>
          </cell>
          <cell r="CO4299">
            <v>2296.377</v>
          </cell>
        </row>
        <row r="4300">
          <cell r="CJ4300" t="str">
            <v xml:space="preserve">NFT-/XUTR/DEUTH02429509164X </v>
          </cell>
          <cell r="CK4300" t="str">
            <v>2024-10-21</v>
          </cell>
          <cell r="CL4300">
            <v>14437.28</v>
          </cell>
          <cell r="CM4300" t="str">
            <v xml:space="preserve">NFT-/XUTR/DEUTH02429530992X </v>
          </cell>
          <cell r="CN4300" t="str">
            <v>2024-10-21</v>
          </cell>
          <cell r="CO4300">
            <v>2296.377</v>
          </cell>
        </row>
        <row r="4301">
          <cell r="CJ4301" t="str">
            <v xml:space="preserve">NFT-/XUTR/DEUTH02429509164X </v>
          </cell>
          <cell r="CK4301" t="str">
            <v>2024-10-21</v>
          </cell>
          <cell r="CL4301">
            <v>14418.4</v>
          </cell>
          <cell r="CM4301" t="str">
            <v xml:space="preserve">NFT-/XUTR/DEUTH02429530992X </v>
          </cell>
          <cell r="CN4301" t="str">
            <v>2024-10-21</v>
          </cell>
          <cell r="CO4301">
            <v>2296.377</v>
          </cell>
        </row>
        <row r="4302">
          <cell r="CJ4302" t="str">
            <v xml:space="preserve">NFT-/XUTR/DEUTH02429509164X </v>
          </cell>
          <cell r="CK4302" t="str">
            <v>2024-10-21</v>
          </cell>
          <cell r="CL4302">
            <v>14418.4</v>
          </cell>
          <cell r="CM4302" t="str">
            <v xml:space="preserve">NFT-/XUTR/DEUTH02429530992X </v>
          </cell>
          <cell r="CN4302" t="str">
            <v>2024-10-21</v>
          </cell>
          <cell r="CO4302">
            <v>2296.377</v>
          </cell>
        </row>
        <row r="4303">
          <cell r="CJ4303" t="str">
            <v xml:space="preserve">NFT-/XUTR/DEUTH02429509164X </v>
          </cell>
          <cell r="CK4303" t="str">
            <v>2024-10-21</v>
          </cell>
          <cell r="CL4303">
            <v>15893.141</v>
          </cell>
          <cell r="CM4303" t="str">
            <v xml:space="preserve">NFT-/XUTR/DEUTH02429530992X </v>
          </cell>
          <cell r="CN4303" t="str">
            <v>2024-10-21</v>
          </cell>
          <cell r="CO4303">
            <v>840.51499999999999</v>
          </cell>
        </row>
        <row r="4304">
          <cell r="CJ4304" t="str">
            <v xml:space="preserve">NFT-/XUTR/DEUTH02429509164X </v>
          </cell>
          <cell r="CK4304" t="str">
            <v>2024-10-21</v>
          </cell>
          <cell r="CL4304">
            <v>14437.28</v>
          </cell>
          <cell r="CM4304" t="str">
            <v xml:space="preserve">NFT-/XUTR/DEUTH02429530992X </v>
          </cell>
          <cell r="CN4304" t="str">
            <v>2024-10-21</v>
          </cell>
          <cell r="CO4304">
            <v>2296.377</v>
          </cell>
        </row>
        <row r="4305">
          <cell r="CJ4305" t="str">
            <v xml:space="preserve">NFT-/XUTR/DEUTH02429509164X </v>
          </cell>
          <cell r="CK4305" t="str">
            <v>2024-10-21</v>
          </cell>
          <cell r="CL4305">
            <v>15893.141</v>
          </cell>
          <cell r="CM4305" t="str">
            <v xml:space="preserve">NFT-/XUTR/DEUTH02429530992X </v>
          </cell>
          <cell r="CN4305" t="str">
            <v>2024-10-21</v>
          </cell>
          <cell r="CO4305">
            <v>840.51499999999999</v>
          </cell>
        </row>
        <row r="4306">
          <cell r="CJ4306" t="str">
            <v xml:space="preserve">NFT-/XUTR/DEUTH02429509164X </v>
          </cell>
          <cell r="CK4306" t="str">
            <v>2024-10-21</v>
          </cell>
          <cell r="CL4306">
            <v>14310.133</v>
          </cell>
          <cell r="CM4306" t="str">
            <v xml:space="preserve">NFT-/XUTR/DEUTH02429530992X </v>
          </cell>
          <cell r="CN4306" t="str">
            <v>2024-10-21</v>
          </cell>
          <cell r="CO4306">
            <v>2423.5239999999999</v>
          </cell>
        </row>
        <row r="4307">
          <cell r="CJ4307" t="str">
            <v xml:space="preserve">NFT-/XUTR/DEUTH02429509164X </v>
          </cell>
          <cell r="CK4307" t="str">
            <v>2024-10-21</v>
          </cell>
          <cell r="CL4307">
            <v>10582.147999999999</v>
          </cell>
          <cell r="CM4307" t="str">
            <v xml:space="preserve">NFT-/XUTR/DEUTH02429530992X </v>
          </cell>
          <cell r="CN4307" t="str">
            <v>2024-10-21</v>
          </cell>
          <cell r="CO4307">
            <v>560.99300000000005</v>
          </cell>
        </row>
        <row r="4308">
          <cell r="CJ4308" t="str">
            <v xml:space="preserve">NFT-/XUTR/DEUTH02429509164X </v>
          </cell>
          <cell r="CK4308" t="str">
            <v>2024-10-21</v>
          </cell>
          <cell r="CL4308">
            <v>9578.58</v>
          </cell>
          <cell r="CM4308" t="str">
            <v xml:space="preserve">NFT-/XUTR/DEUTH02429530992X </v>
          </cell>
          <cell r="CN4308" t="str">
            <v>2024-10-21</v>
          </cell>
          <cell r="CO4308">
            <v>1894.5609999999999</v>
          </cell>
        </row>
        <row r="4309">
          <cell r="CJ4309" t="str">
            <v xml:space="preserve">NFT-/XUTR/DEUTH02429509164X </v>
          </cell>
          <cell r="CK4309" t="str">
            <v>2024-10-21</v>
          </cell>
          <cell r="CL4309">
            <v>14228.161</v>
          </cell>
          <cell r="CM4309" t="str">
            <v xml:space="preserve">NFT-/XUTR/DEUTH02429530992X </v>
          </cell>
          <cell r="CN4309" t="str">
            <v>2024-10-21</v>
          </cell>
          <cell r="CO4309">
            <v>2486.616</v>
          </cell>
        </row>
        <row r="4310">
          <cell r="CJ4310" t="str">
            <v xml:space="preserve">NFT-/XUTR/DEUTH02429509164X </v>
          </cell>
          <cell r="CK4310" t="str">
            <v>2024-10-21</v>
          </cell>
          <cell r="CL4310">
            <v>9459.1970000000001</v>
          </cell>
          <cell r="CM4310" t="str">
            <v xml:space="preserve">NFT-/XUTR/DEUTH02429530992X </v>
          </cell>
          <cell r="CN4310" t="str">
            <v>2024-10-21</v>
          </cell>
          <cell r="CO4310">
            <v>1683.944</v>
          </cell>
        </row>
        <row r="4311">
          <cell r="CJ4311" t="str">
            <v xml:space="preserve">NFT-/XUTR/DEUTH02429509164X </v>
          </cell>
          <cell r="CK4311" t="str">
            <v>2024-10-21</v>
          </cell>
          <cell r="CL4311">
            <v>14437.28</v>
          </cell>
          <cell r="CM4311" t="str">
            <v xml:space="preserve">NFT-/XUTR/DEUTH02429530992X </v>
          </cell>
          <cell r="CN4311" t="str">
            <v>2024-10-21</v>
          </cell>
          <cell r="CO4311">
            <v>2296.377</v>
          </cell>
        </row>
        <row r="4312">
          <cell r="CJ4312" t="str">
            <v xml:space="preserve">NFT-/XUTR/DEUTH02429509164X </v>
          </cell>
          <cell r="CK4312" t="str">
            <v>2024-10-21</v>
          </cell>
          <cell r="CL4312">
            <v>15893.141</v>
          </cell>
          <cell r="CM4312" t="str">
            <v xml:space="preserve">NFT-/XUTR/DEUTH02429530992X </v>
          </cell>
          <cell r="CN4312" t="str">
            <v>2024-10-21</v>
          </cell>
          <cell r="CO4312">
            <v>840.51499999999999</v>
          </cell>
        </row>
        <row r="4313">
          <cell r="CJ4313" t="str">
            <v xml:space="preserve">NFT-/XUTR/DEUTH02429509164X </v>
          </cell>
          <cell r="CK4313" t="str">
            <v>2024-10-21</v>
          </cell>
          <cell r="CL4313">
            <v>14437.28</v>
          </cell>
          <cell r="CM4313" t="str">
            <v xml:space="preserve">NFT-/XUTR/DEUTH02429530992X </v>
          </cell>
          <cell r="CN4313" t="str">
            <v>2024-10-21</v>
          </cell>
          <cell r="CO4313">
            <v>2296.377</v>
          </cell>
        </row>
        <row r="4314">
          <cell r="CJ4314" t="str">
            <v xml:space="preserve">NFT-/XUTR/DEUTH02429509164X </v>
          </cell>
          <cell r="CK4314" t="str">
            <v>2024-10-21</v>
          </cell>
          <cell r="CL4314">
            <v>14437.28</v>
          </cell>
          <cell r="CM4314" t="str">
            <v xml:space="preserve">NFT-/XUTR/DEUTH02429530992X </v>
          </cell>
          <cell r="CN4314" t="str">
            <v>2024-10-21</v>
          </cell>
          <cell r="CO4314">
            <v>2296.377</v>
          </cell>
        </row>
        <row r="4315">
          <cell r="CJ4315" t="str">
            <v xml:space="preserve">NFT-/XUTR/DEUTH02429509164X </v>
          </cell>
          <cell r="CK4315" t="str">
            <v>2024-10-21</v>
          </cell>
          <cell r="CL4315">
            <v>79122.201000000001</v>
          </cell>
          <cell r="CM4315" t="str">
            <v xml:space="preserve">NFT-/XUTR/DEUTH02429530992X </v>
          </cell>
          <cell r="CN4315" t="str">
            <v>2024-10-21</v>
          </cell>
          <cell r="CO4315">
            <v>2911.723</v>
          </cell>
        </row>
        <row r="4316">
          <cell r="CJ4316" t="str">
            <v xml:space="preserve">NFT-/XUTR/DEUTH02429509164X </v>
          </cell>
          <cell r="CK4316" t="str">
            <v>2024-10-21</v>
          </cell>
          <cell r="CL4316">
            <v>14418.4</v>
          </cell>
          <cell r="CM4316" t="str">
            <v xml:space="preserve">NFT-/XUTR/DEUTH02429530992X </v>
          </cell>
          <cell r="CN4316" t="str">
            <v>2024-10-21</v>
          </cell>
          <cell r="CO4316">
            <v>2296.377</v>
          </cell>
        </row>
        <row r="4317">
          <cell r="CJ4317" t="str">
            <v xml:space="preserve">NFT-/XUTR/DEUTH02429509164X </v>
          </cell>
          <cell r="CK4317" t="str">
            <v>2024-10-21</v>
          </cell>
          <cell r="CL4317">
            <v>14437.28</v>
          </cell>
          <cell r="CM4317" t="str">
            <v xml:space="preserve">NFT-/XUTR/DEUTH02429530992X </v>
          </cell>
          <cell r="CN4317" t="str">
            <v>2024-10-21</v>
          </cell>
          <cell r="CO4317">
            <v>2296.377</v>
          </cell>
        </row>
        <row r="4318">
          <cell r="CJ4318" t="str">
            <v xml:space="preserve">NFT-/XUTR/DEUTH02429509164X </v>
          </cell>
          <cell r="CK4318" t="str">
            <v>2024-10-21</v>
          </cell>
          <cell r="CL4318">
            <v>14418.4</v>
          </cell>
          <cell r="CM4318" t="str">
            <v xml:space="preserve">NFT-/XUTR/DEUTH02429530992X </v>
          </cell>
          <cell r="CN4318" t="str">
            <v>2024-10-21</v>
          </cell>
          <cell r="CO4318">
            <v>2296.377</v>
          </cell>
        </row>
        <row r="4319">
          <cell r="CJ4319" t="str">
            <v xml:space="preserve">NFT-/XUTR/DEUTH02429509164X </v>
          </cell>
          <cell r="CK4319" t="str">
            <v>2024-10-21</v>
          </cell>
          <cell r="CL4319">
            <v>14418.4</v>
          </cell>
          <cell r="CM4319" t="str">
            <v xml:space="preserve">NFT-/XUTR/DEUTH02429530992X </v>
          </cell>
          <cell r="CN4319" t="str">
            <v>2024-10-21</v>
          </cell>
          <cell r="CO4319">
            <v>2296.377</v>
          </cell>
        </row>
        <row r="4320">
          <cell r="CJ4320" t="str">
            <v xml:space="preserve">NFT-/XUTR/DEUTH02429509164X </v>
          </cell>
          <cell r="CK4320" t="str">
            <v>2024-10-21</v>
          </cell>
          <cell r="CL4320">
            <v>14418.4</v>
          </cell>
          <cell r="CM4320" t="str">
            <v xml:space="preserve">NFT-/XUTR/DEUTH02429530992X </v>
          </cell>
          <cell r="CN4320" t="str">
            <v>2024-10-21</v>
          </cell>
          <cell r="CO4320">
            <v>2296.377</v>
          </cell>
        </row>
        <row r="4321">
          <cell r="CJ4321" t="str">
            <v xml:space="preserve">NFT-/XUTR/DEUTH02429509164X </v>
          </cell>
          <cell r="CK4321" t="str">
            <v>2024-10-21</v>
          </cell>
          <cell r="CL4321">
            <v>14437.28</v>
          </cell>
          <cell r="CM4321" t="str">
            <v xml:space="preserve">NFT-/XUTR/DEUTH02429530992X </v>
          </cell>
          <cell r="CN4321" t="str">
            <v>2024-10-21</v>
          </cell>
          <cell r="CO4321">
            <v>2296.377</v>
          </cell>
        </row>
        <row r="4322">
          <cell r="CJ4322" t="str">
            <v xml:space="preserve">NFT-/XUTR/DEUTH02429509164X </v>
          </cell>
          <cell r="CK4322" t="str">
            <v>2024-10-21</v>
          </cell>
          <cell r="CL4322">
            <v>14437.28</v>
          </cell>
          <cell r="CM4322" t="str">
            <v xml:space="preserve">NFT-/XUTR/DEUTH02429530992X </v>
          </cell>
          <cell r="CN4322" t="str">
            <v>2024-10-21</v>
          </cell>
          <cell r="CO4322">
            <v>2296.377</v>
          </cell>
        </row>
        <row r="4323">
          <cell r="CJ4323" t="str">
            <v xml:space="preserve">NFT-/XUTR/DEUTH02429509164X </v>
          </cell>
          <cell r="CK4323" t="str">
            <v>2024-10-21</v>
          </cell>
          <cell r="CL4323">
            <v>14418.4</v>
          </cell>
          <cell r="CM4323" t="str">
            <v xml:space="preserve">NFT-/XUTR/DEUTH02429530992X </v>
          </cell>
          <cell r="CN4323" t="str">
            <v>2024-10-21</v>
          </cell>
          <cell r="CO4323">
            <v>2296.377</v>
          </cell>
        </row>
        <row r="4324">
          <cell r="CJ4324" t="str">
            <v xml:space="preserve">NFT-/XUTR/DEUTH02429509164X </v>
          </cell>
          <cell r="CK4324" t="str">
            <v>2024-10-21</v>
          </cell>
          <cell r="CL4324">
            <v>14437.28</v>
          </cell>
          <cell r="CM4324" t="str">
            <v xml:space="preserve">NFT-/XUTR/DEUTH02429530992X </v>
          </cell>
          <cell r="CN4324" t="str">
            <v>2024-10-21</v>
          </cell>
          <cell r="CO4324">
            <v>2296.377</v>
          </cell>
        </row>
        <row r="4325">
          <cell r="CJ4325" t="str">
            <v xml:space="preserve">NFT-/XUTR/DEUTH02429509164X </v>
          </cell>
          <cell r="CK4325" t="str">
            <v>2024-10-21</v>
          </cell>
          <cell r="CL4325">
            <v>14437.28</v>
          </cell>
          <cell r="CM4325" t="str">
            <v xml:space="preserve">NFT-/XUTR/DEUTH02429530992X </v>
          </cell>
          <cell r="CN4325" t="str">
            <v>2024-10-21</v>
          </cell>
          <cell r="CO4325">
            <v>2296.377</v>
          </cell>
          <cell r="CP4325" t="str">
            <v xml:space="preserve">NFT-/XUTR/DEUTH02430209185X </v>
          </cell>
          <cell r="CQ4325" t="str">
            <v>2024-10-28</v>
          </cell>
          <cell r="CR4325">
            <v>-14437.28</v>
          </cell>
          <cell r="CS4325" t="str">
            <v xml:space="preserve">NFT-/XUTR/DEUTH024309A02A3X </v>
          </cell>
          <cell r="CT4325" t="str">
            <v>2024-11-04</v>
          </cell>
          <cell r="CU4325">
            <v>-2296.377</v>
          </cell>
        </row>
        <row r="4326">
          <cell r="CJ4326" t="str">
            <v xml:space="preserve">NFT-/XUTR/DEUTH02429509164X </v>
          </cell>
          <cell r="CK4326" t="str">
            <v>2024-10-21</v>
          </cell>
          <cell r="CL4326">
            <v>14418.4</v>
          </cell>
          <cell r="CM4326" t="str">
            <v xml:space="preserve">NFT-/XUTR/DEUTH02429530992X </v>
          </cell>
          <cell r="CN4326" t="str">
            <v>2024-10-21</v>
          </cell>
          <cell r="CO4326">
            <v>2296.377</v>
          </cell>
        </row>
        <row r="4327">
          <cell r="CJ4327" t="str">
            <v xml:space="preserve">NFT-/XUTR/DEUTH02429509164X </v>
          </cell>
          <cell r="CK4327" t="str">
            <v>2024-10-21</v>
          </cell>
          <cell r="CL4327">
            <v>14437.28</v>
          </cell>
          <cell r="CM4327" t="str">
            <v xml:space="preserve">NFT-/XUTR/DEUTH02429530992X </v>
          </cell>
          <cell r="CN4327" t="str">
            <v>2024-10-21</v>
          </cell>
          <cell r="CO4327">
            <v>2296.377</v>
          </cell>
          <cell r="CP4327" t="str">
            <v xml:space="preserve">NFT-/XUTR/DEUTH02431649943X </v>
          </cell>
          <cell r="CQ4327" t="str">
            <v>2024-11-11</v>
          </cell>
          <cell r="CR4327">
            <v>-14437.28</v>
          </cell>
          <cell r="CS4327" t="str">
            <v xml:space="preserve">NFT-/XUTR/DEUTH02431658955X </v>
          </cell>
          <cell r="CT4327" t="str">
            <v>2024-11-11</v>
          </cell>
          <cell r="CU4327">
            <v>-2296.377</v>
          </cell>
        </row>
        <row r="4328">
          <cell r="CJ4328" t="str">
            <v xml:space="preserve">NFT-/XUTR/DEUTH02429509164X </v>
          </cell>
          <cell r="CK4328" t="str">
            <v>2024-10-21</v>
          </cell>
          <cell r="CL4328">
            <v>14437.28</v>
          </cell>
          <cell r="CM4328" t="str">
            <v xml:space="preserve">NFT-/XUTR/DEUTH02429530992X </v>
          </cell>
          <cell r="CN4328" t="str">
            <v>2024-10-21</v>
          </cell>
          <cell r="CO4328">
            <v>2296.377</v>
          </cell>
        </row>
        <row r="4329">
          <cell r="CJ4329" t="str">
            <v xml:space="preserve">NFT-/XUTR/DEUTH02429509164X </v>
          </cell>
          <cell r="CK4329" t="str">
            <v>2024-10-21</v>
          </cell>
          <cell r="CL4329">
            <v>14437.28</v>
          </cell>
          <cell r="CM4329" t="str">
            <v xml:space="preserve">NFT-/XUTR/DEUTH02429530992X </v>
          </cell>
          <cell r="CN4329" t="str">
            <v>2024-10-21</v>
          </cell>
          <cell r="CO4329">
            <v>2296.377</v>
          </cell>
        </row>
        <row r="4330">
          <cell r="CJ4330" t="str">
            <v xml:space="preserve">NFT-/XUTR/DEUTH02429509164X </v>
          </cell>
          <cell r="CK4330" t="str">
            <v>2024-10-21</v>
          </cell>
          <cell r="CL4330">
            <v>1369.46</v>
          </cell>
          <cell r="CM4330" t="str">
            <v xml:space="preserve">NFT-/XUTR/DEUTH024299A09NOX </v>
          </cell>
          <cell r="CN4330" t="str">
            <v>2024-10-25</v>
          </cell>
          <cell r="CO4330">
            <v>-1369.46</v>
          </cell>
        </row>
        <row r="4331">
          <cell r="CJ4331" t="str">
            <v xml:space="preserve">NFT-/XUTR/DEUTH02429509164X </v>
          </cell>
          <cell r="CK4331" t="str">
            <v>2024-10-21</v>
          </cell>
          <cell r="CL4331">
            <v>38105.273999999998</v>
          </cell>
          <cell r="CM4331" t="str">
            <v xml:space="preserve">NFT-/XUTR/DEUTH02429530992X </v>
          </cell>
          <cell r="CN4331" t="str">
            <v>2024-10-21</v>
          </cell>
          <cell r="CO4331">
            <v>3543.5720000000001</v>
          </cell>
        </row>
        <row r="4332">
          <cell r="CJ4332" t="str">
            <v xml:space="preserve">NFT-/XUTR/DEUTH02429509164X </v>
          </cell>
          <cell r="CK4332" t="str">
            <v>2024-10-21</v>
          </cell>
          <cell r="CL4332">
            <v>14437.28</v>
          </cell>
          <cell r="CM4332" t="str">
            <v xml:space="preserve">NFT-/XUTR/DEUTH02429530992X </v>
          </cell>
          <cell r="CN4332" t="str">
            <v>2024-10-21</v>
          </cell>
          <cell r="CO4332">
            <v>2296.377</v>
          </cell>
        </row>
        <row r="4333">
          <cell r="CJ4333" t="str">
            <v xml:space="preserve">NFT-/XUTR/DEUTH02429509164X </v>
          </cell>
          <cell r="CK4333" t="str">
            <v>2024-10-21</v>
          </cell>
          <cell r="CL4333">
            <v>14437.28</v>
          </cell>
          <cell r="CM4333" t="str">
            <v xml:space="preserve">NFT-/XUTR/DEUTH02429530992X </v>
          </cell>
          <cell r="CN4333" t="str">
            <v>2024-10-21</v>
          </cell>
          <cell r="CO4333">
            <v>2296.377</v>
          </cell>
        </row>
        <row r="4334">
          <cell r="CJ4334" t="str">
            <v xml:space="preserve">NFT-/XUTR/DEUTH02429509164X </v>
          </cell>
          <cell r="CK4334" t="str">
            <v>2024-10-21</v>
          </cell>
          <cell r="CL4334">
            <v>14437.28</v>
          </cell>
          <cell r="CM4334" t="str">
            <v xml:space="preserve">NFT-/XUTR/DEUTH02429530992X </v>
          </cell>
          <cell r="CN4334" t="str">
            <v>2024-10-21</v>
          </cell>
          <cell r="CO4334">
            <v>2296.377</v>
          </cell>
          <cell r="CP4334" t="str">
            <v xml:space="preserve">NFT-/XUTR/DEUTH02429760724X </v>
          </cell>
          <cell r="CQ4334" t="str">
            <v>2024-10-23</v>
          </cell>
          <cell r="CR4334">
            <v>-14437.28</v>
          </cell>
          <cell r="CS4334" t="str">
            <v xml:space="preserve">NFT-/XUTR/DEUTH02429764618X </v>
          </cell>
          <cell r="CT4334" t="str">
            <v>2024-10-23</v>
          </cell>
          <cell r="CU4334">
            <v>-2296.377</v>
          </cell>
        </row>
        <row r="4335">
          <cell r="CJ4335" t="str">
            <v xml:space="preserve">NFT-/XUTR/DEUTH02429509164X </v>
          </cell>
          <cell r="CK4335" t="str">
            <v>2024-10-21</v>
          </cell>
          <cell r="CL4335">
            <v>13638.494000000001</v>
          </cell>
          <cell r="CM4335" t="str">
            <v xml:space="preserve">NFT-/XUTR/DEUTH02429530992X </v>
          </cell>
          <cell r="CN4335" t="str">
            <v>2024-10-21</v>
          </cell>
          <cell r="CO4335">
            <v>3095.163</v>
          </cell>
        </row>
        <row r="4336">
          <cell r="CJ4336" t="str">
            <v xml:space="preserve">NFT-/XUTR/DEUTH02429509164X </v>
          </cell>
          <cell r="CK4336" t="str">
            <v>2024-10-21</v>
          </cell>
          <cell r="CL4336">
            <v>14418.4</v>
          </cell>
          <cell r="CM4336" t="str">
            <v xml:space="preserve">NFT-/XUTR/DEUTH02429530992X </v>
          </cell>
          <cell r="CN4336" t="str">
            <v>2024-10-21</v>
          </cell>
          <cell r="CO4336">
            <v>2296.377</v>
          </cell>
        </row>
        <row r="4337">
          <cell r="CJ4337" t="str">
            <v xml:space="preserve">NFT-/XUTR/DEUTH02429509164X </v>
          </cell>
          <cell r="CK4337" t="str">
            <v>2024-10-21</v>
          </cell>
          <cell r="CL4337">
            <v>14437.28</v>
          </cell>
          <cell r="CM4337" t="str">
            <v xml:space="preserve">NFT-/XUTR/DEUTH02429530992X </v>
          </cell>
          <cell r="CN4337" t="str">
            <v>2024-10-21</v>
          </cell>
          <cell r="CO4337">
            <v>2296.377</v>
          </cell>
        </row>
        <row r="4338">
          <cell r="CJ4338" t="str">
            <v xml:space="preserve">NFT-/XUTR/DEUTH02429509164X </v>
          </cell>
          <cell r="CK4338" t="str">
            <v>2024-10-21</v>
          </cell>
          <cell r="CL4338">
            <v>14252.866</v>
          </cell>
          <cell r="CM4338" t="str">
            <v xml:space="preserve">NFT-/XUTR/DEUTH02429530992X </v>
          </cell>
          <cell r="CN4338" t="str">
            <v>2024-10-21</v>
          </cell>
          <cell r="CO4338">
            <v>2480.7910000000002</v>
          </cell>
        </row>
        <row r="4339">
          <cell r="CJ4339" t="str">
            <v xml:space="preserve">NFT-/XUTR/DEUTH02429509164X </v>
          </cell>
          <cell r="CK4339" t="str">
            <v>2024-10-21</v>
          </cell>
          <cell r="CL4339">
            <v>14418.4</v>
          </cell>
          <cell r="CM4339" t="str">
            <v xml:space="preserve">NFT-/XUTR/DEUTH02429530992X </v>
          </cell>
          <cell r="CN4339" t="str">
            <v>2024-10-21</v>
          </cell>
          <cell r="CO4339">
            <v>2296.377</v>
          </cell>
        </row>
        <row r="4340">
          <cell r="CJ4340" t="str">
            <v xml:space="preserve">NFT-/XUTR/DEUTH02429509164X </v>
          </cell>
          <cell r="CK4340" t="str">
            <v>2024-10-21</v>
          </cell>
          <cell r="CL4340">
            <v>14437.28</v>
          </cell>
          <cell r="CM4340" t="str">
            <v xml:space="preserve">NFT-/XUTR/DEUTH02429530992X </v>
          </cell>
          <cell r="CN4340" t="str">
            <v>2024-10-21</v>
          </cell>
          <cell r="CO4340">
            <v>2296.377</v>
          </cell>
        </row>
        <row r="4341">
          <cell r="CJ4341" t="str">
            <v xml:space="preserve">NFT-/XUTR/DEUTH02429509164X </v>
          </cell>
          <cell r="CK4341" t="str">
            <v>2024-10-21</v>
          </cell>
          <cell r="CL4341">
            <v>14437.28</v>
          </cell>
          <cell r="CM4341" t="str">
            <v xml:space="preserve">NFT-/XUTR/DEUTH02429530992X </v>
          </cell>
          <cell r="CN4341" t="str">
            <v>2024-10-21</v>
          </cell>
          <cell r="CO4341">
            <v>2296.377</v>
          </cell>
        </row>
        <row r="4342">
          <cell r="CJ4342" t="str">
            <v xml:space="preserve">NFT-/XUTR/DEUTH02429509164X </v>
          </cell>
          <cell r="CK4342" t="str">
            <v>2024-10-21</v>
          </cell>
          <cell r="CL4342">
            <v>14437.28</v>
          </cell>
          <cell r="CM4342" t="str">
            <v xml:space="preserve">NFT-/XUTR/DEUTH02429530992X </v>
          </cell>
          <cell r="CN4342" t="str">
            <v>2024-10-21</v>
          </cell>
          <cell r="CO4342">
            <v>2296.377</v>
          </cell>
        </row>
        <row r="4343">
          <cell r="CJ4343" t="str">
            <v xml:space="preserve">NFT-/XUTR/DEUTH02429509164X </v>
          </cell>
          <cell r="CK4343" t="str">
            <v>2024-10-21</v>
          </cell>
          <cell r="CL4343">
            <v>14437.28</v>
          </cell>
          <cell r="CM4343" t="str">
            <v xml:space="preserve">NFT-/XUTR/DEUTH02429530992X </v>
          </cell>
          <cell r="CN4343" t="str">
            <v>2024-10-21</v>
          </cell>
          <cell r="CO4343">
            <v>2296.377</v>
          </cell>
        </row>
        <row r="4344">
          <cell r="CJ4344" t="str">
            <v xml:space="preserve">NFT-/XUTR/DEUTH02429509164X </v>
          </cell>
          <cell r="CK4344" t="str">
            <v>2024-10-21</v>
          </cell>
          <cell r="CL4344">
            <v>14418.4</v>
          </cell>
          <cell r="CM4344" t="str">
            <v xml:space="preserve">NFT-/XUTR/DEUTH02429530992X </v>
          </cell>
          <cell r="CN4344" t="str">
            <v>2024-10-21</v>
          </cell>
          <cell r="CO4344">
            <v>2296.377</v>
          </cell>
        </row>
        <row r="4345">
          <cell r="CJ4345" t="str">
            <v xml:space="preserve">NFT-/XUTR/DEUTH02429509164X </v>
          </cell>
          <cell r="CK4345" t="str">
            <v>2024-10-21</v>
          </cell>
          <cell r="CL4345">
            <v>13619.614</v>
          </cell>
          <cell r="CM4345" t="str">
            <v xml:space="preserve">NFT-/XUTR/DEUTH02429530992X </v>
          </cell>
          <cell r="CN4345" t="str">
            <v>2024-10-21</v>
          </cell>
          <cell r="CO4345">
            <v>3095.163</v>
          </cell>
        </row>
        <row r="4346">
          <cell r="CJ4346" t="str">
            <v xml:space="preserve">NFT-/XUTR/DEUTH02429509164X </v>
          </cell>
          <cell r="CK4346" t="str">
            <v>2024-10-21</v>
          </cell>
          <cell r="CL4346">
            <v>14437.28</v>
          </cell>
          <cell r="CM4346" t="str">
            <v xml:space="preserve">NFT-/XUTR/DEUTH02429530992X </v>
          </cell>
          <cell r="CN4346" t="str">
            <v>2024-10-21</v>
          </cell>
          <cell r="CO4346">
            <v>2296.377</v>
          </cell>
        </row>
        <row r="4347">
          <cell r="CJ4347" t="str">
            <v xml:space="preserve">NFT-/XUTR/DEUTH02429509164X </v>
          </cell>
          <cell r="CK4347" t="str">
            <v>2024-10-21</v>
          </cell>
          <cell r="CL4347">
            <v>14482.896000000001</v>
          </cell>
          <cell r="CM4347" t="str">
            <v xml:space="preserve">NFT-/XUTR/DEUTH02429530992X </v>
          </cell>
          <cell r="CN4347" t="str">
            <v>2024-10-21</v>
          </cell>
          <cell r="CO4347">
            <v>2250.761</v>
          </cell>
        </row>
        <row r="4348">
          <cell r="CJ4348" t="str">
            <v xml:space="preserve">NFT-/XUTR/DEUTH02429509164X </v>
          </cell>
          <cell r="CK4348" t="str">
            <v>2024-10-21</v>
          </cell>
          <cell r="CL4348">
            <v>14160.659</v>
          </cell>
          <cell r="CM4348" t="str">
            <v xml:space="preserve">NFT-/XUTR/DEUTH02429530992X </v>
          </cell>
          <cell r="CN4348" t="str">
            <v>2024-10-21</v>
          </cell>
          <cell r="CO4348">
            <v>2572.998</v>
          </cell>
          <cell r="CP4348" t="str">
            <v xml:space="preserve">NFT-/XUTR/DEUTH024299A09NOX </v>
          </cell>
          <cell r="CQ4348" t="str">
            <v>2024-10-25</v>
          </cell>
          <cell r="CR4348">
            <v>-14160.659</v>
          </cell>
          <cell r="CS4348" t="str">
            <v xml:space="preserve">NFT-/XUTR/DEUTH024309A02A3X </v>
          </cell>
          <cell r="CT4348" t="str">
            <v>2024-11-04</v>
          </cell>
          <cell r="CU4348">
            <v>-2572.998</v>
          </cell>
        </row>
        <row r="4349">
          <cell r="CJ4349" t="str">
            <v xml:space="preserve">NFT-/XUTR/DEUTH02429509164X </v>
          </cell>
          <cell r="CK4349" t="str">
            <v>2024-10-21</v>
          </cell>
          <cell r="CL4349">
            <v>14418.4</v>
          </cell>
          <cell r="CM4349" t="str">
            <v xml:space="preserve">NFT-/XUTR/DEUTH02429530992X </v>
          </cell>
          <cell r="CN4349" t="str">
            <v>2024-10-21</v>
          </cell>
          <cell r="CO4349">
            <v>2296.377</v>
          </cell>
        </row>
        <row r="4350">
          <cell r="CJ4350" t="str">
            <v xml:space="preserve">NFT-/XUTR/DEUTH02429509164X </v>
          </cell>
          <cell r="CK4350" t="str">
            <v>2024-10-21</v>
          </cell>
          <cell r="CL4350">
            <v>13768.111999999999</v>
          </cell>
          <cell r="CM4350" t="str">
            <v xml:space="preserve">NFT-/XUTR/DEUTH02429530992X </v>
          </cell>
          <cell r="CN4350" t="str">
            <v>2024-10-21</v>
          </cell>
          <cell r="CO4350">
            <v>2946.665</v>
          </cell>
        </row>
        <row r="4351">
          <cell r="CJ4351" t="str">
            <v xml:space="preserve">NFT-/XUTR/DEUTH02429509164X </v>
          </cell>
          <cell r="CK4351" t="str">
            <v>2024-10-21</v>
          </cell>
          <cell r="CL4351">
            <v>14437.28</v>
          </cell>
          <cell r="CM4351" t="str">
            <v xml:space="preserve">NFT-/XUTR/DEUTH02429530992X </v>
          </cell>
          <cell r="CN4351" t="str">
            <v>2024-10-21</v>
          </cell>
          <cell r="CO4351">
            <v>2296.377</v>
          </cell>
        </row>
        <row r="4352">
          <cell r="CJ4352" t="str">
            <v xml:space="preserve">NFT-/XUTR/DEUTH02429509164X </v>
          </cell>
          <cell r="CK4352" t="str">
            <v>2024-10-21</v>
          </cell>
          <cell r="CL4352">
            <v>14437.28</v>
          </cell>
          <cell r="CM4352" t="str">
            <v xml:space="preserve">NFT-/XUTR/DEUTH02429530992X </v>
          </cell>
          <cell r="CN4352" t="str">
            <v>2024-10-21</v>
          </cell>
          <cell r="CO4352">
            <v>2296.377</v>
          </cell>
        </row>
        <row r="4353">
          <cell r="CJ4353" t="str">
            <v xml:space="preserve">NFT-/XUTR/DEUTH02429509164X </v>
          </cell>
          <cell r="CK4353" t="str">
            <v>2024-10-21</v>
          </cell>
          <cell r="CL4353">
            <v>14418.4</v>
          </cell>
          <cell r="CM4353" t="str">
            <v xml:space="preserve">NFT-/XUTR/DEUTH02429530992X </v>
          </cell>
          <cell r="CN4353" t="str">
            <v>2024-10-21</v>
          </cell>
          <cell r="CO4353">
            <v>2296.377</v>
          </cell>
        </row>
        <row r="4354">
          <cell r="CJ4354" t="str">
            <v xml:space="preserve">NFT-/XUTR/DEUTH02429509164X </v>
          </cell>
          <cell r="CK4354" t="str">
            <v>2024-10-21</v>
          </cell>
          <cell r="CL4354">
            <v>14437.28</v>
          </cell>
          <cell r="CM4354" t="str">
            <v xml:space="preserve">NFT-/XUTR/DEUTH02429530992X </v>
          </cell>
          <cell r="CN4354" t="str">
            <v>2024-10-21</v>
          </cell>
          <cell r="CO4354">
            <v>2296.377</v>
          </cell>
        </row>
        <row r="4355">
          <cell r="CJ4355" t="str">
            <v xml:space="preserve">NFT-/XUTR/DEUTH02429509164X </v>
          </cell>
          <cell r="CK4355" t="str">
            <v>2024-10-21</v>
          </cell>
          <cell r="CL4355">
            <v>14418.4</v>
          </cell>
          <cell r="CM4355" t="str">
            <v xml:space="preserve">NFT-/XUTR/DEUTH02429530992X </v>
          </cell>
          <cell r="CN4355" t="str">
            <v>2024-10-21</v>
          </cell>
          <cell r="CO4355">
            <v>2296.377</v>
          </cell>
        </row>
        <row r="4356">
          <cell r="CJ4356" t="str">
            <v xml:space="preserve">NFT-/XUTR/DEUTH02429509164X </v>
          </cell>
          <cell r="CK4356" t="str">
            <v>2024-10-21</v>
          </cell>
          <cell r="CL4356">
            <v>39094.288</v>
          </cell>
          <cell r="CM4356" t="str">
            <v xml:space="preserve">NFT-/XUTR/DEUTH02429530992X </v>
          </cell>
          <cell r="CN4356" t="str">
            <v>2024-10-21</v>
          </cell>
          <cell r="CO4356">
            <v>2554.5479999999998</v>
          </cell>
        </row>
        <row r="4357">
          <cell r="CJ4357" t="str">
            <v xml:space="preserve">NFT-/XUTR/DEUTH02429509164X </v>
          </cell>
          <cell r="CK4357" t="str">
            <v>2024-10-21</v>
          </cell>
          <cell r="CL4357">
            <v>14418.4</v>
          </cell>
          <cell r="CM4357" t="str">
            <v xml:space="preserve">NFT-/XUTR/DEUTH02429530992X </v>
          </cell>
          <cell r="CN4357" t="str">
            <v>2024-10-21</v>
          </cell>
          <cell r="CO4357">
            <v>2296.377</v>
          </cell>
        </row>
        <row r="4358">
          <cell r="CJ4358" t="str">
            <v xml:space="preserve">NFT-/XUTR/DEUTH02429509164X </v>
          </cell>
          <cell r="CK4358" t="str">
            <v>2024-10-21</v>
          </cell>
          <cell r="CL4358">
            <v>15600.994000000001</v>
          </cell>
          <cell r="CM4358" t="str">
            <v xml:space="preserve">NFT-/XUTR/DEUTH02429530992X </v>
          </cell>
          <cell r="CN4358" t="str">
            <v>2024-10-21</v>
          </cell>
          <cell r="CO4358">
            <v>1132.662</v>
          </cell>
        </row>
        <row r="4359">
          <cell r="CJ4359" t="str">
            <v xml:space="preserve">NFT-/XUTR/DEUTH02429509164X </v>
          </cell>
          <cell r="CK4359" t="str">
            <v>2024-10-21</v>
          </cell>
          <cell r="CL4359">
            <v>11473.14</v>
          </cell>
        </row>
        <row r="4360">
          <cell r="CJ4360" t="str">
            <v xml:space="preserve">NFT-/XUTR/DEUTH02429509164X </v>
          </cell>
          <cell r="CK4360" t="str">
            <v>2024-10-21</v>
          </cell>
          <cell r="CL4360">
            <v>5561.0990000000002</v>
          </cell>
          <cell r="CM4360" t="str">
            <v xml:space="preserve">NFT-/XUTR/DEUTH02429530992X </v>
          </cell>
          <cell r="CN4360" t="str">
            <v>2024-10-21</v>
          </cell>
          <cell r="CO4360">
            <v>299.91000000000003</v>
          </cell>
          <cell r="CP4360" t="str">
            <v xml:space="preserve">NFT-/XUTR/DEUTH02430209185X </v>
          </cell>
          <cell r="CQ4360" t="str">
            <v>2024-10-28</v>
          </cell>
          <cell r="CR4360">
            <v>-5561.0990000000002</v>
          </cell>
          <cell r="CS4360" t="str">
            <v xml:space="preserve">NFT-/XUTR/DEUTH024309A02A3X </v>
          </cell>
          <cell r="CT4360" t="str">
            <v>2024-11-04</v>
          </cell>
          <cell r="CU4360">
            <v>-299.91000000000003</v>
          </cell>
        </row>
        <row r="4361">
          <cell r="CJ4361" t="str">
            <v xml:space="preserve">NFT-/XUTR/DEUTH02429509164X </v>
          </cell>
          <cell r="CK4361" t="str">
            <v>2024-10-21</v>
          </cell>
          <cell r="CL4361">
            <v>39580.016000000003</v>
          </cell>
          <cell r="CM4361" t="str">
            <v xml:space="preserve">NFT-/XUTR/DEUTH02429530992X </v>
          </cell>
          <cell r="CN4361" t="str">
            <v>2024-10-21</v>
          </cell>
          <cell r="CO4361">
            <v>2087.71</v>
          </cell>
          <cell r="CP4361" t="str">
            <v xml:space="preserve">NFT-/XUTR/DEUTH02431152062X </v>
          </cell>
          <cell r="CQ4361" t="str">
            <v>2024-11-06</v>
          </cell>
          <cell r="CR4361">
            <v>-39580.016000000003</v>
          </cell>
          <cell r="CS4361" t="str">
            <v xml:space="preserve">NFT-/XUTR/DEUTH02431162755X </v>
          </cell>
          <cell r="CT4361" t="str">
            <v>2024-11-06</v>
          </cell>
          <cell r="CU4361">
            <v>-2087.71</v>
          </cell>
        </row>
        <row r="4362">
          <cell r="CJ4362" t="str">
            <v xml:space="preserve">NFT-/XUTR/DEUTH02429509164X </v>
          </cell>
          <cell r="CK4362" t="str">
            <v>2024-10-21</v>
          </cell>
          <cell r="CL4362">
            <v>9674.6640000000007</v>
          </cell>
          <cell r="CM4362" t="str">
            <v xml:space="preserve">NFT-/XUTR/DEUTH02429530992X </v>
          </cell>
          <cell r="CN4362" t="str">
            <v>2024-10-21</v>
          </cell>
          <cell r="CO4362">
            <v>1720.8320000000001</v>
          </cell>
        </row>
        <row r="4363">
          <cell r="CJ4363" t="str">
            <v xml:space="preserve">NFT-/XUTR/DEUTH02429760724X </v>
          </cell>
          <cell r="CK4363" t="str">
            <v>2024-10-23</v>
          </cell>
          <cell r="CL4363">
            <v>79212.457999999999</v>
          </cell>
          <cell r="CM4363" t="str">
            <v xml:space="preserve">NFT-/XUTR/DEUTH02429764618X </v>
          </cell>
          <cell r="CN4363" t="str">
            <v>2024-10-23</v>
          </cell>
          <cell r="CO4363">
            <v>2452.64</v>
          </cell>
          <cell r="CP4363" t="str">
            <v xml:space="preserve">NFT-/XUTR/DEUTH024299A09NOX </v>
          </cell>
          <cell r="CQ4363" t="str">
            <v>2024-10-25</v>
          </cell>
          <cell r="CR4363">
            <v>-79212.457999999999</v>
          </cell>
          <cell r="CS4363" t="str">
            <v xml:space="preserve">NFT-/XUTR/DEUTH024309A02A3X </v>
          </cell>
          <cell r="CT4363" t="str">
            <v>2024-11-04</v>
          </cell>
          <cell r="CU4363">
            <v>-2452.64</v>
          </cell>
        </row>
        <row r="4364">
          <cell r="CJ4364" t="str">
            <v xml:space="preserve">NFT-/XUTR/DEUTH02429760724X </v>
          </cell>
          <cell r="CK4364" t="str">
            <v>2024-10-23</v>
          </cell>
          <cell r="CL4364">
            <v>77756.596999999994</v>
          </cell>
          <cell r="CM4364" t="str">
            <v xml:space="preserve">NFT-/XUTR/DEUTH02429764618X </v>
          </cell>
          <cell r="CN4364" t="str">
            <v>2024-10-23</v>
          </cell>
          <cell r="CO4364">
            <v>3908.502</v>
          </cell>
        </row>
        <row r="4365">
          <cell r="CJ4365" t="str">
            <v xml:space="preserve">NFT-/XUTR/DEUTH02429760724X </v>
          </cell>
          <cell r="CK4365" t="str">
            <v>2024-10-23</v>
          </cell>
          <cell r="CL4365">
            <v>14537.25</v>
          </cell>
          <cell r="CM4365" t="str">
            <v xml:space="preserve">NFT-/XUTR/DEUTH02429764618X </v>
          </cell>
          <cell r="CN4365" t="str">
            <v>2024-10-23</v>
          </cell>
          <cell r="CO4365">
            <v>1953.7639999999999</v>
          </cell>
        </row>
        <row r="4366">
          <cell r="CJ4366" t="str">
            <v xml:space="preserve">NFT-/XUTR/DEUTH02429760724X </v>
          </cell>
          <cell r="CK4366" t="str">
            <v>2024-10-23</v>
          </cell>
          <cell r="CL4366">
            <v>14437.28</v>
          </cell>
          <cell r="CM4366" t="str">
            <v xml:space="preserve">NFT-/XUTR/DEUTH02429764618X </v>
          </cell>
          <cell r="CN4366" t="str">
            <v>2024-10-23</v>
          </cell>
          <cell r="CO4366">
            <v>2296.377</v>
          </cell>
        </row>
        <row r="4367">
          <cell r="CJ4367" t="str">
            <v xml:space="preserve">NFT-/XUTR/DEUTH02429760724X </v>
          </cell>
          <cell r="CK4367" t="str">
            <v>2024-10-23</v>
          </cell>
          <cell r="CL4367">
            <v>14352.835999999999</v>
          </cell>
          <cell r="CM4367" t="str">
            <v xml:space="preserve">NFT-/XUTR/DEUTH02429764618X </v>
          </cell>
          <cell r="CN4367" t="str">
            <v>2024-10-23</v>
          </cell>
          <cell r="CO4367">
            <v>2380.8200000000002</v>
          </cell>
        </row>
        <row r="4368">
          <cell r="CJ4368" t="str">
            <v xml:space="preserve">NFT-/XUTR/DEUTH02429760724X </v>
          </cell>
          <cell r="CK4368" t="str">
            <v>2024-10-23</v>
          </cell>
          <cell r="CL4368">
            <v>79170.729000000007</v>
          </cell>
          <cell r="CM4368" t="str">
            <v xml:space="preserve">NFT-/XUTR/DEUTH02429764618X </v>
          </cell>
          <cell r="CN4368" t="str">
            <v>2024-10-23</v>
          </cell>
          <cell r="CO4368">
            <v>2911.7240000000002</v>
          </cell>
        </row>
        <row r="4369">
          <cell r="CJ4369" t="str">
            <v xml:space="preserve">NFT-/XUTR/DEUTH02429760724X </v>
          </cell>
          <cell r="CK4369" t="str">
            <v>2024-10-23</v>
          </cell>
          <cell r="CL4369">
            <v>14418.4</v>
          </cell>
          <cell r="CM4369" t="str">
            <v xml:space="preserve">NFT-/XUTR/DEUTH02429764618X </v>
          </cell>
          <cell r="CN4369" t="str">
            <v>2024-10-23</v>
          </cell>
          <cell r="CO4369">
            <v>2296.377</v>
          </cell>
        </row>
        <row r="4370">
          <cell r="CJ4370" t="str">
            <v xml:space="preserve">NFT-/XUTR/DEUTH02429760724X </v>
          </cell>
          <cell r="CK4370" t="str">
            <v>2024-10-23</v>
          </cell>
          <cell r="CL4370">
            <v>14418.4</v>
          </cell>
          <cell r="CM4370" t="str">
            <v xml:space="preserve">NFT-/XUTR/DEUTH02429764618X </v>
          </cell>
          <cell r="CN4370" t="str">
            <v>2024-10-23</v>
          </cell>
          <cell r="CO4370">
            <v>2296.377</v>
          </cell>
        </row>
        <row r="4371">
          <cell r="CJ4371" t="str">
            <v xml:space="preserve">NFT-/XUTR/DEUTH02429760724X </v>
          </cell>
          <cell r="CK4371" t="str">
            <v>2024-10-23</v>
          </cell>
          <cell r="CL4371">
            <v>14427.566999999999</v>
          </cell>
          <cell r="CM4371" t="str">
            <v xml:space="preserve">NFT-/XUTR/DEUTH02429764618X </v>
          </cell>
          <cell r="CN4371" t="str">
            <v>2024-10-23</v>
          </cell>
          <cell r="CO4371">
            <v>2306.09</v>
          </cell>
        </row>
        <row r="4372">
          <cell r="CJ4372" t="str">
            <v xml:space="preserve">NFT-/XUTR/DEUTH02429760724X </v>
          </cell>
          <cell r="CK4372" t="str">
            <v>2024-10-23</v>
          </cell>
          <cell r="CL4372">
            <v>14418.4</v>
          </cell>
          <cell r="CM4372" t="str">
            <v xml:space="preserve">NFT-/XUTR/DEUTH02429764618X </v>
          </cell>
          <cell r="CN4372" t="str">
            <v>2024-10-23</v>
          </cell>
          <cell r="CO4372">
            <v>2296.377</v>
          </cell>
        </row>
        <row r="4373">
          <cell r="CJ4373" t="str">
            <v xml:space="preserve">NFT-/XUTR/DEUTH02429760724X </v>
          </cell>
          <cell r="CK4373" t="str">
            <v>2024-10-23</v>
          </cell>
          <cell r="CL4373">
            <v>14418.4</v>
          </cell>
          <cell r="CM4373" t="str">
            <v xml:space="preserve">NFT-/XUTR/DEUTH02429764618X </v>
          </cell>
          <cell r="CN4373" t="str">
            <v>2024-10-23</v>
          </cell>
          <cell r="CO4373">
            <v>2296.377</v>
          </cell>
        </row>
        <row r="4374">
          <cell r="CJ4374" t="str">
            <v xml:space="preserve">NFT-/XUTR/DEUTH02429760724X </v>
          </cell>
          <cell r="CK4374" t="str">
            <v>2024-10-23</v>
          </cell>
          <cell r="CL4374">
            <v>13995.66</v>
          </cell>
          <cell r="CM4374" t="str">
            <v xml:space="preserve">NFT-/XUTR/DEUTH02429764618X </v>
          </cell>
          <cell r="CN4374" t="str">
            <v>2024-10-23</v>
          </cell>
          <cell r="CO4374">
            <v>2737.9859999999999</v>
          </cell>
          <cell r="CP4374" t="str">
            <v xml:space="preserve">NFT-/XUTR/DEUTH02431649943X </v>
          </cell>
          <cell r="CQ4374" t="str">
            <v>2024-11-11</v>
          </cell>
          <cell r="CR4374">
            <v>-13995.66</v>
          </cell>
          <cell r="CS4374" t="str">
            <v xml:space="preserve">NFT-/XUTR/DEUTH02431658955X </v>
          </cell>
          <cell r="CT4374" t="str">
            <v>2024-11-11</v>
          </cell>
          <cell r="CU4374">
            <v>-2737.9859999999999</v>
          </cell>
        </row>
        <row r="4375">
          <cell r="CJ4375" t="str">
            <v xml:space="preserve">NFT-/XUTR/DEUTH02429760724X </v>
          </cell>
          <cell r="CK4375" t="str">
            <v>2024-10-23</v>
          </cell>
          <cell r="CL4375">
            <v>14437.28</v>
          </cell>
          <cell r="CM4375" t="str">
            <v xml:space="preserve">NFT-/XUTR/DEUTH02429764618X </v>
          </cell>
          <cell r="CN4375" t="str">
            <v>2024-10-23</v>
          </cell>
          <cell r="CO4375">
            <v>2296.377</v>
          </cell>
        </row>
        <row r="4376">
          <cell r="CJ4376" t="str">
            <v xml:space="preserve">NFT-/XUTR/DEUTH02429760724X </v>
          </cell>
          <cell r="CK4376" t="str">
            <v>2024-10-23</v>
          </cell>
          <cell r="CL4376">
            <v>13907.873</v>
          </cell>
          <cell r="CM4376" t="str">
            <v xml:space="preserve">NFT-/XUTR/DEUTH02429764618X </v>
          </cell>
          <cell r="CN4376" t="str">
            <v>2024-10-23</v>
          </cell>
          <cell r="CO4376">
            <v>2719.5479999999998</v>
          </cell>
        </row>
        <row r="4377">
          <cell r="CJ4377" t="str">
            <v xml:space="preserve">NFT-/XUTR/DEUTH02429760724X </v>
          </cell>
          <cell r="CK4377" t="str">
            <v>2024-10-23</v>
          </cell>
          <cell r="CL4377">
            <v>15874.261</v>
          </cell>
          <cell r="CM4377" t="str">
            <v xml:space="preserve">NFT-/XUTR/DEUTH02429764618X </v>
          </cell>
          <cell r="CN4377" t="str">
            <v>2024-10-23</v>
          </cell>
          <cell r="CO4377">
            <v>840.51499999999999</v>
          </cell>
        </row>
        <row r="4378">
          <cell r="CJ4378" t="str">
            <v xml:space="preserve">NFT-/XUTR/DEUTH02429760724X </v>
          </cell>
          <cell r="CK4378" t="str">
            <v>2024-10-23</v>
          </cell>
          <cell r="CL4378">
            <v>14418.4</v>
          </cell>
          <cell r="CM4378" t="str">
            <v xml:space="preserve">NFT-/XUTR/DEUTH02429764618X </v>
          </cell>
          <cell r="CN4378" t="str">
            <v>2024-10-23</v>
          </cell>
          <cell r="CO4378">
            <v>2296.377</v>
          </cell>
        </row>
        <row r="4379">
          <cell r="CJ4379" t="str">
            <v xml:space="preserve">NFT-/XUTR/DEUTH02429760724X </v>
          </cell>
          <cell r="CK4379" t="str">
            <v>2024-10-23</v>
          </cell>
          <cell r="CL4379">
            <v>79170.728000000003</v>
          </cell>
          <cell r="CM4379" t="str">
            <v xml:space="preserve">NFT-/XUTR/DEUTH02429764618X </v>
          </cell>
          <cell r="CN4379" t="str">
            <v>2024-10-23</v>
          </cell>
          <cell r="CO4379">
            <v>2911.723</v>
          </cell>
        </row>
        <row r="4380">
          <cell r="CJ4380" t="str">
            <v xml:space="preserve">NFT-/XUTR/DEUTH02429760724X </v>
          </cell>
          <cell r="CK4380" t="str">
            <v>2024-10-23</v>
          </cell>
          <cell r="CL4380">
            <v>79251.819000000003</v>
          </cell>
          <cell r="CM4380" t="str">
            <v xml:space="preserve">NFT-/XUTR/DEUTH02429764618X </v>
          </cell>
          <cell r="CN4380" t="str">
            <v>2024-10-23</v>
          </cell>
          <cell r="CO4380">
            <v>2394.4090000000001</v>
          </cell>
        </row>
        <row r="4381">
          <cell r="CJ4381" t="str">
            <v xml:space="preserve">NFT-/XUTR/DEUTH02429760724X </v>
          </cell>
          <cell r="CK4381" t="str">
            <v>2024-10-23</v>
          </cell>
          <cell r="CL4381">
            <v>14754.214</v>
          </cell>
          <cell r="CM4381" t="str">
            <v xml:space="preserve">NFT-/XUTR/DEUTH02429764618X </v>
          </cell>
          <cell r="CN4381" t="str">
            <v>2024-10-23</v>
          </cell>
          <cell r="CO4381">
            <v>1960.5630000000001</v>
          </cell>
        </row>
        <row r="4382">
          <cell r="CJ4382" t="str">
            <v xml:space="preserve">NFT-/XUTR/DEUTH02429760724X </v>
          </cell>
          <cell r="CK4382" t="str">
            <v>2024-10-23</v>
          </cell>
          <cell r="CL4382">
            <v>14437.28</v>
          </cell>
          <cell r="CM4382" t="str">
            <v xml:space="preserve">NFT-/XUTR/DEUTH02429764618X </v>
          </cell>
          <cell r="CN4382" t="str">
            <v>2024-10-23</v>
          </cell>
          <cell r="CO4382">
            <v>2296.377</v>
          </cell>
        </row>
        <row r="4383">
          <cell r="CJ4383" t="str">
            <v xml:space="preserve">NFT-/XUTR/DEUTH02429760724X </v>
          </cell>
          <cell r="CK4383" t="str">
            <v>2024-10-23</v>
          </cell>
          <cell r="CL4383">
            <v>14418.4</v>
          </cell>
          <cell r="CM4383" t="str">
            <v xml:space="preserve">NFT-/XUTR/DEUTH02429764618X </v>
          </cell>
          <cell r="CN4383" t="str">
            <v>2024-10-23</v>
          </cell>
          <cell r="CO4383">
            <v>2296.377</v>
          </cell>
        </row>
        <row r="4384">
          <cell r="CJ4384" t="str">
            <v xml:space="preserve">NFT-/XUTR/DEUTH02429760724X </v>
          </cell>
          <cell r="CK4384" t="str">
            <v>2024-10-23</v>
          </cell>
          <cell r="CL4384">
            <v>14437.28</v>
          </cell>
          <cell r="CM4384" t="str">
            <v xml:space="preserve">NFT-/XUTR/DEUTH02429764618X </v>
          </cell>
          <cell r="CN4384" t="str">
            <v>2024-10-23</v>
          </cell>
          <cell r="CO4384">
            <v>2296.377</v>
          </cell>
          <cell r="CP4384" t="str">
            <v xml:space="preserve">NFT-/XUTR/DEUTH02430209185X </v>
          </cell>
          <cell r="CQ4384" t="str">
            <v>2024-10-28</v>
          </cell>
          <cell r="CR4384">
            <v>-14437.28</v>
          </cell>
          <cell r="CS4384" t="str">
            <v xml:space="preserve">NFT-/XUTR/DEUTH024309A02A3X </v>
          </cell>
          <cell r="CT4384" t="str">
            <v>2024-11-04</v>
          </cell>
          <cell r="CU4384">
            <v>-2296.377</v>
          </cell>
        </row>
        <row r="4385">
          <cell r="CJ4385" t="str">
            <v xml:space="preserve">NFT-/XUTR/DEUTH02429760724X </v>
          </cell>
          <cell r="CK4385" t="str">
            <v>2024-10-23</v>
          </cell>
          <cell r="CL4385">
            <v>14437.28</v>
          </cell>
          <cell r="CM4385" t="str">
            <v xml:space="preserve">NFT-/XUTR/DEUTH02429764618X </v>
          </cell>
          <cell r="CN4385" t="str">
            <v>2024-10-23</v>
          </cell>
          <cell r="CO4385">
            <v>2296.377</v>
          </cell>
          <cell r="CP4385" t="str">
            <v xml:space="preserve">NFT-/XUTR/DEUTH024299A09NOX </v>
          </cell>
          <cell r="CQ4385" t="str">
            <v>2024-10-25</v>
          </cell>
          <cell r="CR4385">
            <v>-14437.28</v>
          </cell>
          <cell r="CS4385" t="str">
            <v xml:space="preserve">NFT-/XUTR/DEUTH024309A02A3X </v>
          </cell>
          <cell r="CT4385" t="str">
            <v>2024-11-04</v>
          </cell>
          <cell r="CU4385">
            <v>-2296.377</v>
          </cell>
        </row>
        <row r="4386">
          <cell r="CJ4386" t="str">
            <v xml:space="preserve">NFT-/XUTR/DEUTH02429760724X </v>
          </cell>
          <cell r="CK4386" t="str">
            <v>2024-10-23</v>
          </cell>
          <cell r="CL4386">
            <v>14418.4</v>
          </cell>
          <cell r="CM4386" t="str">
            <v xml:space="preserve">NFT-/XUTR/DEUTH02429764618X </v>
          </cell>
          <cell r="CN4386" t="str">
            <v>2024-10-23</v>
          </cell>
          <cell r="CO4386">
            <v>2296.377</v>
          </cell>
        </row>
        <row r="4387">
          <cell r="CJ4387" t="str">
            <v xml:space="preserve">NFT-/XUTR/DEUTH02429760724X </v>
          </cell>
          <cell r="CK4387" t="str">
            <v>2024-10-23</v>
          </cell>
          <cell r="CL4387">
            <v>14418.4</v>
          </cell>
          <cell r="CM4387" t="str">
            <v xml:space="preserve">NFT-/XUTR/DEUTH02429764618X </v>
          </cell>
          <cell r="CN4387" t="str">
            <v>2024-10-23</v>
          </cell>
          <cell r="CO4387">
            <v>2296.377</v>
          </cell>
        </row>
        <row r="4388">
          <cell r="CJ4388" t="str">
            <v xml:space="preserve">NFT-/XUTR/DEUTH02429760724X </v>
          </cell>
          <cell r="CK4388" t="str">
            <v>2024-10-23</v>
          </cell>
          <cell r="CL4388">
            <v>14437.28</v>
          </cell>
          <cell r="CM4388" t="str">
            <v xml:space="preserve">NFT-/XUTR/DEUTH02429764618X </v>
          </cell>
          <cell r="CN4388" t="str">
            <v>2024-10-23</v>
          </cell>
          <cell r="CO4388">
            <v>2296.377</v>
          </cell>
        </row>
        <row r="4389">
          <cell r="CJ4389" t="str">
            <v xml:space="preserve">NFT-/XUTR/DEUTH02429760724X </v>
          </cell>
          <cell r="CK4389" t="str">
            <v>2024-10-23</v>
          </cell>
          <cell r="CL4389">
            <v>14418.4</v>
          </cell>
          <cell r="CM4389" t="str">
            <v xml:space="preserve">NFT-/XUTR/DEUTH02429764618X </v>
          </cell>
          <cell r="CN4389" t="str">
            <v>2024-10-23</v>
          </cell>
          <cell r="CO4389">
            <v>2296.377</v>
          </cell>
        </row>
        <row r="4390">
          <cell r="CJ4390" t="str">
            <v xml:space="preserve">NFT-/XUTR/DEUTH02429760724X </v>
          </cell>
          <cell r="CK4390" t="str">
            <v>2024-10-23</v>
          </cell>
          <cell r="CL4390">
            <v>14274.751</v>
          </cell>
          <cell r="CM4390" t="str">
            <v xml:space="preserve">NFT-/XUTR/DEUTH02429764618X </v>
          </cell>
          <cell r="CN4390" t="str">
            <v>2024-10-23</v>
          </cell>
          <cell r="CO4390">
            <v>2440.0259999999998</v>
          </cell>
        </row>
        <row r="4391">
          <cell r="CJ4391" t="str">
            <v xml:space="preserve">NFT-/XUTR/DEUTH02429760724X </v>
          </cell>
          <cell r="CK4391" t="str">
            <v>2024-10-23</v>
          </cell>
          <cell r="CL4391">
            <v>14052.486000000001</v>
          </cell>
          <cell r="CM4391" t="str">
            <v xml:space="preserve">NFT-/XUTR/DEUTH02429764618X </v>
          </cell>
          <cell r="CN4391" t="str">
            <v>2024-10-23</v>
          </cell>
          <cell r="CO4391">
            <v>2662.2820000000002</v>
          </cell>
        </row>
        <row r="4392">
          <cell r="CJ4392" t="str">
            <v xml:space="preserve">NFT-/XUTR/DEUTH02429760724X </v>
          </cell>
          <cell r="CK4392" t="str">
            <v>2024-10-23</v>
          </cell>
          <cell r="CL4392">
            <v>14418.4</v>
          </cell>
          <cell r="CM4392" t="str">
            <v xml:space="preserve">NFT-/XUTR/DEUTH02429764618X </v>
          </cell>
          <cell r="CN4392" t="str">
            <v>2024-10-23</v>
          </cell>
          <cell r="CO4392">
            <v>2296.377</v>
          </cell>
        </row>
        <row r="4393">
          <cell r="CJ4393" t="str">
            <v xml:space="preserve">NFT-/XUTR/DEUTH02429760724X </v>
          </cell>
          <cell r="CK4393" t="str">
            <v>2024-10-23</v>
          </cell>
          <cell r="CL4393">
            <v>14418.4</v>
          </cell>
          <cell r="CM4393" t="str">
            <v xml:space="preserve">NFT-/XUTR/DEUTH02429764618X </v>
          </cell>
          <cell r="CN4393" t="str">
            <v>2024-10-23</v>
          </cell>
          <cell r="CO4393">
            <v>2296.377</v>
          </cell>
        </row>
        <row r="4394">
          <cell r="CJ4394" t="str">
            <v xml:space="preserve">NFT-/XUTR/DEUTH02429760724X </v>
          </cell>
          <cell r="CK4394" t="str">
            <v>2024-10-23</v>
          </cell>
          <cell r="CL4394">
            <v>14437.28</v>
          </cell>
          <cell r="CM4394" t="str">
            <v xml:space="preserve">NFT-/XUTR/DEUTH02429764618X </v>
          </cell>
          <cell r="CN4394" t="str">
            <v>2024-10-23</v>
          </cell>
          <cell r="CO4394">
            <v>2296.377</v>
          </cell>
        </row>
        <row r="4395">
          <cell r="CJ4395" t="str">
            <v xml:space="preserve">NFT-/XUTR/DEUTH02429760724X </v>
          </cell>
          <cell r="CK4395" t="str">
            <v>2024-10-23</v>
          </cell>
          <cell r="CL4395">
            <v>14437.28</v>
          </cell>
          <cell r="CM4395" t="str">
            <v xml:space="preserve">NFT-/XUTR/DEUTH02429764618X </v>
          </cell>
          <cell r="CN4395" t="str">
            <v>2024-10-23</v>
          </cell>
          <cell r="CO4395">
            <v>2296.377</v>
          </cell>
          <cell r="CP4395" t="str">
            <v xml:space="preserve">NFT-/XUTR/DEUTH024299A09NOX </v>
          </cell>
          <cell r="CQ4395" t="str">
            <v>2024-10-25</v>
          </cell>
          <cell r="CR4395">
            <v>-14437.28</v>
          </cell>
          <cell r="CS4395" t="str">
            <v xml:space="preserve">NFT-/XUTR/DEUTH024309A02A3X </v>
          </cell>
          <cell r="CT4395" t="str">
            <v>2024-11-04</v>
          </cell>
          <cell r="CU4395">
            <v>-2296.377</v>
          </cell>
        </row>
        <row r="4396">
          <cell r="CJ4396" t="str">
            <v xml:space="preserve">NFT-/XUTR/DEUTH02429760724X </v>
          </cell>
          <cell r="CK4396" t="str">
            <v>2024-10-23</v>
          </cell>
          <cell r="CL4396">
            <v>14435.864</v>
          </cell>
          <cell r="CM4396" t="str">
            <v xml:space="preserve">NFT-/XUTR/DEUTH02429764618X </v>
          </cell>
          <cell r="CN4396" t="str">
            <v>2024-10-23</v>
          </cell>
          <cell r="CO4396">
            <v>2278.9119999999998</v>
          </cell>
        </row>
        <row r="4397">
          <cell r="CJ4397" t="str">
            <v xml:space="preserve">NFT-/XUTR/DEUTH02429760724X </v>
          </cell>
          <cell r="CK4397" t="str">
            <v>2024-10-23</v>
          </cell>
          <cell r="CL4397">
            <v>14418.4</v>
          </cell>
          <cell r="CM4397" t="str">
            <v xml:space="preserve">NFT-/XUTR/DEUTH02429764618X </v>
          </cell>
          <cell r="CN4397" t="str">
            <v>2024-10-23</v>
          </cell>
          <cell r="CO4397">
            <v>2296.377</v>
          </cell>
        </row>
        <row r="4398">
          <cell r="CJ4398" t="str">
            <v xml:space="preserve">NFT-/XUTR/DEUTH02429760724X </v>
          </cell>
          <cell r="CK4398" t="str">
            <v>2024-10-23</v>
          </cell>
          <cell r="CL4398">
            <v>14437.28</v>
          </cell>
          <cell r="CM4398" t="str">
            <v xml:space="preserve">NFT-/XUTR/DEUTH02429764618X </v>
          </cell>
          <cell r="CN4398" t="str">
            <v>2024-10-23</v>
          </cell>
          <cell r="CO4398">
            <v>2296.377</v>
          </cell>
          <cell r="CP4398" t="str">
            <v xml:space="preserve">NFT-/XUTR/DEUTH024299A09NOX </v>
          </cell>
          <cell r="CQ4398" t="str">
            <v>2024-10-25</v>
          </cell>
          <cell r="CR4398">
            <v>-14437.28</v>
          </cell>
          <cell r="CS4398" t="str">
            <v xml:space="preserve">NFT-/XUTR/DEUTH024309A02A3X </v>
          </cell>
          <cell r="CT4398" t="str">
            <v>2024-11-04</v>
          </cell>
          <cell r="CU4398">
            <v>-2296.377</v>
          </cell>
        </row>
        <row r="4399">
          <cell r="CJ4399" t="str">
            <v xml:space="preserve">NFT-/XUTR/DEUTH02429760724X </v>
          </cell>
          <cell r="CK4399" t="str">
            <v>2024-10-23</v>
          </cell>
          <cell r="CL4399">
            <v>14437.28</v>
          </cell>
          <cell r="CM4399" t="str">
            <v xml:space="preserve">NFT-/XUTR/DEUTH02429764618X </v>
          </cell>
          <cell r="CN4399" t="str">
            <v>2024-10-23</v>
          </cell>
          <cell r="CO4399">
            <v>2296.377</v>
          </cell>
        </row>
        <row r="4400">
          <cell r="CJ4400" t="str">
            <v xml:space="preserve">NFT-/XUTR/DEUTH02429760724X </v>
          </cell>
          <cell r="CK4400" t="str">
            <v>2024-10-23</v>
          </cell>
          <cell r="CL4400">
            <v>14437.28</v>
          </cell>
          <cell r="CM4400" t="str">
            <v xml:space="preserve">NFT-/XUTR/DEUTH02429764618X </v>
          </cell>
          <cell r="CN4400" t="str">
            <v>2024-10-23</v>
          </cell>
          <cell r="CO4400">
            <v>2296.377</v>
          </cell>
        </row>
        <row r="4401">
          <cell r="CJ4401" t="str">
            <v xml:space="preserve">NFT-/XUTR/DEUTH02429760724X </v>
          </cell>
          <cell r="CK4401" t="str">
            <v>2024-10-23</v>
          </cell>
          <cell r="CL4401">
            <v>14418.4</v>
          </cell>
          <cell r="CM4401" t="str">
            <v xml:space="preserve">NFT-/XUTR/DEUTH02429764618X </v>
          </cell>
          <cell r="CN4401" t="str">
            <v>2024-10-23</v>
          </cell>
          <cell r="CO4401">
            <v>2296.377</v>
          </cell>
        </row>
        <row r="4402">
          <cell r="CJ4402" t="str">
            <v xml:space="preserve">NFT-/XUTR/DEUTH02429760724X </v>
          </cell>
          <cell r="CK4402" t="str">
            <v>2024-10-23</v>
          </cell>
          <cell r="CL4402">
            <v>14418.4</v>
          </cell>
          <cell r="CM4402" t="str">
            <v xml:space="preserve">NFT-/XUTR/DEUTH02429764618X </v>
          </cell>
          <cell r="CN4402" t="str">
            <v>2024-10-23</v>
          </cell>
          <cell r="CO4402">
            <v>2296.377</v>
          </cell>
        </row>
        <row r="4403">
          <cell r="CJ4403" t="str">
            <v xml:space="preserve">NFT-/XUTR/DEUTH02429760724X </v>
          </cell>
          <cell r="CK4403" t="str">
            <v>2024-10-23</v>
          </cell>
          <cell r="CL4403">
            <v>14418.4</v>
          </cell>
          <cell r="CM4403" t="str">
            <v xml:space="preserve">NFT-/XUTR/DEUTH02429764618X </v>
          </cell>
          <cell r="CN4403" t="str">
            <v>2024-10-23</v>
          </cell>
          <cell r="CO4403">
            <v>2296.377</v>
          </cell>
        </row>
        <row r="4404">
          <cell r="CJ4404" t="str">
            <v xml:space="preserve">NFT-/XUTR/DEUTH02429760724X </v>
          </cell>
          <cell r="CK4404" t="str">
            <v>2024-10-23</v>
          </cell>
          <cell r="CL4404">
            <v>16714.776000000002</v>
          </cell>
          <cell r="CM4404" t="str">
            <v xml:space="preserve">NFT-/XUTR/DEUTH02430209185X </v>
          </cell>
          <cell r="CN4404" t="str">
            <v>2024-10-28</v>
          </cell>
          <cell r="CO4404">
            <v>504.33</v>
          </cell>
          <cell r="CP4404" t="str">
            <v xml:space="preserve">NFT-/XUTR/DEUTH024304A0ENJX </v>
          </cell>
          <cell r="CQ4404" t="str">
            <v>2024-10-30</v>
          </cell>
          <cell r="CR4404">
            <v>-17219.106</v>
          </cell>
        </row>
        <row r="4405">
          <cell r="CJ4405" t="str">
            <v xml:space="preserve">NFT-/XUTR/DEUTH02429760724X </v>
          </cell>
          <cell r="CK4405" t="str">
            <v>2024-10-23</v>
          </cell>
          <cell r="CL4405">
            <v>14437.28</v>
          </cell>
          <cell r="CM4405" t="str">
            <v xml:space="preserve">NFT-/XUTR/DEUTH02429764618X </v>
          </cell>
          <cell r="CN4405" t="str">
            <v>2024-10-23</v>
          </cell>
          <cell r="CO4405">
            <v>2296.377</v>
          </cell>
        </row>
        <row r="4406">
          <cell r="CJ4406" t="str">
            <v xml:space="preserve">NFT-/XUTR/DEUTH02429760724X </v>
          </cell>
          <cell r="CK4406" t="str">
            <v>2024-10-23</v>
          </cell>
          <cell r="CL4406">
            <v>14418.4</v>
          </cell>
          <cell r="CM4406" t="str">
            <v xml:space="preserve">NFT-/XUTR/DEUTH02429764618X </v>
          </cell>
          <cell r="CN4406" t="str">
            <v>2024-10-23</v>
          </cell>
          <cell r="CO4406">
            <v>2296.377</v>
          </cell>
        </row>
        <row r="4407">
          <cell r="CJ4407" t="str">
            <v xml:space="preserve">NFT-/XUTR/DEUTH02429760724X </v>
          </cell>
          <cell r="CK4407" t="str">
            <v>2024-10-23</v>
          </cell>
          <cell r="CL4407">
            <v>14418.4</v>
          </cell>
          <cell r="CM4407" t="str">
            <v xml:space="preserve">NFT-/XUTR/DEUTH02429764618X </v>
          </cell>
          <cell r="CN4407" t="str">
            <v>2024-10-23</v>
          </cell>
          <cell r="CO4407">
            <v>2296.377</v>
          </cell>
        </row>
        <row r="4408">
          <cell r="CJ4408" t="str">
            <v xml:space="preserve">NFT-/XUTR/DEUTH02429760724X </v>
          </cell>
          <cell r="CK4408" t="str">
            <v>2024-10-23</v>
          </cell>
          <cell r="CL4408">
            <v>13884.049000000001</v>
          </cell>
          <cell r="CM4408" t="str">
            <v xml:space="preserve">NFT-/XUTR/DEUTH02429764618X </v>
          </cell>
          <cell r="CN4408" t="str">
            <v>2024-10-23</v>
          </cell>
          <cell r="CO4408">
            <v>2849.607</v>
          </cell>
        </row>
        <row r="4409">
          <cell r="CJ4409" t="str">
            <v xml:space="preserve">NFT-/XUTR/DEUTH02429760724X </v>
          </cell>
          <cell r="CK4409" t="str">
            <v>2024-10-23</v>
          </cell>
          <cell r="CL4409">
            <v>14437.28</v>
          </cell>
          <cell r="CM4409" t="str">
            <v xml:space="preserve">NFT-/XUTR/DEUTH02429764618X </v>
          </cell>
          <cell r="CN4409" t="str">
            <v>2024-10-23</v>
          </cell>
          <cell r="CO4409">
            <v>2296.377</v>
          </cell>
        </row>
        <row r="4410">
          <cell r="CJ4410" t="str">
            <v xml:space="preserve">NFT-/XUTR/DEUTH02429760724X </v>
          </cell>
          <cell r="CK4410" t="str">
            <v>2024-10-23</v>
          </cell>
          <cell r="CL4410">
            <v>14437.28</v>
          </cell>
          <cell r="CM4410" t="str">
            <v xml:space="preserve">NFT-/XUTR/DEUTH02429764618X </v>
          </cell>
          <cell r="CN4410" t="str">
            <v>2024-10-23</v>
          </cell>
          <cell r="CO4410">
            <v>2296.377</v>
          </cell>
        </row>
        <row r="4411">
          <cell r="CJ4411" t="str">
            <v xml:space="preserve">NFT-/XUTR/DEUTH02429760724X </v>
          </cell>
          <cell r="CK4411" t="str">
            <v>2024-10-23</v>
          </cell>
          <cell r="CL4411">
            <v>14437.28</v>
          </cell>
          <cell r="CM4411" t="str">
            <v xml:space="preserve">NFT-/XUTR/DEUTH02429764618X </v>
          </cell>
          <cell r="CN4411" t="str">
            <v>2024-10-23</v>
          </cell>
          <cell r="CO4411">
            <v>2296.377</v>
          </cell>
        </row>
        <row r="4412">
          <cell r="CJ4412" t="str">
            <v xml:space="preserve">NFT-/XUTR/DEUTH02429760724X </v>
          </cell>
          <cell r="CK4412" t="str">
            <v>2024-10-23</v>
          </cell>
          <cell r="CL4412">
            <v>14418.4</v>
          </cell>
          <cell r="CM4412" t="str">
            <v xml:space="preserve">NFT-/XUTR/DEUTH02429764618X </v>
          </cell>
          <cell r="CN4412" t="str">
            <v>2024-10-23</v>
          </cell>
          <cell r="CO4412">
            <v>2296.377</v>
          </cell>
        </row>
        <row r="4413">
          <cell r="CJ4413" t="str">
            <v xml:space="preserve">NFT-/XUTR/DEUTH02429760724X </v>
          </cell>
          <cell r="CK4413" t="str">
            <v>2024-10-23</v>
          </cell>
          <cell r="CL4413">
            <v>79103.320000000007</v>
          </cell>
          <cell r="CM4413" t="str">
            <v xml:space="preserve">NFT-/XUTR/DEUTH02429764618X </v>
          </cell>
          <cell r="CN4413" t="str">
            <v>2024-10-23</v>
          </cell>
          <cell r="CO4413">
            <v>2911.7240000000002</v>
          </cell>
        </row>
        <row r="4414">
          <cell r="CJ4414" t="str">
            <v xml:space="preserve">NFT-/XUTR/DEUTH02429760724X </v>
          </cell>
          <cell r="CK4414" t="str">
            <v>2024-10-23</v>
          </cell>
          <cell r="CL4414">
            <v>14437.28</v>
          </cell>
          <cell r="CM4414" t="str">
            <v xml:space="preserve">NFT-/XUTR/DEUTH02429764618X </v>
          </cell>
          <cell r="CN4414" t="str">
            <v>2024-10-23</v>
          </cell>
          <cell r="CO4414">
            <v>2296.377</v>
          </cell>
        </row>
        <row r="4415">
          <cell r="CJ4415" t="str">
            <v xml:space="preserve">NFT-/XUTR/DEUTH02429760724X </v>
          </cell>
          <cell r="CK4415" t="str">
            <v>2024-10-23</v>
          </cell>
          <cell r="CL4415">
            <v>14418.4</v>
          </cell>
          <cell r="CM4415" t="str">
            <v xml:space="preserve">NFT-/XUTR/DEUTH02429764618X </v>
          </cell>
          <cell r="CN4415" t="str">
            <v>2024-10-23</v>
          </cell>
          <cell r="CO4415">
            <v>2296.377</v>
          </cell>
        </row>
        <row r="4416">
          <cell r="CJ4416" t="str">
            <v xml:space="preserve">NFT-/XUTR/DEUTH02429760724X </v>
          </cell>
          <cell r="CK4416" t="str">
            <v>2024-10-23</v>
          </cell>
          <cell r="CL4416">
            <v>15258.915000000001</v>
          </cell>
          <cell r="CM4416" t="str">
            <v xml:space="preserve">NFT-/XUTR/DEUTH02429764618X </v>
          </cell>
          <cell r="CN4416" t="str">
            <v>2024-10-23</v>
          </cell>
          <cell r="CO4416">
            <v>1455.8620000000001</v>
          </cell>
        </row>
        <row r="4417">
          <cell r="CJ4417" t="str">
            <v xml:space="preserve">NFT-/XUTR/DEUTH02429760724X </v>
          </cell>
          <cell r="CK4417" t="str">
            <v>2024-10-23</v>
          </cell>
          <cell r="CL4417">
            <v>14418.4</v>
          </cell>
          <cell r="CM4417" t="str">
            <v xml:space="preserve">NFT-/XUTR/DEUTH02429764618X </v>
          </cell>
          <cell r="CN4417" t="str">
            <v>2024-10-23</v>
          </cell>
          <cell r="CO4417">
            <v>2296.377</v>
          </cell>
        </row>
        <row r="4418">
          <cell r="CJ4418" t="str">
            <v xml:space="preserve">NFT-/XUTR/DEUTH02429760724X </v>
          </cell>
          <cell r="CK4418" t="str">
            <v>2024-10-23</v>
          </cell>
          <cell r="CL4418">
            <v>14418.4</v>
          </cell>
          <cell r="CM4418" t="str">
            <v xml:space="preserve">NFT-/XUTR/DEUTH02429764618X </v>
          </cell>
          <cell r="CN4418" t="str">
            <v>2024-10-23</v>
          </cell>
          <cell r="CO4418">
            <v>2296.377</v>
          </cell>
        </row>
        <row r="4419">
          <cell r="CJ4419" t="str">
            <v xml:space="preserve">NFT-/XUTR/DEUTH02429760724X </v>
          </cell>
          <cell r="CK4419" t="str">
            <v>2024-10-23</v>
          </cell>
          <cell r="CL4419">
            <v>39580.016000000003</v>
          </cell>
          <cell r="CM4419" t="str">
            <v xml:space="preserve">NFT-/XUTR/DEUTH02429764618X </v>
          </cell>
          <cell r="CN4419" t="str">
            <v>2024-10-23</v>
          </cell>
          <cell r="CO4419">
            <v>2087.71</v>
          </cell>
        </row>
        <row r="4420">
          <cell r="CJ4420" t="str">
            <v xml:space="preserve">NFT-/XUTR/DEUTH02429760724X </v>
          </cell>
          <cell r="CK4420" t="str">
            <v>2024-10-23</v>
          </cell>
          <cell r="CL4420">
            <v>14418.4</v>
          </cell>
          <cell r="CM4420" t="str">
            <v xml:space="preserve">NFT-/XUTR/DEUTH02429764618X </v>
          </cell>
          <cell r="CN4420" t="str">
            <v>2024-10-23</v>
          </cell>
          <cell r="CO4420">
            <v>2296.377</v>
          </cell>
        </row>
        <row r="4421">
          <cell r="CJ4421" t="str">
            <v xml:space="preserve">NFT-/XUTR/DEUTH02429760724X </v>
          </cell>
          <cell r="CK4421" t="str">
            <v>2024-10-23</v>
          </cell>
          <cell r="CL4421">
            <v>14437.28</v>
          </cell>
          <cell r="CM4421" t="str">
            <v xml:space="preserve">NFT-/XUTR/DEUTH02429764618X </v>
          </cell>
          <cell r="CN4421" t="str">
            <v>2024-10-23</v>
          </cell>
          <cell r="CO4421">
            <v>2296.377</v>
          </cell>
        </row>
        <row r="4422">
          <cell r="CJ4422" t="str">
            <v xml:space="preserve">NFT-/XUTR/DEUTH02429760724X </v>
          </cell>
          <cell r="CK4422" t="str">
            <v>2024-10-23</v>
          </cell>
          <cell r="CL4422">
            <v>14418.4</v>
          </cell>
          <cell r="CM4422" t="str">
            <v xml:space="preserve">NFT-/XUTR/DEUTH02429764618X </v>
          </cell>
          <cell r="CN4422" t="str">
            <v>2024-10-23</v>
          </cell>
          <cell r="CO4422">
            <v>2296.377</v>
          </cell>
        </row>
        <row r="4423">
          <cell r="CJ4423" t="str">
            <v xml:space="preserve">NFT-/XUTR/DEUTH02429760724X </v>
          </cell>
          <cell r="CK4423" t="str">
            <v>2024-10-23</v>
          </cell>
          <cell r="CL4423">
            <v>14418.4</v>
          </cell>
          <cell r="CM4423" t="str">
            <v xml:space="preserve">NFT-/XUTR/DEUTH02429764618X </v>
          </cell>
          <cell r="CN4423" t="str">
            <v>2024-10-23</v>
          </cell>
          <cell r="CO4423">
            <v>2296.377</v>
          </cell>
        </row>
        <row r="4424">
          <cell r="CJ4424" t="str">
            <v xml:space="preserve">NFT-/XUTR/DEUTH02429760724X </v>
          </cell>
          <cell r="CK4424" t="str">
            <v>2024-10-23</v>
          </cell>
          <cell r="CL4424">
            <v>14418.4</v>
          </cell>
          <cell r="CM4424" t="str">
            <v xml:space="preserve">NFT-/XUTR/DEUTH02429764618X </v>
          </cell>
          <cell r="CN4424" t="str">
            <v>2024-10-23</v>
          </cell>
          <cell r="CO4424">
            <v>2296.377</v>
          </cell>
        </row>
        <row r="4425">
          <cell r="CJ4425" t="str">
            <v xml:space="preserve">NFT-/XUTR/DEUTH02429760724X </v>
          </cell>
          <cell r="CK4425" t="str">
            <v>2024-10-23</v>
          </cell>
          <cell r="CL4425">
            <v>83169.498999999996</v>
          </cell>
          <cell r="CM4425" t="str">
            <v xml:space="preserve">NFT-/XUTR/DEUTH02433037112X </v>
          </cell>
          <cell r="CN4425" t="str">
            <v>2024-11-25</v>
          </cell>
          <cell r="CO4425">
            <v>-83169.498999999996</v>
          </cell>
          <cell r="CV4425" t="str">
            <v xml:space="preserve">NFT-/XUTR/DEUTH02500685844X </v>
          </cell>
          <cell r="CW4425" t="str">
            <v>2025-01-06</v>
          </cell>
          <cell r="CX4425">
            <v>84912.3</v>
          </cell>
        </row>
        <row r="4426">
          <cell r="CJ4426" t="str">
            <v xml:space="preserve">NFT-/XUTR/DEUTH02429760724X </v>
          </cell>
          <cell r="CK4426" t="str">
            <v>2024-10-23</v>
          </cell>
          <cell r="CL4426">
            <v>16733.655999999999</v>
          </cell>
        </row>
        <row r="4427">
          <cell r="CJ4427" t="str">
            <v xml:space="preserve">NFT-/XUTR/DEUTH02429760724X </v>
          </cell>
          <cell r="CK4427" t="str">
            <v>2024-10-23</v>
          </cell>
          <cell r="CL4427">
            <v>41658.014000000003</v>
          </cell>
        </row>
        <row r="4428">
          <cell r="CJ4428" t="str">
            <v xml:space="preserve">NFT-/XUTR/DEUTH02429760724X </v>
          </cell>
          <cell r="CK4428" t="str">
            <v>2024-10-23</v>
          </cell>
          <cell r="CL4428">
            <v>39561.135999999999</v>
          </cell>
          <cell r="CM4428" t="str">
            <v xml:space="preserve">NFT-/XUTR/DEUTH02429764618X </v>
          </cell>
          <cell r="CN4428" t="str">
            <v>2024-10-23</v>
          </cell>
          <cell r="CO4428">
            <v>2087.71</v>
          </cell>
        </row>
        <row r="4429">
          <cell r="CJ4429" t="str">
            <v xml:space="preserve">NFT-/XUTR/DEUTH02429760724X </v>
          </cell>
          <cell r="CK4429" t="str">
            <v>2024-10-23</v>
          </cell>
          <cell r="CL4429">
            <v>11454.26</v>
          </cell>
        </row>
        <row r="4430">
          <cell r="CJ4430" t="str">
            <v xml:space="preserve">NFT-/XUTR/DEUTH02429760724X </v>
          </cell>
          <cell r="CK4430" t="str">
            <v>2024-10-23</v>
          </cell>
          <cell r="CL4430">
            <v>14437.28</v>
          </cell>
          <cell r="CM4430" t="str">
            <v xml:space="preserve">NFT-/XUTR/DEUTH02429764618X </v>
          </cell>
          <cell r="CN4430" t="str">
            <v>2024-10-23</v>
          </cell>
          <cell r="CO4430">
            <v>2296.377</v>
          </cell>
        </row>
        <row r="4431">
          <cell r="CJ4431" t="str">
            <v xml:space="preserve">NFT-/XUTR/DEUTH02429760724X </v>
          </cell>
          <cell r="CK4431" t="str">
            <v>2024-10-23</v>
          </cell>
          <cell r="CL4431">
            <v>14418.4</v>
          </cell>
          <cell r="CM4431" t="str">
            <v xml:space="preserve">NFT-/XUTR/DEUTH02429764618X </v>
          </cell>
          <cell r="CN4431" t="str">
            <v>2024-10-23</v>
          </cell>
          <cell r="CO4431">
            <v>2296.377</v>
          </cell>
        </row>
        <row r="4432">
          <cell r="CJ4432" t="str">
            <v xml:space="preserve">NFT-/XUTR/DEUTH02429760724X </v>
          </cell>
          <cell r="CK4432" t="str">
            <v>2024-10-23</v>
          </cell>
          <cell r="CL4432">
            <v>14418.4</v>
          </cell>
          <cell r="CM4432" t="str">
            <v xml:space="preserve">NFT-/XUTR/DEUTH02429764618X </v>
          </cell>
          <cell r="CN4432" t="str">
            <v>2024-10-23</v>
          </cell>
          <cell r="CO4432">
            <v>2296.377</v>
          </cell>
        </row>
        <row r="4433">
          <cell r="CJ4433" t="str">
            <v xml:space="preserve">NFT-/XUTR/DEUTH02429760724X </v>
          </cell>
          <cell r="CK4433" t="str">
            <v>2024-10-23</v>
          </cell>
          <cell r="CL4433">
            <v>14437.28</v>
          </cell>
          <cell r="CM4433" t="str">
            <v xml:space="preserve">NFT-/XUTR/DEUTH02429764618X </v>
          </cell>
          <cell r="CN4433" t="str">
            <v>2024-10-23</v>
          </cell>
          <cell r="CO4433">
            <v>2296.377</v>
          </cell>
        </row>
        <row r="4434">
          <cell r="CJ4434" t="str">
            <v xml:space="preserve">NFT-/XUTR/DEUTH02429760724X </v>
          </cell>
          <cell r="CK4434" t="str">
            <v>2024-10-23</v>
          </cell>
          <cell r="CL4434">
            <v>14418.4</v>
          </cell>
          <cell r="CM4434" t="str">
            <v xml:space="preserve">NFT-/XUTR/DEUTH02429764618X </v>
          </cell>
          <cell r="CN4434" t="str">
            <v>2024-10-23</v>
          </cell>
          <cell r="CO4434">
            <v>2296.377</v>
          </cell>
        </row>
        <row r="4435">
          <cell r="CJ4435" t="str">
            <v xml:space="preserve">NFT-/XUTR/DEUTH02429760724X </v>
          </cell>
          <cell r="CK4435" t="str">
            <v>2024-10-23</v>
          </cell>
          <cell r="CL4435">
            <v>13747.200999999999</v>
          </cell>
          <cell r="CM4435" t="str">
            <v xml:space="preserve">NFT-/XUTR/DEUTH02429764618X </v>
          </cell>
          <cell r="CN4435" t="str">
            <v>2024-10-23</v>
          </cell>
          <cell r="CO4435">
            <v>2986.4560000000001</v>
          </cell>
        </row>
        <row r="4436">
          <cell r="CJ4436" t="str">
            <v xml:space="preserve">NFT-/XUTR/DEUTH02429760724X </v>
          </cell>
          <cell r="CK4436" t="str">
            <v>2024-10-23</v>
          </cell>
          <cell r="CL4436">
            <v>14418.4</v>
          </cell>
          <cell r="CM4436" t="str">
            <v xml:space="preserve">NFT-/XUTR/DEUTH02429764618X </v>
          </cell>
          <cell r="CN4436" t="str">
            <v>2024-10-23</v>
          </cell>
          <cell r="CO4436">
            <v>2296.377</v>
          </cell>
        </row>
        <row r="4437">
          <cell r="CJ4437" t="str">
            <v xml:space="preserve">NFT-/XUTR/DEUTH02429760724X </v>
          </cell>
          <cell r="CK4437" t="str">
            <v>2024-10-23</v>
          </cell>
          <cell r="CL4437">
            <v>14437.28</v>
          </cell>
          <cell r="CM4437" t="str">
            <v xml:space="preserve">NFT-/XUTR/DEUTH02429764618X </v>
          </cell>
          <cell r="CN4437" t="str">
            <v>2024-10-23</v>
          </cell>
          <cell r="CO4437">
            <v>2296.377</v>
          </cell>
        </row>
        <row r="4438">
          <cell r="CJ4438" t="str">
            <v xml:space="preserve">NFT-/XUTR/DEUTH02429760724X </v>
          </cell>
          <cell r="CK4438" t="str">
            <v>2024-10-23</v>
          </cell>
          <cell r="CL4438">
            <v>14418.4</v>
          </cell>
          <cell r="CM4438" t="str">
            <v xml:space="preserve">NFT-/XUTR/DEUTH02429764618X </v>
          </cell>
          <cell r="CN4438" t="str">
            <v>2024-10-23</v>
          </cell>
          <cell r="CO4438">
            <v>2296.377</v>
          </cell>
        </row>
        <row r="4439">
          <cell r="CJ4439" t="str">
            <v xml:space="preserve">NFT-/XUTR/DEUTH02429760724X </v>
          </cell>
          <cell r="CK4439" t="str">
            <v>2024-10-23</v>
          </cell>
          <cell r="CL4439">
            <v>14437.28</v>
          </cell>
          <cell r="CM4439" t="str">
            <v xml:space="preserve">NFT-/XUTR/DEUTH02429764618X </v>
          </cell>
          <cell r="CN4439" t="str">
            <v>2024-10-23</v>
          </cell>
          <cell r="CO4439">
            <v>2296.377</v>
          </cell>
        </row>
        <row r="4440">
          <cell r="CJ4440" t="str">
            <v xml:space="preserve">NFT-/XUTR/DEUTH02429760724X </v>
          </cell>
          <cell r="CK4440" t="str">
            <v>2024-10-23</v>
          </cell>
          <cell r="CL4440">
            <v>9441.2909999999993</v>
          </cell>
          <cell r="CM4440" t="str">
            <v xml:space="preserve">NFT-/XUTR/DEUTH02429764618X </v>
          </cell>
          <cell r="CN4440" t="str">
            <v>2024-10-23</v>
          </cell>
          <cell r="CO4440">
            <v>1682.979</v>
          </cell>
        </row>
        <row r="4441">
          <cell r="CJ4441" t="str">
            <v xml:space="preserve">NFT-/XUTR/DEUTH02429760724X </v>
          </cell>
          <cell r="CK4441" t="str">
            <v>2024-10-23</v>
          </cell>
          <cell r="CL4441">
            <v>14418.4</v>
          </cell>
          <cell r="CM4441" t="str">
            <v xml:space="preserve">NFT-/XUTR/DEUTH02429764618X </v>
          </cell>
          <cell r="CN4441" t="str">
            <v>2024-10-23</v>
          </cell>
          <cell r="CO4441">
            <v>2296.377</v>
          </cell>
        </row>
        <row r="4442">
          <cell r="CJ4442" t="str">
            <v xml:space="preserve">NFT-/XUTR/DEUTH02429760724X </v>
          </cell>
          <cell r="CK4442" t="str">
            <v>2024-10-23</v>
          </cell>
          <cell r="CL4442">
            <v>14437.28</v>
          </cell>
          <cell r="CM4442" t="str">
            <v xml:space="preserve">NFT-/XUTR/DEUTH02429764618X </v>
          </cell>
          <cell r="CN4442" t="str">
            <v>2024-10-23</v>
          </cell>
          <cell r="CO4442">
            <v>2296.377</v>
          </cell>
        </row>
        <row r="4443">
          <cell r="CJ4443" t="str">
            <v xml:space="preserve">NFT-/XUTR/DEUTH02429760724X </v>
          </cell>
          <cell r="CK4443" t="str">
            <v>2024-10-23</v>
          </cell>
          <cell r="CL4443">
            <v>14437.28</v>
          </cell>
          <cell r="CM4443" t="str">
            <v xml:space="preserve">NFT-/XUTR/DEUTH02429764618X </v>
          </cell>
          <cell r="CN4443" t="str">
            <v>2024-10-23</v>
          </cell>
          <cell r="CO4443">
            <v>2296.377</v>
          </cell>
        </row>
        <row r="4444">
          <cell r="CJ4444" t="str">
            <v xml:space="preserve">NFT-/XUTR/DEUTH02429760724X </v>
          </cell>
          <cell r="CK4444" t="str">
            <v>2024-10-23</v>
          </cell>
          <cell r="CL4444">
            <v>14437.28</v>
          </cell>
          <cell r="CM4444" t="str">
            <v xml:space="preserve">NFT-/XUTR/DEUTH02429764618X </v>
          </cell>
          <cell r="CN4444" t="str">
            <v>2024-10-23</v>
          </cell>
          <cell r="CO4444">
            <v>2296.377</v>
          </cell>
        </row>
        <row r="4445">
          <cell r="CJ4445" t="str">
            <v xml:space="preserve">NFT-/XUTR/DEUTH02429760724X </v>
          </cell>
          <cell r="CK4445" t="str">
            <v>2024-10-23</v>
          </cell>
          <cell r="CL4445">
            <v>14620.98</v>
          </cell>
          <cell r="CM4445" t="str">
            <v xml:space="preserve">NFT-/XUTR/DEUTH02429764618X </v>
          </cell>
          <cell r="CN4445" t="str">
            <v>2024-10-23</v>
          </cell>
          <cell r="CO4445">
            <v>2103.2359999999999</v>
          </cell>
        </row>
        <row r="4446">
          <cell r="CJ4446" t="str">
            <v xml:space="preserve">NFT-/XUTR/DEUTH02429760724X </v>
          </cell>
          <cell r="CK4446" t="str">
            <v>2024-10-23</v>
          </cell>
          <cell r="CL4446">
            <v>15874.261</v>
          </cell>
          <cell r="CM4446" t="str">
            <v xml:space="preserve">NFT-/XUTR/DEUTH02429764618X </v>
          </cell>
          <cell r="CN4446" t="str">
            <v>2024-10-23</v>
          </cell>
          <cell r="CO4446">
            <v>840.51499999999999</v>
          </cell>
        </row>
        <row r="4447">
          <cell r="CJ4447" t="str">
            <v xml:space="preserve">NFT-/XUTR/DEUTH02429760724X </v>
          </cell>
          <cell r="CK4447" t="str">
            <v>2024-10-23</v>
          </cell>
          <cell r="CL4447">
            <v>14418.4</v>
          </cell>
          <cell r="CM4447" t="str">
            <v xml:space="preserve">NFT-/XUTR/DEUTH02429764618X </v>
          </cell>
          <cell r="CN4447" t="str">
            <v>2024-10-23</v>
          </cell>
          <cell r="CO4447">
            <v>2296.377</v>
          </cell>
        </row>
        <row r="4448">
          <cell r="CJ4448" t="str">
            <v xml:space="preserve">NFT-/XUTR/DEUTH02429760724X </v>
          </cell>
          <cell r="CK4448" t="str">
            <v>2024-10-23</v>
          </cell>
          <cell r="CL4448">
            <v>14418.4</v>
          </cell>
          <cell r="CM4448" t="str">
            <v xml:space="preserve">NFT-/XUTR/DEUTH02429764618X </v>
          </cell>
          <cell r="CN4448" t="str">
            <v>2024-10-23</v>
          </cell>
          <cell r="CO4448">
            <v>2296.377</v>
          </cell>
        </row>
        <row r="4449">
          <cell r="CJ4449" t="str">
            <v xml:space="preserve">NFT-/XUTR/DEUTH02429760724X </v>
          </cell>
          <cell r="CK4449" t="str">
            <v>2024-10-23</v>
          </cell>
          <cell r="CL4449">
            <v>14437.28</v>
          </cell>
          <cell r="CM4449" t="str">
            <v xml:space="preserve">NFT-/XUTR/DEUTH02429764618X </v>
          </cell>
          <cell r="CN4449" t="str">
            <v>2024-10-23</v>
          </cell>
          <cell r="CO4449">
            <v>2296.377</v>
          </cell>
        </row>
        <row r="4450">
          <cell r="CJ4450" t="str">
            <v xml:space="preserve">NFT-/XUTR/DEUTH02429760724X </v>
          </cell>
          <cell r="CK4450" t="str">
            <v>2024-10-23</v>
          </cell>
          <cell r="CL4450">
            <v>39561.135999999999</v>
          </cell>
          <cell r="CM4450" t="str">
            <v xml:space="preserve">NFT-/XUTR/DEUTH02429764618X </v>
          </cell>
          <cell r="CN4450" t="str">
            <v>2024-10-23</v>
          </cell>
          <cell r="CO4450">
            <v>2087.71</v>
          </cell>
        </row>
        <row r="4451">
          <cell r="CJ4451" t="str">
            <v xml:space="preserve">NFT-/XUTR/DEUTH02429760724X </v>
          </cell>
          <cell r="CK4451" t="str">
            <v>2024-10-23</v>
          </cell>
          <cell r="CL4451">
            <v>10031.81</v>
          </cell>
          <cell r="CM4451" t="str">
            <v xml:space="preserve">NFT-/XUTR/DEUTH02429764618X </v>
          </cell>
          <cell r="CN4451" t="str">
            <v>2024-10-23</v>
          </cell>
          <cell r="CO4451">
            <v>1789.7380000000001</v>
          </cell>
        </row>
        <row r="4452">
          <cell r="CJ4452" t="str">
            <v xml:space="preserve">NFT-/XUTR/DEUTH02429760724X </v>
          </cell>
          <cell r="CK4452" t="str">
            <v>2024-10-23</v>
          </cell>
          <cell r="CL4452">
            <v>14418.4</v>
          </cell>
          <cell r="CM4452" t="str">
            <v xml:space="preserve">NFT-/XUTR/DEUTH02429764618X </v>
          </cell>
          <cell r="CN4452" t="str">
            <v>2024-10-23</v>
          </cell>
          <cell r="CO4452">
            <v>2296.377</v>
          </cell>
        </row>
        <row r="4453">
          <cell r="CJ4453" t="str">
            <v xml:space="preserve">NFT-/XUTR/DEUTH02429760724X </v>
          </cell>
          <cell r="CK4453" t="str">
            <v>2024-10-23</v>
          </cell>
          <cell r="CL4453">
            <v>14423.25</v>
          </cell>
          <cell r="CM4453" t="str">
            <v xml:space="preserve">NFT-/XUTR/DEUTH02429764618X </v>
          </cell>
          <cell r="CN4453" t="str">
            <v>2024-10-23</v>
          </cell>
          <cell r="CO4453">
            <v>2291.5259999999998</v>
          </cell>
        </row>
        <row r="4454">
          <cell r="CJ4454" t="str">
            <v xml:space="preserve">NFT-/XUTR/DEUTH02429760724X </v>
          </cell>
          <cell r="CK4454" t="str">
            <v>2024-10-23</v>
          </cell>
          <cell r="CL4454">
            <v>14418.4</v>
          </cell>
          <cell r="CM4454" t="str">
            <v xml:space="preserve">NFT-/XUTR/DEUTH02429764618X </v>
          </cell>
          <cell r="CN4454" t="str">
            <v>2024-10-23</v>
          </cell>
          <cell r="CO4454">
            <v>2296.377</v>
          </cell>
        </row>
        <row r="4455">
          <cell r="CJ4455" t="str">
            <v xml:space="preserve">NFT-/XUTR/DEUTH02429760724X </v>
          </cell>
          <cell r="CK4455" t="str">
            <v>2024-10-23</v>
          </cell>
          <cell r="CL4455">
            <v>14418.4</v>
          </cell>
          <cell r="CM4455" t="str">
            <v xml:space="preserve">NFT-/XUTR/DEUTH02429764618X </v>
          </cell>
          <cell r="CN4455" t="str">
            <v>2024-10-23</v>
          </cell>
          <cell r="CO4455">
            <v>2296.377</v>
          </cell>
        </row>
        <row r="4456">
          <cell r="CJ4456" t="str">
            <v xml:space="preserve">NFT-/XUTR/DEUTH02429760724X </v>
          </cell>
          <cell r="CK4456" t="str">
            <v>2024-10-23</v>
          </cell>
          <cell r="CL4456">
            <v>2182.096</v>
          </cell>
          <cell r="CM4456" t="str">
            <v xml:space="preserve">NFT-/XUTR/DEUTH02429764618X </v>
          </cell>
          <cell r="CN4456" t="str">
            <v>2024-10-23</v>
          </cell>
          <cell r="CO4456">
            <v>323.2</v>
          </cell>
        </row>
        <row r="4457">
          <cell r="CJ4457" t="str">
            <v xml:space="preserve">NFT-/XUTR/DEUTH02429760724X </v>
          </cell>
          <cell r="CK4457" t="str">
            <v>2024-10-23</v>
          </cell>
          <cell r="CL4457">
            <v>14437.28</v>
          </cell>
          <cell r="CM4457" t="str">
            <v xml:space="preserve">NFT-/XUTR/DEUTH02429764618X </v>
          </cell>
          <cell r="CN4457" t="str">
            <v>2024-10-23</v>
          </cell>
          <cell r="CO4457">
            <v>2296.377</v>
          </cell>
          <cell r="CP4457" t="str">
            <v xml:space="preserve">NFT-/XUTR/DEUTH024304A0ENJX </v>
          </cell>
          <cell r="CQ4457" t="str">
            <v>2024-10-30</v>
          </cell>
          <cell r="CR4457">
            <v>-14437.28</v>
          </cell>
          <cell r="CS4457" t="str">
            <v xml:space="preserve">NFT-/XUTR/DEUTH024309A02A3X </v>
          </cell>
          <cell r="CT4457" t="str">
            <v>2024-11-04</v>
          </cell>
          <cell r="CU4457">
            <v>-2296.377</v>
          </cell>
        </row>
        <row r="4458">
          <cell r="CJ4458" t="str">
            <v xml:space="preserve">NFT-/XUTR/DEUTH02429760724X </v>
          </cell>
          <cell r="CK4458" t="str">
            <v>2024-10-23</v>
          </cell>
          <cell r="CL4458">
            <v>1161.7570000000001</v>
          </cell>
          <cell r="CM4458" t="str">
            <v xml:space="preserve">NFT-/XUTR/DEUTH02429764618X </v>
          </cell>
          <cell r="CN4458" t="str">
            <v>2024-10-23</v>
          </cell>
          <cell r="CO4458">
            <v>207.703</v>
          </cell>
        </row>
        <row r="4459">
          <cell r="CJ4459" t="str">
            <v xml:space="preserve">NFT-/XUTR/DEUTH02429760724X </v>
          </cell>
          <cell r="CK4459" t="str">
            <v>2024-10-23</v>
          </cell>
          <cell r="CL4459">
            <v>14418.4</v>
          </cell>
          <cell r="CM4459" t="str">
            <v xml:space="preserve">NFT-/XUTR/DEUTH02429764618X </v>
          </cell>
          <cell r="CN4459" t="str">
            <v>2024-10-23</v>
          </cell>
          <cell r="CO4459">
            <v>2296.377</v>
          </cell>
        </row>
        <row r="4460">
          <cell r="CJ4460" t="str">
            <v xml:space="preserve">NFT-/XUTR/DEUTH02429760724X </v>
          </cell>
          <cell r="CK4460" t="str">
            <v>2024-10-23</v>
          </cell>
          <cell r="CL4460">
            <v>14418.4</v>
          </cell>
          <cell r="CM4460" t="str">
            <v xml:space="preserve">NFT-/XUTR/DEUTH02429764618X </v>
          </cell>
          <cell r="CN4460" t="str">
            <v>2024-10-23</v>
          </cell>
          <cell r="CO4460">
            <v>2296.377</v>
          </cell>
        </row>
        <row r="4461">
          <cell r="CJ4461" t="str">
            <v xml:space="preserve">NFT-/XUTR/DEUTH02429760724X </v>
          </cell>
          <cell r="CK4461" t="str">
            <v>2024-10-23</v>
          </cell>
          <cell r="CL4461">
            <v>14437.28</v>
          </cell>
          <cell r="CM4461" t="str">
            <v xml:space="preserve">NFT-/XUTR/DEUTH02429764618X </v>
          </cell>
          <cell r="CN4461" t="str">
            <v>2024-10-23</v>
          </cell>
          <cell r="CO4461">
            <v>2296.377</v>
          </cell>
          <cell r="CP4461" t="str">
            <v xml:space="preserve">NFT-/XUTR/DEUTH024299A09NOX </v>
          </cell>
          <cell r="CQ4461" t="str">
            <v>2024-10-25</v>
          </cell>
          <cell r="CR4461">
            <v>-14437.28</v>
          </cell>
          <cell r="CS4461" t="str">
            <v xml:space="preserve">NFT-/XUTR/DEUTH024309A02A3X </v>
          </cell>
          <cell r="CT4461" t="str">
            <v>2024-11-04</v>
          </cell>
          <cell r="CU4461">
            <v>-2296.377</v>
          </cell>
        </row>
        <row r="4462">
          <cell r="CJ4462" t="str">
            <v xml:space="preserve">NFT-/XUTR/DEUTH02429760724X </v>
          </cell>
          <cell r="CK4462" t="str">
            <v>2024-10-23</v>
          </cell>
          <cell r="CL4462">
            <v>14418.4</v>
          </cell>
          <cell r="CM4462" t="str">
            <v xml:space="preserve">NFT-/XUTR/DEUTH02429764618X </v>
          </cell>
          <cell r="CN4462" t="str">
            <v>2024-10-23</v>
          </cell>
          <cell r="CO4462">
            <v>2296.377</v>
          </cell>
        </row>
        <row r="4463">
          <cell r="CJ4463" t="str">
            <v xml:space="preserve">NFT-/XUTR/DEUTH02429760724X </v>
          </cell>
          <cell r="CK4463" t="str">
            <v>2024-10-23</v>
          </cell>
          <cell r="CL4463">
            <v>14418.4</v>
          </cell>
          <cell r="CM4463" t="str">
            <v xml:space="preserve">NFT-/XUTR/DEUTH02429764618X </v>
          </cell>
          <cell r="CN4463" t="str">
            <v>2024-10-23</v>
          </cell>
          <cell r="CO4463">
            <v>2296.377</v>
          </cell>
        </row>
        <row r="4464">
          <cell r="CJ4464" t="str">
            <v xml:space="preserve">NFT-/XUTR/DEUTH02429760724X </v>
          </cell>
          <cell r="CK4464" t="str">
            <v>2024-10-23</v>
          </cell>
          <cell r="CL4464">
            <v>14418.4</v>
          </cell>
          <cell r="CM4464" t="str">
            <v xml:space="preserve">NFT-/XUTR/DEUTH02429764618X </v>
          </cell>
          <cell r="CN4464" t="str">
            <v>2024-10-23</v>
          </cell>
          <cell r="CO4464">
            <v>2296.377</v>
          </cell>
        </row>
        <row r="4465">
          <cell r="CJ4465" t="str">
            <v xml:space="preserve">NFT-/XUTR/DEUTH02429760724X </v>
          </cell>
          <cell r="CK4465" t="str">
            <v>2024-10-23</v>
          </cell>
          <cell r="CL4465">
            <v>14437.28</v>
          </cell>
          <cell r="CM4465" t="str">
            <v xml:space="preserve">NFT-/XUTR/DEUTH02429764618X </v>
          </cell>
          <cell r="CN4465" t="str">
            <v>2024-10-23</v>
          </cell>
          <cell r="CO4465">
            <v>2296.377</v>
          </cell>
        </row>
        <row r="4466">
          <cell r="CJ4466" t="str">
            <v xml:space="preserve">NFT-/XUTR/DEUTH02429760724X </v>
          </cell>
          <cell r="CK4466" t="str">
            <v>2024-10-23</v>
          </cell>
          <cell r="CL4466">
            <v>14418.4</v>
          </cell>
          <cell r="CM4466" t="str">
            <v xml:space="preserve">NFT-/XUTR/DEUTH02429764618X </v>
          </cell>
          <cell r="CN4466" t="str">
            <v>2024-10-23</v>
          </cell>
          <cell r="CO4466">
            <v>2296.377</v>
          </cell>
        </row>
        <row r="4467">
          <cell r="CJ4467" t="str">
            <v xml:space="preserve">NFT-/XUTR/DEUTH02429760724X </v>
          </cell>
          <cell r="CK4467" t="str">
            <v>2024-10-23</v>
          </cell>
          <cell r="CL4467">
            <v>14418.4</v>
          </cell>
          <cell r="CM4467" t="str">
            <v xml:space="preserve">NFT-/XUTR/DEUTH02429764618X </v>
          </cell>
          <cell r="CN4467" t="str">
            <v>2024-10-23</v>
          </cell>
          <cell r="CO4467">
            <v>2296.377</v>
          </cell>
        </row>
        <row r="4468">
          <cell r="CJ4468" t="str">
            <v xml:space="preserve">NFT-/XUTR/DEUTH02429760724X </v>
          </cell>
          <cell r="CK4468" t="str">
            <v>2024-10-23</v>
          </cell>
          <cell r="CL4468">
            <v>14418.4</v>
          </cell>
          <cell r="CM4468" t="str">
            <v xml:space="preserve">NFT-/XUTR/DEUTH02429764618X </v>
          </cell>
          <cell r="CN4468" t="str">
            <v>2024-10-23</v>
          </cell>
          <cell r="CO4468">
            <v>2296.377</v>
          </cell>
        </row>
        <row r="4469">
          <cell r="CJ4469" t="str">
            <v xml:space="preserve">NFT-/XUTR/DEUTH02429760724X </v>
          </cell>
          <cell r="CK4469" t="str">
            <v>2024-10-23</v>
          </cell>
          <cell r="CL4469">
            <v>14418.4</v>
          </cell>
          <cell r="CM4469" t="str">
            <v xml:space="preserve">NFT-/XUTR/DEUTH02429764618X </v>
          </cell>
          <cell r="CN4469" t="str">
            <v>2024-10-23</v>
          </cell>
          <cell r="CO4469">
            <v>2296.377</v>
          </cell>
        </row>
        <row r="4470">
          <cell r="CJ4470" t="str">
            <v xml:space="preserve">NFT-/XUTR/DEUTH02429760724X </v>
          </cell>
          <cell r="CK4470" t="str">
            <v>2024-10-23</v>
          </cell>
          <cell r="CL4470">
            <v>14418.4</v>
          </cell>
          <cell r="CM4470" t="str">
            <v xml:space="preserve">NFT-/XUTR/DEUTH02429764618X </v>
          </cell>
          <cell r="CN4470" t="str">
            <v>2024-10-23</v>
          </cell>
          <cell r="CO4470">
            <v>2296.377</v>
          </cell>
        </row>
        <row r="4471">
          <cell r="CJ4471" t="str">
            <v xml:space="preserve">NFT-/XUTR/DEUTH02429760724X </v>
          </cell>
          <cell r="CK4471" t="str">
            <v>2024-10-23</v>
          </cell>
          <cell r="CL4471">
            <v>14437.28</v>
          </cell>
          <cell r="CM4471" t="str">
            <v xml:space="preserve">NFT-/XUTR/DEUTH02429764618X </v>
          </cell>
          <cell r="CN4471" t="str">
            <v>2024-10-23</v>
          </cell>
          <cell r="CO4471">
            <v>2296.377</v>
          </cell>
        </row>
        <row r="4472">
          <cell r="CJ4472" t="str">
            <v xml:space="preserve">NFT-/XUTR/DEUTH02429760724X </v>
          </cell>
          <cell r="CK4472" t="str">
            <v>2024-10-23</v>
          </cell>
          <cell r="CL4472">
            <v>14437.28</v>
          </cell>
          <cell r="CM4472" t="str">
            <v xml:space="preserve">NFT-/XUTR/DEUTH02429764618X </v>
          </cell>
          <cell r="CN4472" t="str">
            <v>2024-10-23</v>
          </cell>
          <cell r="CO4472">
            <v>2296.377</v>
          </cell>
          <cell r="CP4472" t="str">
            <v xml:space="preserve">NFT-/XUTR/DEUTH024304A0ENJX </v>
          </cell>
          <cell r="CQ4472" t="str">
            <v>2024-10-30</v>
          </cell>
          <cell r="CR4472">
            <v>-14437.28</v>
          </cell>
          <cell r="CS4472" t="str">
            <v xml:space="preserve">NFT-/XUTR/DEUTH024309A02A3X </v>
          </cell>
          <cell r="CT4472" t="str">
            <v>2024-11-04</v>
          </cell>
          <cell r="CU4472">
            <v>-2296.377</v>
          </cell>
        </row>
        <row r="4473">
          <cell r="CJ4473" t="str">
            <v xml:space="preserve">NFT-/XUTR/DEUTH02429760724X </v>
          </cell>
          <cell r="CK4473" t="str">
            <v>2024-10-23</v>
          </cell>
          <cell r="CL4473">
            <v>14418.4</v>
          </cell>
          <cell r="CM4473" t="str">
            <v xml:space="preserve">NFT-/XUTR/DEUTH02429764618X </v>
          </cell>
          <cell r="CN4473" t="str">
            <v>2024-10-23</v>
          </cell>
          <cell r="CO4473">
            <v>2296.377</v>
          </cell>
        </row>
        <row r="4474">
          <cell r="CJ4474" t="str">
            <v xml:space="preserve">NFT-/XUTR/DEUTH02429760724X </v>
          </cell>
          <cell r="CK4474" t="str">
            <v>2024-10-23</v>
          </cell>
          <cell r="CL4474">
            <v>9803.75</v>
          </cell>
          <cell r="CM4474" t="str">
            <v xml:space="preserve">NFT-/XUTR/DEUTH02429764618X </v>
          </cell>
          <cell r="CN4474" t="str">
            <v>2024-10-23</v>
          </cell>
          <cell r="CO4474">
            <v>1669.3910000000001</v>
          </cell>
        </row>
        <row r="4475">
          <cell r="CJ4475" t="str">
            <v xml:space="preserve">NFT-/XUTR/DEUTH02429760724X </v>
          </cell>
          <cell r="CK4475" t="str">
            <v>2024-10-23</v>
          </cell>
          <cell r="CL4475">
            <v>14063.161</v>
          </cell>
          <cell r="CM4475" t="str">
            <v xml:space="preserve">NFT-/XUTR/DEUTH02429764618X </v>
          </cell>
          <cell r="CN4475" t="str">
            <v>2024-10-23</v>
          </cell>
          <cell r="CO4475">
            <v>2651.605</v>
          </cell>
        </row>
        <row r="4476">
          <cell r="CJ4476" t="str">
            <v xml:space="preserve">NFT-/XUTR/DEUTH02429760724X </v>
          </cell>
          <cell r="CK4476" t="str">
            <v>2024-10-23</v>
          </cell>
          <cell r="CL4476">
            <v>15893.141</v>
          </cell>
          <cell r="CM4476" t="str">
            <v xml:space="preserve">NFT-/XUTR/DEUTH02429764618X </v>
          </cell>
          <cell r="CN4476" t="str">
            <v>2024-10-23</v>
          </cell>
          <cell r="CO4476">
            <v>840.51499999999999</v>
          </cell>
        </row>
        <row r="4477">
          <cell r="CJ4477" t="str">
            <v xml:space="preserve">NFT-/XUTR/DEUTH02429760724X </v>
          </cell>
          <cell r="CK4477" t="str">
            <v>2024-10-23</v>
          </cell>
          <cell r="CL4477">
            <v>14437.28</v>
          </cell>
          <cell r="CM4477" t="str">
            <v xml:space="preserve">NFT-/XUTR/DEUTH02429764618X </v>
          </cell>
          <cell r="CN4477" t="str">
            <v>2024-10-23</v>
          </cell>
          <cell r="CO4477">
            <v>2296.377</v>
          </cell>
        </row>
        <row r="4478">
          <cell r="CJ4478" t="str">
            <v xml:space="preserve">NFT-/XUTR/DEUTH02429760724X </v>
          </cell>
          <cell r="CK4478" t="str">
            <v>2024-10-23</v>
          </cell>
          <cell r="CL4478">
            <v>14437.28</v>
          </cell>
          <cell r="CM4478" t="str">
            <v xml:space="preserve">NFT-/XUTR/DEUTH02429764618X </v>
          </cell>
          <cell r="CN4478" t="str">
            <v>2024-10-23</v>
          </cell>
          <cell r="CO4478">
            <v>2296.377</v>
          </cell>
        </row>
        <row r="4479">
          <cell r="CJ4479" t="str">
            <v xml:space="preserve">NFT-/XUTR/DEUTH02429760724X </v>
          </cell>
          <cell r="CK4479" t="str">
            <v>2024-10-23</v>
          </cell>
          <cell r="CL4479">
            <v>14437.28</v>
          </cell>
          <cell r="CM4479" t="str">
            <v xml:space="preserve">NFT-/XUTR/DEUTH02429764618X </v>
          </cell>
          <cell r="CN4479" t="str">
            <v>2024-10-23</v>
          </cell>
          <cell r="CO4479">
            <v>2296.377</v>
          </cell>
        </row>
        <row r="4480">
          <cell r="CJ4480" t="str">
            <v xml:space="preserve">NFT-/XUTR/DEUTH02429760724X </v>
          </cell>
          <cell r="CK4480" t="str">
            <v>2024-10-23</v>
          </cell>
          <cell r="CL4480">
            <v>14418.4</v>
          </cell>
          <cell r="CM4480" t="str">
            <v xml:space="preserve">NFT-/XUTR/DEUTH02429764618X </v>
          </cell>
          <cell r="CN4480" t="str">
            <v>2024-10-23</v>
          </cell>
          <cell r="CO4480">
            <v>2296.377</v>
          </cell>
        </row>
        <row r="4481">
          <cell r="CJ4481" t="str">
            <v xml:space="preserve">NFT-/XUTR/DEUTH02429760724X </v>
          </cell>
          <cell r="CK4481" t="str">
            <v>2024-10-23</v>
          </cell>
          <cell r="CL4481">
            <v>14437.28</v>
          </cell>
          <cell r="CM4481" t="str">
            <v xml:space="preserve">NFT-/XUTR/DEUTH02429764618X </v>
          </cell>
          <cell r="CN4481" t="str">
            <v>2024-10-23</v>
          </cell>
          <cell r="CO4481">
            <v>2296.377</v>
          </cell>
        </row>
        <row r="4482">
          <cell r="CJ4482" t="str">
            <v xml:space="preserve">NFT-/XUTR/DEUTH02429760724X </v>
          </cell>
          <cell r="CK4482" t="str">
            <v>2024-10-23</v>
          </cell>
          <cell r="CL4482">
            <v>14437.28</v>
          </cell>
          <cell r="CM4482" t="str">
            <v xml:space="preserve">NFT-/XUTR/DEUTH02429764618X </v>
          </cell>
          <cell r="CN4482" t="str">
            <v>2024-10-23</v>
          </cell>
          <cell r="CO4482">
            <v>2296.377</v>
          </cell>
          <cell r="CP4482" t="str">
            <v xml:space="preserve">NFT-/XUTR/DEUTH024299A09NOX </v>
          </cell>
          <cell r="CQ4482" t="str">
            <v>2024-10-25</v>
          </cell>
          <cell r="CR4482">
            <v>-14437.28</v>
          </cell>
          <cell r="CS4482" t="str">
            <v xml:space="preserve">NFT-/XUTR/DEUTH024309A02A3X </v>
          </cell>
          <cell r="CT4482" t="str">
            <v>2024-11-04</v>
          </cell>
          <cell r="CU4482">
            <v>-2296.377</v>
          </cell>
        </row>
        <row r="4483">
          <cell r="CJ4483" t="str">
            <v xml:space="preserve">NFT-/XUTR/DEUTH02429760724X </v>
          </cell>
          <cell r="CK4483" t="str">
            <v>2024-10-23</v>
          </cell>
          <cell r="CL4483">
            <v>14437.28</v>
          </cell>
          <cell r="CM4483" t="str">
            <v xml:space="preserve">NFT-/XUTR/DEUTH02429764618X </v>
          </cell>
          <cell r="CN4483" t="str">
            <v>2024-10-23</v>
          </cell>
          <cell r="CO4483">
            <v>2296.377</v>
          </cell>
          <cell r="CP4483" t="str">
            <v xml:space="preserve">NFT-/XUTR/DEUTH024304A0ENJX </v>
          </cell>
          <cell r="CQ4483" t="str">
            <v>2024-10-30</v>
          </cell>
          <cell r="CR4483">
            <v>-14437.28</v>
          </cell>
          <cell r="CS4483" t="str">
            <v xml:space="preserve">NFT-/XUTR/DEUTH024309A02A3X </v>
          </cell>
          <cell r="CT4483" t="str">
            <v>2024-11-04</v>
          </cell>
          <cell r="CU4483">
            <v>-2296.377</v>
          </cell>
        </row>
        <row r="4484">
          <cell r="CJ4484" t="str">
            <v xml:space="preserve">NFT-/XUTR/DEUTH02429760724X </v>
          </cell>
          <cell r="CK4484" t="str">
            <v>2024-10-23</v>
          </cell>
          <cell r="CL4484">
            <v>14437.28</v>
          </cell>
          <cell r="CM4484" t="str">
            <v xml:space="preserve">NFT-/XUTR/DEUTH02429764618X </v>
          </cell>
          <cell r="CN4484" t="str">
            <v>2024-10-23</v>
          </cell>
          <cell r="CO4484">
            <v>2296.377</v>
          </cell>
        </row>
        <row r="4485">
          <cell r="CJ4485" t="str">
            <v xml:space="preserve">NFT-/XUTR/DEUTH02429760724X </v>
          </cell>
          <cell r="CK4485" t="str">
            <v>2024-10-23</v>
          </cell>
          <cell r="CL4485">
            <v>15874.261</v>
          </cell>
          <cell r="CM4485" t="str">
            <v xml:space="preserve">NFT-/XUTR/DEUTH02429764618X </v>
          </cell>
          <cell r="CN4485" t="str">
            <v>2024-10-23</v>
          </cell>
          <cell r="CO4485">
            <v>840.51499999999999</v>
          </cell>
        </row>
        <row r="4486">
          <cell r="CJ4486" t="str">
            <v xml:space="preserve">NFT-/XUTR/DEUTH02429760724X </v>
          </cell>
          <cell r="CK4486" t="str">
            <v>2024-10-23</v>
          </cell>
          <cell r="CL4486">
            <v>14418.4</v>
          </cell>
          <cell r="CM4486" t="str">
            <v xml:space="preserve">NFT-/XUTR/DEUTH02429764618X </v>
          </cell>
          <cell r="CN4486" t="str">
            <v>2024-10-23</v>
          </cell>
          <cell r="CO4486">
            <v>2296.377</v>
          </cell>
        </row>
        <row r="4487">
          <cell r="CJ4487" t="str">
            <v xml:space="preserve">NFT-/XUTR/DEUTH02429760724X </v>
          </cell>
          <cell r="CK4487" t="str">
            <v>2024-10-23</v>
          </cell>
          <cell r="CL4487">
            <v>14418.4</v>
          </cell>
          <cell r="CM4487" t="str">
            <v xml:space="preserve">NFT-/XUTR/DEUTH02429764618X </v>
          </cell>
          <cell r="CN4487" t="str">
            <v>2024-10-23</v>
          </cell>
          <cell r="CO4487">
            <v>2296.377</v>
          </cell>
        </row>
        <row r="4488">
          <cell r="CJ4488" t="str">
            <v xml:space="preserve">NFT-/XUTR/DEUTH02429760724X </v>
          </cell>
          <cell r="CK4488" t="str">
            <v>2024-10-23</v>
          </cell>
          <cell r="CL4488">
            <v>13969.016</v>
          </cell>
          <cell r="CM4488" t="str">
            <v xml:space="preserve">NFT-/XUTR/DEUTH02429764618X </v>
          </cell>
          <cell r="CN4488" t="str">
            <v>2024-10-23</v>
          </cell>
          <cell r="CO4488">
            <v>2745.761</v>
          </cell>
        </row>
        <row r="4489">
          <cell r="CJ4489" t="str">
            <v xml:space="preserve">NFT-/XUTR/DEUTH02429760724X </v>
          </cell>
          <cell r="CK4489" t="str">
            <v>2024-10-23</v>
          </cell>
          <cell r="CL4489">
            <v>14437.28</v>
          </cell>
          <cell r="CM4489" t="str">
            <v xml:space="preserve">NFT-/XUTR/DEUTH02429764618X </v>
          </cell>
          <cell r="CN4489" t="str">
            <v>2024-10-23</v>
          </cell>
          <cell r="CO4489">
            <v>2296.377</v>
          </cell>
        </row>
        <row r="4490">
          <cell r="CJ4490" t="str">
            <v xml:space="preserve">NFT-/XUTR/DEUTH02429760724X </v>
          </cell>
          <cell r="CK4490" t="str">
            <v>2024-10-23</v>
          </cell>
          <cell r="CL4490">
            <v>14437.28</v>
          </cell>
          <cell r="CM4490" t="str">
            <v xml:space="preserve">NFT-/XUTR/DEUTH02429764618X </v>
          </cell>
          <cell r="CN4490" t="str">
            <v>2024-10-23</v>
          </cell>
          <cell r="CO4490">
            <v>2296.377</v>
          </cell>
        </row>
        <row r="4491">
          <cell r="CJ4491" t="str">
            <v xml:space="preserve">NFT-/XUTR/DEUTH02429760724X </v>
          </cell>
          <cell r="CK4491" t="str">
            <v>2024-10-23</v>
          </cell>
          <cell r="CL4491">
            <v>14418.4</v>
          </cell>
          <cell r="CM4491" t="str">
            <v xml:space="preserve">NFT-/XUTR/DEUTH02429764618X </v>
          </cell>
          <cell r="CN4491" t="str">
            <v>2024-10-23</v>
          </cell>
          <cell r="CO4491">
            <v>2296.377</v>
          </cell>
        </row>
        <row r="4492">
          <cell r="CJ4492" t="str">
            <v xml:space="preserve">NFT-/XUTR/DEUTH02429760724X </v>
          </cell>
          <cell r="CK4492" t="str">
            <v>2024-10-23</v>
          </cell>
          <cell r="CL4492">
            <v>14418.4</v>
          </cell>
          <cell r="CM4492" t="str">
            <v xml:space="preserve">NFT-/XUTR/DEUTH02429764618X </v>
          </cell>
          <cell r="CN4492" t="str">
            <v>2024-10-23</v>
          </cell>
          <cell r="CO4492">
            <v>2296.377</v>
          </cell>
          <cell r="CP4492" t="str">
            <v xml:space="preserve">NFT-/XUTR/DEUTH02430209185X </v>
          </cell>
          <cell r="CQ4492" t="str">
            <v>2024-10-28</v>
          </cell>
          <cell r="CR4492">
            <v>-14418.4</v>
          </cell>
          <cell r="CS4492" t="str">
            <v xml:space="preserve">NFT-/XUTR/DEUTH024309A02A3X </v>
          </cell>
          <cell r="CT4492" t="str">
            <v>2024-11-04</v>
          </cell>
          <cell r="CU4492">
            <v>-2296.377</v>
          </cell>
        </row>
        <row r="4493">
          <cell r="CJ4493" t="str">
            <v xml:space="preserve">NFT-/XUTR/DEUTH02429760724X </v>
          </cell>
          <cell r="CK4493" t="str">
            <v>2024-10-23</v>
          </cell>
          <cell r="CL4493">
            <v>14437.28</v>
          </cell>
          <cell r="CM4493" t="str">
            <v xml:space="preserve">NFT-/XUTR/DEUTH02429764618X </v>
          </cell>
          <cell r="CN4493" t="str">
            <v>2024-10-23</v>
          </cell>
          <cell r="CO4493">
            <v>2296.377</v>
          </cell>
        </row>
        <row r="4494">
          <cell r="CJ4494" t="str">
            <v xml:space="preserve">NFT-/XUTR/DEUTH02429760724X </v>
          </cell>
          <cell r="CK4494" t="str">
            <v>2024-10-23</v>
          </cell>
          <cell r="CL4494">
            <v>14418.4</v>
          </cell>
          <cell r="CM4494" t="str">
            <v xml:space="preserve">NFT-/XUTR/DEUTH02429764618X </v>
          </cell>
          <cell r="CN4494" t="str">
            <v>2024-10-23</v>
          </cell>
          <cell r="CO4494">
            <v>2296.377</v>
          </cell>
        </row>
        <row r="4495">
          <cell r="CJ4495" t="str">
            <v xml:space="preserve">NFT-/XUTR/DEUTH02429760724X </v>
          </cell>
          <cell r="CK4495" t="str">
            <v>2024-10-23</v>
          </cell>
          <cell r="CL4495">
            <v>78821.849000000002</v>
          </cell>
          <cell r="CM4495" t="str">
            <v xml:space="preserve">NFT-/XUTR/DEUTH02429764618X </v>
          </cell>
          <cell r="CN4495" t="str">
            <v>2024-10-23</v>
          </cell>
          <cell r="CO4495">
            <v>4367.5860000000002</v>
          </cell>
        </row>
        <row r="4496">
          <cell r="CJ4496" t="str">
            <v xml:space="preserve">NFT-/XUTR/DEUTH02429760724X </v>
          </cell>
          <cell r="CK4496" t="str">
            <v>2024-10-23</v>
          </cell>
          <cell r="CL4496">
            <v>15874.261</v>
          </cell>
          <cell r="CM4496" t="str">
            <v xml:space="preserve">NFT-/XUTR/DEUTH02429764618X </v>
          </cell>
          <cell r="CN4496" t="str">
            <v>2024-10-23</v>
          </cell>
          <cell r="CO4496">
            <v>840.51499999999999</v>
          </cell>
        </row>
        <row r="4497">
          <cell r="CJ4497" t="str">
            <v xml:space="preserve">NFT-/XUTR/DEUTH02429760724X </v>
          </cell>
          <cell r="CK4497" t="str">
            <v>2024-10-23</v>
          </cell>
          <cell r="CL4497">
            <v>14418.4</v>
          </cell>
          <cell r="CM4497" t="str">
            <v xml:space="preserve">NFT-/XUTR/DEUTH02429764618X </v>
          </cell>
          <cell r="CN4497" t="str">
            <v>2024-10-23</v>
          </cell>
          <cell r="CO4497">
            <v>2296.377</v>
          </cell>
        </row>
        <row r="4498">
          <cell r="CJ4498" t="str">
            <v xml:space="preserve">NFT-/XUTR/DEUTH02429760724X </v>
          </cell>
          <cell r="CK4498" t="str">
            <v>2024-10-23</v>
          </cell>
          <cell r="CL4498">
            <v>10876.764999999999</v>
          </cell>
          <cell r="CM4498" t="str">
            <v xml:space="preserve">NFT-/XUTR/DEUTH02429764618X </v>
          </cell>
          <cell r="CN4498" t="str">
            <v>2024-10-23</v>
          </cell>
          <cell r="CO4498">
            <v>577.49400000000003</v>
          </cell>
        </row>
        <row r="4499">
          <cell r="CJ4499" t="str">
            <v xml:space="preserve">NFT-/XUTR/DEUTH02429760724X </v>
          </cell>
          <cell r="CK4499" t="str">
            <v>2024-10-23</v>
          </cell>
          <cell r="CL4499">
            <v>14418.4</v>
          </cell>
          <cell r="CM4499" t="str">
            <v xml:space="preserve">NFT-/XUTR/DEUTH02429764618X </v>
          </cell>
          <cell r="CN4499" t="str">
            <v>2024-10-23</v>
          </cell>
          <cell r="CO4499">
            <v>2296.377</v>
          </cell>
        </row>
        <row r="4500">
          <cell r="CJ4500" t="str">
            <v xml:space="preserve">NFT-/XUTR/DEUTH02429760724X </v>
          </cell>
          <cell r="CK4500" t="str">
            <v>2024-10-23</v>
          </cell>
          <cell r="CL4500">
            <v>39026.786</v>
          </cell>
          <cell r="CM4500" t="str">
            <v xml:space="preserve">NFT-/XUTR/DEUTH02429764618X </v>
          </cell>
          <cell r="CN4500" t="str">
            <v>2024-10-23</v>
          </cell>
          <cell r="CO4500">
            <v>2058.585</v>
          </cell>
        </row>
        <row r="4501">
          <cell r="CJ4501" t="str">
            <v xml:space="preserve">NFT-/XUTR/DEUTH02429760724X </v>
          </cell>
          <cell r="CK4501" t="str">
            <v>2024-10-23</v>
          </cell>
          <cell r="CL4501">
            <v>14503.273999999999</v>
          </cell>
          <cell r="CM4501" t="str">
            <v xml:space="preserve">NFT-/XUTR/DEUTH02429764618X </v>
          </cell>
          <cell r="CN4501" t="str">
            <v>2024-10-23</v>
          </cell>
          <cell r="CO4501">
            <v>2230.3829999999998</v>
          </cell>
        </row>
        <row r="4502">
          <cell r="CJ4502" t="str">
            <v xml:space="preserve">NFT-/XUTR/DEUTH02429760724X </v>
          </cell>
          <cell r="CK4502" t="str">
            <v>2024-10-23</v>
          </cell>
          <cell r="CL4502">
            <v>79122.2</v>
          </cell>
          <cell r="CM4502" t="str">
            <v xml:space="preserve">NFT-/XUTR/DEUTH02429764618X </v>
          </cell>
          <cell r="CN4502" t="str">
            <v>2024-10-23</v>
          </cell>
          <cell r="CO4502">
            <v>2911.7240000000002</v>
          </cell>
        </row>
        <row r="4503">
          <cell r="CJ4503" t="str">
            <v xml:space="preserve">NFT-/XUTR/DEUTH02429760724X </v>
          </cell>
          <cell r="CK4503" t="str">
            <v>2024-10-23</v>
          </cell>
          <cell r="CL4503">
            <v>14437.28</v>
          </cell>
          <cell r="CM4503" t="str">
            <v xml:space="preserve">NFT-/XUTR/DEUTH02429764618X </v>
          </cell>
          <cell r="CN4503" t="str">
            <v>2024-10-23</v>
          </cell>
          <cell r="CO4503">
            <v>2296.377</v>
          </cell>
        </row>
        <row r="4504">
          <cell r="CJ4504" t="str">
            <v xml:space="preserve">NFT-/XUTR/DEUTH02429760724X </v>
          </cell>
          <cell r="CK4504" t="str">
            <v>2024-10-23</v>
          </cell>
          <cell r="CL4504">
            <v>30330.41</v>
          </cell>
          <cell r="CM4504" t="str">
            <v xml:space="preserve">NFT-/XUTR/DEUTH02429764618X </v>
          </cell>
          <cell r="CN4504" t="str">
            <v>2024-10-23</v>
          </cell>
          <cell r="CO4504">
            <v>3136.8919999999998</v>
          </cell>
        </row>
        <row r="4505">
          <cell r="CJ4505" t="str">
            <v xml:space="preserve">NFT-/XUTR/DEUTH02429760724X </v>
          </cell>
          <cell r="CK4505" t="str">
            <v>2024-10-23</v>
          </cell>
          <cell r="CL4505">
            <v>14437.28</v>
          </cell>
          <cell r="CM4505" t="str">
            <v xml:space="preserve">NFT-/XUTR/DEUTH02429764618X </v>
          </cell>
          <cell r="CN4505" t="str">
            <v>2024-10-23</v>
          </cell>
          <cell r="CO4505">
            <v>2296.377</v>
          </cell>
          <cell r="CP4505" t="str">
            <v xml:space="preserve">NFT-/XUTR/DEUTH024304A0ENJX </v>
          </cell>
          <cell r="CQ4505" t="str">
            <v>2024-10-30</v>
          </cell>
          <cell r="CR4505">
            <v>-14437.28</v>
          </cell>
          <cell r="CS4505" t="str">
            <v xml:space="preserve">NFT-/XUTR/DEUTH024309A02A3X </v>
          </cell>
          <cell r="CT4505" t="str">
            <v>2024-11-04</v>
          </cell>
          <cell r="CU4505">
            <v>-2296.377</v>
          </cell>
        </row>
        <row r="4506">
          <cell r="CJ4506" t="str">
            <v xml:space="preserve">NFT-/XUTR/DEUTH02429760724X </v>
          </cell>
          <cell r="CK4506" t="str">
            <v>2024-10-23</v>
          </cell>
          <cell r="CL4506">
            <v>14418.4</v>
          </cell>
          <cell r="CM4506" t="str">
            <v xml:space="preserve">NFT-/XUTR/DEUTH02429764618X </v>
          </cell>
          <cell r="CN4506" t="str">
            <v>2024-10-23</v>
          </cell>
          <cell r="CO4506">
            <v>2296.377</v>
          </cell>
        </row>
        <row r="4507">
          <cell r="CJ4507" t="str">
            <v xml:space="preserve">NFT-/XUTR/DEUTH02429760724X </v>
          </cell>
          <cell r="CK4507" t="str">
            <v>2024-10-23</v>
          </cell>
          <cell r="CL4507">
            <v>14418.4</v>
          </cell>
          <cell r="CM4507" t="str">
            <v xml:space="preserve">NFT-/XUTR/DEUTH02429764618X </v>
          </cell>
          <cell r="CN4507" t="str">
            <v>2024-10-23</v>
          </cell>
          <cell r="CO4507">
            <v>2296.377</v>
          </cell>
        </row>
        <row r="4508">
          <cell r="CJ4508" t="str">
            <v xml:space="preserve">NFT-/XUTR/DEUTH02429760724X </v>
          </cell>
          <cell r="CK4508" t="str">
            <v>2024-10-23</v>
          </cell>
          <cell r="CL4508">
            <v>15893.141</v>
          </cell>
          <cell r="CM4508" t="str">
            <v xml:space="preserve">NFT-/XUTR/DEUTH02429764618X </v>
          </cell>
          <cell r="CN4508" t="str">
            <v>2024-10-23</v>
          </cell>
          <cell r="CO4508">
            <v>840.51499999999999</v>
          </cell>
        </row>
        <row r="4509">
          <cell r="CJ4509" t="str">
            <v xml:space="preserve">NFT-/XUTR/DEUTH02429760724X </v>
          </cell>
          <cell r="CK4509" t="str">
            <v>2024-10-23</v>
          </cell>
          <cell r="CL4509">
            <v>83169.498999999996</v>
          </cell>
        </row>
        <row r="4510">
          <cell r="CJ4510" t="str">
            <v xml:space="preserve">NFT-/XUTR/DEUTH02429760724X </v>
          </cell>
          <cell r="CK4510" t="str">
            <v>2024-10-23</v>
          </cell>
          <cell r="CL4510">
            <v>11746.376</v>
          </cell>
        </row>
        <row r="4511">
          <cell r="CJ4511" t="str">
            <v xml:space="preserve">NFT-/XUTR/DEUTH02429760724X </v>
          </cell>
          <cell r="CK4511" t="str">
            <v>2024-10-23</v>
          </cell>
          <cell r="CL4511">
            <v>5533.22</v>
          </cell>
        </row>
        <row r="4512">
          <cell r="CJ4512" t="str">
            <v xml:space="preserve">NFT-/XUTR/DEUTH02429760724X </v>
          </cell>
          <cell r="CK4512" t="str">
            <v>2024-10-23</v>
          </cell>
          <cell r="CL4512">
            <v>14437.28</v>
          </cell>
          <cell r="CM4512" t="str">
            <v xml:space="preserve">NFT-/XUTR/DEUTH02429764618X </v>
          </cell>
          <cell r="CN4512" t="str">
            <v>2024-10-23</v>
          </cell>
          <cell r="CO4512">
            <v>2296.377</v>
          </cell>
        </row>
        <row r="4513">
          <cell r="CJ4513" t="str">
            <v xml:space="preserve">NFT-/XUTR/DEUTH02429760724X </v>
          </cell>
          <cell r="CK4513" t="str">
            <v>2024-10-23</v>
          </cell>
          <cell r="CL4513">
            <v>14418.4</v>
          </cell>
          <cell r="CM4513" t="str">
            <v xml:space="preserve">NFT-/XUTR/DEUTH02429764618X </v>
          </cell>
          <cell r="CN4513" t="str">
            <v>2024-10-23</v>
          </cell>
          <cell r="CO4513">
            <v>2296.377</v>
          </cell>
        </row>
        <row r="4514">
          <cell r="CJ4514" t="str">
            <v xml:space="preserve">NFT-/XUTR/DEUTH02429760724X </v>
          </cell>
          <cell r="CK4514" t="str">
            <v>2024-10-23</v>
          </cell>
          <cell r="CL4514">
            <v>14432.418</v>
          </cell>
          <cell r="CM4514" t="str">
            <v xml:space="preserve">NFT-/XUTR/DEUTH02429764618X </v>
          </cell>
          <cell r="CN4514" t="str">
            <v>2024-10-23</v>
          </cell>
          <cell r="CO4514">
            <v>2301.2280000000001</v>
          </cell>
        </row>
        <row r="4515">
          <cell r="CJ4515" t="str">
            <v xml:space="preserve">NFT-/XUTR/DEUTH02429760724X </v>
          </cell>
          <cell r="CK4515" t="str">
            <v>2024-10-23</v>
          </cell>
          <cell r="CL4515">
            <v>16604.572</v>
          </cell>
          <cell r="CM4515" t="str">
            <v xml:space="preserve">NFT-/XUTR/DEUTH02429764618X </v>
          </cell>
          <cell r="CN4515" t="str">
            <v>2024-10-23</v>
          </cell>
          <cell r="CO4515">
            <v>129.08500000000001</v>
          </cell>
        </row>
        <row r="4516">
          <cell r="CJ4516" t="str">
            <v xml:space="preserve">NFT-/XUTR/DEUTH02429760724X </v>
          </cell>
          <cell r="CK4516" t="str">
            <v>2024-10-23</v>
          </cell>
          <cell r="CL4516">
            <v>15893.141</v>
          </cell>
          <cell r="CM4516" t="str">
            <v xml:space="preserve">NFT-/XUTR/DEUTH02429764618X </v>
          </cell>
          <cell r="CN4516" t="str">
            <v>2024-10-23</v>
          </cell>
          <cell r="CO4516">
            <v>840.51499999999999</v>
          </cell>
        </row>
        <row r="4517">
          <cell r="CJ4517" t="str">
            <v xml:space="preserve">NFT-/XUTR/DEUTH02429760724X </v>
          </cell>
          <cell r="CK4517" t="str">
            <v>2024-10-23</v>
          </cell>
          <cell r="CL4517">
            <v>14418.4</v>
          </cell>
          <cell r="CM4517" t="str">
            <v xml:space="preserve">NFT-/XUTR/DEUTH02429764618X </v>
          </cell>
          <cell r="CN4517" t="str">
            <v>2024-10-23</v>
          </cell>
          <cell r="CO4517">
            <v>2296.377</v>
          </cell>
        </row>
        <row r="4518">
          <cell r="CJ4518" t="str">
            <v xml:space="preserve">NFT-/XUTR/DEUTH02429760724X </v>
          </cell>
          <cell r="CK4518" t="str">
            <v>2024-10-23</v>
          </cell>
          <cell r="CL4518">
            <v>15893.141</v>
          </cell>
          <cell r="CM4518" t="str">
            <v xml:space="preserve">NFT-/XUTR/DEUTH02429764618X </v>
          </cell>
          <cell r="CN4518" t="str">
            <v>2024-10-23</v>
          </cell>
          <cell r="CO4518">
            <v>840.51499999999999</v>
          </cell>
        </row>
        <row r="4519">
          <cell r="CJ4519" t="str">
            <v xml:space="preserve">NFT-/XUTR/DEUTH02429760724X </v>
          </cell>
          <cell r="CK4519" t="str">
            <v>2024-10-23</v>
          </cell>
          <cell r="CL4519">
            <v>41334.813999999998</v>
          </cell>
          <cell r="CM4519" t="str">
            <v xml:space="preserve">NFT-/XUTR/DEUTH02429764618X </v>
          </cell>
          <cell r="CN4519" t="str">
            <v>2024-10-23</v>
          </cell>
          <cell r="CO4519">
            <v>323.20100000000002</v>
          </cell>
        </row>
        <row r="4520">
          <cell r="CJ4520" t="str">
            <v xml:space="preserve">NFT-/XUTR/DEUTH02429760724X </v>
          </cell>
          <cell r="CK4520" t="str">
            <v>2024-10-23</v>
          </cell>
          <cell r="CL4520">
            <v>14418.4</v>
          </cell>
          <cell r="CM4520" t="str">
            <v xml:space="preserve">NFT-/XUTR/DEUTH02429764618X </v>
          </cell>
          <cell r="CN4520" t="str">
            <v>2024-10-23</v>
          </cell>
          <cell r="CO4520">
            <v>2296.377</v>
          </cell>
        </row>
        <row r="4521">
          <cell r="CJ4521" t="str">
            <v xml:space="preserve">NFT-/XUTR/DEUTH02429760724X </v>
          </cell>
          <cell r="CK4521" t="str">
            <v>2024-10-23</v>
          </cell>
          <cell r="CL4521">
            <v>1359.749</v>
          </cell>
          <cell r="CM4521" t="str">
            <v xml:space="preserve">NFT-/XUTR/DEUTH02430980595X </v>
          </cell>
          <cell r="CN4521" t="str">
            <v>2024-11-04</v>
          </cell>
          <cell r="CO4521">
            <v>-1359.749</v>
          </cell>
        </row>
        <row r="4522">
          <cell r="CJ4522" t="str">
            <v xml:space="preserve">NFT-/XUTR/DEUTH02429760724X </v>
          </cell>
          <cell r="CK4522" t="str">
            <v>2024-10-23</v>
          </cell>
          <cell r="CL4522">
            <v>14437.28</v>
          </cell>
          <cell r="CM4522" t="str">
            <v xml:space="preserve">NFT-/XUTR/DEUTH02429764618X </v>
          </cell>
          <cell r="CN4522" t="str">
            <v>2024-10-23</v>
          </cell>
          <cell r="CO4522">
            <v>2296.377</v>
          </cell>
        </row>
        <row r="4523">
          <cell r="CJ4523" t="str">
            <v xml:space="preserve">NFT-/XUTR/DEUTH02429760724X </v>
          </cell>
          <cell r="CK4523" t="str">
            <v>2024-10-23</v>
          </cell>
          <cell r="CL4523">
            <v>133417.1</v>
          </cell>
        </row>
        <row r="4524">
          <cell r="CJ4524" t="str">
            <v xml:space="preserve">NFT-/XUTR/DEUTH02429760724X </v>
          </cell>
          <cell r="CK4524" t="str">
            <v>2024-10-23</v>
          </cell>
          <cell r="CL4524">
            <v>14437.28</v>
          </cell>
          <cell r="CM4524" t="str">
            <v xml:space="preserve">NFT-/XUTR/DEUTH02429764618X </v>
          </cell>
          <cell r="CN4524" t="str">
            <v>2024-10-23</v>
          </cell>
          <cell r="CO4524">
            <v>2296.377</v>
          </cell>
        </row>
        <row r="4525">
          <cell r="CJ4525" t="str">
            <v xml:space="preserve">NFT-/XUTR/DEUTH02429760724X </v>
          </cell>
          <cell r="CK4525" t="str">
            <v>2024-10-23</v>
          </cell>
          <cell r="CL4525">
            <v>11765.255999999999</v>
          </cell>
          <cell r="CM4525" t="str">
            <v xml:space="preserve">NFT-/XUTR/DEUTH024304A0ENJX </v>
          </cell>
          <cell r="CN4525" t="str">
            <v>2024-10-30</v>
          </cell>
          <cell r="CO4525">
            <v>-11765.255999999999</v>
          </cell>
        </row>
        <row r="4526">
          <cell r="CJ4526" t="str">
            <v xml:space="preserve">NFT-/XUTR/DEUTH02429760724X </v>
          </cell>
          <cell r="CK4526" t="str">
            <v>2024-10-23</v>
          </cell>
          <cell r="CL4526">
            <v>14437.28</v>
          </cell>
          <cell r="CM4526" t="str">
            <v xml:space="preserve">NFT-/XUTR/DEUTH02429764618X </v>
          </cell>
          <cell r="CN4526" t="str">
            <v>2024-10-23</v>
          </cell>
          <cell r="CO4526">
            <v>2296.377</v>
          </cell>
        </row>
        <row r="4527">
          <cell r="CJ4527" t="str">
            <v xml:space="preserve">NFT-/XUTR/DEUTH02429760724X </v>
          </cell>
          <cell r="CK4527" t="str">
            <v>2024-10-23</v>
          </cell>
          <cell r="CL4527">
            <v>16733.655999999999</v>
          </cell>
        </row>
        <row r="4528">
          <cell r="CJ4528" t="str">
            <v xml:space="preserve">NFT-/XUTR/DEUTH02429760724X </v>
          </cell>
          <cell r="CK4528" t="str">
            <v>2024-10-23</v>
          </cell>
          <cell r="CL4528">
            <v>79083.373999999996</v>
          </cell>
          <cell r="CM4528" t="str">
            <v xml:space="preserve">NFT-/XUTR/DEUTH02429764618X </v>
          </cell>
          <cell r="CN4528" t="str">
            <v>2024-10-23</v>
          </cell>
          <cell r="CO4528">
            <v>2911.723</v>
          </cell>
        </row>
        <row r="4529">
          <cell r="CJ4529" t="str">
            <v xml:space="preserve">NFT-/XUTR/DEUTH02429760724X </v>
          </cell>
          <cell r="CK4529" t="str">
            <v>2024-10-23</v>
          </cell>
          <cell r="CL4529">
            <v>14418.4</v>
          </cell>
          <cell r="CM4529" t="str">
            <v xml:space="preserve">NFT-/XUTR/DEUTH02429764618X </v>
          </cell>
          <cell r="CN4529" t="str">
            <v>2024-10-23</v>
          </cell>
          <cell r="CO4529">
            <v>2296.377</v>
          </cell>
        </row>
        <row r="4530">
          <cell r="CJ4530" t="str">
            <v xml:space="preserve">NFT-/XUTR/DEUTH02429760724X </v>
          </cell>
          <cell r="CK4530" t="str">
            <v>2024-10-23</v>
          </cell>
          <cell r="CL4530">
            <v>5453.6809999999996</v>
          </cell>
          <cell r="CM4530" t="str">
            <v xml:space="preserve">NFT-/XUTR/DEUTH02429764618X </v>
          </cell>
          <cell r="CN4530" t="str">
            <v>2024-10-23</v>
          </cell>
          <cell r="CO4530">
            <v>297.97199999999998</v>
          </cell>
        </row>
        <row r="4531">
          <cell r="CJ4531" t="str">
            <v xml:space="preserve">NFT-/XUTR/DEUTH02429760724X </v>
          </cell>
          <cell r="CK4531" t="str">
            <v>2024-10-23</v>
          </cell>
          <cell r="CL4531">
            <v>14418.4</v>
          </cell>
          <cell r="CM4531" t="str">
            <v xml:space="preserve">NFT-/XUTR/DEUTH02429764618X </v>
          </cell>
          <cell r="CN4531" t="str">
            <v>2024-10-23</v>
          </cell>
          <cell r="CO4531">
            <v>2296.377</v>
          </cell>
        </row>
        <row r="4532">
          <cell r="CJ4532" t="str">
            <v xml:space="preserve">NFT-/XUTR/DEUTH02429760724X </v>
          </cell>
          <cell r="CK4532" t="str">
            <v>2024-10-23</v>
          </cell>
          <cell r="CL4532">
            <v>81626.281000000003</v>
          </cell>
        </row>
        <row r="4533">
          <cell r="CJ4533" t="str">
            <v xml:space="preserve">NFT-/XUTR/DEUTH02429760724X </v>
          </cell>
          <cell r="CK4533" t="str">
            <v>2024-10-23</v>
          </cell>
          <cell r="CL4533">
            <v>16468.245999999999</v>
          </cell>
          <cell r="CM4533" t="str">
            <v xml:space="preserve">NFT-/XUTR/DEUTH02429764618X </v>
          </cell>
          <cell r="CN4533" t="str">
            <v>2024-10-23</v>
          </cell>
          <cell r="CO4533">
            <v>168.876</v>
          </cell>
        </row>
        <row r="4534">
          <cell r="CJ4534" t="str">
            <v xml:space="preserve">NFT-/XUTR/DEUTH02429760724X </v>
          </cell>
          <cell r="CK4534" t="str">
            <v>2024-10-23</v>
          </cell>
          <cell r="CL4534">
            <v>82772.091</v>
          </cell>
        </row>
        <row r="4535">
          <cell r="CJ4535" t="str">
            <v xml:space="preserve">NFT-/XUTR/DEUTH02429760724X </v>
          </cell>
          <cell r="CK4535" t="str">
            <v>2024-10-23</v>
          </cell>
          <cell r="CL4535">
            <v>163233.682</v>
          </cell>
        </row>
        <row r="4536">
          <cell r="CJ4536" t="str">
            <v xml:space="preserve">NFT-/XUTR/DEUTH02429760724X </v>
          </cell>
          <cell r="CK4536" t="str">
            <v>2024-10-23</v>
          </cell>
          <cell r="CL4536">
            <v>5485.2240000000002</v>
          </cell>
        </row>
        <row r="4537">
          <cell r="CJ4537" t="str">
            <v xml:space="preserve">NFT-/XUTR/DEUTH02429760724X </v>
          </cell>
          <cell r="CK4537" t="str">
            <v>2024-10-23</v>
          </cell>
          <cell r="CL4537">
            <v>1331.1669999999999</v>
          </cell>
        </row>
        <row r="4538">
          <cell r="CJ4538" t="str">
            <v xml:space="preserve">NFT-/XUTR/DEUTH02429760724X </v>
          </cell>
          <cell r="CK4538" t="str">
            <v>2024-10-23</v>
          </cell>
          <cell r="CL4538">
            <v>16733.655999999999</v>
          </cell>
        </row>
        <row r="4539">
          <cell r="CJ4539" t="str">
            <v xml:space="preserve">NFT-/XUTR/DEUTH02429760724X </v>
          </cell>
          <cell r="CK4539" t="str">
            <v>2024-10-23</v>
          </cell>
          <cell r="CL4539">
            <v>41463.900999999998</v>
          </cell>
        </row>
        <row r="4540">
          <cell r="CJ4540" t="str">
            <v xml:space="preserve">NFT-/XUTR/DEUTH02429760724X </v>
          </cell>
          <cell r="CK4540" t="str">
            <v>2024-10-23</v>
          </cell>
          <cell r="CL4540">
            <v>1350.047</v>
          </cell>
          <cell r="CM4540" t="str">
            <v xml:space="preserve">NFT-/XUTR/DEUTH024304A0ENJX </v>
          </cell>
          <cell r="CN4540" t="str">
            <v>2024-10-30</v>
          </cell>
          <cell r="CO4540">
            <v>-1350.047</v>
          </cell>
        </row>
        <row r="4541">
          <cell r="CJ4541" t="str">
            <v xml:space="preserve">NFT-/XUTR/DEUTH02429760724X </v>
          </cell>
          <cell r="CK4541" t="str">
            <v>2024-10-23</v>
          </cell>
          <cell r="CL4541">
            <v>41445.019999999997</v>
          </cell>
        </row>
        <row r="4542">
          <cell r="CJ4542" t="str">
            <v xml:space="preserve">NFT-/XUTR/DEUTH02429760724X </v>
          </cell>
          <cell r="CK4542" t="str">
            <v>2024-10-23</v>
          </cell>
          <cell r="CL4542">
            <v>81995.097999999998</v>
          </cell>
          <cell r="CM4542" t="str">
            <v xml:space="preserve">NFT-/XUTR/DEUTH024304A0ENJX </v>
          </cell>
          <cell r="CN4542" t="str">
            <v>2024-10-30</v>
          </cell>
          <cell r="CO4542">
            <v>-81995.097999999998</v>
          </cell>
        </row>
        <row r="4543">
          <cell r="CJ4543" t="str">
            <v xml:space="preserve">NFT-/XUTR/DEUTH02429760724X </v>
          </cell>
          <cell r="CK4543" t="str">
            <v>2024-10-23</v>
          </cell>
          <cell r="CL4543">
            <v>11016.967000000001</v>
          </cell>
          <cell r="CM4543" t="str">
            <v xml:space="preserve">NFT-/XUTR/DEUTH02431839302X </v>
          </cell>
          <cell r="CN4543" t="str">
            <v>2024-11-13</v>
          </cell>
          <cell r="CO4543">
            <v>-11016.967000000001</v>
          </cell>
        </row>
        <row r="4544">
          <cell r="CJ4544" t="str">
            <v xml:space="preserve">NFT-/XUTR/DEUTH02429760724X </v>
          </cell>
          <cell r="CK4544" t="str">
            <v>2024-10-23</v>
          </cell>
          <cell r="CL4544">
            <v>1350.047</v>
          </cell>
          <cell r="CM4544" t="str">
            <v xml:space="preserve">NFT-/XUTR/DEUTH02430980595X </v>
          </cell>
          <cell r="CN4544" t="str">
            <v>2024-11-04</v>
          </cell>
          <cell r="CO4544">
            <v>-1350.047</v>
          </cell>
        </row>
        <row r="4545">
          <cell r="CJ4545" t="str">
            <v xml:space="preserve">NFT-/XUTR/DEUTH02429760724X </v>
          </cell>
          <cell r="CK4545" t="str">
            <v>2024-10-23</v>
          </cell>
          <cell r="CL4545">
            <v>81655.929999999993</v>
          </cell>
        </row>
        <row r="4546">
          <cell r="CJ4546" t="str">
            <v xml:space="preserve">NFT-/XUTR/DEUTH02429760724X </v>
          </cell>
          <cell r="CK4546" t="str">
            <v>2024-10-23</v>
          </cell>
          <cell r="CL4546">
            <v>1331.1669999999999</v>
          </cell>
        </row>
        <row r="4547">
          <cell r="CJ4547" t="str">
            <v xml:space="preserve">NFT-/XUTR/DEUTH02429760724X </v>
          </cell>
          <cell r="CK4547" t="str">
            <v>2024-10-23</v>
          </cell>
          <cell r="CL4547">
            <v>10756.418</v>
          </cell>
          <cell r="CM4547" t="str">
            <v xml:space="preserve">NFT-/XUTR/DEUTH02429764618X </v>
          </cell>
          <cell r="CN4547" t="str">
            <v>2024-10-23</v>
          </cell>
          <cell r="CO4547">
            <v>571.66899999999998</v>
          </cell>
        </row>
        <row r="4548">
          <cell r="CJ4548" t="str">
            <v xml:space="preserve">NFT-/XUTR/DEUTH02429760724X </v>
          </cell>
          <cell r="CK4548" t="str">
            <v>2024-10-23</v>
          </cell>
          <cell r="CL4548">
            <v>1278.2190000000001</v>
          </cell>
          <cell r="CM4548" t="str">
            <v xml:space="preserve">NFT-/XUTR/DEUTH02429764618X </v>
          </cell>
          <cell r="CN4548" t="str">
            <v>2024-10-23</v>
          </cell>
          <cell r="CO4548">
            <v>71.817999999999998</v>
          </cell>
        </row>
        <row r="4549">
          <cell r="CJ4549" t="str">
            <v xml:space="preserve">NFT-/XUTR/DEUTH02429760724X </v>
          </cell>
          <cell r="CK4549" t="str">
            <v>2024-10-23</v>
          </cell>
          <cell r="CL4549">
            <v>11346.967000000001</v>
          </cell>
        </row>
        <row r="4550">
          <cell r="CJ4550" t="str">
            <v xml:space="preserve">NFT-/XUTR/DEUTH02429760724X </v>
          </cell>
          <cell r="CK4550" t="str">
            <v>2024-10-23</v>
          </cell>
          <cell r="CL4550">
            <v>81655.929999999993</v>
          </cell>
        </row>
        <row r="4551">
          <cell r="CJ4551" t="str">
            <v xml:space="preserve">NFT-/XUTR/DEUTH02429760724X </v>
          </cell>
          <cell r="CK4551" t="str">
            <v>2024-10-23</v>
          </cell>
          <cell r="CL4551">
            <v>16637.133000000002</v>
          </cell>
        </row>
        <row r="4552">
          <cell r="CJ4552" t="str">
            <v xml:space="preserve">NFT-/XUTR/DEUTH02429760724X </v>
          </cell>
          <cell r="CK4552" t="str">
            <v>2024-10-23</v>
          </cell>
          <cell r="CL4552">
            <v>66407.671000000002</v>
          </cell>
        </row>
        <row r="4553">
          <cell r="CJ4553" t="str">
            <v xml:space="preserve">NFT-/XUTR/DEUTH02429760724X </v>
          </cell>
          <cell r="CK4553" t="str">
            <v>2024-10-23</v>
          </cell>
          <cell r="CL4553">
            <v>40862.675000000003</v>
          </cell>
        </row>
        <row r="4554">
          <cell r="CJ4554" t="str">
            <v xml:space="preserve">NFT-/XUTR/DEUTH02429760724X </v>
          </cell>
          <cell r="CK4554" t="str">
            <v>2024-10-23</v>
          </cell>
          <cell r="CL4554">
            <v>16656.012999999999</v>
          </cell>
          <cell r="CM4554" t="str">
            <v xml:space="preserve">NFT-/XUTR/DEUTH024299A09NOX </v>
          </cell>
          <cell r="CN4554" t="str">
            <v>2024-10-25</v>
          </cell>
          <cell r="CO4554">
            <v>-16656.012999999999</v>
          </cell>
        </row>
        <row r="4555">
          <cell r="CJ4555" t="str">
            <v xml:space="preserve">NFT-/XUTR/DEUTH024299A09NOX </v>
          </cell>
          <cell r="CK4555" t="str">
            <v>2024-10-25</v>
          </cell>
          <cell r="CL4555">
            <v>61545.095000000001</v>
          </cell>
        </row>
        <row r="4556">
          <cell r="CJ4556" t="str">
            <v xml:space="preserve">NFT-/XUTR/DEUTH024299A09NOX </v>
          </cell>
          <cell r="CK4556" t="str">
            <v>2024-10-25</v>
          </cell>
          <cell r="CL4556">
            <v>1350.58</v>
          </cell>
        </row>
        <row r="4557">
          <cell r="CJ4557" t="str">
            <v xml:space="preserve">NFT-/XUTR/DEUTH024299A09NOX </v>
          </cell>
          <cell r="CK4557" t="str">
            <v>2024-10-25</v>
          </cell>
          <cell r="CL4557">
            <v>1350.58</v>
          </cell>
        </row>
        <row r="4558">
          <cell r="CJ4558" t="str">
            <v xml:space="preserve">NFT-/XUTR/DEUTH024299A09NOX </v>
          </cell>
          <cell r="CK4558" t="str">
            <v>2024-10-25</v>
          </cell>
          <cell r="CL4558">
            <v>16763.306</v>
          </cell>
        </row>
        <row r="4559">
          <cell r="CJ4559" t="str">
            <v xml:space="preserve">NFT-/XUTR/DEUTH024299A09NOX </v>
          </cell>
          <cell r="CK4559" t="str">
            <v>2024-10-25</v>
          </cell>
          <cell r="CL4559">
            <v>82237.740999999995</v>
          </cell>
          <cell r="CP4559" t="str">
            <v xml:space="preserve">NFT-/XUTR/DEUTH024304A0ENJX </v>
          </cell>
          <cell r="CQ4559" t="str">
            <v>2024-10-30</v>
          </cell>
          <cell r="CR4559">
            <v>-82237.740999999995</v>
          </cell>
        </row>
        <row r="4561">
          <cell r="CJ4561" t="str">
            <v xml:space="preserve">NFT-/XUTR/DEUTH024299A09NOX </v>
          </cell>
          <cell r="CK4561" t="str">
            <v>2024-10-25</v>
          </cell>
          <cell r="CL4561">
            <v>16763.306</v>
          </cell>
        </row>
        <row r="4562">
          <cell r="CJ4562" t="str">
            <v xml:space="preserve">NFT-/XUTR/DEUTH024299A09NOX </v>
          </cell>
          <cell r="CK4562" t="str">
            <v>2024-10-25</v>
          </cell>
          <cell r="CL4562">
            <v>41774.485999999997</v>
          </cell>
        </row>
        <row r="4563">
          <cell r="CJ4563" t="str">
            <v xml:space="preserve">NFT-/XUTR/DEUTH024299A09NOX </v>
          </cell>
          <cell r="CK4563" t="str">
            <v>2024-10-25</v>
          </cell>
          <cell r="CL4563">
            <v>41774.485999999997</v>
          </cell>
          <cell r="CM4563" t="str">
            <v xml:space="preserve">NFT-/XUTR/DEUTH024304A0ENJX </v>
          </cell>
          <cell r="CN4563" t="str">
            <v>2024-10-30</v>
          </cell>
          <cell r="CO4563">
            <v>-41774.485999999997</v>
          </cell>
        </row>
        <row r="4564">
          <cell r="CJ4564" t="str">
            <v xml:space="preserve">NFT-/XUTR/DEUTH024299A09NOX </v>
          </cell>
          <cell r="CK4564" t="str">
            <v>2024-10-25</v>
          </cell>
          <cell r="CL4564">
            <v>5911.7489999999998</v>
          </cell>
        </row>
        <row r="4565">
          <cell r="CJ4565" t="str">
            <v xml:space="preserve">NFT-/XUTR/DEUTH024299A09NOX </v>
          </cell>
          <cell r="CK4565" t="str">
            <v>2024-10-25</v>
          </cell>
          <cell r="CL4565">
            <v>8445.4779999999992</v>
          </cell>
        </row>
        <row r="4566">
          <cell r="CJ4566" t="str">
            <v xml:space="preserve">NFT-/XUTR/DEUTH024299A09NOX </v>
          </cell>
          <cell r="CK4566" t="str">
            <v>2024-10-25</v>
          </cell>
          <cell r="CL4566">
            <v>1369.4590000000001</v>
          </cell>
        </row>
        <row r="4567">
          <cell r="CJ4567" t="str">
            <v xml:space="preserve">NFT-/XUTR/DEUTH024299A09NOX </v>
          </cell>
          <cell r="CK4567" t="str">
            <v>2024-10-25</v>
          </cell>
          <cell r="CL4567">
            <v>16763.306</v>
          </cell>
        </row>
        <row r="4568">
          <cell r="CJ4568" t="str">
            <v xml:space="preserve">NFT-/XUTR/DEUTH024299A09NOX </v>
          </cell>
          <cell r="CK4568" t="str">
            <v>2024-10-25</v>
          </cell>
          <cell r="CL4568">
            <v>8464.3580000000002</v>
          </cell>
        </row>
        <row r="4569">
          <cell r="CJ4569" t="str">
            <v xml:space="preserve">NFT-/XUTR/DEUTH024299A09NOX </v>
          </cell>
          <cell r="CK4569" t="str">
            <v>2024-10-25</v>
          </cell>
          <cell r="CL4569">
            <v>16763.306</v>
          </cell>
        </row>
        <row r="4570">
          <cell r="CJ4570" t="str">
            <v xml:space="preserve">NFT-/XUTR/DEUTH024299A09NOX </v>
          </cell>
          <cell r="CK4570" t="str">
            <v>2024-10-25</v>
          </cell>
          <cell r="CL4570">
            <v>11463.438</v>
          </cell>
          <cell r="CM4570" t="str">
            <v xml:space="preserve">NFT-/XUTR/DEUTH02431839302X </v>
          </cell>
          <cell r="CN4570" t="str">
            <v>2024-11-13</v>
          </cell>
          <cell r="CO4570">
            <v>-11463.438</v>
          </cell>
        </row>
        <row r="4571">
          <cell r="CJ4571" t="str">
            <v xml:space="preserve">NFT-/XUTR/DEUTH024299A09NOX </v>
          </cell>
          <cell r="CK4571" t="str">
            <v>2024-10-25</v>
          </cell>
          <cell r="CL4571">
            <v>41192.14</v>
          </cell>
        </row>
        <row r="4572">
          <cell r="CJ4572" t="str">
            <v xml:space="preserve">NFT-/XUTR/DEUTH024299A09NOX </v>
          </cell>
          <cell r="CK4572" t="str">
            <v>2024-10-25</v>
          </cell>
          <cell r="CL4572">
            <v>41173.26</v>
          </cell>
        </row>
        <row r="4573">
          <cell r="CJ4573" t="str">
            <v xml:space="preserve">NFT-/XUTR/DEUTH024299A09NOX </v>
          </cell>
          <cell r="CK4573" t="str">
            <v>2024-10-25</v>
          </cell>
          <cell r="CL4573">
            <v>16763.306</v>
          </cell>
        </row>
        <row r="4574">
          <cell r="CJ4574" t="str">
            <v xml:space="preserve">NFT-/XUTR/DEUTH024299A09NOX </v>
          </cell>
          <cell r="CK4574" t="str">
            <v>2024-10-25</v>
          </cell>
          <cell r="CL4574">
            <v>5911.7489999999998</v>
          </cell>
        </row>
        <row r="4575">
          <cell r="CJ4575" t="str">
            <v xml:space="preserve">NFT-/XUTR/DEUTH024299A09NOX </v>
          </cell>
          <cell r="CK4575" t="str">
            <v>2024-10-25</v>
          </cell>
          <cell r="CL4575">
            <v>8445.4779999999992</v>
          </cell>
        </row>
        <row r="4576">
          <cell r="CJ4576" t="str">
            <v xml:space="preserve">NFT-/XUTR/DEUTH024299A09NOX </v>
          </cell>
          <cell r="CK4576" t="str">
            <v>2024-10-25</v>
          </cell>
          <cell r="CL4576">
            <v>10527.804</v>
          </cell>
          <cell r="CP4576" t="str">
            <v xml:space="preserve">NFT-/XUTR/DEUTH024309A02A3X </v>
          </cell>
          <cell r="CQ4576" t="str">
            <v>2024-11-04</v>
          </cell>
          <cell r="CR4576">
            <v>489.17500000000001</v>
          </cell>
        </row>
        <row r="4577">
          <cell r="CJ4577" t="str">
            <v xml:space="preserve">NFT-/XUTR/DEUTH024299A09NOX </v>
          </cell>
          <cell r="CK4577" t="str">
            <v>2024-10-25</v>
          </cell>
          <cell r="CL4577">
            <v>33215.491999999998</v>
          </cell>
        </row>
        <row r="4578">
          <cell r="CJ4578" t="str">
            <v xml:space="preserve">NFT-/XUTR/DEUTH024299A09NOX </v>
          </cell>
          <cell r="CK4578" t="str">
            <v>2024-10-25</v>
          </cell>
          <cell r="CL4578">
            <v>5892.8689999999997</v>
          </cell>
        </row>
        <row r="4579">
          <cell r="CJ4579" t="str">
            <v xml:space="preserve">NFT-/XUTR/DEUTH024299A09NOX </v>
          </cell>
          <cell r="CK4579" t="str">
            <v>2024-10-25</v>
          </cell>
          <cell r="CL4579">
            <v>25374.194</v>
          </cell>
        </row>
        <row r="4580">
          <cell r="CJ4580" t="str">
            <v xml:space="preserve">NFT-/XUTR/DEUTH024299A09NOX </v>
          </cell>
          <cell r="CK4580" t="str">
            <v>2024-10-25</v>
          </cell>
          <cell r="CL4580">
            <v>25374.194</v>
          </cell>
        </row>
        <row r="4581">
          <cell r="CJ4581" t="str">
            <v xml:space="preserve">NFT-/XUTR/DEUTH024299A09NOX </v>
          </cell>
          <cell r="CK4581" t="str">
            <v>2024-10-25</v>
          </cell>
          <cell r="CL4581">
            <v>5561.098</v>
          </cell>
          <cell r="CP4581" t="str">
            <v xml:space="preserve">NFT-/XUTR/DEUTH024309A02A3X </v>
          </cell>
          <cell r="CQ4581" t="str">
            <v>2024-11-04</v>
          </cell>
          <cell r="CR4581">
            <v>299.91000000000003</v>
          </cell>
        </row>
        <row r="4582">
          <cell r="CJ4582" t="str">
            <v xml:space="preserve">NFT-/XUTR/DEUTH024299A09NOX </v>
          </cell>
          <cell r="CK4582" t="str">
            <v>2024-10-25</v>
          </cell>
          <cell r="CL4582">
            <v>11463.438</v>
          </cell>
        </row>
        <row r="4583">
          <cell r="CJ4583" t="str">
            <v xml:space="preserve">NFT-/XUTR/DEUTH024299A09NOX </v>
          </cell>
          <cell r="CK4583" t="str">
            <v>2024-10-25</v>
          </cell>
          <cell r="CL4583">
            <v>16103.316999999999</v>
          </cell>
          <cell r="CP4583" t="str">
            <v xml:space="preserve">NFT-/XUTR/DEUTH024309A02A3X </v>
          </cell>
          <cell r="CQ4583" t="str">
            <v>2024-11-04</v>
          </cell>
          <cell r="CR4583">
            <v>494.98899999999998</v>
          </cell>
        </row>
        <row r="4584">
          <cell r="CJ4584" t="str">
            <v xml:space="preserve">NFT-/XUTR/DEUTH024299A09NOX </v>
          </cell>
          <cell r="CK4584" t="str">
            <v>2024-10-25</v>
          </cell>
          <cell r="CL4584">
            <v>2514.7359999999999</v>
          </cell>
        </row>
        <row r="4585">
          <cell r="CJ4585" t="str">
            <v xml:space="preserve">NFT-/XUTR/DEUTH024299A09NOX </v>
          </cell>
          <cell r="CK4585" t="str">
            <v>2024-10-25</v>
          </cell>
          <cell r="CL4585">
            <v>11444.558000000001</v>
          </cell>
        </row>
        <row r="4586">
          <cell r="CJ4586" t="str">
            <v xml:space="preserve">NFT-/XUTR/DEUTH024299A09NOX </v>
          </cell>
          <cell r="CK4586" t="str">
            <v>2024-10-25</v>
          </cell>
          <cell r="CL4586">
            <v>8474.5930000000008</v>
          </cell>
        </row>
        <row r="4587">
          <cell r="CJ4587" t="str">
            <v xml:space="preserve">NFT-/XUTR/DEUTH024299A09NOX </v>
          </cell>
          <cell r="CK4587" t="str">
            <v>2024-10-25</v>
          </cell>
          <cell r="CL4587">
            <v>2720.03</v>
          </cell>
        </row>
        <row r="4588">
          <cell r="CJ4588" t="str">
            <v xml:space="preserve">NFT-/XUTR/DEUTH024299A09NOX </v>
          </cell>
          <cell r="CK4588" t="str">
            <v>2024-10-25</v>
          </cell>
          <cell r="CL4588">
            <v>82567.740000000005</v>
          </cell>
        </row>
        <row r="4589">
          <cell r="CJ4589" t="str">
            <v xml:space="preserve">NFT-/XUTR/DEUTH024299A09NOX </v>
          </cell>
          <cell r="CK4589" t="str">
            <v>2024-10-25</v>
          </cell>
          <cell r="CL4589">
            <v>16326.013000000001</v>
          </cell>
          <cell r="CM4589" t="str">
            <v xml:space="preserve">NFT-/XUTR/DEUTH02430980595X </v>
          </cell>
          <cell r="CN4589" t="str">
            <v>2024-11-04</v>
          </cell>
          <cell r="CO4589">
            <v>-16326.013000000001</v>
          </cell>
        </row>
        <row r="4590">
          <cell r="CJ4590" t="str">
            <v xml:space="preserve">NFT-/XUTR/DEUTH024299A09NOX </v>
          </cell>
          <cell r="CK4590" t="str">
            <v>2024-10-25</v>
          </cell>
          <cell r="CL4590">
            <v>16675.417000000001</v>
          </cell>
        </row>
        <row r="4591">
          <cell r="CJ4591" t="str">
            <v xml:space="preserve">NFT-/XUTR/DEUTH024299A09NOX </v>
          </cell>
          <cell r="CK4591" t="str">
            <v>2024-10-25</v>
          </cell>
          <cell r="CL4591">
            <v>16656.537</v>
          </cell>
        </row>
        <row r="4592">
          <cell r="CJ4592" t="str">
            <v xml:space="preserve">NFT-/XUTR/DEUTH024299A09NOX </v>
          </cell>
          <cell r="CK4592" t="str">
            <v>2024-10-25</v>
          </cell>
          <cell r="CL4592">
            <v>2738.91</v>
          </cell>
        </row>
        <row r="4593">
          <cell r="CJ4593" t="str">
            <v xml:space="preserve">NFT-/XUTR/DEUTH024299A09NOX </v>
          </cell>
          <cell r="CK4593" t="str">
            <v>2024-10-25</v>
          </cell>
          <cell r="CL4593">
            <v>5911.7489999999998</v>
          </cell>
        </row>
        <row r="4594">
          <cell r="CJ4594" t="str">
            <v xml:space="preserve">NFT-/XUTR/DEUTH024299A09NOX </v>
          </cell>
          <cell r="CK4594" t="str">
            <v>2024-10-25</v>
          </cell>
          <cell r="CL4594">
            <v>5543.4549999999999</v>
          </cell>
        </row>
        <row r="4595">
          <cell r="CJ4595" t="str">
            <v xml:space="preserve">NFT-/XUTR/DEUTH024299A09NOX </v>
          </cell>
          <cell r="CK4595" t="str">
            <v>2024-10-25</v>
          </cell>
          <cell r="CL4595">
            <v>5562.335</v>
          </cell>
        </row>
        <row r="4596">
          <cell r="CJ4596" t="str">
            <v xml:space="preserve">NFT-/XUTR/DEUTH024299A09NOX </v>
          </cell>
          <cell r="CK4596" t="str">
            <v>2024-10-25</v>
          </cell>
          <cell r="CL4596">
            <v>41309.135999999999</v>
          </cell>
        </row>
        <row r="4597">
          <cell r="CJ4597" t="str">
            <v xml:space="preserve">NFT-/XUTR/DEUTH024299A09NOX </v>
          </cell>
          <cell r="CK4597" t="str">
            <v>2024-10-25</v>
          </cell>
          <cell r="CL4597">
            <v>5861.0079999999998</v>
          </cell>
        </row>
        <row r="4598">
          <cell r="CJ4598" t="str">
            <v xml:space="preserve">NFT-/XUTR/DEUTH024299A09NOX </v>
          </cell>
          <cell r="CK4598" t="str">
            <v>2024-10-25</v>
          </cell>
          <cell r="CL4598">
            <v>16821.536</v>
          </cell>
        </row>
        <row r="4599">
          <cell r="CJ4599" t="str">
            <v xml:space="preserve">NFT-/XUTR/DEUTH024299A09NOX </v>
          </cell>
          <cell r="CK4599" t="str">
            <v>2024-10-25</v>
          </cell>
          <cell r="CL4599">
            <v>82519.212</v>
          </cell>
        </row>
        <row r="4600">
          <cell r="CJ4600" t="str">
            <v xml:space="preserve">NFT-/XUTR/DEUTH024299A09NOX </v>
          </cell>
          <cell r="CK4600" t="str">
            <v>2024-10-25</v>
          </cell>
          <cell r="CL4600">
            <v>11104.857</v>
          </cell>
        </row>
        <row r="4601">
          <cell r="CJ4601" t="str">
            <v xml:space="preserve">NFT-/XUTR/DEUTH024299A09NOX </v>
          </cell>
          <cell r="CK4601" t="str">
            <v>2024-10-25</v>
          </cell>
          <cell r="CL4601">
            <v>2738.9079999999999</v>
          </cell>
        </row>
        <row r="4602">
          <cell r="CJ4602" t="str">
            <v xml:space="preserve">NFT-/XUTR/DEUTH024299A09NOX </v>
          </cell>
          <cell r="CK4602" t="str">
            <v>2024-10-25</v>
          </cell>
          <cell r="CL4602">
            <v>16675.417000000001</v>
          </cell>
        </row>
        <row r="4603">
          <cell r="CJ4603" t="str">
            <v xml:space="preserve">NFT-/XUTR/DEUTH024299A09NOX </v>
          </cell>
          <cell r="CK4603" t="str">
            <v>2024-10-25</v>
          </cell>
          <cell r="CL4603">
            <v>82519.212</v>
          </cell>
        </row>
        <row r="4604">
          <cell r="CJ4604" t="str">
            <v xml:space="preserve">NFT-/XUTR/DEUTH024299A09NOX </v>
          </cell>
          <cell r="CK4604" t="str">
            <v>2024-10-25</v>
          </cell>
          <cell r="CL4604">
            <v>40624.881999999998</v>
          </cell>
          <cell r="CP4604" t="str">
            <v xml:space="preserve">NFT-/XUTR/DEUTH024309A02A3X </v>
          </cell>
          <cell r="CQ4604" t="str">
            <v>2024-11-04</v>
          </cell>
          <cell r="CR4604">
            <v>684.25400000000002</v>
          </cell>
        </row>
        <row r="4605">
          <cell r="CJ4605" t="str">
            <v xml:space="preserve">NFT-/XUTR/DEUTH024299A09NOX </v>
          </cell>
          <cell r="CK4605" t="str">
            <v>2024-10-25</v>
          </cell>
          <cell r="CL4605">
            <v>16850.651999999998</v>
          </cell>
        </row>
        <row r="4606">
          <cell r="CJ4606" t="str">
            <v xml:space="preserve">NFT-/XUTR/DEUTH024299A09NOX </v>
          </cell>
          <cell r="CK4606" t="str">
            <v>2024-10-25</v>
          </cell>
          <cell r="CL4606">
            <v>5960.8109999999997</v>
          </cell>
        </row>
        <row r="4607">
          <cell r="CJ4607" t="str">
            <v xml:space="preserve">NFT-/XUTR/DEUTH024299A09NOX </v>
          </cell>
          <cell r="CK4607" t="str">
            <v>2024-10-25</v>
          </cell>
          <cell r="CL4607">
            <v>16084.871999999999</v>
          </cell>
        </row>
        <row r="4608">
          <cell r="CJ4608" t="str">
            <v xml:space="preserve">NFT-/XUTR/DEUTH024299A09NOX </v>
          </cell>
          <cell r="CK4608" t="str">
            <v>2024-10-25</v>
          </cell>
          <cell r="CL4608">
            <v>69641.941000000006</v>
          </cell>
          <cell r="CM4608" t="str">
            <v xml:space="preserve">NFT-/XUTR/DEUTH024304A0ENJX </v>
          </cell>
          <cell r="CN4608" t="str">
            <v>2024-10-30</v>
          </cell>
          <cell r="CO4608">
            <v>-1729.88</v>
          </cell>
        </row>
        <row r="4609">
          <cell r="CJ4609" t="str">
            <v xml:space="preserve">NFT-/XUTR/DEUTH024299A09NOX </v>
          </cell>
          <cell r="CK4609" t="str">
            <v>2024-10-25</v>
          </cell>
          <cell r="CL4609">
            <v>5848.7110000000002</v>
          </cell>
        </row>
        <row r="4610">
          <cell r="CJ4610" t="str">
            <v xml:space="preserve">NFT-/XUTR/DEUTH024299A09NOX </v>
          </cell>
          <cell r="CK4610" t="str">
            <v>2024-10-25</v>
          </cell>
          <cell r="CL4610">
            <v>16656.537</v>
          </cell>
        </row>
        <row r="4611">
          <cell r="CJ4611" t="str">
            <v xml:space="preserve">NFT-/XUTR/DEUTH024299A09NOX </v>
          </cell>
          <cell r="CK4611" t="str">
            <v>2024-10-25</v>
          </cell>
          <cell r="CL4611">
            <v>16850.651999999998</v>
          </cell>
        </row>
        <row r="4612">
          <cell r="CJ4612" t="str">
            <v xml:space="preserve">NFT-/XUTR/DEUTH024299A09NOX </v>
          </cell>
          <cell r="CK4612" t="str">
            <v>2024-10-25</v>
          </cell>
          <cell r="CL4612">
            <v>1350.58</v>
          </cell>
        </row>
        <row r="4613">
          <cell r="CJ4613" t="str">
            <v xml:space="preserve">NFT-/XUTR/DEUTH024299A09NOX </v>
          </cell>
          <cell r="CK4613" t="str">
            <v>2024-10-25</v>
          </cell>
          <cell r="CL4613">
            <v>5960.8109999999997</v>
          </cell>
        </row>
        <row r="4614">
          <cell r="CJ4614" t="str">
            <v xml:space="preserve">NFT-/XUTR/DEUTH024299A09NOX </v>
          </cell>
          <cell r="CK4614" t="str">
            <v>2024-10-25</v>
          </cell>
          <cell r="CL4614">
            <v>16534.689999999999</v>
          </cell>
          <cell r="CM4614" t="str">
            <v xml:space="preserve">NFT-/XUTR/DEUTH02431152062X </v>
          </cell>
          <cell r="CN4614" t="str">
            <v>2024-11-06</v>
          </cell>
          <cell r="CO4614">
            <v>-16534.689999999999</v>
          </cell>
          <cell r="CP4614" t="str">
            <v xml:space="preserve">NFT-/XUTR/DEUTH024309A02A3X </v>
          </cell>
          <cell r="CQ4614" t="str">
            <v>2024-11-04</v>
          </cell>
          <cell r="CR4614">
            <v>305.73500000000001</v>
          </cell>
          <cell r="CS4614" t="str">
            <v xml:space="preserve">NFT-/XUTR/DEUTH02431162755X </v>
          </cell>
          <cell r="CT4614" t="str">
            <v>2024-11-06</v>
          </cell>
          <cell r="CU4614">
            <v>-305.73500000000001</v>
          </cell>
        </row>
        <row r="4615">
          <cell r="CJ4615" t="str">
            <v xml:space="preserve">NFT-/XUTR/DEUTH024299A09NOX </v>
          </cell>
          <cell r="CK4615" t="str">
            <v>2024-10-25</v>
          </cell>
          <cell r="CL4615">
            <v>2541.9140000000002</v>
          </cell>
          <cell r="CM4615" t="str">
            <v xml:space="preserve">NFT-/XUTR/DEUTH02430980595X </v>
          </cell>
          <cell r="CN4615" t="str">
            <v>2024-11-04</v>
          </cell>
          <cell r="CO4615">
            <v>-2541.9140000000002</v>
          </cell>
        </row>
        <row r="4616">
          <cell r="CJ4616" t="str">
            <v xml:space="preserve">NFT-/XUTR/DEUTH024299A09NOX </v>
          </cell>
          <cell r="CK4616" t="str">
            <v>2024-10-25</v>
          </cell>
          <cell r="CL4616">
            <v>42386.478999999999</v>
          </cell>
        </row>
        <row r="4617">
          <cell r="CJ4617" t="str">
            <v xml:space="preserve">NFT-/XUTR/DEUTH024299A09NOX </v>
          </cell>
          <cell r="CK4617" t="str">
            <v>2024-10-25</v>
          </cell>
          <cell r="CL4617">
            <v>1360.2819999999999</v>
          </cell>
        </row>
        <row r="4618">
          <cell r="CJ4618" t="str">
            <v xml:space="preserve">NFT-/XUTR/DEUTH024299A09NOX </v>
          </cell>
          <cell r="CK4618" t="str">
            <v>2024-10-25</v>
          </cell>
          <cell r="CL4618">
            <v>5326.05</v>
          </cell>
          <cell r="CP4618" t="str">
            <v xml:space="preserve">NFT-/XUTR/DEUTH024309A02A3X </v>
          </cell>
          <cell r="CQ4618" t="str">
            <v>2024-11-04</v>
          </cell>
          <cell r="CR4618">
            <v>285.34800000000001</v>
          </cell>
        </row>
        <row r="4619">
          <cell r="CJ4619" t="str">
            <v xml:space="preserve">NFT-/XUTR/DEUTH02430980595X </v>
          </cell>
          <cell r="CK4619" t="str">
            <v>2024-11-04</v>
          </cell>
          <cell r="CL4619">
            <v>-5979.6909999999998</v>
          </cell>
          <cell r="CM4619" t="str">
            <v xml:space="preserve">NFT-/XUTR/DEUTH02430209185X </v>
          </cell>
          <cell r="CN4619" t="str">
            <v>2024-10-28</v>
          </cell>
          <cell r="CO4619">
            <v>5979.6909999999998</v>
          </cell>
        </row>
        <row r="4620">
          <cell r="CM4620" t="str">
            <v xml:space="preserve">NFT-/XUTR/DEUTH02430209185X </v>
          </cell>
          <cell r="CN4620" t="str">
            <v>2024-10-28</v>
          </cell>
          <cell r="CO4620">
            <v>6171.5950000000003</v>
          </cell>
        </row>
        <row r="4621">
          <cell r="CM4621" t="str">
            <v xml:space="preserve">NFT-/XUTR/DEUTH02430209185X </v>
          </cell>
          <cell r="CN4621" t="str">
            <v>2024-10-28</v>
          </cell>
          <cell r="CO4621">
            <v>17015.650000000001</v>
          </cell>
        </row>
        <row r="4622">
          <cell r="CM4622" t="str">
            <v xml:space="preserve">NFT-/XUTR/DEUTH02430209185X </v>
          </cell>
          <cell r="CN4622" t="str">
            <v>2024-10-28</v>
          </cell>
          <cell r="CO4622">
            <v>16927.771000000001</v>
          </cell>
        </row>
        <row r="4623">
          <cell r="CM4623" t="str">
            <v xml:space="preserve">NFT-/XUTR/DEUTH02430209185X </v>
          </cell>
          <cell r="CN4623" t="str">
            <v>2024-10-28</v>
          </cell>
          <cell r="CO4623">
            <v>11240.731</v>
          </cell>
        </row>
        <row r="4624">
          <cell r="CM4624" t="str">
            <v xml:space="preserve">NFT-/XUTR/DEUTH02430209185X </v>
          </cell>
          <cell r="CN4624" t="str">
            <v>2024-10-28</v>
          </cell>
          <cell r="CO4624">
            <v>6203.4539999999997</v>
          </cell>
        </row>
        <row r="4625">
          <cell r="CJ4625" t="str">
            <v xml:space="preserve">NFT-/XUTR/DEUTH02431649943X </v>
          </cell>
          <cell r="CK4625" t="str">
            <v>2024-11-11</v>
          </cell>
          <cell r="CL4625">
            <v>-8600.7659999999996</v>
          </cell>
          <cell r="CM4625" t="str">
            <v xml:space="preserve">NFT-/XUTR/DEUTH02430209185X </v>
          </cell>
          <cell r="CN4625" t="str">
            <v>2024-10-28</v>
          </cell>
          <cell r="CO4625">
            <v>8600.7659999999996</v>
          </cell>
        </row>
        <row r="4626">
          <cell r="CM4626" t="str">
            <v xml:space="preserve">NFT-/XUTR/DEUTH02430209185X </v>
          </cell>
          <cell r="CN4626" t="str">
            <v>2024-10-28</v>
          </cell>
          <cell r="CO4626">
            <v>11641.053</v>
          </cell>
          <cell r="CP4626" t="str">
            <v xml:space="preserve">NFT-/XUTR/DEUTH024309A02A3X </v>
          </cell>
          <cell r="CQ4626" t="str">
            <v>2024-11-04</v>
          </cell>
          <cell r="CR4626">
            <v>433.846</v>
          </cell>
        </row>
        <row r="4627">
          <cell r="CM4627" t="str">
            <v xml:space="preserve">NFT-/XUTR/DEUTH02430209185X </v>
          </cell>
          <cell r="CN4627" t="str">
            <v>2024-10-28</v>
          </cell>
          <cell r="CO4627">
            <v>17073.891</v>
          </cell>
        </row>
        <row r="4628">
          <cell r="CM4628" t="str">
            <v xml:space="preserve">NFT-/XUTR/DEUTH02430209185X </v>
          </cell>
          <cell r="CN4628" t="str">
            <v>2024-10-28</v>
          </cell>
          <cell r="CO4628">
            <v>16908.891</v>
          </cell>
        </row>
        <row r="4629">
          <cell r="CJ4629" t="str">
            <v xml:space="preserve">NFT-/XUTR/DEUTH02432540165X </v>
          </cell>
          <cell r="CK4629" t="str">
            <v>2024-11-20</v>
          </cell>
          <cell r="CL4629">
            <v>-5906.8969999999999</v>
          </cell>
          <cell r="CM4629" t="str">
            <v xml:space="preserve">NFT-/XUTR/DEUTH02430209185X </v>
          </cell>
          <cell r="CN4629" t="str">
            <v>2024-10-28</v>
          </cell>
          <cell r="CO4629">
            <v>5906.8969999999999</v>
          </cell>
          <cell r="CP4629" t="str">
            <v xml:space="preserve">NFT-/XUTR/DEUTH024309A02A3X </v>
          </cell>
          <cell r="CQ4629" t="str">
            <v>2024-11-04</v>
          </cell>
          <cell r="CR4629">
            <v>315.43599999999998</v>
          </cell>
          <cell r="CS4629" t="str">
            <v xml:space="preserve">NFT-/XUTR/DEUTH02432567146X </v>
          </cell>
          <cell r="CT4629" t="str">
            <v>2024-11-20</v>
          </cell>
          <cell r="CU4629">
            <v>-315.43599999999998</v>
          </cell>
        </row>
        <row r="4630">
          <cell r="CM4630" t="str">
            <v xml:space="preserve">NFT-/XUTR/DEUTH02430209185X </v>
          </cell>
          <cell r="CN4630" t="str">
            <v>2024-10-28</v>
          </cell>
          <cell r="CO4630">
            <v>8600.7659999999996</v>
          </cell>
        </row>
        <row r="4631">
          <cell r="CM4631" t="str">
            <v xml:space="preserve">NFT-/XUTR/DEUTH02430209185X </v>
          </cell>
          <cell r="CN4631" t="str">
            <v>2024-10-28</v>
          </cell>
          <cell r="CO4631">
            <v>17073.891</v>
          </cell>
        </row>
        <row r="4632">
          <cell r="CM4632" t="str">
            <v xml:space="preserve">NFT-/XUTR/DEUTH02430209185X </v>
          </cell>
          <cell r="CN4632" t="str">
            <v>2024-10-28</v>
          </cell>
          <cell r="CO4632">
            <v>1418.5119999999999</v>
          </cell>
        </row>
        <row r="4633">
          <cell r="CJ4633" t="str">
            <v xml:space="preserve">NFT-/XUTR/DEUTH02430980595X </v>
          </cell>
          <cell r="CK4633" t="str">
            <v>2024-11-04</v>
          </cell>
          <cell r="CL4633">
            <v>-1437.3920000000001</v>
          </cell>
          <cell r="CM4633" t="str">
            <v xml:space="preserve">NFT-/XUTR/DEUTH02430209185X </v>
          </cell>
          <cell r="CN4633" t="str">
            <v>2024-10-28</v>
          </cell>
          <cell r="CO4633">
            <v>1437.3920000000001</v>
          </cell>
        </row>
        <row r="4634">
          <cell r="CM4634" t="str">
            <v xml:space="preserve">NFT-/XUTR/DEUTH02430209185X </v>
          </cell>
          <cell r="CN4634" t="str">
            <v>2024-10-28</v>
          </cell>
          <cell r="CO4634">
            <v>12074.897999999999</v>
          </cell>
        </row>
        <row r="4635">
          <cell r="CM4635" t="str">
            <v xml:space="preserve">NFT-/XUTR/DEUTH02430209185X </v>
          </cell>
          <cell r="CN4635" t="str">
            <v>2024-10-28</v>
          </cell>
          <cell r="CO4635">
            <v>5818.3980000000001</v>
          </cell>
          <cell r="CP4635" t="str">
            <v xml:space="preserve">NFT-/XUTR/DEUTH024309A02A3X </v>
          </cell>
          <cell r="CQ4635" t="str">
            <v>2024-11-04</v>
          </cell>
          <cell r="CR4635">
            <v>315.43599999999998</v>
          </cell>
        </row>
        <row r="4636">
          <cell r="CM4636" t="str">
            <v xml:space="preserve">NFT-/XUTR/DEUTH02430209185X </v>
          </cell>
          <cell r="CN4636" t="str">
            <v>2024-10-28</v>
          </cell>
          <cell r="CO4636">
            <v>1418.5119999999999</v>
          </cell>
        </row>
        <row r="4637">
          <cell r="CM4637" t="str">
            <v xml:space="preserve">NFT-/XUTR/DEUTH02430209185X </v>
          </cell>
          <cell r="CN4637" t="str">
            <v>2024-10-28</v>
          </cell>
          <cell r="CO4637">
            <v>83742.665999999997</v>
          </cell>
        </row>
        <row r="4638">
          <cell r="CJ4638" t="str">
            <v xml:space="preserve">NFT-/XUTR/DEUTH02432756454X </v>
          </cell>
          <cell r="CK4638" t="str">
            <v>2024-11-22</v>
          </cell>
          <cell r="CL4638">
            <v>-8619.6460000000006</v>
          </cell>
          <cell r="CM4638" t="str">
            <v xml:space="preserve">NFT-/XUTR/DEUTH02430209185X </v>
          </cell>
          <cell r="CN4638" t="str">
            <v>2024-10-28</v>
          </cell>
          <cell r="CO4638">
            <v>8619.6460000000006</v>
          </cell>
        </row>
        <row r="4639">
          <cell r="CM4639" t="str">
            <v xml:space="preserve">NFT-/XUTR/DEUTH02430209185X </v>
          </cell>
          <cell r="CN4639" t="str">
            <v>2024-10-28</v>
          </cell>
          <cell r="CO4639">
            <v>6222.3339999999998</v>
          </cell>
        </row>
        <row r="4640">
          <cell r="CM4640" t="str">
            <v xml:space="preserve">NFT-/XUTR/DEUTH02430209185X </v>
          </cell>
          <cell r="CN4640" t="str">
            <v>2024-10-28</v>
          </cell>
          <cell r="CO4640">
            <v>1418.5119999999999</v>
          </cell>
        </row>
        <row r="4641">
          <cell r="CM4641" t="str">
            <v xml:space="preserve">NFT-/XUTR/DEUTH02430209185X </v>
          </cell>
          <cell r="CN4641" t="str">
            <v>2024-10-28</v>
          </cell>
          <cell r="CO4641">
            <v>62661.78</v>
          </cell>
        </row>
        <row r="4642">
          <cell r="CM4642" t="str">
            <v xml:space="preserve">NFT-/XUTR/DEUTH02430209185X </v>
          </cell>
          <cell r="CN4642" t="str">
            <v>2024-10-28</v>
          </cell>
          <cell r="CO4642">
            <v>83761.546000000002</v>
          </cell>
        </row>
        <row r="4643">
          <cell r="CM4643" t="str">
            <v xml:space="preserve">NFT-/XUTR/DEUTH02430209185X </v>
          </cell>
          <cell r="CN4643" t="str">
            <v>2024-10-28</v>
          </cell>
          <cell r="CO4643">
            <v>8619.6460000000006</v>
          </cell>
        </row>
        <row r="4644">
          <cell r="CM4644" t="str">
            <v xml:space="preserve">NFT-/XUTR/DEUTH02430209185X </v>
          </cell>
          <cell r="CN4644" t="str">
            <v>2024-10-28</v>
          </cell>
          <cell r="CO4644">
            <v>42550.945</v>
          </cell>
        </row>
        <row r="4645">
          <cell r="CM4645" t="str">
            <v xml:space="preserve">NFT-/XUTR/DEUTH02430209185X </v>
          </cell>
          <cell r="CN4645" t="str">
            <v>2024-10-28</v>
          </cell>
          <cell r="CO4645">
            <v>83470.373000000007</v>
          </cell>
          <cell r="CP4645" t="str">
            <v xml:space="preserve">NFT-/XUTR/DEUTH024309A02A3X </v>
          </cell>
          <cell r="CQ4645" t="str">
            <v>2024-11-04</v>
          </cell>
          <cell r="CR4645">
            <v>291.173</v>
          </cell>
        </row>
        <row r="4646">
          <cell r="CM4646" t="str">
            <v xml:space="preserve">NFT-/XUTR/DEUTH02430209185X </v>
          </cell>
          <cell r="CN4646" t="str">
            <v>2024-10-28</v>
          </cell>
          <cell r="CO4646">
            <v>84955.350999999995</v>
          </cell>
        </row>
        <row r="4647">
          <cell r="CM4647" t="str">
            <v xml:space="preserve">NFT-/XUTR/DEUTH02430209185X </v>
          </cell>
          <cell r="CN4647" t="str">
            <v>2024-10-28</v>
          </cell>
          <cell r="CO4647">
            <v>8619.6450000000004</v>
          </cell>
        </row>
        <row r="4648">
          <cell r="CJ4648" t="str">
            <v xml:space="preserve">NFT-/XUTR/DEUTH02431649943X </v>
          </cell>
          <cell r="CK4648" t="str">
            <v>2024-11-11</v>
          </cell>
          <cell r="CL4648">
            <v>-24149.795999999998</v>
          </cell>
          <cell r="CM4648" t="str">
            <v xml:space="preserve">NFT-/XUTR/DEUTH02430209185X </v>
          </cell>
          <cell r="CN4648" t="str">
            <v>2024-10-28</v>
          </cell>
          <cell r="CO4648">
            <v>24149.795999999998</v>
          </cell>
        </row>
        <row r="4649">
          <cell r="CM4649" t="str">
            <v xml:space="preserve">NFT-/XUTR/DEUTH02430209185X </v>
          </cell>
          <cell r="CN4649" t="str">
            <v>2024-10-28</v>
          </cell>
          <cell r="CO4649">
            <v>42401.031000000003</v>
          </cell>
          <cell r="CP4649" t="str">
            <v xml:space="preserve">NFT-/XUTR/DEUTH024309A02A3X </v>
          </cell>
          <cell r="CQ4649" t="str">
            <v>2024-11-04</v>
          </cell>
          <cell r="CR4649">
            <v>131.024</v>
          </cell>
        </row>
        <row r="4650">
          <cell r="CM4650" t="str">
            <v xml:space="preserve">NFT-/XUTR/DEUTH02430209185X </v>
          </cell>
          <cell r="CN4650" t="str">
            <v>2024-10-28</v>
          </cell>
          <cell r="CO4650">
            <v>42550.945</v>
          </cell>
        </row>
        <row r="4651">
          <cell r="CJ4651" t="str">
            <v xml:space="preserve">NFT-/XUTR/DEUTH02430980595X </v>
          </cell>
          <cell r="CK4651" t="str">
            <v>2024-11-04</v>
          </cell>
          <cell r="CL4651">
            <v>-6192.2449999999999</v>
          </cell>
          <cell r="CM4651" t="str">
            <v xml:space="preserve">NFT-/XUTR/DEUTH02430209185X </v>
          </cell>
          <cell r="CN4651" t="str">
            <v>2024-10-28</v>
          </cell>
          <cell r="CO4651">
            <v>6192.2449999999999</v>
          </cell>
        </row>
        <row r="4653">
          <cell r="CJ4653" t="str">
            <v xml:space="preserve">NFT-/XUTR/DEUTH024304A0ENJX </v>
          </cell>
          <cell r="CK4653" t="str">
            <v>2024-10-30</v>
          </cell>
          <cell r="CL4653">
            <v>-487.1</v>
          </cell>
          <cell r="CM4653" t="str">
            <v xml:space="preserve">NFT-/XUTR/DEUTH02430209185X </v>
          </cell>
          <cell r="CN4653" t="str">
            <v>2024-10-28</v>
          </cell>
          <cell r="CO4653">
            <v>16493.359</v>
          </cell>
          <cell r="CP4653" t="str">
            <v xml:space="preserve">NFT-/XUTR/DEUTH024309A02A3X </v>
          </cell>
          <cell r="CQ4653" t="str">
            <v>2024-11-04</v>
          </cell>
          <cell r="CR4653">
            <v>970.57500000000005</v>
          </cell>
        </row>
        <row r="4654">
          <cell r="CM4654" t="str">
            <v xml:space="preserve">NFT-/XUTR/DEUTH02430209185X </v>
          </cell>
          <cell r="CN4654" t="str">
            <v>2024-10-28</v>
          </cell>
          <cell r="CO4654">
            <v>17487.534</v>
          </cell>
          <cell r="CP4654" t="str">
            <v xml:space="preserve">NFT-/XUTR/DEUTH024304A0ENJX </v>
          </cell>
          <cell r="CQ4654" t="str">
            <v>2024-10-30</v>
          </cell>
          <cell r="CR4654">
            <v>-501.26</v>
          </cell>
        </row>
        <row r="4655">
          <cell r="CJ4655" t="str">
            <v xml:space="preserve">NFT-/XUTR/DEUTH02432045075X </v>
          </cell>
          <cell r="CK4655" t="str">
            <v>2024-11-15</v>
          </cell>
          <cell r="CL4655">
            <v>-6270.8620000000001</v>
          </cell>
          <cell r="CM4655" t="str">
            <v xml:space="preserve">NFT-/XUTR/DEUTH02430209185X </v>
          </cell>
          <cell r="CN4655" t="str">
            <v>2024-10-28</v>
          </cell>
          <cell r="CO4655">
            <v>6270.8620000000001</v>
          </cell>
        </row>
        <row r="4656">
          <cell r="CJ4656" t="str">
            <v xml:space="preserve">NFT-/XUTR/DEUTH024304A0ENJX </v>
          </cell>
          <cell r="CK4656" t="str">
            <v>2024-10-30</v>
          </cell>
          <cell r="CL4656">
            <v>-298.3</v>
          </cell>
          <cell r="CM4656" t="str">
            <v xml:space="preserve">NFT-/XUTR/DEUTH02430209185X </v>
          </cell>
          <cell r="CN4656" t="str">
            <v>2024-10-28</v>
          </cell>
          <cell r="CO4656">
            <v>8937.6309999999994</v>
          </cell>
        </row>
        <row r="4657">
          <cell r="CJ4657" t="str">
            <v xml:space="preserve">NFT-/XUTR/DEUTH024304A0ENJX </v>
          </cell>
          <cell r="CK4657" t="str">
            <v>2024-10-30</v>
          </cell>
          <cell r="CL4657">
            <v>-495.84</v>
          </cell>
          <cell r="CM4657" t="str">
            <v xml:space="preserve">NFT-/XUTR/DEUTH02430209185X </v>
          </cell>
          <cell r="CN4657" t="str">
            <v>2024-10-28</v>
          </cell>
          <cell r="CO4657">
            <v>17656.543000000001</v>
          </cell>
          <cell r="CP4657" t="str">
            <v xml:space="preserve">NFT-/XUTR/DEUTH02430980595X </v>
          </cell>
          <cell r="CQ4657" t="str">
            <v>2024-11-04</v>
          </cell>
          <cell r="CR4657">
            <v>-17160.703000000001</v>
          </cell>
        </row>
        <row r="4658">
          <cell r="CJ4658" t="str">
            <v xml:space="preserve">NFT-/XUTR/DEUTH024304A0ENJX </v>
          </cell>
          <cell r="CK4658" t="str">
            <v>2024-10-30</v>
          </cell>
          <cell r="CL4658">
            <v>5769.53</v>
          </cell>
        </row>
        <row r="4659">
          <cell r="CJ4659" t="str">
            <v xml:space="preserve">NFT-/XUTR/DEUTH024304A0ENJX </v>
          </cell>
          <cell r="CK4659" t="str">
            <v>2024-10-30</v>
          </cell>
          <cell r="CL4659">
            <v>-472.24</v>
          </cell>
          <cell r="CM4659" t="str">
            <v xml:space="preserve">NFT-/XUTR/DEUTH02430209185X </v>
          </cell>
          <cell r="CN4659" t="str">
            <v>2024-10-28</v>
          </cell>
          <cell r="CO4659">
            <v>16662.368999999999</v>
          </cell>
          <cell r="CP4659" t="str">
            <v xml:space="preserve">NFT-/XUTR/DEUTH024309A02A3X </v>
          </cell>
          <cell r="CQ4659" t="str">
            <v>2024-11-04</v>
          </cell>
          <cell r="CR4659">
            <v>970.57500000000005</v>
          </cell>
        </row>
        <row r="4660">
          <cell r="CP4660" t="str">
            <v xml:space="preserve">NFT-/XUTR/DEUTH024309A02A3X </v>
          </cell>
          <cell r="CQ4660" t="str">
            <v>2024-11-04</v>
          </cell>
          <cell r="CR4660">
            <v>970.57500000000005</v>
          </cell>
          <cell r="CS4660" t="str">
            <v xml:space="preserve">NFT-/XUTR/DEUTH024304A0ENJX </v>
          </cell>
          <cell r="CT4660" t="str">
            <v>2024-10-30</v>
          </cell>
          <cell r="CU4660">
            <v>16171.249</v>
          </cell>
        </row>
        <row r="4661">
          <cell r="CJ4661" t="str">
            <v xml:space="preserve">NFT-/XUTR/DEUTH024304A0ENJX </v>
          </cell>
          <cell r="CK4661" t="str">
            <v>2024-10-30</v>
          </cell>
          <cell r="CL4661">
            <v>-393.18</v>
          </cell>
          <cell r="CM4661" t="str">
            <v xml:space="preserve">NFT-/XUTR/DEUTH02430209185X </v>
          </cell>
          <cell r="CN4661" t="str">
            <v>2024-10-28</v>
          </cell>
          <cell r="CO4661">
            <v>12536.543</v>
          </cell>
        </row>
        <row r="4662">
          <cell r="CJ4662" t="str">
            <v xml:space="preserve">NFT-/XUTR/DEUTH024304A0ENJX </v>
          </cell>
          <cell r="CK4662" t="str">
            <v>2024-10-30</v>
          </cell>
          <cell r="CL4662">
            <v>-4265.9399999999996</v>
          </cell>
          <cell r="CM4662" t="str">
            <v xml:space="preserve">NFT-/XUTR/DEUTH02430209185X </v>
          </cell>
          <cell r="CN4662" t="str">
            <v>2024-10-28</v>
          </cell>
          <cell r="CO4662">
            <v>172449.554</v>
          </cell>
        </row>
        <row r="4663">
          <cell r="CS4663" t="str">
            <v xml:space="preserve">NFT-/XUTR/DEUTH024304A0ENJX </v>
          </cell>
          <cell r="CT4663" t="str">
            <v>2024-10-30</v>
          </cell>
          <cell r="CU4663">
            <v>6251.982</v>
          </cell>
        </row>
        <row r="4664">
          <cell r="CJ4664" t="str">
            <v xml:space="preserve">NFT-/XUTR/DEUTH024304A0ENJX </v>
          </cell>
          <cell r="CK4664" t="str">
            <v>2024-10-30</v>
          </cell>
          <cell r="CL4664">
            <v>-307.74</v>
          </cell>
          <cell r="CM4664" t="str">
            <v xml:space="preserve">NFT-/XUTR/DEUTH02430209185X </v>
          </cell>
          <cell r="CN4664" t="str">
            <v>2024-10-28</v>
          </cell>
          <cell r="CO4664">
            <v>8937.6309999999994</v>
          </cell>
        </row>
        <row r="4665">
          <cell r="CS4665" t="str">
            <v xml:space="preserve">NFT-/XUTR/DEUTH024304A0ENJX </v>
          </cell>
          <cell r="CT4665" t="str">
            <v>2024-10-30</v>
          </cell>
          <cell r="CU4665">
            <v>1447.105</v>
          </cell>
        </row>
        <row r="4666">
          <cell r="CJ4666" t="str">
            <v xml:space="preserve">NFT-/XUTR/DEUTH02431649943X </v>
          </cell>
          <cell r="CK4666" t="str">
            <v>2024-11-11</v>
          </cell>
          <cell r="CL4666">
            <v>-1447.105</v>
          </cell>
          <cell r="CM4666" t="str">
            <v xml:space="preserve">NFT-/XUTR/DEUTH02430209185X </v>
          </cell>
          <cell r="CN4666" t="str">
            <v>2024-10-28</v>
          </cell>
          <cell r="CO4666">
            <v>1447.105</v>
          </cell>
        </row>
        <row r="4667">
          <cell r="CP4667" t="str">
            <v xml:space="preserve">NFT-/XUTR/DEUTH024309A02A3X </v>
          </cell>
          <cell r="CQ4667" t="str">
            <v>2024-11-04</v>
          </cell>
          <cell r="CR4667">
            <v>970.57500000000005</v>
          </cell>
          <cell r="CS4667" t="str">
            <v xml:space="preserve">NFT-/XUTR/DEUTH024304A0ENJX </v>
          </cell>
          <cell r="CT4667" t="str">
            <v>2024-10-30</v>
          </cell>
          <cell r="CU4667">
            <v>16006.259</v>
          </cell>
        </row>
        <row r="4668">
          <cell r="CJ4668" t="str">
            <v xml:space="preserve">NFT-/XUTR/DEUTH02432045075X </v>
          </cell>
          <cell r="CK4668" t="str">
            <v>2024-11-15</v>
          </cell>
          <cell r="CL4668">
            <v>-16190.129000000001</v>
          </cell>
          <cell r="CM4668" t="str">
            <v xml:space="preserve">NFT-/XUTR/DEUTH02430209185X </v>
          </cell>
          <cell r="CN4668" t="str">
            <v>2024-10-28</v>
          </cell>
          <cell r="CO4668">
            <v>16190.129000000001</v>
          </cell>
          <cell r="CP4668" t="str">
            <v xml:space="preserve">NFT-/XUTR/DEUTH024309A02A3X </v>
          </cell>
          <cell r="CQ4668" t="str">
            <v>2024-11-04</v>
          </cell>
          <cell r="CR4668">
            <v>970.57500000000005</v>
          </cell>
          <cell r="CS4668" t="str">
            <v xml:space="preserve">NFT-/XUTR/DEUTH02432059153X </v>
          </cell>
          <cell r="CT4668" t="str">
            <v>2024-11-15</v>
          </cell>
          <cell r="CU4668">
            <v>-970.57500000000005</v>
          </cell>
        </row>
        <row r="4669">
          <cell r="CM4669" t="str">
            <v xml:space="preserve">NFT-/XUTR/DEUTH02430209185X </v>
          </cell>
          <cell r="CN4669" t="str">
            <v>2024-10-28</v>
          </cell>
          <cell r="CO4669">
            <v>8937.6309999999994</v>
          </cell>
          <cell r="CP4669" t="str">
            <v xml:space="preserve">NFT-/XUTR/DEUTH024304A0ENJX </v>
          </cell>
          <cell r="CQ4669" t="str">
            <v>2024-10-30</v>
          </cell>
          <cell r="CR4669">
            <v>-307.74</v>
          </cell>
        </row>
        <row r="4670">
          <cell r="CJ4670" t="str">
            <v xml:space="preserve">NFT-/XUTR/DEUTH024304A0ENJX </v>
          </cell>
          <cell r="CK4670" t="str">
            <v>2024-10-30</v>
          </cell>
          <cell r="CL4670">
            <v>-451.28</v>
          </cell>
          <cell r="CM4670" t="str">
            <v xml:space="preserve">NFT-/XUTR/DEUTH02430209185X </v>
          </cell>
          <cell r="CN4670" t="str">
            <v>2024-10-28</v>
          </cell>
          <cell r="CO4670">
            <v>15779.540999999999</v>
          </cell>
          <cell r="CP4670" t="str">
            <v xml:space="preserve">NFT-/XUTR/DEUTH02430980595X </v>
          </cell>
          <cell r="CQ4670" t="str">
            <v>2024-11-04</v>
          </cell>
          <cell r="CR4670">
            <v>-15328.261</v>
          </cell>
        </row>
        <row r="4671">
          <cell r="CJ4671" t="str">
            <v xml:space="preserve">NFT-/XUTR/DEUTH024304A0ENJX </v>
          </cell>
          <cell r="CK4671" t="str">
            <v>2024-10-30</v>
          </cell>
          <cell r="CL4671">
            <v>-222.31</v>
          </cell>
          <cell r="CM4671" t="str">
            <v xml:space="preserve">NFT-/XUTR/DEUTH02430209185X </v>
          </cell>
          <cell r="CN4671" t="str">
            <v>2024-10-28</v>
          </cell>
          <cell r="CO4671">
            <v>6134.058</v>
          </cell>
          <cell r="CP4671" t="str">
            <v xml:space="preserve">NFT-/XUTR/DEUTH02431839302X </v>
          </cell>
          <cell r="CQ4671" t="str">
            <v>2024-11-13</v>
          </cell>
          <cell r="CR4671">
            <v>-5911.7479999999996</v>
          </cell>
        </row>
        <row r="4672">
          <cell r="CM4672" t="str">
            <v xml:space="preserve">NFT-/XUTR/DEUTH02430209185X </v>
          </cell>
          <cell r="CN4672" t="str">
            <v>2024-10-28</v>
          </cell>
          <cell r="CO4672">
            <v>16025.138999999999</v>
          </cell>
          <cell r="CP4672" t="str">
            <v xml:space="preserve">NFT-/XUTR/DEUTH024309A02A3X </v>
          </cell>
          <cell r="CQ4672" t="str">
            <v>2024-11-04</v>
          </cell>
          <cell r="CR4672">
            <v>970.57500000000005</v>
          </cell>
        </row>
        <row r="4673">
          <cell r="CJ4673" t="str">
            <v xml:space="preserve">NFT-/XUTR/DEUTH024304A0ENJX </v>
          </cell>
          <cell r="CK4673" t="str">
            <v>2024-10-30</v>
          </cell>
          <cell r="CL4673">
            <v>-487.1</v>
          </cell>
          <cell r="CM4673" t="str">
            <v xml:space="preserve">NFT-/XUTR/DEUTH02430209185X </v>
          </cell>
          <cell r="CN4673" t="str">
            <v>2024-10-28</v>
          </cell>
          <cell r="CO4673">
            <v>16493.359</v>
          </cell>
          <cell r="CP4673" t="str">
            <v xml:space="preserve">NFT-/XUTR/DEUTH024309A02A3X </v>
          </cell>
          <cell r="CQ4673" t="str">
            <v>2024-11-04</v>
          </cell>
          <cell r="CR4673">
            <v>970.57500000000005</v>
          </cell>
        </row>
        <row r="4674">
          <cell r="CJ4674" t="str">
            <v xml:space="preserve">NFT-/XUTR/DEUTH024304A0ENJX </v>
          </cell>
          <cell r="CK4674" t="str">
            <v>2024-10-30</v>
          </cell>
          <cell r="CL4674">
            <v>-468.22</v>
          </cell>
          <cell r="CM4674" t="str">
            <v xml:space="preserve">NFT-/XUTR/DEUTH02430209185X </v>
          </cell>
          <cell r="CN4674" t="str">
            <v>2024-10-28</v>
          </cell>
          <cell r="CO4674">
            <v>16493.359</v>
          </cell>
          <cell r="CP4674" t="str">
            <v xml:space="preserve">NFT-/XUTR/DEUTH024309A02A3X </v>
          </cell>
          <cell r="CQ4674" t="str">
            <v>2024-11-04</v>
          </cell>
          <cell r="CR4674">
            <v>970.57500000000005</v>
          </cell>
        </row>
        <row r="4675">
          <cell r="CJ4675" t="str">
            <v xml:space="preserve">NFT-/XUTR/DEUTH024304A0ENJX </v>
          </cell>
          <cell r="CK4675" t="str">
            <v>2024-10-30</v>
          </cell>
          <cell r="CL4675">
            <v>-471.06</v>
          </cell>
          <cell r="CM4675" t="str">
            <v xml:space="preserve">NFT-/XUTR/DEUTH02430209185X </v>
          </cell>
          <cell r="CN4675" t="str">
            <v>2024-10-28</v>
          </cell>
          <cell r="CO4675">
            <v>16612.661</v>
          </cell>
          <cell r="CP4675" t="str">
            <v xml:space="preserve">NFT-/XUTR/DEUTH024309A02A3X </v>
          </cell>
          <cell r="CQ4675" t="str">
            <v>2024-11-04</v>
          </cell>
          <cell r="CR4675">
            <v>854.10400000000004</v>
          </cell>
        </row>
        <row r="4676">
          <cell r="CJ4676" t="str">
            <v xml:space="preserve">NFT-/XUTR/DEUTH024304A0ENJX </v>
          </cell>
          <cell r="CK4676" t="str">
            <v>2024-10-30</v>
          </cell>
          <cell r="CL4676">
            <v>-249.92</v>
          </cell>
          <cell r="CM4676" t="str">
            <v xml:space="preserve">NFT-/XUTR/DEUTH02430209185X </v>
          </cell>
          <cell r="CN4676" t="str">
            <v>2024-10-28</v>
          </cell>
          <cell r="CO4676">
            <v>6501.902</v>
          </cell>
        </row>
        <row r="4677">
          <cell r="CJ4677" t="str">
            <v xml:space="preserve">NFT-/XUTR/DEUTH024304A0ENJX </v>
          </cell>
          <cell r="CK4677" t="str">
            <v>2024-10-30</v>
          </cell>
          <cell r="CL4677">
            <v>-468.22</v>
          </cell>
          <cell r="CM4677" t="str">
            <v xml:space="preserve">NFT-/XUTR/DEUTH02430209185X </v>
          </cell>
          <cell r="CN4677" t="str">
            <v>2024-10-28</v>
          </cell>
          <cell r="CO4677">
            <v>16493.359</v>
          </cell>
          <cell r="CP4677" t="str">
            <v xml:space="preserve">NFT-/XUTR/DEUTH024309A02A3X </v>
          </cell>
          <cell r="CQ4677" t="str">
            <v>2024-11-04</v>
          </cell>
          <cell r="CR4677">
            <v>970.57500000000005</v>
          </cell>
        </row>
        <row r="4678">
          <cell r="CM4678" t="str">
            <v xml:space="preserve">NFT-/XUTR/DEUTH02430209185X </v>
          </cell>
          <cell r="CN4678" t="str">
            <v>2024-10-28</v>
          </cell>
          <cell r="CO4678">
            <v>6251.982</v>
          </cell>
        </row>
        <row r="4679">
          <cell r="CM4679" t="str">
            <v xml:space="preserve">NFT-/XUTR/DEUTH02430209185X </v>
          </cell>
          <cell r="CN4679" t="str">
            <v>2024-10-28</v>
          </cell>
          <cell r="CO4679">
            <v>16025.138999999999</v>
          </cell>
          <cell r="CP4679" t="str">
            <v xml:space="preserve">NFT-/XUTR/DEUTH024309A02A3X </v>
          </cell>
          <cell r="CQ4679" t="str">
            <v>2024-11-04</v>
          </cell>
          <cell r="CR4679">
            <v>970.57500000000005</v>
          </cell>
        </row>
        <row r="4680">
          <cell r="CS4680" t="str">
            <v xml:space="preserve">NFT-/XUTR/DEUTH024304A0ENJX </v>
          </cell>
          <cell r="CT4680" t="str">
            <v>2024-10-30</v>
          </cell>
          <cell r="CU4680">
            <v>8648.7710000000006</v>
          </cell>
        </row>
        <row r="4681">
          <cell r="CS4681" t="str">
            <v xml:space="preserve">NFT-/XUTR/DEUTH024304A0ENJX </v>
          </cell>
          <cell r="CT4681" t="str">
            <v>2024-10-30</v>
          </cell>
          <cell r="CU4681">
            <v>6251.982</v>
          </cell>
        </row>
        <row r="4682">
          <cell r="CJ4682" t="str">
            <v xml:space="preserve">NFT-/XUTR/DEUTH024304A0ENJX </v>
          </cell>
          <cell r="CK4682" t="str">
            <v>2024-10-30</v>
          </cell>
          <cell r="CL4682">
            <v>-453.9</v>
          </cell>
          <cell r="CM4682" t="str">
            <v xml:space="preserve">NFT-/XUTR/DEUTH02430209185X </v>
          </cell>
          <cell r="CN4682" t="str">
            <v>2024-10-28</v>
          </cell>
          <cell r="CO4682">
            <v>15889.896000000001</v>
          </cell>
          <cell r="CP4682" t="str">
            <v xml:space="preserve">NFT-/XUTR/DEUTH024309A02A3X </v>
          </cell>
          <cell r="CQ4682" t="str">
            <v>2024-11-04</v>
          </cell>
          <cell r="CR4682">
            <v>1559.7190000000001</v>
          </cell>
        </row>
        <row r="4683">
          <cell r="CP4683" t="str">
            <v xml:space="preserve">NFT-/XUTR/DEUTH024309A02A3X </v>
          </cell>
          <cell r="CQ4683" t="str">
            <v>2024-11-04</v>
          </cell>
          <cell r="CR4683">
            <v>970.57500000000005</v>
          </cell>
          <cell r="CS4683" t="str">
            <v xml:space="preserve">NFT-/XUTR/DEUTH024304A0ENJX </v>
          </cell>
          <cell r="CT4683" t="str">
            <v>2024-10-30</v>
          </cell>
          <cell r="CU4683">
            <v>16035.374</v>
          </cell>
        </row>
        <row r="4684">
          <cell r="CS4684" t="str">
            <v xml:space="preserve">NFT-/XUTR/DEUTH024304A0ENJX </v>
          </cell>
          <cell r="CT4684" t="str">
            <v>2024-10-30</v>
          </cell>
          <cell r="CU4684">
            <v>84246.831999999995</v>
          </cell>
        </row>
        <row r="4685">
          <cell r="CP4685" t="str">
            <v xml:space="preserve">NFT-/XUTR/DEUTH024309A02A3X </v>
          </cell>
          <cell r="CQ4685" t="str">
            <v>2024-11-04</v>
          </cell>
          <cell r="CR4685">
            <v>970.57500000000005</v>
          </cell>
          <cell r="CS4685" t="str">
            <v xml:space="preserve">NFT-/XUTR/DEUTH024304A0ENJX </v>
          </cell>
          <cell r="CT4685" t="str">
            <v>2024-10-30</v>
          </cell>
          <cell r="CU4685">
            <v>16054.254000000001</v>
          </cell>
        </row>
        <row r="4686">
          <cell r="CJ4686" t="str">
            <v xml:space="preserve">NFT-/XUTR/DEUTH02430980595X </v>
          </cell>
          <cell r="CK4686" t="str">
            <v>2024-11-04</v>
          </cell>
          <cell r="CL4686">
            <v>-1456.806</v>
          </cell>
          <cell r="CS4686" t="str">
            <v xml:space="preserve">NFT-/XUTR/DEUTH024304A0ENJX </v>
          </cell>
          <cell r="CT4686" t="str">
            <v>2024-10-30</v>
          </cell>
          <cell r="CU4686">
            <v>1456.806</v>
          </cell>
        </row>
        <row r="4687">
          <cell r="CP4687" t="str">
            <v xml:space="preserve">NFT-/XUTR/DEUTH024309A02A3X </v>
          </cell>
          <cell r="CQ4687" t="str">
            <v>2024-11-04</v>
          </cell>
          <cell r="CR4687">
            <v>970.57500000000005</v>
          </cell>
          <cell r="CS4687" t="str">
            <v xml:space="preserve">NFT-/XUTR/DEUTH024304A0ENJX </v>
          </cell>
          <cell r="CT4687" t="str">
            <v>2024-10-30</v>
          </cell>
          <cell r="CU4687">
            <v>16054.254000000001</v>
          </cell>
        </row>
        <row r="4688">
          <cell r="CP4688" t="str">
            <v xml:space="preserve">NFT-/XUTR/DEUTH024309A02A3X </v>
          </cell>
          <cell r="CQ4688" t="str">
            <v>2024-11-04</v>
          </cell>
          <cell r="CR4688">
            <v>970.57500000000005</v>
          </cell>
          <cell r="CS4688" t="str">
            <v xml:space="preserve">NFT-/XUTR/DEUTH024304A0ENJX </v>
          </cell>
          <cell r="CT4688" t="str">
            <v>2024-10-30</v>
          </cell>
          <cell r="CU4688">
            <v>16054.254000000001</v>
          </cell>
        </row>
        <row r="4689">
          <cell r="CS4689" t="str">
            <v xml:space="preserve">NFT-/XUTR/DEUTH024304A0ENJX </v>
          </cell>
          <cell r="CT4689" t="str">
            <v>2024-10-30</v>
          </cell>
          <cell r="CU4689">
            <v>17170.949000000001</v>
          </cell>
        </row>
        <row r="4690">
          <cell r="CP4690" t="str">
            <v xml:space="preserve">NFT-/XUTR/DEUTH024309A02A3X </v>
          </cell>
          <cell r="CQ4690" t="str">
            <v>2024-11-04</v>
          </cell>
          <cell r="CR4690">
            <v>97.055999999999997</v>
          </cell>
          <cell r="CS4690" t="str">
            <v xml:space="preserve">NFT-/XUTR/DEUTH024304A0ENJX </v>
          </cell>
          <cell r="CT4690" t="str">
            <v>2024-10-30</v>
          </cell>
          <cell r="CU4690">
            <v>11726.964</v>
          </cell>
        </row>
        <row r="4691">
          <cell r="CS4691" t="str">
            <v xml:space="preserve">NFT-/XUTR/DEUTH024304A0ENJX </v>
          </cell>
          <cell r="CT4691" t="str">
            <v>2024-10-30</v>
          </cell>
          <cell r="CU4691">
            <v>12162.777</v>
          </cell>
        </row>
        <row r="4692">
          <cell r="CS4692" t="str">
            <v xml:space="preserve">NFT-/XUTR/DEUTH024304A0ENJX </v>
          </cell>
          <cell r="CT4692" t="str">
            <v>2024-10-30</v>
          </cell>
          <cell r="CU4692">
            <v>42172.95</v>
          </cell>
        </row>
        <row r="4693">
          <cell r="CS4693" t="str">
            <v xml:space="preserve">NFT-/XUTR/DEUTH024304A0ENJX </v>
          </cell>
          <cell r="CT4693" t="str">
            <v>2024-10-30</v>
          </cell>
          <cell r="CU4693">
            <v>5808.3540000000003</v>
          </cell>
        </row>
        <row r="4694">
          <cell r="CS4694" t="str">
            <v xml:space="preserve">NFT-/XUTR/DEUTH024304A0ENJX </v>
          </cell>
          <cell r="CT4694" t="str">
            <v>2024-10-30</v>
          </cell>
          <cell r="CU4694">
            <v>84246.831999999995</v>
          </cell>
        </row>
        <row r="4695">
          <cell r="CP4695" t="str">
            <v xml:space="preserve">NFT-/XUTR/DEUTH024309A02A3X </v>
          </cell>
          <cell r="CQ4695" t="str">
            <v>2024-11-04</v>
          </cell>
          <cell r="CR4695">
            <v>970.57500000000005</v>
          </cell>
          <cell r="CS4695" t="str">
            <v xml:space="preserve">NFT-/XUTR/DEUTH024304A0ENJX </v>
          </cell>
          <cell r="CT4695" t="str">
            <v>2024-10-30</v>
          </cell>
          <cell r="CU4695">
            <v>16054.254000000001</v>
          </cell>
        </row>
        <row r="4696">
          <cell r="CS4696" t="str">
            <v xml:space="preserve">NFT-/XUTR/DEUTH024304A0ENJX </v>
          </cell>
          <cell r="CT4696" t="str">
            <v>2024-10-30</v>
          </cell>
          <cell r="CU4696">
            <v>8649.2939999999999</v>
          </cell>
        </row>
        <row r="4697">
          <cell r="CP4697" t="str">
            <v xml:space="preserve">NFT-/XUTR/DEUTH024309A02A3X </v>
          </cell>
          <cell r="CQ4697" t="str">
            <v>2024-11-04</v>
          </cell>
          <cell r="CR4697">
            <v>970.57500000000005</v>
          </cell>
          <cell r="CS4697" t="str">
            <v xml:space="preserve">NFT-/XUTR/DEUTH024304A0ENJX </v>
          </cell>
          <cell r="CT4697" t="str">
            <v>2024-10-30</v>
          </cell>
          <cell r="CU4697">
            <v>16054.254000000001</v>
          </cell>
        </row>
        <row r="4698">
          <cell r="CS4698" t="str">
            <v xml:space="preserve">NFT-/XUTR/DEUTH024304A0ENJX </v>
          </cell>
          <cell r="CT4698" t="str">
            <v>2024-10-30</v>
          </cell>
          <cell r="CU4698">
            <v>8668.1740000000009</v>
          </cell>
        </row>
        <row r="4699">
          <cell r="CS4699" t="str">
            <v xml:space="preserve">NFT-/XUTR/DEUTH024304A0ENJX </v>
          </cell>
          <cell r="CT4699" t="str">
            <v>2024-10-30</v>
          </cell>
          <cell r="CU4699">
            <v>17189.829000000002</v>
          </cell>
        </row>
        <row r="4700">
          <cell r="CP4700" t="str">
            <v xml:space="preserve">NFT-/XUTR/DEUTH024309A02A3X </v>
          </cell>
          <cell r="CQ4700" t="str">
            <v>2024-11-04</v>
          </cell>
          <cell r="CR4700">
            <v>1261.748</v>
          </cell>
          <cell r="CS4700" t="str">
            <v xml:space="preserve">NFT-/XUTR/DEUTH024304A0ENJX </v>
          </cell>
          <cell r="CT4700" t="str">
            <v>2024-10-30</v>
          </cell>
          <cell r="CU4700">
            <v>15909.200999999999</v>
          </cell>
        </row>
        <row r="4701">
          <cell r="CS4701" t="str">
            <v xml:space="preserve">NFT-/XUTR/DEUTH024304A0ENJX </v>
          </cell>
          <cell r="CT4701" t="str">
            <v>2024-10-30</v>
          </cell>
          <cell r="CU4701">
            <v>8649.2939999999999</v>
          </cell>
        </row>
        <row r="4702">
          <cell r="CS4702" t="str">
            <v xml:space="preserve">NFT-/XUTR/DEUTH024304A0ENJX </v>
          </cell>
          <cell r="CT4702" t="str">
            <v>2024-10-30</v>
          </cell>
          <cell r="CU4702">
            <v>8649.2939999999999</v>
          </cell>
        </row>
        <row r="4703">
          <cell r="CP4703" t="str">
            <v xml:space="preserve">NFT-/XUTR/DEUTH024309A02A3X </v>
          </cell>
          <cell r="CQ4703" t="str">
            <v>2024-11-04</v>
          </cell>
          <cell r="CR4703">
            <v>970.57500000000005</v>
          </cell>
          <cell r="CS4703" t="str">
            <v xml:space="preserve">NFT-/XUTR/DEUTH024304A0ENJX </v>
          </cell>
          <cell r="CT4703" t="str">
            <v>2024-10-30</v>
          </cell>
          <cell r="CU4703">
            <v>16200.374</v>
          </cell>
        </row>
        <row r="4704">
          <cell r="CP4704" t="str">
            <v xml:space="preserve">NFT-/XUTR/DEUTH024309A02A3X </v>
          </cell>
          <cell r="CQ4704" t="str">
            <v>2024-11-04</v>
          </cell>
          <cell r="CR4704">
            <v>26.202000000000002</v>
          </cell>
          <cell r="CS4704" t="str">
            <v xml:space="preserve">NFT-/XUTR/DEUTH024304A0ENJX </v>
          </cell>
          <cell r="CT4704" t="str">
            <v>2024-10-30</v>
          </cell>
          <cell r="CU4704">
            <v>84220.630999999994</v>
          </cell>
        </row>
        <row r="4705">
          <cell r="CS4705" t="str">
            <v xml:space="preserve">NFT-/XUTR/DEUTH024304A0ENJX </v>
          </cell>
          <cell r="CT4705" t="str">
            <v>2024-10-30</v>
          </cell>
          <cell r="CU4705">
            <v>68514.354000000007</v>
          </cell>
        </row>
        <row r="4706">
          <cell r="CP4706" t="str">
            <v xml:space="preserve">NFT-/XUTR/DEUTH024309A02A3X </v>
          </cell>
          <cell r="CQ4706" t="str">
            <v>2024-11-04</v>
          </cell>
          <cell r="CR4706">
            <v>970.57500000000005</v>
          </cell>
          <cell r="CS4706" t="str">
            <v xml:space="preserve">NFT-/XUTR/DEUTH024304A0ENJX </v>
          </cell>
          <cell r="CT4706" t="str">
            <v>2024-10-30</v>
          </cell>
          <cell r="CU4706">
            <v>16200.374</v>
          </cell>
        </row>
        <row r="4707">
          <cell r="CP4707" t="str">
            <v xml:space="preserve">NFT-/XUTR/DEUTH024309A02A3X </v>
          </cell>
          <cell r="CQ4707" t="str">
            <v>2024-11-04</v>
          </cell>
          <cell r="CR4707">
            <v>1230.694</v>
          </cell>
          <cell r="CS4707" t="str">
            <v xml:space="preserve">NFT-/XUTR/DEUTH024304A0ENJX </v>
          </cell>
          <cell r="CT4707" t="str">
            <v>2024-10-30</v>
          </cell>
          <cell r="CU4707">
            <v>41562.896000000001</v>
          </cell>
        </row>
        <row r="4708">
          <cell r="CP4708" t="str">
            <v xml:space="preserve">NFT-/XUTR/DEUTH024309A02A3X </v>
          </cell>
          <cell r="CQ4708" t="str">
            <v>2024-11-04</v>
          </cell>
          <cell r="CR4708">
            <v>218.38</v>
          </cell>
          <cell r="CS4708" t="str">
            <v xml:space="preserve">NFT-/XUTR/DEUTH024304A0ENJX </v>
          </cell>
          <cell r="CT4708" t="str">
            <v>2024-10-30</v>
          </cell>
          <cell r="CU4708">
            <v>5703.07</v>
          </cell>
        </row>
        <row r="4709">
          <cell r="CJ4709" t="str">
            <v xml:space="preserve">NFT-/XUTR/DEUTH02430980595X </v>
          </cell>
          <cell r="CK4709" t="str">
            <v>2024-11-04</v>
          </cell>
          <cell r="CL4709">
            <v>-17005.949000000001</v>
          </cell>
          <cell r="CS4709" t="str">
            <v xml:space="preserve">NFT-/XUTR/DEUTH024304A0ENJX </v>
          </cell>
          <cell r="CT4709" t="str">
            <v>2024-10-30</v>
          </cell>
          <cell r="CU4709">
            <v>17005.949000000001</v>
          </cell>
        </row>
        <row r="4710">
          <cell r="CJ4710" t="str">
            <v xml:space="preserve">NFT-/XUTR/DEUTH02432540165X </v>
          </cell>
          <cell r="CK4710" t="str">
            <v>2024-11-20</v>
          </cell>
          <cell r="CL4710">
            <v>-16054.254000000001</v>
          </cell>
          <cell r="CM4710" t="str">
            <v xml:space="preserve">NFT-/XUTR/DEUTH02432567146X </v>
          </cell>
          <cell r="CN4710" t="str">
            <v>2024-11-20</v>
          </cell>
          <cell r="CO4710">
            <v>-970.57500000000005</v>
          </cell>
          <cell r="CP4710" t="str">
            <v xml:space="preserve">NFT-/XUTR/DEUTH024309A02A3X </v>
          </cell>
          <cell r="CQ4710" t="str">
            <v>2024-11-04</v>
          </cell>
          <cell r="CR4710">
            <v>970.57500000000005</v>
          </cell>
          <cell r="CS4710" t="str">
            <v xml:space="preserve">NFT-/XUTR/DEUTH024304A0ENJX </v>
          </cell>
          <cell r="CT4710" t="str">
            <v>2024-10-30</v>
          </cell>
          <cell r="CU4710">
            <v>16054.254000000001</v>
          </cell>
        </row>
        <row r="4711">
          <cell r="CJ4711" t="str">
            <v xml:space="preserve">NFT-/XUTR/DEUTH02431839302X </v>
          </cell>
          <cell r="CK4711" t="str">
            <v>2024-11-13</v>
          </cell>
          <cell r="CL4711">
            <v>-84246.831999999995</v>
          </cell>
          <cell r="CS4711" t="str">
            <v xml:space="preserve">NFT-/XUTR/DEUTH024304A0ENJX </v>
          </cell>
          <cell r="CT4711" t="str">
            <v>2024-10-30</v>
          </cell>
          <cell r="CU4711">
            <v>84246.831999999995</v>
          </cell>
        </row>
        <row r="4712">
          <cell r="CP4712" t="str">
            <v xml:space="preserve">NFT-/XUTR/DEUTH024309A02A3X </v>
          </cell>
          <cell r="CQ4712" t="str">
            <v>2024-11-04</v>
          </cell>
          <cell r="CR4712">
            <v>970.57500000000005</v>
          </cell>
          <cell r="CS4712" t="str">
            <v xml:space="preserve">NFT-/XUTR/DEUTH024304A0ENJX </v>
          </cell>
          <cell r="CT4712" t="str">
            <v>2024-10-30</v>
          </cell>
          <cell r="CU4712">
            <v>41804.133999999998</v>
          </cell>
        </row>
        <row r="4713">
          <cell r="CS4713" t="str">
            <v xml:space="preserve">NFT-/XUTR/DEUTH024304A0ENJX </v>
          </cell>
          <cell r="CT4713" t="str">
            <v>2024-10-30</v>
          </cell>
          <cell r="CU4713">
            <v>6261.6850000000004</v>
          </cell>
        </row>
        <row r="4715">
          <cell r="CP4715" t="str">
            <v xml:space="preserve">NFT-/XUTR/DEUTH024309A02A3X </v>
          </cell>
          <cell r="CQ4715" t="str">
            <v>2024-11-04</v>
          </cell>
          <cell r="CR4715">
            <v>970.57500000000005</v>
          </cell>
          <cell r="CS4715" t="str">
            <v xml:space="preserve">NFT-/XUTR/DEUTH024304A0ENJX </v>
          </cell>
          <cell r="CT4715" t="str">
            <v>2024-10-30</v>
          </cell>
          <cell r="CU4715">
            <v>16035.374</v>
          </cell>
        </row>
        <row r="4716">
          <cell r="CP4716" t="str">
            <v xml:space="preserve">NFT-/XUTR/DEUTH024309A02A3X </v>
          </cell>
          <cell r="CQ4716" t="str">
            <v>2024-11-04</v>
          </cell>
          <cell r="CR4716">
            <v>877.404</v>
          </cell>
          <cell r="CS4716" t="str">
            <v xml:space="preserve">NFT-/XUTR/DEUTH024304A0ENJX </v>
          </cell>
          <cell r="CT4716" t="str">
            <v>2024-10-30</v>
          </cell>
          <cell r="CU4716">
            <v>7819.8959999999997</v>
          </cell>
        </row>
        <row r="4717">
          <cell r="CP4717" t="str">
            <v xml:space="preserve">NFT-/XUTR/DEUTH024309A02A3X </v>
          </cell>
          <cell r="CQ4717" t="str">
            <v>2024-11-04</v>
          </cell>
          <cell r="CR4717">
            <v>970.57500000000005</v>
          </cell>
          <cell r="CS4717" t="str">
            <v xml:space="preserve">NFT-/XUTR/DEUTH024304A0ENJX </v>
          </cell>
          <cell r="CT4717" t="str">
            <v>2024-10-30</v>
          </cell>
          <cell r="CU4717">
            <v>16268.306</v>
          </cell>
        </row>
        <row r="4718">
          <cell r="CP4718" t="str">
            <v xml:space="preserve">NFT-/XUTR/DEUTH024309A02A3X </v>
          </cell>
          <cell r="CQ4718" t="str">
            <v>2024-11-04</v>
          </cell>
          <cell r="CR4718">
            <v>877.404</v>
          </cell>
          <cell r="CS4718" t="str">
            <v xml:space="preserve">NFT-/XUTR/DEUTH024304A0ENJX </v>
          </cell>
          <cell r="CT4718" t="str">
            <v>2024-10-30</v>
          </cell>
          <cell r="CU4718">
            <v>7819.8959999999997</v>
          </cell>
        </row>
        <row r="4719">
          <cell r="CJ4719" t="str">
            <v xml:space="preserve">NFT-/XUTR/DEUTH02432045075X </v>
          </cell>
          <cell r="CK4719" t="str">
            <v>2024-11-15</v>
          </cell>
          <cell r="CL4719">
            <v>-11055.794</v>
          </cell>
          <cell r="CM4719" t="str">
            <v xml:space="preserve">NFT-/XUTR/DEUTH02432059153X </v>
          </cell>
          <cell r="CN4719" t="str">
            <v>2024-11-15</v>
          </cell>
          <cell r="CO4719">
            <v>-970.57500000000005</v>
          </cell>
          <cell r="CP4719" t="str">
            <v xml:space="preserve">NFT-/XUTR/DEUTH024309A02A3X </v>
          </cell>
          <cell r="CQ4719" t="str">
            <v>2024-11-04</v>
          </cell>
          <cell r="CR4719">
            <v>970.57500000000005</v>
          </cell>
          <cell r="CS4719" t="str">
            <v xml:space="preserve">NFT-/XUTR/DEUTH024304A0ENJX </v>
          </cell>
          <cell r="CT4719" t="str">
            <v>2024-10-30</v>
          </cell>
          <cell r="CU4719">
            <v>11055.794</v>
          </cell>
        </row>
        <row r="4720">
          <cell r="CP4720" t="str">
            <v xml:space="preserve">NFT-/XUTR/DEUTH024309A02A3X </v>
          </cell>
          <cell r="CQ4720" t="str">
            <v>2024-11-04</v>
          </cell>
          <cell r="CR4720">
            <v>621.17200000000003</v>
          </cell>
          <cell r="CS4720" t="str">
            <v xml:space="preserve">NFT-/XUTR/DEUTH024304A0ENJX </v>
          </cell>
          <cell r="CT4720" t="str">
            <v>2024-10-30</v>
          </cell>
          <cell r="CU4720">
            <v>11706.605</v>
          </cell>
        </row>
        <row r="4721">
          <cell r="CJ4721" t="str">
            <v xml:space="preserve">NFT-/XUTR/DEUTH02432045075X </v>
          </cell>
          <cell r="CK4721" t="str">
            <v>2024-11-15</v>
          </cell>
          <cell r="CL4721">
            <v>-6367.92</v>
          </cell>
          <cell r="CS4721" t="str">
            <v xml:space="preserve">NFT-/XUTR/DEUTH024304A0ENJX </v>
          </cell>
          <cell r="CT4721" t="str">
            <v>2024-10-30</v>
          </cell>
          <cell r="CU4721">
            <v>6367.92</v>
          </cell>
        </row>
        <row r="4722">
          <cell r="CP4722" t="str">
            <v xml:space="preserve">NFT-/XUTR/DEUTH024309A02A3X </v>
          </cell>
          <cell r="CQ4722" t="str">
            <v>2024-11-04</v>
          </cell>
          <cell r="CR4722">
            <v>877.404</v>
          </cell>
          <cell r="CS4722" t="str">
            <v xml:space="preserve">NFT-/XUTR/DEUTH024304A0ENJX </v>
          </cell>
          <cell r="CT4722" t="str">
            <v>2024-10-30</v>
          </cell>
          <cell r="CU4722">
            <v>7819.8950000000004</v>
          </cell>
        </row>
        <row r="4723">
          <cell r="CP4723" t="str">
            <v xml:space="preserve">NFT-/XUTR/DEUTH024309A02A3X </v>
          </cell>
          <cell r="CQ4723" t="str">
            <v>2024-11-04</v>
          </cell>
          <cell r="CR4723">
            <v>877.404</v>
          </cell>
          <cell r="CS4723" t="str">
            <v xml:space="preserve">NFT-/XUTR/DEUTH024304A0ENJX </v>
          </cell>
          <cell r="CT4723" t="str">
            <v>2024-10-30</v>
          </cell>
          <cell r="CU4723">
            <v>7819.8959999999997</v>
          </cell>
        </row>
        <row r="4724">
          <cell r="CP4724" t="str">
            <v xml:space="preserve">NFT-/XUTR/DEUTH024309A02A3X </v>
          </cell>
          <cell r="CQ4724" t="str">
            <v>2024-11-04</v>
          </cell>
          <cell r="CR4724">
            <v>621.17200000000003</v>
          </cell>
          <cell r="CS4724" t="str">
            <v xml:space="preserve">NFT-/XUTR/DEUTH024304A0ENJX </v>
          </cell>
          <cell r="CT4724" t="str">
            <v>2024-10-30</v>
          </cell>
          <cell r="CU4724">
            <v>11706.605</v>
          </cell>
        </row>
        <row r="4725">
          <cell r="CJ4725" t="str">
            <v xml:space="preserve">NFT-/XUTR/DEUTH02431649943X </v>
          </cell>
          <cell r="CK4725" t="str">
            <v>2024-11-11</v>
          </cell>
          <cell r="CL4725">
            <v>-8258.5920000000006</v>
          </cell>
          <cell r="CM4725" t="str">
            <v xml:space="preserve">NFT-/XUTR/DEUTH02431658955X </v>
          </cell>
          <cell r="CN4725" t="str">
            <v>2024-11-11</v>
          </cell>
          <cell r="CO4725">
            <v>-438.697</v>
          </cell>
          <cell r="CP4725" t="str">
            <v xml:space="preserve">NFT-/XUTR/DEUTH024309A02A3X </v>
          </cell>
          <cell r="CQ4725" t="str">
            <v>2024-11-04</v>
          </cell>
          <cell r="CR4725">
            <v>438.697</v>
          </cell>
          <cell r="CS4725" t="str">
            <v xml:space="preserve">NFT-/XUTR/DEUTH024304A0ENJX </v>
          </cell>
          <cell r="CT4725" t="str">
            <v>2024-10-30</v>
          </cell>
          <cell r="CU4725">
            <v>8258.5920000000006</v>
          </cell>
        </row>
        <row r="4726">
          <cell r="CS4726" t="str">
            <v xml:space="preserve">NFT-/XUTR/DEUTH024304A0ENJX </v>
          </cell>
          <cell r="CT4726" t="str">
            <v>2024-10-30</v>
          </cell>
          <cell r="CU4726">
            <v>84586.535000000003</v>
          </cell>
        </row>
        <row r="4727">
          <cell r="CP4727" t="str">
            <v xml:space="preserve">NFT-/XUTR/DEUTH024309A02A3X </v>
          </cell>
          <cell r="CQ4727" t="str">
            <v>2024-11-04</v>
          </cell>
          <cell r="CR4727">
            <v>877.404</v>
          </cell>
          <cell r="CS4727" t="str">
            <v xml:space="preserve">NFT-/XUTR/DEUTH024304A0ENJX </v>
          </cell>
          <cell r="CT4727" t="str">
            <v>2024-10-30</v>
          </cell>
          <cell r="CU4727">
            <v>7801.0159999999996</v>
          </cell>
        </row>
        <row r="4728">
          <cell r="CP4728" t="str">
            <v xml:space="preserve">NFT-/XUTR/DEUTH024309A02A3X </v>
          </cell>
          <cell r="CQ4728" t="str">
            <v>2024-11-04</v>
          </cell>
          <cell r="CR4728">
            <v>877.404</v>
          </cell>
          <cell r="CS4728" t="str">
            <v xml:space="preserve">NFT-/XUTR/DEUTH024304A0ENJX </v>
          </cell>
          <cell r="CT4728" t="str">
            <v>2024-10-30</v>
          </cell>
          <cell r="CU4728">
            <v>7819.8959999999997</v>
          </cell>
        </row>
        <row r="4729">
          <cell r="CP4729" t="str">
            <v xml:space="preserve">NFT-/XUTR/DEUTH024309A02A3X </v>
          </cell>
          <cell r="CQ4729" t="str">
            <v>2024-11-04</v>
          </cell>
          <cell r="CR4729">
            <v>877.404</v>
          </cell>
          <cell r="CS4729" t="str">
            <v xml:space="preserve">NFT-/XUTR/DEUTH024304A0ENJX </v>
          </cell>
          <cell r="CT4729" t="str">
            <v>2024-10-30</v>
          </cell>
          <cell r="CU4729">
            <v>7801.0159999999996</v>
          </cell>
        </row>
        <row r="4730">
          <cell r="CJ4730" t="str">
            <v xml:space="preserve">NFT-/XUTR/DEUTH02430980595X </v>
          </cell>
          <cell r="CK4730" t="str">
            <v>2024-11-04</v>
          </cell>
          <cell r="CL4730">
            <v>-16287.187</v>
          </cell>
          <cell r="CS4730" t="str">
            <v xml:space="preserve">NFT-/XUTR/DEUTH024304A0ENJX </v>
          </cell>
          <cell r="CT4730" t="str">
            <v>2024-10-30</v>
          </cell>
          <cell r="CU4730">
            <v>16287.187</v>
          </cell>
        </row>
        <row r="4731">
          <cell r="CJ4731" t="str">
            <v xml:space="preserve">NFT-/XUTR/DEUTH02433037112X </v>
          </cell>
          <cell r="CK4731" t="str">
            <v>2024-11-25</v>
          </cell>
          <cell r="CL4731">
            <v>-12026.369000000001</v>
          </cell>
          <cell r="CS4731" t="str">
            <v xml:space="preserve">NFT-/XUTR/DEUTH024304A0ENJX </v>
          </cell>
          <cell r="CT4731" t="str">
            <v>2024-10-30</v>
          </cell>
          <cell r="CU4731">
            <v>12026.369000000001</v>
          </cell>
        </row>
        <row r="4732">
          <cell r="CS4732" t="str">
            <v xml:space="preserve">NFT-/XUTR/DEUTH024304A0ENJX </v>
          </cell>
          <cell r="CT4732" t="str">
            <v>2024-10-30</v>
          </cell>
          <cell r="CU4732">
            <v>8678.42</v>
          </cell>
        </row>
        <row r="4733">
          <cell r="CP4733" t="str">
            <v xml:space="preserve">NFT-/XUTR/DEUTH024309A02A3X </v>
          </cell>
          <cell r="CQ4733" t="str">
            <v>2024-11-04</v>
          </cell>
          <cell r="CR4733">
            <v>877.404</v>
          </cell>
          <cell r="CS4733" t="str">
            <v xml:space="preserve">NFT-/XUTR/DEUTH024304A0ENJX </v>
          </cell>
          <cell r="CT4733" t="str">
            <v>2024-10-30</v>
          </cell>
          <cell r="CU4733">
            <v>7819.8959999999997</v>
          </cell>
        </row>
        <row r="4734">
          <cell r="CS4734" t="str">
            <v xml:space="preserve">NFT-/XUTR/DEUTH024304A0ENJX </v>
          </cell>
          <cell r="CT4734" t="str">
            <v>2024-10-30</v>
          </cell>
          <cell r="CU4734">
            <v>1476.221</v>
          </cell>
        </row>
        <row r="4735">
          <cell r="CP4735" t="str">
            <v xml:space="preserve">NFT-/XUTR/DEUTH024309A02A3X </v>
          </cell>
          <cell r="CQ4735" t="str">
            <v>2024-11-04</v>
          </cell>
          <cell r="CR4735">
            <v>877.404</v>
          </cell>
          <cell r="CS4735" t="str">
            <v xml:space="preserve">NFT-/XUTR/DEUTH024304A0ENJX </v>
          </cell>
          <cell r="CT4735" t="str">
            <v>2024-10-30</v>
          </cell>
          <cell r="CU4735">
            <v>7819.8959999999997</v>
          </cell>
        </row>
        <row r="4736">
          <cell r="CS4736" t="str">
            <v xml:space="preserve">NFT-/XUTR/DEUTH024304A0ENJX </v>
          </cell>
          <cell r="CT4736" t="str">
            <v>2024-10-30</v>
          </cell>
          <cell r="CU4736">
            <v>6349.04</v>
          </cell>
        </row>
        <row r="4737">
          <cell r="CS4737" t="str">
            <v xml:space="preserve">NFT-/XUTR/DEUTH024304A0ENJX </v>
          </cell>
          <cell r="CT4737" t="str">
            <v>2024-10-30</v>
          </cell>
          <cell r="CU4737">
            <v>85799.751999999993</v>
          </cell>
        </row>
        <row r="4738">
          <cell r="CP4738" t="str">
            <v xml:space="preserve">NFT-/XUTR/DEUTH024309A02A3X </v>
          </cell>
          <cell r="CQ4738" t="str">
            <v>2024-11-04</v>
          </cell>
          <cell r="CR4738">
            <v>877.404</v>
          </cell>
          <cell r="CS4738" t="str">
            <v xml:space="preserve">NFT-/XUTR/DEUTH024304A0ENJX </v>
          </cell>
          <cell r="CT4738" t="str">
            <v>2024-10-30</v>
          </cell>
          <cell r="CU4738">
            <v>7801.0159999999996</v>
          </cell>
        </row>
        <row r="4739">
          <cell r="CS4739" t="str">
            <v xml:space="preserve">NFT-/XUTR/DEUTH024304A0ENJX </v>
          </cell>
          <cell r="CT4739" t="str">
            <v>2024-10-30</v>
          </cell>
          <cell r="CU4739">
            <v>42949.411</v>
          </cell>
        </row>
        <row r="4740">
          <cell r="CS4740" t="str">
            <v xml:space="preserve">NFT-/XUTR/DEUTH024304A0ENJX </v>
          </cell>
          <cell r="CT4740" t="str">
            <v>2024-10-30</v>
          </cell>
          <cell r="CU4740">
            <v>17092.771000000001</v>
          </cell>
        </row>
        <row r="4741">
          <cell r="CJ4741" t="str">
            <v xml:space="preserve">NFT-/XUTR/DEUTH02432045075X </v>
          </cell>
          <cell r="CK4741" t="str">
            <v>2024-11-15</v>
          </cell>
          <cell r="CL4741">
            <v>-7470.4920000000002</v>
          </cell>
          <cell r="CM4741" t="str">
            <v xml:space="preserve">NFT-/XUTR/DEUTH02432059153X </v>
          </cell>
          <cell r="CN4741" t="str">
            <v>2024-11-15</v>
          </cell>
          <cell r="CO4741">
            <v>-1226.807</v>
          </cell>
          <cell r="CP4741" t="str">
            <v xml:space="preserve">NFT-/XUTR/DEUTH024309A02A3X </v>
          </cell>
          <cell r="CQ4741" t="str">
            <v>2024-11-04</v>
          </cell>
          <cell r="CR4741">
            <v>1226.807</v>
          </cell>
          <cell r="CS4741" t="str">
            <v xml:space="preserve">NFT-/XUTR/DEUTH024304A0ENJX </v>
          </cell>
          <cell r="CT4741" t="str">
            <v>2024-10-30</v>
          </cell>
          <cell r="CU4741">
            <v>7470.4920000000002</v>
          </cell>
        </row>
        <row r="4742">
          <cell r="CP4742" t="str">
            <v xml:space="preserve">NFT-/XUTR/DEUTH024309A02A3X </v>
          </cell>
          <cell r="CQ4742" t="str">
            <v>2024-11-04</v>
          </cell>
          <cell r="CR4742">
            <v>877.404</v>
          </cell>
          <cell r="CS4742" t="str">
            <v xml:space="preserve">NFT-/XUTR/DEUTH024304A0ENJX </v>
          </cell>
          <cell r="CT4742" t="str">
            <v>2024-10-30</v>
          </cell>
          <cell r="CU4742">
            <v>7801.0159999999996</v>
          </cell>
        </row>
        <row r="4743">
          <cell r="CJ4743" t="str">
            <v xml:space="preserve">NFT-/XUTR/DEUTH02432540165X </v>
          </cell>
          <cell r="CK4743" t="str">
            <v>2024-11-20</v>
          </cell>
          <cell r="CL4743">
            <v>-8697.2999999999993</v>
          </cell>
          <cell r="CS4743" t="str">
            <v xml:space="preserve">NFT-/XUTR/DEUTH024304A0ENJX </v>
          </cell>
          <cell r="CT4743" t="str">
            <v>2024-10-30</v>
          </cell>
          <cell r="CU4743">
            <v>8697.2999999999993</v>
          </cell>
        </row>
        <row r="4744">
          <cell r="CP4744" t="str">
            <v xml:space="preserve">NFT-/XUTR/DEUTH024309A02A3X </v>
          </cell>
          <cell r="CQ4744" t="str">
            <v>2024-11-04</v>
          </cell>
          <cell r="CR4744">
            <v>877.404</v>
          </cell>
          <cell r="CS4744" t="str">
            <v xml:space="preserve">NFT-/XUTR/DEUTH024304A0ENJX </v>
          </cell>
          <cell r="CT4744" t="str">
            <v>2024-10-30</v>
          </cell>
          <cell r="CU4744">
            <v>7819.8959999999997</v>
          </cell>
        </row>
        <row r="4745">
          <cell r="CP4745" t="str">
            <v xml:space="preserve">NFT-/XUTR/DEUTH024309A02A3X </v>
          </cell>
          <cell r="CQ4745" t="str">
            <v>2024-11-04</v>
          </cell>
          <cell r="CR4745">
            <v>877.404</v>
          </cell>
          <cell r="CS4745" t="str">
            <v xml:space="preserve">NFT-/XUTR/DEUTH024304A0ENJX </v>
          </cell>
          <cell r="CT4745" t="str">
            <v>2024-10-30</v>
          </cell>
          <cell r="CU4745">
            <v>7801.0159999999996</v>
          </cell>
        </row>
        <row r="4746">
          <cell r="CP4746" t="str">
            <v xml:space="preserve">NFT-/XUTR/DEUTH024309A02A3X </v>
          </cell>
          <cell r="CQ4746" t="str">
            <v>2024-11-04</v>
          </cell>
          <cell r="CR4746">
            <v>644.46100000000001</v>
          </cell>
          <cell r="CS4746" t="str">
            <v xml:space="preserve">NFT-/XUTR/DEUTH024304A0ENJX </v>
          </cell>
          <cell r="CT4746" t="str">
            <v>2024-10-30</v>
          </cell>
          <cell r="CU4746">
            <v>5723.4579999999996</v>
          </cell>
        </row>
        <row r="4747">
          <cell r="CP4747" t="str">
            <v xml:space="preserve">NFT-/XUTR/DEUTH024309A02A3X </v>
          </cell>
          <cell r="CQ4747" t="str">
            <v>2024-11-04</v>
          </cell>
          <cell r="CR4747">
            <v>970.57500000000005</v>
          </cell>
          <cell r="CS4747" t="str">
            <v xml:space="preserve">NFT-/XUTR/DEUTH024304A0ENJX </v>
          </cell>
          <cell r="CT4747" t="str">
            <v>2024-10-30</v>
          </cell>
          <cell r="CU4747">
            <v>16122.197</v>
          </cell>
        </row>
        <row r="4748">
          <cell r="CP4748" t="str">
            <v xml:space="preserve">NFT-/XUTR/DEUTH024309A02A3X </v>
          </cell>
          <cell r="CQ4748" t="str">
            <v>2024-11-04</v>
          </cell>
          <cell r="CR4748">
            <v>970.57500000000005</v>
          </cell>
          <cell r="CS4748" t="str">
            <v xml:space="preserve">NFT-/XUTR/DEUTH024304A0ENJX </v>
          </cell>
          <cell r="CT4748" t="str">
            <v>2024-10-30</v>
          </cell>
          <cell r="CU4748">
            <v>16268.306</v>
          </cell>
        </row>
        <row r="4749">
          <cell r="CP4749" t="str">
            <v xml:space="preserve">NFT-/XUTR/DEUTH024309A02A3X </v>
          </cell>
          <cell r="CQ4749" t="str">
            <v>2024-11-04</v>
          </cell>
          <cell r="CR4749">
            <v>877.404</v>
          </cell>
          <cell r="CS4749" t="str">
            <v xml:space="preserve">NFT-/XUTR/DEUTH024304A0ENJX </v>
          </cell>
          <cell r="CT4749" t="str">
            <v>2024-10-30</v>
          </cell>
          <cell r="CU4749">
            <v>7801.0159999999996</v>
          </cell>
        </row>
        <row r="4750">
          <cell r="CJ4750" t="str">
            <v xml:space="preserve">NFT-/XUTR/DEUTH02432540165X </v>
          </cell>
          <cell r="CK4750" t="str">
            <v>2024-11-20</v>
          </cell>
          <cell r="CL4750">
            <v>-17257.760999999999</v>
          </cell>
          <cell r="CS4750" t="str">
            <v xml:space="preserve">NFT-/XUTR/DEUTH024304A0ENJX </v>
          </cell>
          <cell r="CT4750" t="str">
            <v>2024-10-30</v>
          </cell>
          <cell r="CU4750">
            <v>17257.760999999999</v>
          </cell>
        </row>
        <row r="4751">
          <cell r="CJ4751" t="str">
            <v xml:space="preserve">NFT-/XUTR/DEUTH02431649943X </v>
          </cell>
          <cell r="CK4751" t="str">
            <v>2024-11-11</v>
          </cell>
          <cell r="CL4751">
            <v>-7819.8959999999997</v>
          </cell>
          <cell r="CM4751" t="str">
            <v xml:space="preserve">NFT-/XUTR/DEUTH02431658955X </v>
          </cell>
          <cell r="CN4751" t="str">
            <v>2024-11-11</v>
          </cell>
          <cell r="CO4751">
            <v>-877.404</v>
          </cell>
          <cell r="CP4751" t="str">
            <v xml:space="preserve">NFT-/XUTR/DEUTH024309A02A3X </v>
          </cell>
          <cell r="CQ4751" t="str">
            <v>2024-11-04</v>
          </cell>
          <cell r="CR4751">
            <v>877.404</v>
          </cell>
          <cell r="CS4751" t="str">
            <v xml:space="preserve">NFT-/XUTR/DEUTH024304A0ENJX </v>
          </cell>
          <cell r="CT4751" t="str">
            <v>2024-10-30</v>
          </cell>
          <cell r="CU4751">
            <v>7819.8959999999997</v>
          </cell>
        </row>
        <row r="4752">
          <cell r="CP4752" t="str">
            <v xml:space="preserve">NFT-/XUTR/DEUTH024309A02A3X </v>
          </cell>
          <cell r="CQ4752" t="str">
            <v>2024-11-04</v>
          </cell>
          <cell r="CR4752">
            <v>877.404</v>
          </cell>
          <cell r="CS4752" t="str">
            <v xml:space="preserve">NFT-/XUTR/DEUTH024304A0ENJX </v>
          </cell>
          <cell r="CT4752" t="str">
            <v>2024-10-30</v>
          </cell>
          <cell r="CU4752">
            <v>7819.8959999999997</v>
          </cell>
        </row>
        <row r="4753">
          <cell r="CJ4753" t="str">
            <v xml:space="preserve">NFT-/XUTR/DEUTH02432045075X </v>
          </cell>
          <cell r="CK4753" t="str">
            <v>2024-11-15</v>
          </cell>
          <cell r="CL4753">
            <v>-16287.187</v>
          </cell>
          <cell r="CM4753" t="str">
            <v xml:space="preserve">NFT-/XUTR/DEUTH02432059153X </v>
          </cell>
          <cell r="CN4753" t="str">
            <v>2024-11-15</v>
          </cell>
          <cell r="CO4753">
            <v>-970.57500000000005</v>
          </cell>
          <cell r="CP4753" t="str">
            <v xml:space="preserve">NFT-/XUTR/DEUTH024309A02A3X </v>
          </cell>
          <cell r="CQ4753" t="str">
            <v>2024-11-04</v>
          </cell>
          <cell r="CR4753">
            <v>970.57500000000005</v>
          </cell>
          <cell r="CS4753" t="str">
            <v xml:space="preserve">NFT-/XUTR/DEUTH024304A0ENJX </v>
          </cell>
          <cell r="CT4753" t="str">
            <v>2024-10-30</v>
          </cell>
          <cell r="CU4753">
            <v>16287.187</v>
          </cell>
        </row>
        <row r="4754">
          <cell r="CP4754" t="str">
            <v xml:space="preserve">NFT-/XUTR/DEUTH024309A02A3X </v>
          </cell>
          <cell r="CQ4754" t="str">
            <v>2024-11-04</v>
          </cell>
          <cell r="CR4754">
            <v>863.81600000000003</v>
          </cell>
          <cell r="CS4754" t="str">
            <v xml:space="preserve">NFT-/XUTR/DEUTH024304A0ENJX </v>
          </cell>
          <cell r="CT4754" t="str">
            <v>2024-10-30</v>
          </cell>
          <cell r="CU4754">
            <v>7833.4830000000002</v>
          </cell>
        </row>
        <row r="4755">
          <cell r="CP4755" t="str">
            <v xml:space="preserve">NFT-/XUTR/DEUTH024309A02A3X </v>
          </cell>
          <cell r="CQ4755" t="str">
            <v>2024-11-04</v>
          </cell>
          <cell r="CR4755">
            <v>970.57500000000005</v>
          </cell>
          <cell r="CS4755" t="str">
            <v xml:space="preserve">NFT-/XUTR/DEUTH024304A0ENJX </v>
          </cell>
          <cell r="CT4755" t="str">
            <v>2024-10-30</v>
          </cell>
          <cell r="CU4755">
            <v>11376.082</v>
          </cell>
        </row>
        <row r="4756">
          <cell r="CS4756" t="str">
            <v xml:space="preserve">NFT-/XUTR/DEUTH024304A0ENJX </v>
          </cell>
          <cell r="CT4756" t="str">
            <v>2024-10-30</v>
          </cell>
          <cell r="CU4756">
            <v>6349.04</v>
          </cell>
        </row>
        <row r="4757">
          <cell r="CS4757" t="str">
            <v xml:space="preserve">NFT-/XUTR/DEUTH024304A0ENJX </v>
          </cell>
          <cell r="CT4757" t="str">
            <v>2024-10-30</v>
          </cell>
          <cell r="CU4757">
            <v>63273.25</v>
          </cell>
        </row>
        <row r="4758">
          <cell r="CJ4758" t="str">
            <v xml:space="preserve">NFT-/XUTR/DEUTH02430980595X </v>
          </cell>
          <cell r="CK4758" t="str">
            <v>2024-11-04</v>
          </cell>
          <cell r="CL4758">
            <v>-16122.197</v>
          </cell>
          <cell r="CS4758" t="str">
            <v xml:space="preserve">NFT-/XUTR/DEUTH024304A0ENJX </v>
          </cell>
          <cell r="CT4758" t="str">
            <v>2024-10-30</v>
          </cell>
          <cell r="CU4758">
            <v>16122.197</v>
          </cell>
        </row>
        <row r="4759">
          <cell r="CP4759" t="str">
            <v xml:space="preserve">NFT-/XUTR/DEUTH024309A02A3X </v>
          </cell>
          <cell r="CQ4759" t="str">
            <v>2024-11-04</v>
          </cell>
          <cell r="CR4759">
            <v>877.404</v>
          </cell>
          <cell r="CS4759" t="str">
            <v xml:space="preserve">NFT-/XUTR/DEUTH024304A0ENJX </v>
          </cell>
          <cell r="CT4759" t="str">
            <v>2024-10-30</v>
          </cell>
          <cell r="CU4759">
            <v>7819.8959999999997</v>
          </cell>
        </row>
        <row r="4760">
          <cell r="CP4760" t="str">
            <v xml:space="preserve">NFT-/XUTR/DEUTH024309A02A3X </v>
          </cell>
          <cell r="CQ4760" t="str">
            <v>2024-11-04</v>
          </cell>
          <cell r="CR4760">
            <v>877.404</v>
          </cell>
          <cell r="CS4760" t="str">
            <v xml:space="preserve">NFT-/XUTR/DEUTH024304A0ENJX </v>
          </cell>
          <cell r="CT4760" t="str">
            <v>2024-10-30</v>
          </cell>
          <cell r="CU4760">
            <v>7819.8950000000004</v>
          </cell>
        </row>
        <row r="4761">
          <cell r="CP4761" t="str">
            <v xml:space="preserve">NFT-/XUTR/DEUTH024309A02A3X </v>
          </cell>
          <cell r="CQ4761" t="str">
            <v>2024-11-04</v>
          </cell>
          <cell r="CR4761">
            <v>877.404</v>
          </cell>
          <cell r="CS4761" t="str">
            <v xml:space="preserve">NFT-/XUTR/DEUTH024304A0ENJX </v>
          </cell>
          <cell r="CT4761" t="str">
            <v>2024-10-30</v>
          </cell>
          <cell r="CU4761">
            <v>7819.8959999999997</v>
          </cell>
        </row>
        <row r="4762">
          <cell r="CP4762" t="str">
            <v xml:space="preserve">NFT-/XUTR/DEUTH024309A02A3X </v>
          </cell>
          <cell r="CQ4762" t="str">
            <v>2024-11-04</v>
          </cell>
          <cell r="CR4762">
            <v>608.54700000000003</v>
          </cell>
          <cell r="CS4762" t="str">
            <v xml:space="preserve">NFT-/XUTR/DEUTH024304A0ENJX </v>
          </cell>
          <cell r="CT4762" t="str">
            <v>2024-10-30</v>
          </cell>
          <cell r="CU4762">
            <v>5400.2479999999996</v>
          </cell>
        </row>
        <row r="4763">
          <cell r="CP4763" t="str">
            <v xml:space="preserve">NFT-/XUTR/DEUTH024309A02A3X </v>
          </cell>
          <cell r="CQ4763" t="str">
            <v>2024-11-04</v>
          </cell>
          <cell r="CR4763">
            <v>970.57500000000005</v>
          </cell>
          <cell r="CS4763" t="str">
            <v xml:space="preserve">NFT-/XUTR/DEUTH024304A0ENJX </v>
          </cell>
          <cell r="CT4763" t="str">
            <v>2024-10-30</v>
          </cell>
          <cell r="CU4763">
            <v>16268.306</v>
          </cell>
        </row>
        <row r="4764">
          <cell r="CP4764" t="str">
            <v xml:space="preserve">NFT-/XUTR/DEUTH024309A02A3X </v>
          </cell>
          <cell r="CQ4764" t="str">
            <v>2024-11-04</v>
          </cell>
          <cell r="CR4764">
            <v>970.57500000000005</v>
          </cell>
          <cell r="CS4764" t="str">
            <v xml:space="preserve">NFT-/XUTR/DEUTH024304A0ENJX </v>
          </cell>
          <cell r="CT4764" t="str">
            <v>2024-10-30</v>
          </cell>
          <cell r="CU4764">
            <v>11055.794</v>
          </cell>
        </row>
        <row r="4765">
          <cell r="CP4765" t="str">
            <v xml:space="preserve">NFT-/XUTR/DEUTH024309A02A3X </v>
          </cell>
          <cell r="CQ4765" t="str">
            <v>2024-11-04</v>
          </cell>
          <cell r="CR4765">
            <v>877.404</v>
          </cell>
          <cell r="CS4765" t="str">
            <v xml:space="preserve">NFT-/XUTR/DEUTH024304A0ENJX </v>
          </cell>
          <cell r="CT4765" t="str">
            <v>2024-10-30</v>
          </cell>
          <cell r="CU4765">
            <v>7819.8959999999997</v>
          </cell>
        </row>
        <row r="4766">
          <cell r="CJ4766" t="str">
            <v xml:space="preserve">NFT-/XUTR/DEUTH02431649943X </v>
          </cell>
          <cell r="CK4766" t="str">
            <v>2024-11-11</v>
          </cell>
          <cell r="CL4766">
            <v>-16287.186</v>
          </cell>
          <cell r="CM4766" t="str">
            <v xml:space="preserve">NFT-/XUTR/DEUTH02431658955X </v>
          </cell>
          <cell r="CN4766" t="str">
            <v>2024-11-11</v>
          </cell>
          <cell r="CO4766">
            <v>-970.57500000000005</v>
          </cell>
          <cell r="CP4766" t="str">
            <v xml:space="preserve">NFT-/XUTR/DEUTH024309A02A3X </v>
          </cell>
          <cell r="CQ4766" t="str">
            <v>2024-11-04</v>
          </cell>
          <cell r="CR4766">
            <v>970.57500000000005</v>
          </cell>
          <cell r="CS4766" t="str">
            <v xml:space="preserve">NFT-/XUTR/DEUTH024304A0ENJX </v>
          </cell>
          <cell r="CT4766" t="str">
            <v>2024-10-30</v>
          </cell>
          <cell r="CU4766">
            <v>16287.186</v>
          </cell>
        </row>
        <row r="4767">
          <cell r="CP4767" t="str">
            <v xml:space="preserve">NFT-/XUTR/DEUTH024309A02A3X </v>
          </cell>
          <cell r="CQ4767" t="str">
            <v>2024-11-04</v>
          </cell>
          <cell r="CR4767">
            <v>762.87099999999998</v>
          </cell>
          <cell r="CS4767" t="str">
            <v xml:space="preserve">NFT-/XUTR/DEUTH024304A0ENJX </v>
          </cell>
          <cell r="CT4767" t="str">
            <v>2024-10-30</v>
          </cell>
          <cell r="CU4767">
            <v>16494.89</v>
          </cell>
        </row>
        <row r="4768">
          <cell r="CP4768" t="str">
            <v xml:space="preserve">NFT-/XUTR/DEUTH024309A02A3X </v>
          </cell>
          <cell r="CQ4768" t="str">
            <v>2024-11-04</v>
          </cell>
          <cell r="CR4768">
            <v>935.63400000000001</v>
          </cell>
          <cell r="CS4768" t="str">
            <v xml:space="preserve">NFT-/XUTR/DEUTH024304A0ENJX </v>
          </cell>
          <cell r="CT4768" t="str">
            <v>2024-10-30</v>
          </cell>
          <cell r="CU4768">
            <v>5432.2849999999999</v>
          </cell>
        </row>
        <row r="4769">
          <cell r="CS4769" t="str">
            <v xml:space="preserve">NFT-/XUTR/DEUTH024304A0ENJX </v>
          </cell>
          <cell r="CT4769" t="str">
            <v>2024-10-30</v>
          </cell>
          <cell r="CU4769">
            <v>17375.71</v>
          </cell>
        </row>
        <row r="4770">
          <cell r="CP4770" t="str">
            <v xml:space="preserve">NFT-/XUTR/DEUTH024309A02A3X </v>
          </cell>
          <cell r="CQ4770" t="str">
            <v>2024-11-04</v>
          </cell>
          <cell r="CR4770">
            <v>877.404</v>
          </cell>
          <cell r="CS4770" t="str">
            <v xml:space="preserve">NFT-/XUTR/DEUTH024304A0ENJX </v>
          </cell>
          <cell r="CT4770" t="str">
            <v>2024-10-30</v>
          </cell>
          <cell r="CU4770">
            <v>7819.8959999999997</v>
          </cell>
        </row>
        <row r="4771">
          <cell r="CP4771" t="str">
            <v xml:space="preserve">NFT-/XUTR/DEUTH024309A02A3X </v>
          </cell>
          <cell r="CQ4771" t="str">
            <v>2024-11-04</v>
          </cell>
          <cell r="CR4771">
            <v>877.404</v>
          </cell>
          <cell r="CS4771" t="str">
            <v xml:space="preserve">NFT-/XUTR/DEUTH024304A0ENJX </v>
          </cell>
          <cell r="CT4771" t="str">
            <v>2024-10-30</v>
          </cell>
          <cell r="CU4771">
            <v>7819.8959999999997</v>
          </cell>
        </row>
        <row r="4772">
          <cell r="CJ4772" t="str">
            <v xml:space="preserve">NFT-/XUTR/DEUTH02430980595X </v>
          </cell>
          <cell r="CK4772" t="str">
            <v>2024-11-04</v>
          </cell>
          <cell r="CL4772">
            <v>-7819.8950000000004</v>
          </cell>
          <cell r="CS4772" t="str">
            <v xml:space="preserve">NFT-/XUTR/DEUTH024304A0ENJX </v>
          </cell>
          <cell r="CT4772" t="str">
            <v>2024-10-30</v>
          </cell>
          <cell r="CU4772">
            <v>7819.8950000000004</v>
          </cell>
        </row>
        <row r="4773">
          <cell r="CP4773" t="str">
            <v xml:space="preserve">NFT-/XUTR/DEUTH024309A02A3X </v>
          </cell>
          <cell r="CQ4773" t="str">
            <v>2024-11-04</v>
          </cell>
          <cell r="CR4773">
            <v>608.54700000000003</v>
          </cell>
          <cell r="CS4773" t="str">
            <v xml:space="preserve">NFT-/XUTR/DEUTH024304A0ENJX </v>
          </cell>
          <cell r="CT4773" t="str">
            <v>2024-10-30</v>
          </cell>
          <cell r="CU4773">
            <v>5381.3779999999997</v>
          </cell>
        </row>
        <row r="4774">
          <cell r="CS4774" t="str">
            <v xml:space="preserve">NFT-/XUTR/DEUTH024304A0ENJX </v>
          </cell>
          <cell r="CT4774" t="str">
            <v>2024-10-30</v>
          </cell>
          <cell r="CU4774">
            <v>1457.34</v>
          </cell>
        </row>
        <row r="4775">
          <cell r="CP4775" t="str">
            <v xml:space="preserve">NFT-/XUTR/DEUTH024309A02A3X </v>
          </cell>
          <cell r="CQ4775" t="str">
            <v>2024-11-04</v>
          </cell>
          <cell r="CR4775">
            <v>877.404</v>
          </cell>
          <cell r="CS4775" t="str">
            <v xml:space="preserve">NFT-/XUTR/DEUTH024304A0ENJX </v>
          </cell>
          <cell r="CT4775" t="str">
            <v>2024-10-30</v>
          </cell>
          <cell r="CU4775">
            <v>7819.8959999999997</v>
          </cell>
        </row>
        <row r="4776">
          <cell r="CJ4776" t="str">
            <v xml:space="preserve">NFT-/XUTR/DEUTH02430980595X </v>
          </cell>
          <cell r="CK4776" t="str">
            <v>2024-11-04</v>
          </cell>
          <cell r="CL4776">
            <v>-11055.794</v>
          </cell>
          <cell r="CS4776" t="str">
            <v xml:space="preserve">NFT-/XUTR/DEUTH024304A0ENJX </v>
          </cell>
          <cell r="CT4776" t="str">
            <v>2024-10-30</v>
          </cell>
          <cell r="CU4776">
            <v>11055.794</v>
          </cell>
        </row>
        <row r="4777">
          <cell r="CP4777" t="str">
            <v xml:space="preserve">NFT-/XUTR/DEUTH024309A02A3X </v>
          </cell>
          <cell r="CQ4777" t="str">
            <v>2024-11-04</v>
          </cell>
          <cell r="CR4777">
            <v>970.57500000000005</v>
          </cell>
          <cell r="CS4777" t="str">
            <v xml:space="preserve">NFT-/XUTR/DEUTH024304A0ENJX </v>
          </cell>
          <cell r="CT4777" t="str">
            <v>2024-10-30</v>
          </cell>
          <cell r="CU4777">
            <v>11376.082</v>
          </cell>
        </row>
        <row r="4778">
          <cell r="CP4778" t="str">
            <v xml:space="preserve">NFT-/XUTR/DEUTH024309A02A3X </v>
          </cell>
          <cell r="CQ4778" t="str">
            <v>2024-11-04</v>
          </cell>
          <cell r="CR4778">
            <v>862.84100000000001</v>
          </cell>
          <cell r="CS4778" t="str">
            <v xml:space="preserve">NFT-/XUTR/DEUTH024304A0ENJX </v>
          </cell>
          <cell r="CT4778" t="str">
            <v>2024-10-30</v>
          </cell>
          <cell r="CU4778">
            <v>7815.5780000000004</v>
          </cell>
        </row>
        <row r="4779">
          <cell r="CP4779" t="str">
            <v xml:space="preserve">NFT-/XUTR/DEUTH024309A02A3X </v>
          </cell>
          <cell r="CQ4779" t="str">
            <v>2024-11-04</v>
          </cell>
          <cell r="CR4779">
            <v>877.404</v>
          </cell>
          <cell r="CS4779" t="str">
            <v xml:space="preserve">NFT-/XUTR/DEUTH024304A0ENJX </v>
          </cell>
          <cell r="CT4779" t="str">
            <v>2024-10-30</v>
          </cell>
          <cell r="CU4779">
            <v>7819.8959999999997</v>
          </cell>
        </row>
        <row r="4780">
          <cell r="CJ4780" t="str">
            <v xml:space="preserve">NFT-/XUTR/DEUTH02430980595X </v>
          </cell>
          <cell r="CK4780" t="str">
            <v>2024-11-04</v>
          </cell>
          <cell r="CL4780">
            <v>7767.48</v>
          </cell>
          <cell r="CM4780" t="str">
            <v xml:space="preserve">NFT-/XUTR/DEUTH02432045075X </v>
          </cell>
          <cell r="CN4780" t="str">
            <v>2024-11-15</v>
          </cell>
          <cell r="CO4780">
            <v>-7767.48</v>
          </cell>
          <cell r="CP4780" t="str">
            <v xml:space="preserve">NFT-/XUTR/DEUTH024309A02A3X </v>
          </cell>
          <cell r="CQ4780" t="str">
            <v>2024-11-04</v>
          </cell>
          <cell r="CR4780">
            <v>871.57899999999995</v>
          </cell>
          <cell r="CS4780" t="str">
            <v xml:space="preserve">NFT-/XUTR/DEUTH02432059153X </v>
          </cell>
          <cell r="CT4780" t="str">
            <v>2024-11-15</v>
          </cell>
          <cell r="CU4780">
            <v>-871.57899999999995</v>
          </cell>
        </row>
        <row r="4781">
          <cell r="CJ4781" t="str">
            <v xml:space="preserve">NFT-/XUTR/DEUTH02430980595X </v>
          </cell>
          <cell r="CK4781" t="str">
            <v>2024-11-04</v>
          </cell>
          <cell r="CL4781">
            <v>5349.7809999999999</v>
          </cell>
          <cell r="CP4781" t="str">
            <v xml:space="preserve">NFT-/XUTR/DEUTH024309A02A3X </v>
          </cell>
          <cell r="CQ4781" t="str">
            <v>2024-11-04</v>
          </cell>
          <cell r="CR4781">
            <v>921.07299999999998</v>
          </cell>
        </row>
        <row r="4782">
          <cell r="CJ4782" t="str">
            <v xml:space="preserve">NFT-/XUTR/DEUTH02430980595X </v>
          </cell>
          <cell r="CK4782" t="str">
            <v>2024-11-04</v>
          </cell>
          <cell r="CL4782">
            <v>11191.668</v>
          </cell>
          <cell r="CP4782" t="str">
            <v xml:space="preserve">NFT-/XUTR/DEUTH024309A02A3X </v>
          </cell>
          <cell r="CQ4782" t="str">
            <v>2024-11-04</v>
          </cell>
          <cell r="CR4782">
            <v>970.57500000000005</v>
          </cell>
        </row>
        <row r="4783">
          <cell r="CJ4783" t="str">
            <v xml:space="preserve">NFT-/XUTR/DEUTH02430980595X </v>
          </cell>
          <cell r="CK4783" t="str">
            <v>2024-11-04</v>
          </cell>
          <cell r="CL4783">
            <v>5704.5780000000004</v>
          </cell>
          <cell r="CP4783" t="str">
            <v xml:space="preserve">NFT-/XUTR/DEUTH024309A02A3X </v>
          </cell>
          <cell r="CQ4783" t="str">
            <v>2024-11-04</v>
          </cell>
          <cell r="CR4783">
            <v>644.46199999999999</v>
          </cell>
        </row>
        <row r="4784">
          <cell r="CJ4784" t="str">
            <v xml:space="preserve">NFT-/XUTR/DEUTH02430980595X </v>
          </cell>
          <cell r="CK4784" t="str">
            <v>2024-11-04</v>
          </cell>
          <cell r="CL4784">
            <v>5911.7479999999996</v>
          </cell>
        </row>
        <row r="4785">
          <cell r="CJ4785" t="str">
            <v xml:space="preserve">NFT-/XUTR/DEUTH02430980595X </v>
          </cell>
          <cell r="CK4785" t="str">
            <v>2024-11-04</v>
          </cell>
          <cell r="CL4785">
            <v>10871.382</v>
          </cell>
          <cell r="CM4785" t="str">
            <v xml:space="preserve">NFT-/XUTR/DEUTH02432045075X </v>
          </cell>
          <cell r="CN4785" t="str">
            <v>2024-11-15</v>
          </cell>
          <cell r="CO4785">
            <v>-10871.382</v>
          </cell>
          <cell r="CP4785" t="str">
            <v xml:space="preserve">NFT-/XUTR/DEUTH024309A02A3X </v>
          </cell>
          <cell r="CQ4785" t="str">
            <v>2024-11-04</v>
          </cell>
          <cell r="CR4785">
            <v>970.57500000000005</v>
          </cell>
          <cell r="CS4785" t="str">
            <v xml:space="preserve">NFT-/XUTR/DEUTH02432059153X </v>
          </cell>
          <cell r="CT4785" t="str">
            <v>2024-11-15</v>
          </cell>
          <cell r="CU4785">
            <v>-970.57500000000005</v>
          </cell>
        </row>
        <row r="4786">
          <cell r="CJ4786" t="str">
            <v xml:space="preserve">NFT-/XUTR/DEUTH02430980595X </v>
          </cell>
          <cell r="CK4786" t="str">
            <v>2024-11-04</v>
          </cell>
          <cell r="CL4786">
            <v>16170.726000000001</v>
          </cell>
          <cell r="CM4786" t="str">
            <v xml:space="preserve">NFT-/XUTR/DEUTH02432045075X </v>
          </cell>
          <cell r="CN4786" t="str">
            <v>2024-11-15</v>
          </cell>
          <cell r="CO4786">
            <v>-16170.726000000001</v>
          </cell>
          <cell r="CP4786" t="str">
            <v xml:space="preserve">NFT-/XUTR/DEUTH024309A02A3X </v>
          </cell>
          <cell r="CQ4786" t="str">
            <v>2024-11-04</v>
          </cell>
          <cell r="CR4786">
            <v>970.57500000000005</v>
          </cell>
          <cell r="CS4786" t="str">
            <v xml:space="preserve">NFT-/XUTR/DEUTH02432059153X </v>
          </cell>
          <cell r="CT4786" t="str">
            <v>2024-11-15</v>
          </cell>
          <cell r="CU4786">
            <v>-970.57500000000005</v>
          </cell>
        </row>
        <row r="4787">
          <cell r="CJ4787" t="str">
            <v xml:space="preserve">NFT-/XUTR/DEUTH02430980595X </v>
          </cell>
          <cell r="CK4787" t="str">
            <v>2024-11-04</v>
          </cell>
          <cell r="CL4787">
            <v>41706.544000000002</v>
          </cell>
          <cell r="CP4787" t="str">
            <v xml:space="preserve">NFT-/XUTR/DEUTH024309A02A3X </v>
          </cell>
          <cell r="CQ4787" t="str">
            <v>2024-11-04</v>
          </cell>
          <cell r="CR4787">
            <v>970.57500000000005</v>
          </cell>
        </row>
        <row r="4788">
          <cell r="CJ4788" t="str">
            <v xml:space="preserve">NFT-/XUTR/DEUTH02430980595X </v>
          </cell>
          <cell r="CK4788" t="str">
            <v>2024-11-04</v>
          </cell>
          <cell r="CL4788">
            <v>16151.846</v>
          </cell>
          <cell r="CP4788" t="str">
            <v xml:space="preserve">NFT-/XUTR/DEUTH024309A02A3X </v>
          </cell>
          <cell r="CQ4788" t="str">
            <v>2024-11-04</v>
          </cell>
          <cell r="CR4788">
            <v>970.57500000000005</v>
          </cell>
        </row>
        <row r="4789">
          <cell r="CJ4789" t="str">
            <v xml:space="preserve">NFT-/XUTR/DEUTH02430980595X </v>
          </cell>
          <cell r="CK4789" t="str">
            <v>2024-11-04</v>
          </cell>
          <cell r="CL4789">
            <v>7767.4790000000003</v>
          </cell>
          <cell r="CP4789" t="str">
            <v xml:space="preserve">NFT-/XUTR/DEUTH024309A02A3X </v>
          </cell>
          <cell r="CQ4789" t="str">
            <v>2024-11-04</v>
          </cell>
          <cell r="CR4789">
            <v>871.57799999999997</v>
          </cell>
        </row>
        <row r="4790">
          <cell r="CJ4790" t="str">
            <v xml:space="preserve">NFT-/XUTR/DEUTH02430980595X </v>
          </cell>
          <cell r="CK4790" t="str">
            <v>2024-11-04</v>
          </cell>
          <cell r="CL4790">
            <v>5592.9589999999998</v>
          </cell>
          <cell r="CP4790" t="str">
            <v xml:space="preserve">NFT-/XUTR/DEUTH024309A02A3X </v>
          </cell>
          <cell r="CQ4790" t="str">
            <v>2024-11-04</v>
          </cell>
          <cell r="CR4790">
            <v>659.02499999999998</v>
          </cell>
        </row>
        <row r="4791">
          <cell r="CJ4791" t="str">
            <v xml:space="preserve">NFT-/XUTR/DEUTH02430980595X </v>
          </cell>
          <cell r="CK4791" t="str">
            <v>2024-11-04</v>
          </cell>
          <cell r="CL4791">
            <v>11191.669</v>
          </cell>
          <cell r="CM4791" t="str">
            <v xml:space="preserve">NFT-/XUTR/DEUTH02432756454X </v>
          </cell>
          <cell r="CN4791" t="str">
            <v>2024-11-22</v>
          </cell>
          <cell r="CO4791">
            <v>-11191.669</v>
          </cell>
          <cell r="CP4791" t="str">
            <v xml:space="preserve">NFT-/XUTR/DEUTH024309A02A3X </v>
          </cell>
          <cell r="CQ4791" t="str">
            <v>2024-11-04</v>
          </cell>
          <cell r="CR4791">
            <v>970.57500000000005</v>
          </cell>
          <cell r="CV4791" t="str">
            <v xml:space="preserve">NFT-/XUTR/DEUTH02433956210X </v>
          </cell>
          <cell r="CW4791" t="str">
            <v>2024-12-04</v>
          </cell>
          <cell r="CX4791">
            <v>-970.57500000000005</v>
          </cell>
        </row>
        <row r="4792">
          <cell r="CJ4792" t="str">
            <v xml:space="preserve">NFT-/XUTR/DEUTH02430980595X </v>
          </cell>
          <cell r="CK4792" t="str">
            <v>2024-11-04</v>
          </cell>
          <cell r="CL4792">
            <v>16151.846</v>
          </cell>
          <cell r="CP4792" t="str">
            <v xml:space="preserve">NFT-/XUTR/DEUTH024309A02A3X </v>
          </cell>
          <cell r="CQ4792" t="str">
            <v>2024-11-04</v>
          </cell>
          <cell r="CR4792">
            <v>970.57500000000005</v>
          </cell>
        </row>
        <row r="4793">
          <cell r="CJ4793" t="str">
            <v xml:space="preserve">NFT-/XUTR/DEUTH02430980595X </v>
          </cell>
          <cell r="CK4793" t="str">
            <v>2024-11-04</v>
          </cell>
          <cell r="CL4793">
            <v>5349.7820000000002</v>
          </cell>
          <cell r="CP4793" t="str">
            <v xml:space="preserve">NFT-/XUTR/DEUTH024309A02A3X </v>
          </cell>
          <cell r="CQ4793" t="str">
            <v>2024-11-04</v>
          </cell>
          <cell r="CR4793">
            <v>921.07100000000003</v>
          </cell>
        </row>
        <row r="4794">
          <cell r="CJ4794" t="str">
            <v xml:space="preserve">NFT-/XUTR/DEUTH02430980595X </v>
          </cell>
          <cell r="CK4794" t="str">
            <v>2024-11-04</v>
          </cell>
          <cell r="CL4794">
            <v>17141.300999999999</v>
          </cell>
          <cell r="CM4794" t="str">
            <v xml:space="preserve">NFT-/XUTR/DEUTH02432756454X </v>
          </cell>
          <cell r="CN4794" t="str">
            <v>2024-11-22</v>
          </cell>
          <cell r="CO4794">
            <v>-17141.300999999999</v>
          </cell>
        </row>
        <row r="4795">
          <cell r="CJ4795" t="str">
            <v xml:space="preserve">NFT-/XUTR/DEUTH02430980595X </v>
          </cell>
          <cell r="CK4795" t="str">
            <v>2024-11-04</v>
          </cell>
          <cell r="CL4795">
            <v>8639.06</v>
          </cell>
        </row>
        <row r="4796">
          <cell r="CJ4796" t="str">
            <v xml:space="preserve">NFT-/XUTR/DEUTH02430980595X </v>
          </cell>
          <cell r="CK4796" t="str">
            <v>2024-11-04</v>
          </cell>
          <cell r="CL4796">
            <v>7748.6</v>
          </cell>
          <cell r="CP4796" t="str">
            <v xml:space="preserve">NFT-/XUTR/DEUTH024309A02A3X </v>
          </cell>
          <cell r="CQ4796" t="str">
            <v>2024-11-04</v>
          </cell>
          <cell r="CR4796">
            <v>871.57899999999995</v>
          </cell>
        </row>
        <row r="4797">
          <cell r="CJ4797" t="str">
            <v xml:space="preserve">NFT-/XUTR/DEUTH02430980595X </v>
          </cell>
          <cell r="CK4797" t="str">
            <v>2024-11-04</v>
          </cell>
          <cell r="CL4797">
            <v>7767.48</v>
          </cell>
          <cell r="CP4797" t="str">
            <v xml:space="preserve">NFT-/XUTR/DEUTH024309A02A3X </v>
          </cell>
          <cell r="CQ4797" t="str">
            <v>2024-11-04</v>
          </cell>
          <cell r="CR4797">
            <v>871.57899999999995</v>
          </cell>
        </row>
        <row r="4799">
          <cell r="CJ4799" t="str">
            <v xml:space="preserve">NFT-/XUTR/DEUTH02430980595X </v>
          </cell>
          <cell r="CK4799" t="str">
            <v>2024-11-04</v>
          </cell>
          <cell r="CL4799">
            <v>17141.300999999999</v>
          </cell>
          <cell r="CM4799" t="str">
            <v xml:space="preserve">NFT-/XUTR/DEUTH02431152062X </v>
          </cell>
          <cell r="CN4799" t="str">
            <v>2024-11-06</v>
          </cell>
          <cell r="CO4799">
            <v>-17141.300999999999</v>
          </cell>
        </row>
        <row r="4800">
          <cell r="CJ4800" t="str">
            <v xml:space="preserve">NFT-/XUTR/DEUTH02430980595X </v>
          </cell>
          <cell r="CK4800" t="str">
            <v>2024-11-04</v>
          </cell>
          <cell r="CL4800">
            <v>15986.846</v>
          </cell>
          <cell r="CP4800" t="str">
            <v xml:space="preserve">NFT-/XUTR/DEUTH024309A02A3X </v>
          </cell>
          <cell r="CQ4800" t="str">
            <v>2024-11-04</v>
          </cell>
          <cell r="CR4800">
            <v>970.57500000000005</v>
          </cell>
        </row>
        <row r="4801">
          <cell r="CJ4801" t="str">
            <v xml:space="preserve">NFT-/XUTR/DEUTH02430980595X </v>
          </cell>
          <cell r="CK4801" t="str">
            <v>2024-11-04</v>
          </cell>
          <cell r="CL4801">
            <v>7748.6</v>
          </cell>
          <cell r="CP4801" t="str">
            <v xml:space="preserve">NFT-/XUTR/DEUTH024309A02A3X </v>
          </cell>
          <cell r="CQ4801" t="str">
            <v>2024-11-04</v>
          </cell>
          <cell r="CR4801">
            <v>871.57899999999995</v>
          </cell>
        </row>
        <row r="4802">
          <cell r="CJ4802" t="str">
            <v xml:space="preserve">NFT-/XUTR/DEUTH02430980595X </v>
          </cell>
          <cell r="CK4802" t="str">
            <v>2024-11-04</v>
          </cell>
          <cell r="CL4802">
            <v>7767.4790000000003</v>
          </cell>
          <cell r="CP4802" t="str">
            <v xml:space="preserve">NFT-/XUTR/DEUTH024309A02A3X </v>
          </cell>
          <cell r="CQ4802" t="str">
            <v>2024-11-04</v>
          </cell>
          <cell r="CR4802">
            <v>871.57799999999997</v>
          </cell>
        </row>
        <row r="4803">
          <cell r="CJ4803" t="str">
            <v xml:space="preserve">NFT-/XUTR/DEUTH02430980595X </v>
          </cell>
          <cell r="CK4803" t="str">
            <v>2024-11-04</v>
          </cell>
          <cell r="CL4803">
            <v>34263.71</v>
          </cell>
        </row>
        <row r="4804">
          <cell r="CJ4804" t="str">
            <v xml:space="preserve">NFT-/XUTR/DEUTH02430980595X </v>
          </cell>
          <cell r="CK4804" t="str">
            <v>2024-11-04</v>
          </cell>
          <cell r="CL4804">
            <v>42677.118000000002</v>
          </cell>
        </row>
        <row r="4805">
          <cell r="CJ4805" t="str">
            <v xml:space="preserve">NFT-/XUTR/DEUTH02430980595X </v>
          </cell>
          <cell r="CK4805" t="str">
            <v>2024-11-04</v>
          </cell>
          <cell r="CL4805">
            <v>5636.1019999999999</v>
          </cell>
          <cell r="CP4805" t="str">
            <v xml:space="preserve">NFT-/XUTR/DEUTH024309A02A3X </v>
          </cell>
          <cell r="CQ4805" t="str">
            <v>2024-11-04</v>
          </cell>
          <cell r="CR4805">
            <v>634.76</v>
          </cell>
        </row>
        <row r="4806">
          <cell r="CJ4806" t="str">
            <v xml:space="preserve">NFT-/XUTR/DEUTH02430980595X </v>
          </cell>
          <cell r="CK4806" t="str">
            <v>2024-11-04</v>
          </cell>
          <cell r="CL4806">
            <v>6270.8620000000001</v>
          </cell>
          <cell r="CM4806" t="str">
            <v xml:space="preserve">NFT-/XUTR/DEUTH02431839302X </v>
          </cell>
          <cell r="CN4806" t="str">
            <v>2024-11-13</v>
          </cell>
          <cell r="CO4806">
            <v>-6270.8620000000001</v>
          </cell>
        </row>
        <row r="4807">
          <cell r="CJ4807" t="str">
            <v xml:space="preserve">NFT-/XUTR/DEUTH02430980595X </v>
          </cell>
          <cell r="CK4807" t="str">
            <v>2024-11-04</v>
          </cell>
          <cell r="CL4807">
            <v>1351.5440000000001</v>
          </cell>
          <cell r="CP4807" t="str">
            <v xml:space="preserve">NFT-/XUTR/DEUTH024309A02A3X </v>
          </cell>
          <cell r="CQ4807" t="str">
            <v>2024-11-04</v>
          </cell>
          <cell r="CR4807">
            <v>76.680000000000007</v>
          </cell>
        </row>
        <row r="4808">
          <cell r="CJ4808" t="str">
            <v xml:space="preserve">NFT-/XUTR/DEUTH02430980595X </v>
          </cell>
          <cell r="CK4808" t="str">
            <v>2024-11-04</v>
          </cell>
          <cell r="CL4808">
            <v>41104.785000000003</v>
          </cell>
          <cell r="CP4808" t="str">
            <v xml:space="preserve">NFT-/XUTR/DEUTH024309A02A3X </v>
          </cell>
          <cell r="CQ4808" t="str">
            <v>2024-11-04</v>
          </cell>
          <cell r="CR4808">
            <v>970.57500000000005</v>
          </cell>
        </row>
        <row r="4809">
          <cell r="CJ4809" t="str">
            <v xml:space="preserve">NFT-/XUTR/DEUTH02430980595X </v>
          </cell>
          <cell r="CK4809" t="str">
            <v>2024-11-04</v>
          </cell>
          <cell r="CL4809">
            <v>41104.785000000003</v>
          </cell>
          <cell r="CP4809" t="str">
            <v xml:space="preserve">NFT-/XUTR/DEUTH024309A02A3X </v>
          </cell>
          <cell r="CQ4809" t="str">
            <v>2024-11-04</v>
          </cell>
          <cell r="CR4809">
            <v>970.57500000000005</v>
          </cell>
        </row>
        <row r="4810">
          <cell r="CJ4810" t="str">
            <v xml:space="preserve">NFT-/XUTR/DEUTH02430980595X </v>
          </cell>
          <cell r="CK4810" t="str">
            <v>2024-11-04</v>
          </cell>
          <cell r="CL4810">
            <v>5312.9030000000002</v>
          </cell>
          <cell r="CP4810" t="str">
            <v xml:space="preserve">NFT-/XUTR/DEUTH024309A02A3X </v>
          </cell>
          <cell r="CQ4810" t="str">
            <v>2024-11-04</v>
          </cell>
          <cell r="CR4810">
            <v>598.84500000000003</v>
          </cell>
        </row>
        <row r="4811">
          <cell r="CJ4811" t="str">
            <v xml:space="preserve">NFT-/XUTR/DEUTH02430980595X </v>
          </cell>
          <cell r="CK4811" t="str">
            <v>2024-11-04</v>
          </cell>
          <cell r="CL4811">
            <v>2404.09</v>
          </cell>
          <cell r="CP4811" t="str">
            <v xml:space="preserve">NFT-/XUTR/DEUTH024309A02A3X </v>
          </cell>
          <cell r="CQ4811" t="str">
            <v>2024-11-04</v>
          </cell>
          <cell r="CR4811">
            <v>275.64600000000002</v>
          </cell>
        </row>
        <row r="4812">
          <cell r="CJ4812" t="str">
            <v xml:space="preserve">NFT-/XUTR/DEUTH02430980595X </v>
          </cell>
          <cell r="CK4812" t="str">
            <v>2024-11-04</v>
          </cell>
          <cell r="CL4812">
            <v>6109.299</v>
          </cell>
          <cell r="CP4812" t="str">
            <v xml:space="preserve">NFT-/XUTR/DEUTH024309A02A3X </v>
          </cell>
          <cell r="CQ4812" t="str">
            <v>2024-11-04</v>
          </cell>
          <cell r="CR4812">
            <v>142.673</v>
          </cell>
        </row>
        <row r="4813">
          <cell r="CJ4813" t="str">
            <v xml:space="preserve">NFT-/XUTR/DEUTH02430980595X </v>
          </cell>
          <cell r="CK4813" t="str">
            <v>2024-11-04</v>
          </cell>
          <cell r="CL4813">
            <v>16151.846</v>
          </cell>
          <cell r="CP4813" t="str">
            <v xml:space="preserve">NFT-/XUTR/DEUTH024309A02A3X </v>
          </cell>
          <cell r="CQ4813" t="str">
            <v>2024-11-04</v>
          </cell>
          <cell r="CR4813">
            <v>970.57500000000005</v>
          </cell>
        </row>
        <row r="4814">
          <cell r="CJ4814" t="str">
            <v xml:space="preserve">NFT-/XUTR/DEUTH02430980595X </v>
          </cell>
          <cell r="CK4814" t="str">
            <v>2024-11-04</v>
          </cell>
          <cell r="CL4814">
            <v>16151.846</v>
          </cell>
          <cell r="CP4814" t="str">
            <v xml:space="preserve">NFT-/XUTR/DEUTH024309A02A3X </v>
          </cell>
          <cell r="CQ4814" t="str">
            <v>2024-11-04</v>
          </cell>
          <cell r="CR4814">
            <v>970.57500000000005</v>
          </cell>
        </row>
        <row r="4815">
          <cell r="CJ4815" t="str">
            <v xml:space="preserve">NFT-/XUTR/DEUTH02430980595X </v>
          </cell>
          <cell r="CK4815" t="str">
            <v>2024-11-04</v>
          </cell>
          <cell r="CL4815">
            <v>7748.6</v>
          </cell>
          <cell r="CP4815" t="str">
            <v xml:space="preserve">NFT-/XUTR/DEUTH024309A02A3X </v>
          </cell>
          <cell r="CQ4815" t="str">
            <v>2024-11-04</v>
          </cell>
          <cell r="CR4815">
            <v>871.57899999999995</v>
          </cell>
        </row>
        <row r="4816">
          <cell r="CJ4816" t="str">
            <v xml:space="preserve">NFT-/XUTR/DEUTH02430980595X </v>
          </cell>
          <cell r="CK4816" t="str">
            <v>2024-11-04</v>
          </cell>
          <cell r="CL4816">
            <v>7748.6</v>
          </cell>
          <cell r="CP4816" t="str">
            <v xml:space="preserve">NFT-/XUTR/DEUTH024309A02A3X </v>
          </cell>
          <cell r="CQ4816" t="str">
            <v>2024-11-04</v>
          </cell>
          <cell r="CR4816">
            <v>871.57899999999995</v>
          </cell>
        </row>
        <row r="4817">
          <cell r="CJ4817" t="str">
            <v xml:space="preserve">NFT-/XUTR/DEUTH02430980595X </v>
          </cell>
          <cell r="CK4817" t="str">
            <v>2024-11-04</v>
          </cell>
          <cell r="CL4817">
            <v>42677.118000000002</v>
          </cell>
        </row>
        <row r="4818">
          <cell r="CJ4818" t="str">
            <v xml:space="preserve">NFT-/XUTR/DEUTH02430980595X </v>
          </cell>
          <cell r="CK4818" t="str">
            <v>2024-11-04</v>
          </cell>
          <cell r="CL4818">
            <v>7767.48</v>
          </cell>
          <cell r="CP4818" t="str">
            <v xml:space="preserve">NFT-/XUTR/DEUTH024309A02A3X </v>
          </cell>
          <cell r="CQ4818" t="str">
            <v>2024-11-04</v>
          </cell>
          <cell r="CR4818">
            <v>871.57899999999995</v>
          </cell>
        </row>
        <row r="4819">
          <cell r="CJ4819" t="str">
            <v xml:space="preserve">NFT-/XUTR/DEUTH02430980595X </v>
          </cell>
          <cell r="CK4819" t="str">
            <v>2024-11-04</v>
          </cell>
          <cell r="CL4819">
            <v>5294.0230000000001</v>
          </cell>
          <cell r="CP4819" t="str">
            <v xml:space="preserve">NFT-/XUTR/DEUTH024309A02A3X </v>
          </cell>
          <cell r="CQ4819" t="str">
            <v>2024-11-04</v>
          </cell>
          <cell r="CR4819">
            <v>598.846</v>
          </cell>
        </row>
        <row r="4820">
          <cell r="CJ4820" t="str">
            <v xml:space="preserve">NFT-/XUTR/DEUTH02430980595X </v>
          </cell>
          <cell r="CK4820" t="str">
            <v>2024-11-04</v>
          </cell>
          <cell r="CL4820">
            <v>10871.382</v>
          </cell>
          <cell r="CM4820" t="str">
            <v xml:space="preserve">NFT-/XUTR/DEUTH02432045075X </v>
          </cell>
          <cell r="CN4820" t="str">
            <v>2024-11-15</v>
          </cell>
          <cell r="CO4820">
            <v>-10871.382</v>
          </cell>
          <cell r="CP4820" t="str">
            <v xml:space="preserve">NFT-/XUTR/DEUTH024309A02A3X </v>
          </cell>
          <cell r="CQ4820" t="str">
            <v>2024-11-04</v>
          </cell>
          <cell r="CR4820">
            <v>970.57500000000005</v>
          </cell>
          <cell r="CS4820" t="str">
            <v xml:space="preserve">NFT-/XUTR/DEUTH02432059153X </v>
          </cell>
          <cell r="CT4820" t="str">
            <v>2024-11-15</v>
          </cell>
          <cell r="CU4820">
            <v>-970.57500000000005</v>
          </cell>
        </row>
        <row r="4821">
          <cell r="CJ4821" t="str">
            <v xml:space="preserve">NFT-/XUTR/DEUTH02430980595X </v>
          </cell>
          <cell r="CK4821" t="str">
            <v>2024-11-04</v>
          </cell>
          <cell r="CL4821">
            <v>5312.9030000000002</v>
          </cell>
          <cell r="CP4821" t="str">
            <v xml:space="preserve">NFT-/XUTR/DEUTH024309A02A3X </v>
          </cell>
          <cell r="CQ4821" t="str">
            <v>2024-11-04</v>
          </cell>
          <cell r="CR4821">
            <v>598.846</v>
          </cell>
        </row>
        <row r="4822">
          <cell r="CJ4822" t="str">
            <v xml:space="preserve">NFT-/XUTR/DEUTH02430980595X </v>
          </cell>
          <cell r="CK4822" t="str">
            <v>2024-11-04</v>
          </cell>
          <cell r="CL4822">
            <v>10871.380999999999</v>
          </cell>
          <cell r="CM4822" t="str">
            <v xml:space="preserve">NFT-/XUTR/DEUTH02432540165X </v>
          </cell>
          <cell r="CN4822" t="str">
            <v>2024-11-20</v>
          </cell>
          <cell r="CO4822">
            <v>-10871.380999999999</v>
          </cell>
          <cell r="CP4822" t="str">
            <v xml:space="preserve">NFT-/XUTR/DEUTH024309A02A3X </v>
          </cell>
          <cell r="CQ4822" t="str">
            <v>2024-11-04</v>
          </cell>
          <cell r="CR4822">
            <v>970.57500000000005</v>
          </cell>
          <cell r="CS4822" t="str">
            <v xml:space="preserve">NFT-/XUTR/DEUTH02432567146X </v>
          </cell>
          <cell r="CT4822" t="str">
            <v>2024-11-20</v>
          </cell>
          <cell r="CU4822">
            <v>-970.57500000000005</v>
          </cell>
        </row>
        <row r="4823">
          <cell r="CJ4823" t="str">
            <v xml:space="preserve">NFT-/XUTR/DEUTH02430980595X </v>
          </cell>
          <cell r="CK4823" t="str">
            <v>2024-11-04</v>
          </cell>
          <cell r="CL4823">
            <v>7748.6</v>
          </cell>
          <cell r="CP4823" t="str">
            <v xml:space="preserve">NFT-/XUTR/DEUTH024309A02A3X </v>
          </cell>
          <cell r="CQ4823" t="str">
            <v>2024-11-04</v>
          </cell>
          <cell r="CR4823">
            <v>871.57899999999995</v>
          </cell>
        </row>
        <row r="4824">
          <cell r="CJ4824" t="str">
            <v xml:space="preserve">NFT-/XUTR/DEUTH02430980595X </v>
          </cell>
          <cell r="CK4824" t="str">
            <v>2024-11-04</v>
          </cell>
          <cell r="CL4824">
            <v>5312.9030000000002</v>
          </cell>
          <cell r="CP4824" t="str">
            <v xml:space="preserve">NFT-/XUTR/DEUTH024309A02A3X </v>
          </cell>
          <cell r="CQ4824" t="str">
            <v>2024-11-04</v>
          </cell>
          <cell r="CR4824">
            <v>598.846</v>
          </cell>
        </row>
        <row r="4825">
          <cell r="CJ4825" t="str">
            <v xml:space="preserve">NFT-/XUTR/DEUTH02430980595X </v>
          </cell>
          <cell r="CK4825" t="str">
            <v>2024-11-04</v>
          </cell>
          <cell r="CL4825">
            <v>83995.02</v>
          </cell>
        </row>
        <row r="4826">
          <cell r="CJ4826" t="str">
            <v xml:space="preserve">NFT-/XUTR/DEUTH02430980595X </v>
          </cell>
          <cell r="CK4826" t="str">
            <v>2024-11-04</v>
          </cell>
          <cell r="CL4826">
            <v>5860.3069999999998</v>
          </cell>
          <cell r="CP4826" t="str">
            <v xml:space="preserve">NFT-/XUTR/DEUTH024309A02A3X </v>
          </cell>
          <cell r="CQ4826" t="str">
            <v>2024-11-04</v>
          </cell>
          <cell r="CR4826">
            <v>410.55599999999998</v>
          </cell>
        </row>
        <row r="4827">
          <cell r="CJ4827" t="str">
            <v xml:space="preserve">NFT-/XUTR/DEUTH02430980595X </v>
          </cell>
          <cell r="CK4827" t="str">
            <v>2024-11-04</v>
          </cell>
          <cell r="CL4827">
            <v>7767.4790000000003</v>
          </cell>
          <cell r="CP4827" t="str">
            <v xml:space="preserve">NFT-/XUTR/DEUTH024309A02A3X </v>
          </cell>
          <cell r="CQ4827" t="str">
            <v>2024-11-04</v>
          </cell>
          <cell r="CR4827">
            <v>871.57799999999997</v>
          </cell>
        </row>
        <row r="4828">
          <cell r="CJ4828" t="str">
            <v xml:space="preserve">NFT-/XUTR/DEUTH02430980595X </v>
          </cell>
          <cell r="CK4828" t="str">
            <v>2024-11-04</v>
          </cell>
          <cell r="CL4828">
            <v>7767.48</v>
          </cell>
          <cell r="CP4828" t="str">
            <v xml:space="preserve">NFT-/XUTR/DEUTH024309A02A3X </v>
          </cell>
          <cell r="CQ4828" t="str">
            <v>2024-11-04</v>
          </cell>
          <cell r="CR4828">
            <v>871.57899999999995</v>
          </cell>
        </row>
        <row r="4829">
          <cell r="CJ4829" t="str">
            <v xml:space="preserve">NFT-/XUTR/DEUTH02430980595X </v>
          </cell>
          <cell r="CK4829" t="str">
            <v>2024-11-04</v>
          </cell>
          <cell r="CL4829">
            <v>10871.382</v>
          </cell>
          <cell r="CM4829" t="str">
            <v xml:space="preserve">NFT-/XUTR/DEUTH02432045075X </v>
          </cell>
          <cell r="CN4829" t="str">
            <v>2024-11-15</v>
          </cell>
          <cell r="CO4829">
            <v>-10871.382</v>
          </cell>
          <cell r="CP4829" t="str">
            <v xml:space="preserve">NFT-/XUTR/DEUTH024309A02A3X </v>
          </cell>
          <cell r="CQ4829" t="str">
            <v>2024-11-04</v>
          </cell>
          <cell r="CR4829">
            <v>970.57500000000005</v>
          </cell>
          <cell r="CS4829" t="str">
            <v xml:space="preserve">NFT-/XUTR/DEUTH02432059153X </v>
          </cell>
          <cell r="CT4829" t="str">
            <v>2024-11-15</v>
          </cell>
          <cell r="CU4829">
            <v>-970.57500000000005</v>
          </cell>
        </row>
        <row r="4830">
          <cell r="CJ4830" t="str">
            <v xml:space="preserve">NFT-/XUTR/DEUTH02430980595X </v>
          </cell>
          <cell r="CK4830" t="str">
            <v>2024-11-04</v>
          </cell>
          <cell r="CL4830">
            <v>15336.558999999999</v>
          </cell>
          <cell r="CP4830" t="str">
            <v xml:space="preserve">NFT-/XUTR/DEUTH024309A02A3X </v>
          </cell>
          <cell r="CQ4830" t="str">
            <v>2024-11-04</v>
          </cell>
          <cell r="CR4830">
            <v>1455.8620000000001</v>
          </cell>
        </row>
        <row r="4831">
          <cell r="CJ4831" t="str">
            <v xml:space="preserve">NFT-/XUTR/DEUTH02430980595X </v>
          </cell>
          <cell r="CK4831" t="str">
            <v>2024-11-04</v>
          </cell>
          <cell r="CL4831">
            <v>15666.558000000001</v>
          </cell>
          <cell r="CP4831" t="str">
            <v xml:space="preserve">NFT-/XUTR/DEUTH024309A02A3X </v>
          </cell>
          <cell r="CQ4831" t="str">
            <v>2024-11-04</v>
          </cell>
          <cell r="CR4831">
            <v>1455.8620000000001</v>
          </cell>
        </row>
        <row r="4832">
          <cell r="CJ4832" t="str">
            <v xml:space="preserve">NFT-/XUTR/DEUTH02430980595X </v>
          </cell>
          <cell r="CK4832" t="str">
            <v>2024-11-04</v>
          </cell>
          <cell r="CL4832">
            <v>5311.9279999999999</v>
          </cell>
          <cell r="CP4832" t="str">
            <v xml:space="preserve">NFT-/XUTR/DEUTH024309A02A3X </v>
          </cell>
          <cell r="CQ4832" t="str">
            <v>2024-11-04</v>
          </cell>
          <cell r="CR4832">
            <v>599.82000000000005</v>
          </cell>
        </row>
        <row r="4833">
          <cell r="CJ4833" t="str">
            <v xml:space="preserve">NFT-/XUTR/DEUTH02430980595X </v>
          </cell>
          <cell r="CK4833" t="str">
            <v>2024-11-04</v>
          </cell>
          <cell r="CL4833">
            <v>15336.558999999999</v>
          </cell>
          <cell r="CP4833" t="str">
            <v xml:space="preserve">NFT-/XUTR/DEUTH024309A02A3X </v>
          </cell>
          <cell r="CQ4833" t="str">
            <v>2024-11-04</v>
          </cell>
          <cell r="CR4833">
            <v>1455.8620000000001</v>
          </cell>
        </row>
        <row r="4834">
          <cell r="CJ4834" t="str">
            <v xml:space="preserve">NFT-/XUTR/DEUTH02430980595X </v>
          </cell>
          <cell r="CK4834" t="str">
            <v>2024-11-04</v>
          </cell>
          <cell r="CL4834">
            <v>15355.439</v>
          </cell>
          <cell r="CP4834" t="str">
            <v xml:space="preserve">NFT-/XUTR/DEUTH024309A02A3X </v>
          </cell>
          <cell r="CQ4834" t="str">
            <v>2024-11-04</v>
          </cell>
          <cell r="CR4834">
            <v>1455.8620000000001</v>
          </cell>
        </row>
        <row r="4835">
          <cell r="CJ4835" t="str">
            <v xml:space="preserve">NFT-/XUTR/DEUTH02430980595X </v>
          </cell>
          <cell r="CK4835" t="str">
            <v>2024-11-04</v>
          </cell>
          <cell r="CL4835">
            <v>15685.438</v>
          </cell>
          <cell r="CP4835" t="str">
            <v xml:space="preserve">NFT-/XUTR/DEUTH024309A02A3X </v>
          </cell>
          <cell r="CQ4835" t="str">
            <v>2024-11-04</v>
          </cell>
          <cell r="CR4835">
            <v>1455.8620000000001</v>
          </cell>
        </row>
        <row r="4836">
          <cell r="CJ4836" t="str">
            <v xml:space="preserve">NFT-/XUTR/DEUTH02430980595X </v>
          </cell>
          <cell r="CK4836" t="str">
            <v>2024-11-04</v>
          </cell>
          <cell r="CL4836">
            <v>15685.438</v>
          </cell>
          <cell r="CP4836" t="str">
            <v xml:space="preserve">NFT-/XUTR/DEUTH024309A02A3X </v>
          </cell>
          <cell r="CQ4836" t="str">
            <v>2024-11-04</v>
          </cell>
          <cell r="CR4836">
            <v>1455.8620000000001</v>
          </cell>
        </row>
        <row r="4837">
          <cell r="CJ4837" t="str">
            <v xml:space="preserve">NFT-/XUTR/DEUTH02430980595X </v>
          </cell>
          <cell r="CK4837" t="str">
            <v>2024-11-04</v>
          </cell>
          <cell r="CL4837">
            <v>10938.35</v>
          </cell>
          <cell r="CM4837" t="str">
            <v xml:space="preserve">NFT-/XUTR/DEUTH02432045075X </v>
          </cell>
          <cell r="CN4837" t="str">
            <v>2024-11-15</v>
          </cell>
          <cell r="CO4837">
            <v>-10938.35</v>
          </cell>
          <cell r="CP4837" t="str">
            <v xml:space="preserve">NFT-/XUTR/DEUTH024309A02A3X </v>
          </cell>
          <cell r="CQ4837" t="str">
            <v>2024-11-04</v>
          </cell>
          <cell r="CR4837">
            <v>1223.894</v>
          </cell>
          <cell r="CS4837" t="str">
            <v xml:space="preserve">NFT-/XUTR/DEUTH02432059153X </v>
          </cell>
          <cell r="CT4837" t="str">
            <v>2024-11-15</v>
          </cell>
          <cell r="CU4837">
            <v>-1223.894</v>
          </cell>
        </row>
        <row r="4838">
          <cell r="CJ4838" t="str">
            <v xml:space="preserve">NFT-/XUTR/DEUTH02430980595X </v>
          </cell>
          <cell r="CK4838" t="str">
            <v>2024-11-04</v>
          </cell>
          <cell r="CL4838">
            <v>5042.1080000000002</v>
          </cell>
          <cell r="CM4838" t="str">
            <v xml:space="preserve">NFT-/XUTR/DEUTH02431649943X </v>
          </cell>
          <cell r="CN4838" t="str">
            <v>2024-11-11</v>
          </cell>
          <cell r="CO4838">
            <v>-5042.1080000000002</v>
          </cell>
          <cell r="CP4838" t="str">
            <v xml:space="preserve">NFT-/XUTR/DEUTH024309A02A3X </v>
          </cell>
          <cell r="CQ4838" t="str">
            <v>2024-11-04</v>
          </cell>
          <cell r="CR4838">
            <v>869.64</v>
          </cell>
          <cell r="CS4838" t="str">
            <v xml:space="preserve">NFT-/XUTR/DEUTH02431658955X </v>
          </cell>
          <cell r="CT4838" t="str">
            <v>2024-11-11</v>
          </cell>
          <cell r="CU4838">
            <v>-869.64</v>
          </cell>
        </row>
        <row r="4839">
          <cell r="CJ4839" t="str">
            <v xml:space="preserve">NFT-/XUTR/DEUTH02430980595X </v>
          </cell>
          <cell r="CK4839" t="str">
            <v>2024-11-04</v>
          </cell>
          <cell r="CL4839">
            <v>15666.558000000001</v>
          </cell>
          <cell r="CP4839" t="str">
            <v xml:space="preserve">NFT-/XUTR/DEUTH024309A02A3X </v>
          </cell>
          <cell r="CQ4839" t="str">
            <v>2024-11-04</v>
          </cell>
          <cell r="CR4839">
            <v>1455.8620000000001</v>
          </cell>
        </row>
        <row r="4840">
          <cell r="CJ4840" t="str">
            <v xml:space="preserve">NFT-/XUTR/DEUTH02430980595X </v>
          </cell>
          <cell r="CK4840" t="str">
            <v>2024-11-04</v>
          </cell>
          <cell r="CL4840">
            <v>57443.368000000002</v>
          </cell>
          <cell r="CM4840" t="str">
            <v xml:space="preserve">NFT-/XUTR/DEUTH02432045075X </v>
          </cell>
          <cell r="CN4840" t="str">
            <v>2024-11-15</v>
          </cell>
          <cell r="CO4840">
            <v>-57443.368000000002</v>
          </cell>
        </row>
        <row r="4841">
          <cell r="CJ4841" t="str">
            <v xml:space="preserve">NFT-/XUTR/DEUTH02430980595X </v>
          </cell>
          <cell r="CK4841" t="str">
            <v>2024-11-04</v>
          </cell>
          <cell r="CL4841">
            <v>15666.558000000001</v>
          </cell>
          <cell r="CP4841" t="str">
            <v xml:space="preserve">NFT-/XUTR/DEUTH024309A02A3X </v>
          </cell>
          <cell r="CQ4841" t="str">
            <v>2024-11-04</v>
          </cell>
          <cell r="CR4841">
            <v>1455.8620000000001</v>
          </cell>
        </row>
        <row r="4842">
          <cell r="CJ4842" t="str">
            <v xml:space="preserve">NFT-/XUTR/DEUTH02430980595X </v>
          </cell>
          <cell r="CK4842" t="str">
            <v>2024-11-04</v>
          </cell>
          <cell r="CL4842">
            <v>42075.358999999997</v>
          </cell>
          <cell r="CM4842" t="str">
            <v xml:space="preserve">NFT-/XUTR/DEUTH02432540165X </v>
          </cell>
          <cell r="CN4842" t="str">
            <v>2024-11-20</v>
          </cell>
          <cell r="CO4842">
            <v>-42075.358999999997</v>
          </cell>
        </row>
        <row r="4843">
          <cell r="CJ4843" t="str">
            <v xml:space="preserve">NFT-/XUTR/DEUTH02430980595X </v>
          </cell>
          <cell r="CK4843" t="str">
            <v>2024-11-04</v>
          </cell>
          <cell r="CL4843">
            <v>15666.558000000001</v>
          </cell>
          <cell r="CP4843" t="str">
            <v xml:space="preserve">NFT-/XUTR/DEUTH024309A02A3X </v>
          </cell>
          <cell r="CQ4843" t="str">
            <v>2024-11-04</v>
          </cell>
          <cell r="CR4843">
            <v>1455.8620000000001</v>
          </cell>
        </row>
        <row r="4844">
          <cell r="CJ4844" t="str">
            <v xml:space="preserve">NFT-/XUTR/DEUTH02430980595X </v>
          </cell>
          <cell r="CK4844" t="str">
            <v>2024-11-04</v>
          </cell>
          <cell r="CL4844">
            <v>11148.504000000001</v>
          </cell>
          <cell r="CM4844" t="str">
            <v xml:space="preserve">NFT-/XUTR/DEUTH024334A0F3IX </v>
          </cell>
          <cell r="CN4844" t="str">
            <v>2024-11-29</v>
          </cell>
          <cell r="CO4844">
            <v>-11568.584000000001</v>
          </cell>
          <cell r="CP4844" t="str">
            <v xml:space="preserve">NFT-/XUTR/DEUTH024309A02A3X </v>
          </cell>
          <cell r="CQ4844" t="str">
            <v>2024-11-04</v>
          </cell>
          <cell r="CR4844">
            <v>1257.8599999999999</v>
          </cell>
          <cell r="CV4844" t="str">
            <v xml:space="preserve">NFT-/XUTR/DEUTH02433956210X </v>
          </cell>
          <cell r="CW4844" t="str">
            <v>2024-12-04</v>
          </cell>
          <cell r="CX4844">
            <v>-1257.8599999999999</v>
          </cell>
        </row>
        <row r="4845">
          <cell r="CJ4845" t="str">
            <v xml:space="preserve">NFT-/XUTR/DEUTH02430980595X </v>
          </cell>
          <cell r="CK4845" t="str">
            <v>2024-11-04</v>
          </cell>
          <cell r="CL4845">
            <v>15355.439</v>
          </cell>
          <cell r="CP4845" t="str">
            <v xml:space="preserve">NFT-/XUTR/DEUTH024309A02A3X </v>
          </cell>
          <cell r="CQ4845" t="str">
            <v>2024-11-04</v>
          </cell>
          <cell r="CR4845">
            <v>1455.8620000000001</v>
          </cell>
        </row>
        <row r="4846">
          <cell r="CJ4846" t="str">
            <v xml:space="preserve">NFT-/XUTR/DEUTH02430980595X </v>
          </cell>
          <cell r="CK4846" t="str">
            <v>2024-11-04</v>
          </cell>
          <cell r="CL4846">
            <v>15311.761</v>
          </cell>
          <cell r="CP4846" t="str">
            <v xml:space="preserve">NFT-/XUTR/DEUTH024309A02A3X </v>
          </cell>
          <cell r="CQ4846" t="str">
            <v>2024-11-04</v>
          </cell>
          <cell r="CR4846">
            <v>1829.529</v>
          </cell>
        </row>
        <row r="4847">
          <cell r="CJ4847" t="str">
            <v xml:space="preserve">NFT-/XUTR/DEUTH02430980595X </v>
          </cell>
          <cell r="CK4847" t="str">
            <v>2024-11-04</v>
          </cell>
          <cell r="CL4847">
            <v>7767.48</v>
          </cell>
          <cell r="CP4847" t="str">
            <v xml:space="preserve">NFT-/XUTR/DEUTH024309A02A3X </v>
          </cell>
          <cell r="CQ4847" t="str">
            <v>2024-11-04</v>
          </cell>
          <cell r="CR4847">
            <v>871.57899999999995</v>
          </cell>
        </row>
        <row r="4848">
          <cell r="CJ4848" t="str">
            <v xml:space="preserve">NFT-/XUTR/DEUTH02430980595X </v>
          </cell>
          <cell r="CK4848" t="str">
            <v>2024-11-04</v>
          </cell>
          <cell r="CL4848">
            <v>10520.984</v>
          </cell>
          <cell r="CP4848" t="str">
            <v xml:space="preserve">NFT-/XUTR/DEUTH024309A02A3X </v>
          </cell>
          <cell r="CQ4848" t="str">
            <v>2024-11-04</v>
          </cell>
          <cell r="CR4848">
            <v>1186.0419999999999</v>
          </cell>
        </row>
        <row r="4849">
          <cell r="CJ4849" t="str">
            <v xml:space="preserve">NFT-/XUTR/DEUTH02430980595X </v>
          </cell>
          <cell r="CK4849" t="str">
            <v>2024-11-04</v>
          </cell>
          <cell r="CL4849">
            <v>15336.558999999999</v>
          </cell>
          <cell r="CP4849" t="str">
            <v xml:space="preserve">NFT-/XUTR/DEUTH024309A02A3X </v>
          </cell>
          <cell r="CQ4849" t="str">
            <v>2024-11-04</v>
          </cell>
          <cell r="CR4849">
            <v>1455.8620000000001</v>
          </cell>
        </row>
        <row r="4850">
          <cell r="CJ4850" t="str">
            <v xml:space="preserve">NFT-/XUTR/DEUTH02430980595X </v>
          </cell>
          <cell r="CK4850" t="str">
            <v>2024-11-04</v>
          </cell>
          <cell r="CL4850">
            <v>15666.558000000001</v>
          </cell>
          <cell r="CP4850" t="str">
            <v xml:space="preserve">NFT-/XUTR/DEUTH024309A02A3X </v>
          </cell>
          <cell r="CQ4850" t="str">
            <v>2024-11-04</v>
          </cell>
          <cell r="CR4850">
            <v>1455.8620000000001</v>
          </cell>
        </row>
        <row r="4851">
          <cell r="CJ4851" t="str">
            <v xml:space="preserve">NFT-/XUTR/DEUTH02430980595X </v>
          </cell>
          <cell r="CK4851" t="str">
            <v>2024-11-04</v>
          </cell>
          <cell r="CL4851">
            <v>15520.438</v>
          </cell>
          <cell r="CP4851" t="str">
            <v xml:space="preserve">NFT-/XUTR/DEUTH024309A02A3X </v>
          </cell>
          <cell r="CQ4851" t="str">
            <v>2024-11-04</v>
          </cell>
          <cell r="CR4851">
            <v>1455.8620000000001</v>
          </cell>
        </row>
        <row r="4852">
          <cell r="CJ4852" t="str">
            <v xml:space="preserve">NFT-/XUTR/DEUTH02430980595X </v>
          </cell>
          <cell r="CK4852" t="str">
            <v>2024-11-04</v>
          </cell>
          <cell r="CL4852">
            <v>15666.558000000001</v>
          </cell>
          <cell r="CP4852" t="str">
            <v xml:space="preserve">NFT-/XUTR/DEUTH024309A02A3X </v>
          </cell>
          <cell r="CQ4852" t="str">
            <v>2024-11-04</v>
          </cell>
          <cell r="CR4852">
            <v>1455.8620000000001</v>
          </cell>
        </row>
        <row r="4853">
          <cell r="CJ4853" t="str">
            <v xml:space="preserve">NFT-/XUTR/DEUTH02430980595X </v>
          </cell>
          <cell r="CK4853" t="str">
            <v>2024-11-04</v>
          </cell>
          <cell r="CL4853">
            <v>167965.67600000001</v>
          </cell>
          <cell r="CM4853" t="str">
            <v xml:space="preserve">NFT-/XUTR/DEUTH02432045075X </v>
          </cell>
          <cell r="CN4853" t="str">
            <v>2024-11-15</v>
          </cell>
          <cell r="CO4853">
            <v>-167965.67600000001</v>
          </cell>
          <cell r="CP4853" t="str">
            <v xml:space="preserve">NFT-/XUTR/DEUTH024309A02A3X </v>
          </cell>
          <cell r="CQ4853" t="str">
            <v>2024-11-04</v>
          </cell>
          <cell r="CR4853">
            <v>62.118000000000002</v>
          </cell>
          <cell r="CS4853" t="str">
            <v xml:space="preserve">NFT-/XUTR/DEUTH02432059153X </v>
          </cell>
          <cell r="CT4853" t="str">
            <v>2024-11-15</v>
          </cell>
          <cell r="CU4853">
            <v>-62.118000000000002</v>
          </cell>
        </row>
        <row r="4854">
          <cell r="CJ4854" t="str">
            <v xml:space="preserve">NFT-/XUTR/DEUTH02430980595X </v>
          </cell>
          <cell r="CK4854" t="str">
            <v>2024-11-04</v>
          </cell>
          <cell r="CL4854">
            <v>15355.439</v>
          </cell>
          <cell r="CM4854" t="str">
            <v xml:space="preserve">NFT-/XUTR/DEUTH02432756454X </v>
          </cell>
          <cell r="CN4854" t="str">
            <v>2024-11-22</v>
          </cell>
          <cell r="CO4854">
            <v>-15355.439</v>
          </cell>
          <cell r="CP4854" t="str">
            <v xml:space="preserve">NFT-/XUTR/DEUTH024309A02A3X </v>
          </cell>
          <cell r="CQ4854" t="str">
            <v>2024-11-04</v>
          </cell>
          <cell r="CR4854">
            <v>1455.8620000000001</v>
          </cell>
          <cell r="CV4854" t="str">
            <v xml:space="preserve">NFT-/XUTR/DEUTH02433956210X </v>
          </cell>
          <cell r="CW4854" t="str">
            <v>2024-12-04</v>
          </cell>
          <cell r="CX4854">
            <v>-1455.8620000000001</v>
          </cell>
        </row>
        <row r="4855">
          <cell r="CJ4855" t="str">
            <v xml:space="preserve">NFT-/XUTR/DEUTH02430980595X </v>
          </cell>
          <cell r="CK4855" t="str">
            <v>2024-11-04</v>
          </cell>
          <cell r="CL4855">
            <v>10899.531999999999</v>
          </cell>
          <cell r="CM4855" t="str">
            <v xml:space="preserve">NFT-/XUTR/DEUTH02433037112X </v>
          </cell>
          <cell r="CN4855" t="str">
            <v>2024-11-25</v>
          </cell>
          <cell r="CO4855">
            <v>-10899.531999999999</v>
          </cell>
          <cell r="CP4855" t="str">
            <v xml:space="preserve">NFT-/XUTR/DEUTH024309A02A3X </v>
          </cell>
          <cell r="CQ4855" t="str">
            <v>2024-11-04</v>
          </cell>
          <cell r="CR4855">
            <v>1262.721</v>
          </cell>
          <cell r="CV4855" t="str">
            <v xml:space="preserve">NFT-/XUTR/DEUTH02433956210X </v>
          </cell>
          <cell r="CW4855" t="str">
            <v>2024-12-04</v>
          </cell>
          <cell r="CX4855">
            <v>-1262.721</v>
          </cell>
        </row>
        <row r="4856">
          <cell r="CJ4856" t="str">
            <v xml:space="preserve">NFT-/XUTR/DEUTH02430980595X </v>
          </cell>
          <cell r="CK4856" t="str">
            <v>2024-11-04</v>
          </cell>
          <cell r="CL4856">
            <v>15336.558999999999</v>
          </cell>
          <cell r="CP4856" t="str">
            <v xml:space="preserve">NFT-/XUTR/DEUTH024309A02A3X </v>
          </cell>
          <cell r="CQ4856" t="str">
            <v>2024-11-04</v>
          </cell>
          <cell r="CR4856">
            <v>1455.8620000000001</v>
          </cell>
        </row>
        <row r="4857">
          <cell r="CJ4857" t="str">
            <v xml:space="preserve">NFT-/XUTR/DEUTH02430980595X </v>
          </cell>
          <cell r="CK4857" t="str">
            <v>2024-11-04</v>
          </cell>
          <cell r="CL4857">
            <v>15501.558000000001</v>
          </cell>
          <cell r="CP4857" t="str">
            <v xml:space="preserve">NFT-/XUTR/DEUTH024309A02A3X </v>
          </cell>
          <cell r="CQ4857" t="str">
            <v>2024-11-04</v>
          </cell>
          <cell r="CR4857">
            <v>1455.8620000000001</v>
          </cell>
        </row>
        <row r="4858">
          <cell r="CJ4858" t="str">
            <v xml:space="preserve">NFT-/XUTR/DEUTH02430980595X </v>
          </cell>
          <cell r="CK4858" t="str">
            <v>2024-11-04</v>
          </cell>
          <cell r="CL4858">
            <v>39630.042999999998</v>
          </cell>
          <cell r="CP4858" t="str">
            <v xml:space="preserve">NFT-/XUTR/DEUTH024309A02A3X </v>
          </cell>
          <cell r="CQ4858" t="str">
            <v>2024-11-04</v>
          </cell>
          <cell r="CR4858">
            <v>2426.4369999999999</v>
          </cell>
        </row>
        <row r="4859">
          <cell r="CJ4859" t="str">
            <v xml:space="preserve">NFT-/XUTR/DEUTH02430980595X </v>
          </cell>
          <cell r="CK4859" t="str">
            <v>2024-11-04</v>
          </cell>
          <cell r="CL4859">
            <v>15336.558999999999</v>
          </cell>
          <cell r="CP4859" t="str">
            <v xml:space="preserve">NFT-/XUTR/DEUTH024309A02A3X </v>
          </cell>
          <cell r="CQ4859" t="str">
            <v>2024-11-04</v>
          </cell>
          <cell r="CR4859">
            <v>1455.8620000000001</v>
          </cell>
        </row>
        <row r="4860">
          <cell r="CJ4860" t="str">
            <v xml:space="preserve">NFT-/XUTR/DEUTH02430980595X </v>
          </cell>
          <cell r="CK4860" t="str">
            <v>2024-11-04</v>
          </cell>
          <cell r="CL4860">
            <v>10502.103999999999</v>
          </cell>
          <cell r="CP4860" t="str">
            <v xml:space="preserve">NFT-/XUTR/DEUTH024309A02A3X </v>
          </cell>
          <cell r="CQ4860" t="str">
            <v>2024-11-04</v>
          </cell>
          <cell r="CR4860">
            <v>1186.0419999999999</v>
          </cell>
        </row>
        <row r="4861">
          <cell r="CJ4861" t="str">
            <v xml:space="preserve">NFT-/XUTR/DEUTH02430980595X </v>
          </cell>
          <cell r="CK4861" t="str">
            <v>2024-11-04</v>
          </cell>
          <cell r="CL4861">
            <v>41221.256000000001</v>
          </cell>
          <cell r="CP4861" t="str">
            <v xml:space="preserve">NFT-/XUTR/DEUTH024309A02A3X </v>
          </cell>
          <cell r="CQ4861" t="str">
            <v>2024-11-04</v>
          </cell>
          <cell r="CR4861">
            <v>1455.8620000000001</v>
          </cell>
        </row>
        <row r="4862">
          <cell r="CJ4862" t="str">
            <v xml:space="preserve">NFT-/XUTR/DEUTH02430980595X </v>
          </cell>
          <cell r="CK4862" t="str">
            <v>2024-11-04</v>
          </cell>
          <cell r="CL4862">
            <v>15685.438</v>
          </cell>
          <cell r="CP4862" t="str">
            <v xml:space="preserve">NFT-/XUTR/DEUTH024309A02A3X </v>
          </cell>
          <cell r="CQ4862" t="str">
            <v>2024-11-04</v>
          </cell>
          <cell r="CR4862">
            <v>1455.8620000000001</v>
          </cell>
        </row>
        <row r="4863">
          <cell r="CJ4863" t="str">
            <v xml:space="preserve">NFT-/XUTR/DEUTH02430980595X </v>
          </cell>
          <cell r="CK4863" t="str">
            <v>2024-11-04</v>
          </cell>
          <cell r="CL4863">
            <v>15685.438</v>
          </cell>
          <cell r="CP4863" t="str">
            <v xml:space="preserve">NFT-/XUTR/DEUTH024309A02A3X </v>
          </cell>
          <cell r="CQ4863" t="str">
            <v>2024-11-04</v>
          </cell>
          <cell r="CR4863">
            <v>1455.8620000000001</v>
          </cell>
        </row>
        <row r="4864">
          <cell r="CJ4864" t="str">
            <v xml:space="preserve">NFT-/XUTR/DEUTH02430980595X </v>
          </cell>
          <cell r="CK4864" t="str">
            <v>2024-11-04</v>
          </cell>
          <cell r="CL4864">
            <v>15666.558000000001</v>
          </cell>
          <cell r="CP4864" t="str">
            <v xml:space="preserve">NFT-/XUTR/DEUTH024309A02A3X </v>
          </cell>
          <cell r="CQ4864" t="str">
            <v>2024-11-04</v>
          </cell>
          <cell r="CR4864">
            <v>1455.8620000000001</v>
          </cell>
        </row>
        <row r="4865">
          <cell r="CJ4865" t="str">
            <v xml:space="preserve">NFT-/XUTR/DEUTH02430980595X </v>
          </cell>
          <cell r="CK4865" t="str">
            <v>2024-11-04</v>
          </cell>
          <cell r="CL4865">
            <v>10919.47</v>
          </cell>
          <cell r="CP4865" t="str">
            <v xml:space="preserve">NFT-/XUTR/DEUTH024309A02A3X </v>
          </cell>
          <cell r="CQ4865" t="str">
            <v>2024-11-04</v>
          </cell>
          <cell r="CR4865">
            <v>1223.895</v>
          </cell>
        </row>
        <row r="4866">
          <cell r="CJ4866" t="str">
            <v xml:space="preserve">NFT-/XUTR/DEUTH02430980595X </v>
          </cell>
          <cell r="CK4866" t="str">
            <v>2024-11-04</v>
          </cell>
          <cell r="CL4866">
            <v>15336.558999999999</v>
          </cell>
          <cell r="CP4866" t="str">
            <v xml:space="preserve">NFT-/XUTR/DEUTH024309A02A3X </v>
          </cell>
          <cell r="CQ4866" t="str">
            <v>2024-11-04</v>
          </cell>
          <cell r="CR4866">
            <v>1455.8620000000001</v>
          </cell>
        </row>
        <row r="4867">
          <cell r="CJ4867" t="str">
            <v xml:space="preserve">NFT-/XUTR/DEUTH02430980595X </v>
          </cell>
          <cell r="CK4867" t="str">
            <v>2024-11-04</v>
          </cell>
          <cell r="CL4867">
            <v>6270.8620000000001</v>
          </cell>
        </row>
        <row r="4868">
          <cell r="CJ4868" t="str">
            <v xml:space="preserve">NFT-/XUTR/DEUTH02430980595X </v>
          </cell>
          <cell r="CK4868" t="str">
            <v>2024-11-04</v>
          </cell>
          <cell r="CL4868">
            <v>7308.4070000000002</v>
          </cell>
          <cell r="CM4868" t="str">
            <v xml:space="preserve">NFT-/XUTR/DEUTH02431649943X </v>
          </cell>
          <cell r="CN4868" t="str">
            <v>2024-11-11</v>
          </cell>
          <cell r="CO4868">
            <v>-7308.4070000000002</v>
          </cell>
          <cell r="CP4868" t="str">
            <v xml:space="preserve">NFT-/XUTR/DEUTH024309A02A3X </v>
          </cell>
          <cell r="CQ4868" t="str">
            <v>2024-11-04</v>
          </cell>
          <cell r="CR4868">
            <v>1253.011</v>
          </cell>
          <cell r="CS4868" t="str">
            <v xml:space="preserve">NFT-/XUTR/DEUTH02431658955X </v>
          </cell>
          <cell r="CT4868" t="str">
            <v>2024-11-11</v>
          </cell>
          <cell r="CU4868">
            <v>-1253.011</v>
          </cell>
        </row>
        <row r="4869">
          <cell r="CJ4869" t="str">
            <v xml:space="preserve">NFT-/XUTR/DEUTH02430980595X </v>
          </cell>
          <cell r="CK4869" t="str">
            <v>2024-11-04</v>
          </cell>
          <cell r="CL4869">
            <v>11841.956</v>
          </cell>
        </row>
        <row r="4870">
          <cell r="CJ4870" t="str">
            <v xml:space="preserve">NFT-/XUTR/DEUTH02430980595X </v>
          </cell>
          <cell r="CK4870" t="str">
            <v>2024-11-04</v>
          </cell>
          <cell r="CL4870">
            <v>14925.039000000001</v>
          </cell>
          <cell r="CP4870" t="str">
            <v xml:space="preserve">NFT-/XUTR/DEUTH024309A02A3X </v>
          </cell>
          <cell r="CQ4870" t="str">
            <v>2024-11-04</v>
          </cell>
          <cell r="CR4870">
            <v>2197.3820000000001</v>
          </cell>
        </row>
        <row r="4871">
          <cell r="CJ4871" t="str">
            <v xml:space="preserve">NFT-/XUTR/DEUTH02430980595X </v>
          </cell>
          <cell r="CK4871" t="str">
            <v>2024-11-04</v>
          </cell>
          <cell r="CL4871">
            <v>15685.438</v>
          </cell>
          <cell r="CP4871" t="str">
            <v xml:space="preserve">NFT-/XUTR/DEUTH024309A02A3X </v>
          </cell>
          <cell r="CQ4871" t="str">
            <v>2024-11-04</v>
          </cell>
          <cell r="CR4871">
            <v>1455.8620000000001</v>
          </cell>
        </row>
        <row r="4872">
          <cell r="CJ4872" t="str">
            <v xml:space="preserve">NFT-/XUTR/DEUTH02430980595X </v>
          </cell>
          <cell r="CK4872" t="str">
            <v>2024-11-04</v>
          </cell>
          <cell r="CL4872">
            <v>15355.439</v>
          </cell>
          <cell r="CP4872" t="str">
            <v xml:space="preserve">NFT-/XUTR/DEUTH024309A02A3X </v>
          </cell>
          <cell r="CQ4872" t="str">
            <v>2024-11-04</v>
          </cell>
          <cell r="CR4872">
            <v>1455.8620000000001</v>
          </cell>
        </row>
        <row r="4873">
          <cell r="CJ4873" t="str">
            <v xml:space="preserve">NFT-/XUTR/DEUTH02430980595X </v>
          </cell>
          <cell r="CK4873" t="str">
            <v>2024-11-04</v>
          </cell>
          <cell r="CL4873">
            <v>15520.438</v>
          </cell>
          <cell r="CP4873" t="str">
            <v xml:space="preserve">NFT-/XUTR/DEUTH024309A02A3X </v>
          </cell>
          <cell r="CQ4873" t="str">
            <v>2024-11-04</v>
          </cell>
          <cell r="CR4873">
            <v>1455.8620000000001</v>
          </cell>
        </row>
        <row r="4874">
          <cell r="CJ4874" t="str">
            <v xml:space="preserve">NFT-/XUTR/DEUTH02430980595X </v>
          </cell>
          <cell r="CK4874" t="str">
            <v>2024-11-04</v>
          </cell>
          <cell r="CL4874">
            <v>15355.439</v>
          </cell>
          <cell r="CP4874" t="str">
            <v xml:space="preserve">NFT-/XUTR/DEUTH024309A02A3X </v>
          </cell>
          <cell r="CQ4874" t="str">
            <v>2024-11-04</v>
          </cell>
          <cell r="CR4874">
            <v>1455.8620000000001</v>
          </cell>
        </row>
        <row r="4875">
          <cell r="CJ4875" t="str">
            <v xml:space="preserve">NFT-/XUTR/DEUTH02430980595X </v>
          </cell>
          <cell r="CK4875" t="str">
            <v>2024-11-04</v>
          </cell>
          <cell r="CL4875">
            <v>15336.558999999999</v>
          </cell>
          <cell r="CP4875" t="str">
            <v xml:space="preserve">NFT-/XUTR/DEUTH024309A02A3X </v>
          </cell>
          <cell r="CQ4875" t="str">
            <v>2024-11-04</v>
          </cell>
          <cell r="CR4875">
            <v>1455.8620000000001</v>
          </cell>
        </row>
        <row r="4876">
          <cell r="CJ4876" t="str">
            <v xml:space="preserve">NFT-/XUTR/DEUTH02430980595X </v>
          </cell>
          <cell r="CK4876" t="str">
            <v>2024-11-04</v>
          </cell>
          <cell r="CL4876">
            <v>15355.439</v>
          </cell>
          <cell r="CP4876" t="str">
            <v xml:space="preserve">NFT-/XUTR/DEUTH024309A02A3X </v>
          </cell>
          <cell r="CQ4876" t="str">
            <v>2024-11-04</v>
          </cell>
          <cell r="CR4876">
            <v>1455.8620000000001</v>
          </cell>
        </row>
        <row r="4877">
          <cell r="CJ4877" t="str">
            <v xml:space="preserve">NFT-/XUTR/DEUTH02430980595X </v>
          </cell>
          <cell r="CK4877" t="str">
            <v>2024-11-04</v>
          </cell>
          <cell r="CL4877">
            <v>15355.439</v>
          </cell>
          <cell r="CP4877" t="str">
            <v xml:space="preserve">NFT-/XUTR/DEUTH024309A02A3X </v>
          </cell>
          <cell r="CQ4877" t="str">
            <v>2024-11-04</v>
          </cell>
          <cell r="CR4877">
            <v>1455.8620000000001</v>
          </cell>
        </row>
        <row r="4878">
          <cell r="CJ4878" t="str">
            <v xml:space="preserve">NFT-/XUTR/DEUTH02430980595X </v>
          </cell>
          <cell r="CK4878" t="str">
            <v>2024-11-04</v>
          </cell>
          <cell r="CL4878">
            <v>16792.420999999998</v>
          </cell>
        </row>
        <row r="4879">
          <cell r="CJ4879" t="str">
            <v xml:space="preserve">NFT-/XUTR/DEUTH02430980595X </v>
          </cell>
          <cell r="CK4879" t="str">
            <v>2024-11-04</v>
          </cell>
          <cell r="CL4879">
            <v>15355.439</v>
          </cell>
          <cell r="CM4879" t="str">
            <v xml:space="preserve">NFT-/XUTR/DEUTH02431152062X </v>
          </cell>
          <cell r="CN4879" t="str">
            <v>2024-11-06</v>
          </cell>
          <cell r="CO4879">
            <v>-15355.439</v>
          </cell>
          <cell r="CP4879" t="str">
            <v xml:space="preserve">NFT-/XUTR/DEUTH024309A02A3X </v>
          </cell>
          <cell r="CQ4879" t="str">
            <v>2024-11-04</v>
          </cell>
          <cell r="CR4879">
            <v>1455.8620000000001</v>
          </cell>
          <cell r="CS4879" t="str">
            <v xml:space="preserve">NFT-/XUTR/DEUTH02431162755X </v>
          </cell>
          <cell r="CT4879" t="str">
            <v>2024-11-06</v>
          </cell>
          <cell r="CU4879">
            <v>-1455.8620000000001</v>
          </cell>
        </row>
        <row r="4880">
          <cell r="CJ4880" t="str">
            <v xml:space="preserve">NFT-/XUTR/DEUTH02430980595X </v>
          </cell>
          <cell r="CK4880" t="str">
            <v>2024-11-04</v>
          </cell>
          <cell r="CL4880">
            <v>15336.558999999999</v>
          </cell>
          <cell r="CP4880" t="str">
            <v xml:space="preserve">NFT-/XUTR/DEUTH024309A02A3X </v>
          </cell>
          <cell r="CQ4880" t="str">
            <v>2024-11-04</v>
          </cell>
          <cell r="CR4880">
            <v>1455.8620000000001</v>
          </cell>
        </row>
        <row r="4881">
          <cell r="CJ4881" t="str">
            <v xml:space="preserve">NFT-/XUTR/DEUTH02430980595X </v>
          </cell>
          <cell r="CK4881" t="str">
            <v>2024-11-04</v>
          </cell>
          <cell r="CL4881">
            <v>5583.6880000000001</v>
          </cell>
          <cell r="CM4881" t="str">
            <v xml:space="preserve">NFT-/XUTR/DEUTH02432045075X </v>
          </cell>
          <cell r="CN4881" t="str">
            <v>2024-11-15</v>
          </cell>
          <cell r="CO4881">
            <v>-5583.6880000000001</v>
          </cell>
          <cell r="CP4881" t="str">
            <v xml:space="preserve">NFT-/XUTR/DEUTH024309A02A3X </v>
          </cell>
          <cell r="CQ4881" t="str">
            <v>2024-11-04</v>
          </cell>
          <cell r="CR4881">
            <v>628.93499999999995</v>
          </cell>
          <cell r="CS4881" t="str">
            <v xml:space="preserve">NFT-/XUTR/DEUTH02432059153X </v>
          </cell>
          <cell r="CT4881" t="str">
            <v>2024-11-15</v>
          </cell>
          <cell r="CU4881">
            <v>-628.93499999999995</v>
          </cell>
        </row>
        <row r="4882">
          <cell r="CJ4882" t="str">
            <v xml:space="preserve">NFT-/XUTR/DEUTH02430980595X </v>
          </cell>
          <cell r="CK4882" t="str">
            <v>2024-11-04</v>
          </cell>
          <cell r="CL4882">
            <v>16811.300999999999</v>
          </cell>
        </row>
        <row r="4883">
          <cell r="CJ4883" t="str">
            <v xml:space="preserve">NFT-/XUTR/DEUTH02430980595X </v>
          </cell>
          <cell r="CK4883" t="str">
            <v>2024-11-04</v>
          </cell>
          <cell r="CL4883">
            <v>15355.439</v>
          </cell>
          <cell r="CP4883" t="str">
            <v xml:space="preserve">NFT-/XUTR/DEUTH024309A02A3X </v>
          </cell>
          <cell r="CQ4883" t="str">
            <v>2024-11-04</v>
          </cell>
          <cell r="CR4883">
            <v>1455.8620000000001</v>
          </cell>
        </row>
        <row r="4884">
          <cell r="CJ4884" t="str">
            <v xml:space="preserve">NFT-/XUTR/DEUTH02430980595X </v>
          </cell>
          <cell r="CK4884" t="str">
            <v>2024-11-04</v>
          </cell>
          <cell r="CL4884">
            <v>15336.558999999999</v>
          </cell>
          <cell r="CP4884" t="str">
            <v xml:space="preserve">NFT-/XUTR/DEUTH024309A02A3X </v>
          </cell>
          <cell r="CQ4884" t="str">
            <v>2024-11-04</v>
          </cell>
          <cell r="CR4884">
            <v>1455.8620000000001</v>
          </cell>
        </row>
        <row r="4885">
          <cell r="CJ4885" t="str">
            <v xml:space="preserve">NFT-/XUTR/DEUTH02430980595X </v>
          </cell>
          <cell r="CK4885" t="str">
            <v>2024-11-04</v>
          </cell>
          <cell r="CL4885">
            <v>5260.4870000000001</v>
          </cell>
          <cell r="CP4885" t="str">
            <v xml:space="preserve">NFT-/XUTR/DEUTH024309A02A3X </v>
          </cell>
          <cell r="CQ4885" t="str">
            <v>2024-11-04</v>
          </cell>
          <cell r="CR4885">
            <v>593.02099999999996</v>
          </cell>
        </row>
        <row r="4886">
          <cell r="CJ4886" t="str">
            <v xml:space="preserve">NFT-/XUTR/DEUTH02430980595X </v>
          </cell>
          <cell r="CK4886" t="str">
            <v>2024-11-04</v>
          </cell>
          <cell r="CL4886">
            <v>15355.439</v>
          </cell>
          <cell r="CP4886" t="str">
            <v xml:space="preserve">NFT-/XUTR/DEUTH024309A02A3X </v>
          </cell>
          <cell r="CQ4886" t="str">
            <v>2024-11-04</v>
          </cell>
          <cell r="CR4886">
            <v>1455.8620000000001</v>
          </cell>
        </row>
        <row r="4887">
          <cell r="CJ4887" t="str">
            <v xml:space="preserve">NFT-/XUTR/DEUTH02430980595X </v>
          </cell>
          <cell r="CK4887" t="str">
            <v>2024-11-04</v>
          </cell>
          <cell r="CL4887">
            <v>15355.439</v>
          </cell>
          <cell r="CM4887" t="str">
            <v xml:space="preserve">NFT-/XUTR/DEUTH02432540165X </v>
          </cell>
          <cell r="CN4887" t="str">
            <v>2024-11-20</v>
          </cell>
          <cell r="CO4887">
            <v>-15355.439</v>
          </cell>
          <cell r="CP4887" t="str">
            <v xml:space="preserve">NFT-/XUTR/DEUTH024309A02A3X </v>
          </cell>
          <cell r="CQ4887" t="str">
            <v>2024-11-04</v>
          </cell>
          <cell r="CR4887">
            <v>1455.8620000000001</v>
          </cell>
          <cell r="CS4887" t="str">
            <v xml:space="preserve">NFT-/XUTR/DEUTH02432567146X </v>
          </cell>
          <cell r="CT4887" t="str">
            <v>2024-11-20</v>
          </cell>
          <cell r="CU4887">
            <v>-1455.8620000000001</v>
          </cell>
        </row>
        <row r="4888">
          <cell r="CJ4888" t="str">
            <v xml:space="preserve">NFT-/XUTR/DEUTH02430980595X </v>
          </cell>
          <cell r="CK4888" t="str">
            <v>2024-11-04</v>
          </cell>
          <cell r="CL4888">
            <v>15230.763999999999</v>
          </cell>
          <cell r="CP4888" t="str">
            <v xml:space="preserve">NFT-/XUTR/DEUTH024309A02A3X </v>
          </cell>
          <cell r="CQ4888" t="str">
            <v>2024-11-04</v>
          </cell>
          <cell r="CR4888">
            <v>1561.6569999999999</v>
          </cell>
        </row>
        <row r="4889">
          <cell r="CJ4889" t="str">
            <v xml:space="preserve">NFT-/XUTR/DEUTH02430980595X </v>
          </cell>
          <cell r="CK4889" t="str">
            <v>2024-11-04</v>
          </cell>
          <cell r="CL4889">
            <v>15336.558999999999</v>
          </cell>
          <cell r="CP4889" t="str">
            <v xml:space="preserve">NFT-/XUTR/DEUTH024309A02A3X </v>
          </cell>
          <cell r="CQ4889" t="str">
            <v>2024-11-04</v>
          </cell>
          <cell r="CR4889">
            <v>1455.8620000000001</v>
          </cell>
        </row>
        <row r="4890">
          <cell r="CJ4890" t="str">
            <v xml:space="preserve">NFT-/XUTR/DEUTH02430980595X </v>
          </cell>
          <cell r="CK4890" t="str">
            <v>2024-11-04</v>
          </cell>
          <cell r="CL4890">
            <v>14676.037</v>
          </cell>
          <cell r="CP4890" t="str">
            <v xml:space="preserve">NFT-/XUTR/DEUTH024309A02A3X </v>
          </cell>
          <cell r="CQ4890" t="str">
            <v>2024-11-04</v>
          </cell>
          <cell r="CR4890">
            <v>2135.2640000000001</v>
          </cell>
        </row>
        <row r="4891">
          <cell r="CJ4891" t="str">
            <v xml:space="preserve">NFT-/XUTR/DEUTH02430980595X </v>
          </cell>
          <cell r="CK4891" t="str">
            <v>2024-11-04</v>
          </cell>
          <cell r="CL4891">
            <v>15355.439</v>
          </cell>
          <cell r="CP4891" t="str">
            <v xml:space="preserve">NFT-/XUTR/DEUTH024309A02A3X </v>
          </cell>
          <cell r="CQ4891" t="str">
            <v>2024-11-04</v>
          </cell>
          <cell r="CR4891">
            <v>1455.8620000000001</v>
          </cell>
        </row>
        <row r="4892">
          <cell r="CJ4892" t="str">
            <v xml:space="preserve">NFT-/XUTR/DEUTH02430980595X </v>
          </cell>
          <cell r="CK4892" t="str">
            <v>2024-11-04</v>
          </cell>
          <cell r="CL4892">
            <v>15355.439</v>
          </cell>
          <cell r="CP4892" t="str">
            <v xml:space="preserve">NFT-/XUTR/DEUTH024309A02A3X </v>
          </cell>
          <cell r="CQ4892" t="str">
            <v>2024-11-04</v>
          </cell>
          <cell r="CR4892">
            <v>1455.8620000000001</v>
          </cell>
        </row>
        <row r="4893">
          <cell r="CJ4893" t="str">
            <v xml:space="preserve">NFT-/XUTR/DEUTH02430980595X </v>
          </cell>
          <cell r="CK4893" t="str">
            <v>2024-11-04</v>
          </cell>
          <cell r="CL4893">
            <v>15355.439</v>
          </cell>
          <cell r="CP4893" t="str">
            <v xml:space="preserve">NFT-/XUTR/DEUTH024309A02A3X </v>
          </cell>
          <cell r="CQ4893" t="str">
            <v>2024-11-04</v>
          </cell>
          <cell r="CR4893">
            <v>1455.8620000000001</v>
          </cell>
        </row>
        <row r="4894">
          <cell r="CJ4894" t="str">
            <v xml:space="preserve">NFT-/XUTR/DEUTH02430980595X </v>
          </cell>
          <cell r="CK4894" t="str">
            <v>2024-11-04</v>
          </cell>
          <cell r="CL4894">
            <v>15355.439</v>
          </cell>
          <cell r="CP4894" t="str">
            <v xml:space="preserve">NFT-/XUTR/DEUTH024309A02A3X </v>
          </cell>
          <cell r="CQ4894" t="str">
            <v>2024-11-04</v>
          </cell>
          <cell r="CR4894">
            <v>1455.8620000000001</v>
          </cell>
        </row>
        <row r="4895">
          <cell r="CJ4895" t="str">
            <v xml:space="preserve">NFT-/XUTR/DEUTH02430980595X </v>
          </cell>
          <cell r="CK4895" t="str">
            <v>2024-11-04</v>
          </cell>
          <cell r="CL4895">
            <v>15355.439</v>
          </cell>
          <cell r="CM4895" t="str">
            <v xml:space="preserve">NFT-/XUTR/DEUTH02431152062X </v>
          </cell>
          <cell r="CN4895" t="str">
            <v>2024-11-06</v>
          </cell>
          <cell r="CO4895">
            <v>-15355.439</v>
          </cell>
          <cell r="CP4895" t="str">
            <v xml:space="preserve">NFT-/XUTR/DEUTH024309A02A3X </v>
          </cell>
          <cell r="CQ4895" t="str">
            <v>2024-11-04</v>
          </cell>
          <cell r="CR4895">
            <v>1455.8620000000001</v>
          </cell>
          <cell r="CS4895" t="str">
            <v xml:space="preserve">NFT-/XUTR/DEUTH02431162755X </v>
          </cell>
          <cell r="CT4895" t="str">
            <v>2024-11-06</v>
          </cell>
          <cell r="CU4895">
            <v>-1455.8620000000001</v>
          </cell>
        </row>
        <row r="4896">
          <cell r="CJ4896" t="str">
            <v xml:space="preserve">NFT-/XUTR/DEUTH02430980595X </v>
          </cell>
          <cell r="CK4896" t="str">
            <v>2024-11-04</v>
          </cell>
          <cell r="CL4896">
            <v>15336.558999999999</v>
          </cell>
          <cell r="CP4896" t="str">
            <v xml:space="preserve">NFT-/XUTR/DEUTH024309A02A3X </v>
          </cell>
          <cell r="CQ4896" t="str">
            <v>2024-11-04</v>
          </cell>
          <cell r="CR4896">
            <v>1455.8620000000001</v>
          </cell>
        </row>
        <row r="4897">
          <cell r="CJ4897" t="str">
            <v xml:space="preserve">NFT-/XUTR/DEUTH02430980595X </v>
          </cell>
          <cell r="CK4897" t="str">
            <v>2024-11-04</v>
          </cell>
          <cell r="CL4897">
            <v>15355.439</v>
          </cell>
          <cell r="CP4897" t="str">
            <v xml:space="preserve">NFT-/XUTR/DEUTH024309A02A3X </v>
          </cell>
          <cell r="CQ4897" t="str">
            <v>2024-11-04</v>
          </cell>
          <cell r="CR4897">
            <v>1455.8620000000001</v>
          </cell>
        </row>
        <row r="4898">
          <cell r="CJ4898" t="str">
            <v xml:space="preserve">NFT-/XUTR/DEUTH02430980595X </v>
          </cell>
          <cell r="CK4898" t="str">
            <v>2024-11-04</v>
          </cell>
          <cell r="CL4898">
            <v>15355.439</v>
          </cell>
          <cell r="CP4898" t="str">
            <v xml:space="preserve">NFT-/XUTR/DEUTH024309A02A3X </v>
          </cell>
          <cell r="CQ4898" t="str">
            <v>2024-11-04</v>
          </cell>
          <cell r="CR4898">
            <v>1455.8620000000001</v>
          </cell>
        </row>
        <row r="4899">
          <cell r="CJ4899" t="str">
            <v xml:space="preserve">NFT-/XUTR/DEUTH02430980595X </v>
          </cell>
          <cell r="CK4899" t="str">
            <v>2024-11-04</v>
          </cell>
          <cell r="CL4899">
            <v>15355.439</v>
          </cell>
          <cell r="CP4899" t="str">
            <v xml:space="preserve">NFT-/XUTR/DEUTH024309A02A3X </v>
          </cell>
          <cell r="CQ4899" t="str">
            <v>2024-11-04</v>
          </cell>
          <cell r="CR4899">
            <v>1455.8620000000001</v>
          </cell>
        </row>
        <row r="4900">
          <cell r="CJ4900" t="str">
            <v xml:space="preserve">NFT-/XUTR/DEUTH02430980595X </v>
          </cell>
          <cell r="CK4900" t="str">
            <v>2024-11-04</v>
          </cell>
          <cell r="CL4900">
            <v>15355.439</v>
          </cell>
          <cell r="CP4900" t="str">
            <v xml:space="preserve">NFT-/XUTR/DEUTH024309A02A3X </v>
          </cell>
          <cell r="CQ4900" t="str">
            <v>2024-11-04</v>
          </cell>
          <cell r="CR4900">
            <v>1455.8620000000001</v>
          </cell>
        </row>
        <row r="4901">
          <cell r="CJ4901" t="str">
            <v xml:space="preserve">NFT-/XUTR/DEUTH02430980595X </v>
          </cell>
          <cell r="CK4901" t="str">
            <v>2024-11-04</v>
          </cell>
          <cell r="CL4901">
            <v>15355.439</v>
          </cell>
          <cell r="CP4901" t="str">
            <v xml:space="preserve">NFT-/XUTR/DEUTH024309A02A3X </v>
          </cell>
          <cell r="CQ4901" t="str">
            <v>2024-11-04</v>
          </cell>
          <cell r="CR4901">
            <v>1455.8620000000001</v>
          </cell>
        </row>
        <row r="4902">
          <cell r="CJ4902" t="str">
            <v xml:space="preserve">NFT-/XUTR/DEUTH02430980595X </v>
          </cell>
          <cell r="CK4902" t="str">
            <v>2024-11-04</v>
          </cell>
          <cell r="CL4902">
            <v>15355.439</v>
          </cell>
          <cell r="CP4902" t="str">
            <v xml:space="preserve">NFT-/XUTR/DEUTH024309A02A3X </v>
          </cell>
          <cell r="CQ4902" t="str">
            <v>2024-11-04</v>
          </cell>
          <cell r="CR4902">
            <v>1455.8620000000001</v>
          </cell>
        </row>
        <row r="4903">
          <cell r="CJ4903" t="str">
            <v xml:space="preserve">NFT-/XUTR/DEUTH02430980595X </v>
          </cell>
          <cell r="CK4903" t="str">
            <v>2024-11-04</v>
          </cell>
          <cell r="CL4903">
            <v>15355.439</v>
          </cell>
          <cell r="CP4903" t="str">
            <v xml:space="preserve">NFT-/XUTR/DEUTH024309A02A3X </v>
          </cell>
          <cell r="CQ4903" t="str">
            <v>2024-11-04</v>
          </cell>
          <cell r="CR4903">
            <v>1455.8620000000001</v>
          </cell>
        </row>
        <row r="4904">
          <cell r="CJ4904" t="str">
            <v xml:space="preserve">NFT-/XUTR/DEUTH02430980595X </v>
          </cell>
          <cell r="CK4904" t="str">
            <v>2024-11-04</v>
          </cell>
          <cell r="CL4904">
            <v>15355.439</v>
          </cell>
          <cell r="CP4904" t="str">
            <v xml:space="preserve">NFT-/XUTR/DEUTH024309A02A3X </v>
          </cell>
          <cell r="CQ4904" t="str">
            <v>2024-11-04</v>
          </cell>
          <cell r="CR4904">
            <v>1455.8620000000001</v>
          </cell>
        </row>
        <row r="4905">
          <cell r="CJ4905" t="str">
            <v xml:space="preserve">NFT-/XUTR/DEUTH02430980595X </v>
          </cell>
          <cell r="CK4905" t="str">
            <v>2024-11-04</v>
          </cell>
          <cell r="CL4905">
            <v>15355.439</v>
          </cell>
          <cell r="CP4905" t="str">
            <v xml:space="preserve">NFT-/XUTR/DEUTH024309A02A3X </v>
          </cell>
          <cell r="CQ4905" t="str">
            <v>2024-11-04</v>
          </cell>
          <cell r="CR4905">
            <v>1455.8620000000001</v>
          </cell>
        </row>
        <row r="4906">
          <cell r="CJ4906" t="str">
            <v xml:space="preserve">NFT-/XUTR/DEUTH02430980595X </v>
          </cell>
          <cell r="CK4906" t="str">
            <v>2024-11-04</v>
          </cell>
          <cell r="CL4906">
            <v>15355.439</v>
          </cell>
          <cell r="CM4906" t="str">
            <v xml:space="preserve">NFT-/XUTR/DEUTH02431152062X </v>
          </cell>
          <cell r="CN4906" t="str">
            <v>2024-11-06</v>
          </cell>
          <cell r="CO4906">
            <v>-15355.439</v>
          </cell>
          <cell r="CP4906" t="str">
            <v xml:space="preserve">NFT-/XUTR/DEUTH024309A02A3X </v>
          </cell>
          <cell r="CQ4906" t="str">
            <v>2024-11-04</v>
          </cell>
          <cell r="CR4906">
            <v>1455.8620000000001</v>
          </cell>
          <cell r="CS4906" t="str">
            <v xml:space="preserve">NFT-/XUTR/DEUTH02431162755X </v>
          </cell>
          <cell r="CT4906" t="str">
            <v>2024-11-06</v>
          </cell>
          <cell r="CU4906">
            <v>-1455.8620000000001</v>
          </cell>
        </row>
        <row r="4907">
          <cell r="CJ4907" t="str">
            <v xml:space="preserve">NFT-/XUTR/DEUTH02430980595X </v>
          </cell>
          <cell r="CK4907" t="str">
            <v>2024-11-04</v>
          </cell>
          <cell r="CL4907">
            <v>15355.439</v>
          </cell>
          <cell r="CP4907" t="str">
            <v xml:space="preserve">NFT-/XUTR/DEUTH024309A02A3X </v>
          </cell>
          <cell r="CQ4907" t="str">
            <v>2024-11-04</v>
          </cell>
          <cell r="CR4907">
            <v>1455.8620000000001</v>
          </cell>
        </row>
        <row r="4908">
          <cell r="CJ4908" t="str">
            <v xml:space="preserve">NFT-/XUTR/DEUTH02430980595X </v>
          </cell>
          <cell r="CK4908" t="str">
            <v>2024-11-04</v>
          </cell>
          <cell r="CL4908">
            <v>15355.439</v>
          </cell>
          <cell r="CM4908" t="str">
            <v xml:space="preserve">NFT-/XUTR/DEUTH02432540165X </v>
          </cell>
          <cell r="CN4908" t="str">
            <v>2024-11-20</v>
          </cell>
          <cell r="CO4908">
            <v>-15355.439</v>
          </cell>
          <cell r="CP4908" t="str">
            <v xml:space="preserve">NFT-/XUTR/DEUTH024309A02A3X </v>
          </cell>
          <cell r="CQ4908" t="str">
            <v>2024-11-04</v>
          </cell>
          <cell r="CR4908">
            <v>1455.8620000000001</v>
          </cell>
          <cell r="CS4908" t="str">
            <v xml:space="preserve">NFT-/XUTR/DEUTH02432567146X </v>
          </cell>
          <cell r="CT4908" t="str">
            <v>2024-11-20</v>
          </cell>
          <cell r="CU4908">
            <v>-1455.8620000000001</v>
          </cell>
        </row>
        <row r="4909">
          <cell r="CJ4909" t="str">
            <v xml:space="preserve">NFT-/XUTR/DEUTH02430980595X </v>
          </cell>
          <cell r="CK4909" t="str">
            <v>2024-11-04</v>
          </cell>
          <cell r="CL4909">
            <v>15355.439</v>
          </cell>
          <cell r="CP4909" t="str">
            <v xml:space="preserve">NFT-/XUTR/DEUTH024309A02A3X </v>
          </cell>
          <cell r="CQ4909" t="str">
            <v>2024-11-04</v>
          </cell>
          <cell r="CR4909">
            <v>1455.8620000000001</v>
          </cell>
        </row>
        <row r="4910">
          <cell r="CJ4910" t="str">
            <v xml:space="preserve">NFT-/XUTR/DEUTH02430980595X </v>
          </cell>
          <cell r="CK4910" t="str">
            <v>2024-11-04</v>
          </cell>
          <cell r="CL4910">
            <v>10536.531000000001</v>
          </cell>
          <cell r="CP4910" t="str">
            <v xml:space="preserve">NFT-/XUTR/DEUTH024309A02A3X </v>
          </cell>
          <cell r="CQ4910" t="str">
            <v>2024-11-04</v>
          </cell>
          <cell r="CR4910">
            <v>1179.252</v>
          </cell>
        </row>
        <row r="4911">
          <cell r="CJ4911" t="str">
            <v xml:space="preserve">NFT-/XUTR/DEUTH02430980595X </v>
          </cell>
          <cell r="CK4911" t="str">
            <v>2024-11-04</v>
          </cell>
          <cell r="CL4911">
            <v>15297.207</v>
          </cell>
          <cell r="CP4911" t="str">
            <v xml:space="preserve">NFT-/XUTR/DEUTH024309A02A3X </v>
          </cell>
          <cell r="CQ4911" t="str">
            <v>2024-11-04</v>
          </cell>
          <cell r="CR4911">
            <v>1514.0920000000001</v>
          </cell>
        </row>
        <row r="4912">
          <cell r="CJ4912" t="str">
            <v xml:space="preserve">NFT-/XUTR/DEUTH02430980595X </v>
          </cell>
          <cell r="CK4912" t="str">
            <v>2024-11-04</v>
          </cell>
          <cell r="CL4912">
            <v>15355.439</v>
          </cell>
          <cell r="CM4912" t="str">
            <v xml:space="preserve">NFT-/XUTR/DEUTH02431152062X </v>
          </cell>
          <cell r="CN4912" t="str">
            <v>2024-11-06</v>
          </cell>
          <cell r="CO4912">
            <v>-15355.439</v>
          </cell>
          <cell r="CP4912" t="str">
            <v xml:space="preserve">NFT-/XUTR/DEUTH024309A02A3X </v>
          </cell>
          <cell r="CQ4912" t="str">
            <v>2024-11-04</v>
          </cell>
          <cell r="CR4912">
            <v>1455.8620000000001</v>
          </cell>
          <cell r="CS4912" t="str">
            <v xml:space="preserve">NFT-/XUTR/DEUTH02431162755X </v>
          </cell>
          <cell r="CT4912" t="str">
            <v>2024-11-06</v>
          </cell>
          <cell r="CU4912">
            <v>-1455.8620000000001</v>
          </cell>
        </row>
        <row r="4913">
          <cell r="CJ4913" t="str">
            <v xml:space="preserve">NFT-/XUTR/DEUTH02430980595X </v>
          </cell>
          <cell r="CK4913" t="str">
            <v>2024-11-04</v>
          </cell>
          <cell r="CL4913">
            <v>14584.804</v>
          </cell>
          <cell r="CP4913" t="str">
            <v xml:space="preserve">NFT-/XUTR/DEUTH024309A02A3X </v>
          </cell>
          <cell r="CQ4913" t="str">
            <v>2024-11-04</v>
          </cell>
          <cell r="CR4913">
            <v>2226.4969999999998</v>
          </cell>
        </row>
        <row r="4914">
          <cell r="CJ4914" t="str">
            <v xml:space="preserve">NFT-/XUTR/DEUTH02430980595X </v>
          </cell>
          <cell r="CK4914" t="str">
            <v>2024-11-04</v>
          </cell>
          <cell r="CL4914">
            <v>15355.439</v>
          </cell>
          <cell r="CP4914" t="str">
            <v xml:space="preserve">NFT-/XUTR/DEUTH024309A02A3X </v>
          </cell>
          <cell r="CQ4914" t="str">
            <v>2024-11-04</v>
          </cell>
          <cell r="CR4914">
            <v>1455.8620000000001</v>
          </cell>
        </row>
        <row r="4915">
          <cell r="CJ4915" t="str">
            <v xml:space="preserve">NFT-/XUTR/DEUTH02430980595X </v>
          </cell>
          <cell r="CK4915" t="str">
            <v>2024-11-04</v>
          </cell>
          <cell r="CL4915">
            <v>15355.439</v>
          </cell>
          <cell r="CP4915" t="str">
            <v xml:space="preserve">NFT-/XUTR/DEUTH024309A02A3X </v>
          </cell>
          <cell r="CQ4915" t="str">
            <v>2024-11-04</v>
          </cell>
          <cell r="CR4915">
            <v>1455.8620000000001</v>
          </cell>
        </row>
        <row r="4916">
          <cell r="CJ4916" t="str">
            <v xml:space="preserve">NFT-/XUTR/DEUTH02430980595X </v>
          </cell>
          <cell r="CK4916" t="str">
            <v>2024-11-04</v>
          </cell>
          <cell r="CL4916">
            <v>10520.984</v>
          </cell>
          <cell r="CP4916" t="str">
            <v xml:space="preserve">NFT-/XUTR/DEUTH024309A02A3X </v>
          </cell>
          <cell r="CQ4916" t="str">
            <v>2024-11-04</v>
          </cell>
          <cell r="CR4916">
            <v>1186.0419999999999</v>
          </cell>
        </row>
        <row r="4917">
          <cell r="CJ4917" t="str">
            <v xml:space="preserve">NFT-/XUTR/DEUTH02430980595X </v>
          </cell>
          <cell r="CK4917" t="str">
            <v>2024-11-04</v>
          </cell>
          <cell r="CL4917">
            <v>15336.558999999999</v>
          </cell>
          <cell r="CP4917" t="str">
            <v xml:space="preserve">NFT-/XUTR/DEUTH024309A02A3X </v>
          </cell>
          <cell r="CQ4917" t="str">
            <v>2024-11-04</v>
          </cell>
          <cell r="CR4917">
            <v>1455.8620000000001</v>
          </cell>
        </row>
        <row r="4918">
          <cell r="CJ4918" t="str">
            <v xml:space="preserve">NFT-/XUTR/DEUTH02430980595X </v>
          </cell>
          <cell r="CK4918" t="str">
            <v>2024-11-04</v>
          </cell>
          <cell r="CL4918">
            <v>15355.439</v>
          </cell>
          <cell r="CP4918" t="str">
            <v xml:space="preserve">NFT-/XUTR/DEUTH024309A02A3X </v>
          </cell>
          <cell r="CQ4918" t="str">
            <v>2024-11-04</v>
          </cell>
          <cell r="CR4918">
            <v>1455.8620000000001</v>
          </cell>
        </row>
        <row r="4919">
          <cell r="CJ4919" t="str">
            <v xml:space="preserve">NFT-/XUTR/DEUTH02430980595X </v>
          </cell>
          <cell r="CK4919" t="str">
            <v>2024-11-04</v>
          </cell>
          <cell r="CL4919">
            <v>15336.558999999999</v>
          </cell>
          <cell r="CP4919" t="str">
            <v xml:space="preserve">NFT-/XUTR/DEUTH024309A02A3X </v>
          </cell>
          <cell r="CQ4919" t="str">
            <v>2024-11-04</v>
          </cell>
          <cell r="CR4919">
            <v>1455.8620000000001</v>
          </cell>
        </row>
        <row r="4920">
          <cell r="CJ4920" t="str">
            <v xml:space="preserve">NFT-/XUTR/DEUTH02430980595X </v>
          </cell>
          <cell r="CK4920" t="str">
            <v>2024-11-04</v>
          </cell>
          <cell r="CL4920">
            <v>15223.441000000001</v>
          </cell>
          <cell r="CP4920" t="str">
            <v xml:space="preserve">NFT-/XUTR/DEUTH024309A02A3X </v>
          </cell>
          <cell r="CQ4920" t="str">
            <v>2024-11-04</v>
          </cell>
          <cell r="CR4920">
            <v>1587.86</v>
          </cell>
        </row>
        <row r="4921">
          <cell r="CJ4921" t="str">
            <v xml:space="preserve">NFT-/XUTR/DEUTH02430980595X </v>
          </cell>
          <cell r="CK4921" t="str">
            <v>2024-11-04</v>
          </cell>
          <cell r="CL4921">
            <v>15336.558999999999</v>
          </cell>
          <cell r="CP4921" t="str">
            <v xml:space="preserve">NFT-/XUTR/DEUTH024309A02A3X </v>
          </cell>
          <cell r="CQ4921" t="str">
            <v>2024-11-04</v>
          </cell>
          <cell r="CR4921">
            <v>1455.8620000000001</v>
          </cell>
        </row>
        <row r="4922">
          <cell r="CJ4922" t="str">
            <v xml:space="preserve">NFT-/XUTR/DEUTH02430980595X </v>
          </cell>
          <cell r="CK4922" t="str">
            <v>2024-11-04</v>
          </cell>
          <cell r="CL4922">
            <v>15336.558999999999</v>
          </cell>
          <cell r="CP4922" t="str">
            <v xml:space="preserve">NFT-/XUTR/DEUTH024309A02A3X </v>
          </cell>
          <cell r="CQ4922" t="str">
            <v>2024-11-04</v>
          </cell>
          <cell r="CR4922">
            <v>1455.8620000000001</v>
          </cell>
        </row>
        <row r="4923">
          <cell r="CJ4923" t="str">
            <v xml:space="preserve">NFT-/XUTR/DEUTH02430980595X </v>
          </cell>
          <cell r="CK4923" t="str">
            <v>2024-11-04</v>
          </cell>
          <cell r="CL4923">
            <v>40707.385999999999</v>
          </cell>
          <cell r="CP4923" t="str">
            <v xml:space="preserve">NFT-/XUTR/DEUTH024309A02A3X </v>
          </cell>
          <cell r="CQ4923" t="str">
            <v>2024-11-04</v>
          </cell>
          <cell r="CR4923">
            <v>1455.8620000000001</v>
          </cell>
        </row>
        <row r="4924">
          <cell r="CJ4924" t="str">
            <v xml:space="preserve">NFT-/XUTR/DEUTH02430980595X </v>
          </cell>
          <cell r="CK4924" t="str">
            <v>2024-11-04</v>
          </cell>
          <cell r="CL4924">
            <v>15355.439</v>
          </cell>
          <cell r="CP4924" t="str">
            <v xml:space="preserve">NFT-/XUTR/DEUTH024309A02A3X </v>
          </cell>
          <cell r="CQ4924" t="str">
            <v>2024-11-04</v>
          </cell>
          <cell r="CR4924">
            <v>1455.8620000000001</v>
          </cell>
        </row>
        <row r="4925">
          <cell r="CJ4925" t="str">
            <v xml:space="preserve">NFT-/XUTR/DEUTH02430980595X </v>
          </cell>
          <cell r="CK4925" t="str">
            <v>2024-11-04</v>
          </cell>
          <cell r="CL4925">
            <v>15355.439</v>
          </cell>
          <cell r="CM4925" t="str">
            <v xml:space="preserve">NFT-/XUTR/DEUTH02432540165X </v>
          </cell>
          <cell r="CN4925" t="str">
            <v>2024-11-20</v>
          </cell>
          <cell r="CO4925">
            <v>-15355.439</v>
          </cell>
          <cell r="CP4925" t="str">
            <v xml:space="preserve">NFT-/XUTR/DEUTH024309A02A3X </v>
          </cell>
          <cell r="CQ4925" t="str">
            <v>2024-11-04</v>
          </cell>
          <cell r="CR4925">
            <v>1455.8620000000001</v>
          </cell>
          <cell r="CS4925" t="str">
            <v xml:space="preserve">NFT-/XUTR/DEUTH02432567146X </v>
          </cell>
          <cell r="CT4925" t="str">
            <v>2024-11-20</v>
          </cell>
          <cell r="CU4925">
            <v>-1455.8620000000001</v>
          </cell>
        </row>
        <row r="4926">
          <cell r="CJ4926" t="str">
            <v xml:space="preserve">NFT-/XUTR/DEUTH02430980595X </v>
          </cell>
          <cell r="CK4926" t="str">
            <v>2024-11-04</v>
          </cell>
          <cell r="CL4926">
            <v>15355.439</v>
          </cell>
          <cell r="CP4926" t="str">
            <v xml:space="preserve">NFT-/XUTR/DEUTH024309A02A3X </v>
          </cell>
          <cell r="CQ4926" t="str">
            <v>2024-11-04</v>
          </cell>
          <cell r="CR4926">
            <v>1455.8620000000001</v>
          </cell>
        </row>
        <row r="4927">
          <cell r="CJ4927" t="str">
            <v xml:space="preserve">NFT-/XUTR/DEUTH02430980595X </v>
          </cell>
          <cell r="CK4927" t="str">
            <v>2024-11-04</v>
          </cell>
          <cell r="CL4927">
            <v>15355.439</v>
          </cell>
          <cell r="CP4927" t="str">
            <v xml:space="preserve">NFT-/XUTR/DEUTH024309A02A3X </v>
          </cell>
          <cell r="CQ4927" t="str">
            <v>2024-11-04</v>
          </cell>
          <cell r="CR4927">
            <v>1455.8620000000001</v>
          </cell>
        </row>
        <row r="4928">
          <cell r="CJ4928" t="str">
            <v xml:space="preserve">NFT-/XUTR/DEUTH02430980595X </v>
          </cell>
          <cell r="CK4928" t="str">
            <v>2024-11-04</v>
          </cell>
          <cell r="CL4928">
            <v>15355.439</v>
          </cell>
          <cell r="CP4928" t="str">
            <v xml:space="preserve">NFT-/XUTR/DEUTH024309A02A3X </v>
          </cell>
          <cell r="CQ4928" t="str">
            <v>2024-11-04</v>
          </cell>
          <cell r="CR4928">
            <v>1455.8620000000001</v>
          </cell>
        </row>
        <row r="4929">
          <cell r="CJ4929" t="str">
            <v xml:space="preserve">NFT-/XUTR/DEUTH02430980595X </v>
          </cell>
          <cell r="CK4929" t="str">
            <v>2024-11-04</v>
          </cell>
          <cell r="CL4929">
            <v>15070.092000000001</v>
          </cell>
          <cell r="CP4929" t="str">
            <v xml:space="preserve">NFT-/XUTR/DEUTH024309A02A3X </v>
          </cell>
          <cell r="CQ4929" t="str">
            <v>2024-11-04</v>
          </cell>
          <cell r="CR4929">
            <v>1741.21</v>
          </cell>
        </row>
        <row r="4931">
          <cell r="CJ4931" t="str">
            <v xml:space="preserve">NFT-/XUTR/DEUTH02430980595X </v>
          </cell>
          <cell r="CK4931" t="str">
            <v>2024-11-04</v>
          </cell>
          <cell r="CL4931">
            <v>15355.439</v>
          </cell>
          <cell r="CM4931" t="str">
            <v xml:space="preserve">NFT-/XUTR/DEUTH02431839302X </v>
          </cell>
          <cell r="CN4931" t="str">
            <v>2024-11-13</v>
          </cell>
          <cell r="CO4931">
            <v>-15355.439</v>
          </cell>
          <cell r="CP4931" t="str">
            <v xml:space="preserve">NFT-/XUTR/DEUTH024309A02A3X </v>
          </cell>
          <cell r="CQ4931" t="str">
            <v>2024-11-04</v>
          </cell>
          <cell r="CR4931">
            <v>1455.8620000000001</v>
          </cell>
          <cell r="CS4931" t="str">
            <v xml:space="preserve">NFT-/XUTR/DEUTH02431843558X </v>
          </cell>
          <cell r="CT4931" t="str">
            <v>2024-11-13</v>
          </cell>
          <cell r="CU4931">
            <v>-1455.8620000000001</v>
          </cell>
        </row>
        <row r="4932">
          <cell r="CJ4932" t="str">
            <v xml:space="preserve">NFT-/XUTR/DEUTH02430980595X </v>
          </cell>
          <cell r="CK4932" t="str">
            <v>2024-11-04</v>
          </cell>
          <cell r="CL4932">
            <v>15336.558999999999</v>
          </cell>
          <cell r="CP4932" t="str">
            <v xml:space="preserve">NFT-/XUTR/DEUTH024309A02A3X </v>
          </cell>
          <cell r="CQ4932" t="str">
            <v>2024-11-04</v>
          </cell>
          <cell r="CR4932">
            <v>1455.8620000000001</v>
          </cell>
        </row>
        <row r="4933">
          <cell r="CJ4933" t="str">
            <v xml:space="preserve">NFT-/XUTR/DEUTH02430980595X </v>
          </cell>
          <cell r="CK4933" t="str">
            <v>2024-11-04</v>
          </cell>
          <cell r="CL4933">
            <v>14511.036</v>
          </cell>
          <cell r="CM4933" t="str">
            <v xml:space="preserve">NFT-/XUTR/DEUTH02431839302X </v>
          </cell>
          <cell r="CN4933" t="str">
            <v>2024-11-13</v>
          </cell>
          <cell r="CO4933">
            <v>-14511.036</v>
          </cell>
          <cell r="CP4933" t="str">
            <v xml:space="preserve">NFT-/XUTR/DEUTH024309A02A3X </v>
          </cell>
          <cell r="CQ4933" t="str">
            <v>2024-11-04</v>
          </cell>
          <cell r="CR4933">
            <v>2300.2629999999999</v>
          </cell>
          <cell r="CS4933" t="str">
            <v xml:space="preserve">NFT-/XUTR/DEUTH02431843558X </v>
          </cell>
          <cell r="CT4933" t="str">
            <v>2024-11-13</v>
          </cell>
          <cell r="CU4933">
            <v>-2300.2629999999999</v>
          </cell>
        </row>
        <row r="4934">
          <cell r="CJ4934" t="str">
            <v xml:space="preserve">NFT-/XUTR/DEUTH02430980595X </v>
          </cell>
          <cell r="CK4934" t="str">
            <v>2024-11-04</v>
          </cell>
          <cell r="CL4934">
            <v>15336.558999999999</v>
          </cell>
          <cell r="CP4934" t="str">
            <v xml:space="preserve">NFT-/XUTR/DEUTH024309A02A3X </v>
          </cell>
          <cell r="CQ4934" t="str">
            <v>2024-11-04</v>
          </cell>
          <cell r="CR4934">
            <v>1455.8620000000001</v>
          </cell>
        </row>
        <row r="4935">
          <cell r="CJ4935" t="str">
            <v xml:space="preserve">NFT-/XUTR/DEUTH02430980595X </v>
          </cell>
          <cell r="CK4935" t="str">
            <v>2024-11-04</v>
          </cell>
          <cell r="CL4935">
            <v>15336.558999999999</v>
          </cell>
          <cell r="CP4935" t="str">
            <v xml:space="preserve">NFT-/XUTR/DEUTH024309A02A3X </v>
          </cell>
          <cell r="CQ4935" t="str">
            <v>2024-11-04</v>
          </cell>
          <cell r="CR4935">
            <v>1455.8620000000001</v>
          </cell>
        </row>
        <row r="4936">
          <cell r="CJ4936" t="str">
            <v xml:space="preserve">NFT-/XUTR/DEUTH02430980595X </v>
          </cell>
          <cell r="CK4936" t="str">
            <v>2024-11-04</v>
          </cell>
          <cell r="CL4936">
            <v>15355.439</v>
          </cell>
          <cell r="CP4936" t="str">
            <v xml:space="preserve">NFT-/XUTR/DEUTH024309A02A3X </v>
          </cell>
          <cell r="CQ4936" t="str">
            <v>2024-11-04</v>
          </cell>
          <cell r="CR4936">
            <v>1455.8620000000001</v>
          </cell>
        </row>
        <row r="4937">
          <cell r="CJ4937" t="str">
            <v xml:space="preserve">NFT-/XUTR/DEUTH02430980595X </v>
          </cell>
          <cell r="CK4937" t="str">
            <v>2024-11-04</v>
          </cell>
          <cell r="CL4937">
            <v>15355.439</v>
          </cell>
          <cell r="CP4937" t="str">
            <v xml:space="preserve">NFT-/XUTR/DEUTH024309A02A3X </v>
          </cell>
          <cell r="CQ4937" t="str">
            <v>2024-11-04</v>
          </cell>
          <cell r="CR4937">
            <v>1455.8620000000001</v>
          </cell>
        </row>
        <row r="4938">
          <cell r="CJ4938" t="str">
            <v xml:space="preserve">NFT-/XUTR/DEUTH02430980595X </v>
          </cell>
          <cell r="CK4938" t="str">
            <v>2024-11-04</v>
          </cell>
          <cell r="CL4938">
            <v>15336.558999999999</v>
          </cell>
          <cell r="CP4938" t="str">
            <v xml:space="preserve">NFT-/XUTR/DEUTH024309A02A3X </v>
          </cell>
          <cell r="CQ4938" t="str">
            <v>2024-11-04</v>
          </cell>
          <cell r="CR4938">
            <v>1455.8620000000001</v>
          </cell>
        </row>
        <row r="4939">
          <cell r="CJ4939" t="str">
            <v xml:space="preserve">NFT-/XUTR/DEUTH02430980595X </v>
          </cell>
          <cell r="CK4939" t="str">
            <v>2024-11-04</v>
          </cell>
          <cell r="CL4939">
            <v>15355.439</v>
          </cell>
          <cell r="CM4939" t="str">
            <v xml:space="preserve">NFT-/XUTR/DEUTH02432756454X </v>
          </cell>
          <cell r="CN4939" t="str">
            <v>2024-11-22</v>
          </cell>
          <cell r="CO4939">
            <v>-15355.439</v>
          </cell>
          <cell r="CP4939" t="str">
            <v xml:space="preserve">NFT-/XUTR/DEUTH024309A02A3X </v>
          </cell>
          <cell r="CQ4939" t="str">
            <v>2024-11-04</v>
          </cell>
          <cell r="CR4939">
            <v>1455.8620000000001</v>
          </cell>
          <cell r="CV4939" t="str">
            <v xml:space="preserve">NFT-/XUTR/DEUTH02433956210X </v>
          </cell>
          <cell r="CW4939" t="str">
            <v>2024-12-04</v>
          </cell>
          <cell r="CX4939">
            <v>-1455.8620000000001</v>
          </cell>
        </row>
        <row r="4940">
          <cell r="CJ4940" t="str">
            <v xml:space="preserve">NFT-/XUTR/DEUTH02430980595X </v>
          </cell>
          <cell r="CK4940" t="str">
            <v>2024-11-04</v>
          </cell>
          <cell r="CL4940">
            <v>15336.558999999999</v>
          </cell>
          <cell r="CP4940" t="str">
            <v xml:space="preserve">NFT-/XUTR/DEUTH024309A02A3X </v>
          </cell>
          <cell r="CQ4940" t="str">
            <v>2024-11-04</v>
          </cell>
          <cell r="CR4940">
            <v>1455.8620000000001</v>
          </cell>
        </row>
        <row r="4941">
          <cell r="CJ4941" t="str">
            <v xml:space="preserve">NFT-/XUTR/DEUTH02430980595X </v>
          </cell>
          <cell r="CK4941" t="str">
            <v>2024-11-04</v>
          </cell>
          <cell r="CL4941">
            <v>11148.504000000001</v>
          </cell>
          <cell r="CP4941" t="str">
            <v xml:space="preserve">NFT-/XUTR/DEUTH024309A02A3X </v>
          </cell>
          <cell r="CQ4941" t="str">
            <v>2024-11-04</v>
          </cell>
          <cell r="CR4941">
            <v>1257.8599999999999</v>
          </cell>
        </row>
        <row r="4942">
          <cell r="CJ4942" t="str">
            <v xml:space="preserve">NFT-/XUTR/DEUTH02430980595X </v>
          </cell>
          <cell r="CK4942" t="str">
            <v>2024-11-04</v>
          </cell>
          <cell r="CL4942">
            <v>15355.439</v>
          </cell>
          <cell r="CP4942" t="str">
            <v xml:space="preserve">NFT-/XUTR/DEUTH024309A02A3X </v>
          </cell>
          <cell r="CQ4942" t="str">
            <v>2024-11-04</v>
          </cell>
          <cell r="CR4942">
            <v>1455.8620000000001</v>
          </cell>
        </row>
        <row r="4943">
          <cell r="CJ4943" t="str">
            <v xml:space="preserve">NFT-/XUTR/DEUTH02430980595X </v>
          </cell>
          <cell r="CK4943" t="str">
            <v>2024-11-04</v>
          </cell>
          <cell r="CL4943">
            <v>15355.439</v>
          </cell>
          <cell r="CP4943" t="str">
            <v xml:space="preserve">NFT-/XUTR/DEUTH024309A02A3X </v>
          </cell>
          <cell r="CQ4943" t="str">
            <v>2024-11-04</v>
          </cell>
          <cell r="CR4943">
            <v>1455.8620000000001</v>
          </cell>
        </row>
        <row r="4944">
          <cell r="CJ4944" t="str">
            <v xml:space="preserve">NFT-/XUTR/DEUTH02430980595X </v>
          </cell>
          <cell r="CK4944" t="str">
            <v>2024-11-04</v>
          </cell>
          <cell r="CL4944">
            <v>15174.912</v>
          </cell>
          <cell r="CM4944" t="str">
            <v xml:space="preserve">NFT-/XUTR/DEUTH02432756454X </v>
          </cell>
          <cell r="CN4944" t="str">
            <v>2024-11-22</v>
          </cell>
          <cell r="CO4944">
            <v>-15174.912</v>
          </cell>
          <cell r="CP4944" t="str">
            <v xml:space="preserve">NFT-/XUTR/DEUTH024309A02A3X </v>
          </cell>
          <cell r="CQ4944" t="str">
            <v>2024-11-04</v>
          </cell>
          <cell r="CR4944">
            <v>1636.3889999999999</v>
          </cell>
          <cell r="CV4944" t="str">
            <v xml:space="preserve">NFT-/XUTR/DEUTH02433956210X </v>
          </cell>
          <cell r="CW4944" t="str">
            <v>2024-12-04</v>
          </cell>
          <cell r="CX4944">
            <v>-1636.3889999999999</v>
          </cell>
        </row>
        <row r="4945">
          <cell r="CJ4945" t="str">
            <v xml:space="preserve">NFT-/XUTR/DEUTH02430980595X </v>
          </cell>
          <cell r="CK4945" t="str">
            <v>2024-11-04</v>
          </cell>
          <cell r="CL4945">
            <v>15336.558999999999</v>
          </cell>
          <cell r="CP4945" t="str">
            <v xml:space="preserve">NFT-/XUTR/DEUTH024309A02A3X </v>
          </cell>
          <cell r="CQ4945" t="str">
            <v>2024-11-04</v>
          </cell>
          <cell r="CR4945">
            <v>1455.8620000000001</v>
          </cell>
        </row>
        <row r="4946">
          <cell r="CJ4946" t="str">
            <v xml:space="preserve">NFT-/XUTR/DEUTH02430980595X </v>
          </cell>
          <cell r="CK4946" t="str">
            <v>2024-11-04</v>
          </cell>
          <cell r="CL4946">
            <v>5260.4870000000001</v>
          </cell>
          <cell r="CP4946" t="str">
            <v xml:space="preserve">NFT-/XUTR/DEUTH024309A02A3X </v>
          </cell>
          <cell r="CQ4946" t="str">
            <v>2024-11-04</v>
          </cell>
          <cell r="CR4946">
            <v>593.02099999999996</v>
          </cell>
        </row>
        <row r="4947">
          <cell r="CJ4947" t="str">
            <v xml:space="preserve">NFT-/XUTR/DEUTH02430980595X </v>
          </cell>
          <cell r="CK4947" t="str">
            <v>2024-11-04</v>
          </cell>
          <cell r="CL4947">
            <v>15336.558999999999</v>
          </cell>
          <cell r="CP4947" t="str">
            <v xml:space="preserve">NFT-/XUTR/DEUTH024309A02A3X </v>
          </cell>
          <cell r="CQ4947" t="str">
            <v>2024-11-04</v>
          </cell>
          <cell r="CR4947">
            <v>1455.8620000000001</v>
          </cell>
        </row>
        <row r="4948">
          <cell r="CJ4948" t="str">
            <v xml:space="preserve">NFT-/XUTR/DEUTH02430980595X </v>
          </cell>
          <cell r="CK4948" t="str">
            <v>2024-11-04</v>
          </cell>
          <cell r="CL4948">
            <v>15336.558999999999</v>
          </cell>
          <cell r="CP4948" t="str">
            <v xml:space="preserve">NFT-/XUTR/DEUTH024309A02A3X </v>
          </cell>
          <cell r="CQ4948" t="str">
            <v>2024-11-04</v>
          </cell>
          <cell r="CR4948">
            <v>1455.8620000000001</v>
          </cell>
        </row>
        <row r="4949">
          <cell r="CJ4949" t="str">
            <v xml:space="preserve">NFT-/XUTR/DEUTH02430980595X </v>
          </cell>
          <cell r="CK4949" t="str">
            <v>2024-11-04</v>
          </cell>
          <cell r="CL4949">
            <v>15336.558999999999</v>
          </cell>
          <cell r="CP4949" t="str">
            <v xml:space="preserve">NFT-/XUTR/DEUTH024309A02A3X </v>
          </cell>
          <cell r="CQ4949" t="str">
            <v>2024-11-04</v>
          </cell>
          <cell r="CR4949">
            <v>1455.8620000000001</v>
          </cell>
        </row>
        <row r="4950">
          <cell r="CJ4950" t="str">
            <v xml:space="preserve">NFT-/XUTR/DEUTH02430980595X </v>
          </cell>
          <cell r="CK4950" t="str">
            <v>2024-11-04</v>
          </cell>
          <cell r="CL4950">
            <v>15355.439</v>
          </cell>
          <cell r="CM4950" t="str">
            <v xml:space="preserve">NFT-/XUTR/DEUTH02432756454X </v>
          </cell>
          <cell r="CN4950" t="str">
            <v>2024-11-22</v>
          </cell>
          <cell r="CO4950">
            <v>-15355.439</v>
          </cell>
          <cell r="CP4950" t="str">
            <v xml:space="preserve">NFT-/XUTR/DEUTH024309A02A3X </v>
          </cell>
          <cell r="CQ4950" t="str">
            <v>2024-11-04</v>
          </cell>
          <cell r="CR4950">
            <v>1455.8620000000001</v>
          </cell>
          <cell r="CV4950" t="str">
            <v xml:space="preserve">NFT-/XUTR/DEUTH02433956210X </v>
          </cell>
          <cell r="CW4950" t="str">
            <v>2024-12-04</v>
          </cell>
          <cell r="CX4950">
            <v>-1455.8620000000001</v>
          </cell>
        </row>
        <row r="4951">
          <cell r="CJ4951" t="str">
            <v xml:space="preserve">NFT-/XUTR/DEUTH02430980595X </v>
          </cell>
          <cell r="CK4951" t="str">
            <v>2024-11-04</v>
          </cell>
          <cell r="CL4951">
            <v>15336.558999999999</v>
          </cell>
          <cell r="CP4951" t="str">
            <v xml:space="preserve">NFT-/XUTR/DEUTH024309A02A3X </v>
          </cell>
          <cell r="CQ4951" t="str">
            <v>2024-11-04</v>
          </cell>
          <cell r="CR4951">
            <v>1455.8620000000001</v>
          </cell>
        </row>
        <row r="4952">
          <cell r="CJ4952" t="str">
            <v xml:space="preserve">NFT-/XUTR/DEUTH02430980595X </v>
          </cell>
          <cell r="CK4952" t="str">
            <v>2024-11-04</v>
          </cell>
          <cell r="CL4952">
            <v>15355.439</v>
          </cell>
          <cell r="CP4952" t="str">
            <v xml:space="preserve">NFT-/XUTR/DEUTH024309A02A3X </v>
          </cell>
          <cell r="CQ4952" t="str">
            <v>2024-11-04</v>
          </cell>
          <cell r="CR4952">
            <v>1455.8620000000001</v>
          </cell>
        </row>
        <row r="4953">
          <cell r="CJ4953" t="str">
            <v xml:space="preserve">NFT-/XUTR/DEUTH02430980595X </v>
          </cell>
          <cell r="CK4953" t="str">
            <v>2024-11-04</v>
          </cell>
          <cell r="CL4953">
            <v>5241.607</v>
          </cell>
          <cell r="CP4953" t="str">
            <v xml:space="preserve">NFT-/XUTR/DEUTH024309A02A3X </v>
          </cell>
          <cell r="CQ4953" t="str">
            <v>2024-11-04</v>
          </cell>
          <cell r="CR4953">
            <v>593.02099999999996</v>
          </cell>
        </row>
        <row r="4954">
          <cell r="CJ4954" t="str">
            <v xml:space="preserve">NFT-/XUTR/DEUTH02430980595X </v>
          </cell>
          <cell r="CK4954" t="str">
            <v>2024-11-04</v>
          </cell>
          <cell r="CL4954">
            <v>15355.439</v>
          </cell>
          <cell r="CP4954" t="str">
            <v xml:space="preserve">NFT-/XUTR/DEUTH024309A02A3X </v>
          </cell>
          <cell r="CQ4954" t="str">
            <v>2024-11-04</v>
          </cell>
          <cell r="CR4954">
            <v>1455.8620000000001</v>
          </cell>
        </row>
        <row r="4955">
          <cell r="CJ4955" t="str">
            <v xml:space="preserve">NFT-/XUTR/DEUTH02430980595X </v>
          </cell>
          <cell r="CK4955" t="str">
            <v>2024-11-04</v>
          </cell>
          <cell r="CL4955">
            <v>10536.53</v>
          </cell>
          <cell r="CP4955" t="str">
            <v xml:space="preserve">NFT-/XUTR/DEUTH024309A02A3X </v>
          </cell>
          <cell r="CQ4955" t="str">
            <v>2024-11-04</v>
          </cell>
          <cell r="CR4955">
            <v>1179.252</v>
          </cell>
        </row>
        <row r="4956">
          <cell r="CJ4956" t="str">
            <v xml:space="preserve">NFT-/XUTR/DEUTH02430980595X </v>
          </cell>
          <cell r="CK4956" t="str">
            <v>2024-11-04</v>
          </cell>
          <cell r="CL4956">
            <v>15336.558999999999</v>
          </cell>
          <cell r="CP4956" t="str">
            <v xml:space="preserve">NFT-/XUTR/DEUTH024309A02A3X </v>
          </cell>
          <cell r="CQ4956" t="str">
            <v>2024-11-04</v>
          </cell>
          <cell r="CR4956">
            <v>1455.8620000000001</v>
          </cell>
        </row>
        <row r="4957">
          <cell r="CJ4957" t="str">
            <v xml:space="preserve">NFT-/XUTR/DEUTH02430980595X </v>
          </cell>
          <cell r="CK4957" t="str">
            <v>2024-11-04</v>
          </cell>
          <cell r="CL4957">
            <v>15355.439</v>
          </cell>
          <cell r="CP4957" t="str">
            <v xml:space="preserve">NFT-/XUTR/DEUTH024309A02A3X </v>
          </cell>
          <cell r="CQ4957" t="str">
            <v>2024-11-04</v>
          </cell>
          <cell r="CR4957">
            <v>1455.8620000000001</v>
          </cell>
        </row>
        <row r="4958">
          <cell r="CJ4958" t="str">
            <v xml:space="preserve">NFT-/XUTR/DEUTH02430980595X </v>
          </cell>
          <cell r="CK4958" t="str">
            <v>2024-11-04</v>
          </cell>
          <cell r="CL4958">
            <v>15355.439</v>
          </cell>
          <cell r="CP4958" t="str">
            <v xml:space="preserve">NFT-/XUTR/DEUTH024309A02A3X </v>
          </cell>
          <cell r="CQ4958" t="str">
            <v>2024-11-04</v>
          </cell>
          <cell r="CR4958">
            <v>1455.8620000000001</v>
          </cell>
        </row>
        <row r="4959">
          <cell r="CJ4959" t="str">
            <v xml:space="preserve">NFT-/XUTR/DEUTH02430980595X </v>
          </cell>
          <cell r="CK4959" t="str">
            <v>2024-11-04</v>
          </cell>
          <cell r="CL4959">
            <v>15355.439</v>
          </cell>
          <cell r="CP4959" t="str">
            <v xml:space="preserve">NFT-/XUTR/DEUTH024309A02A3X </v>
          </cell>
          <cell r="CQ4959" t="str">
            <v>2024-11-04</v>
          </cell>
          <cell r="CR4959">
            <v>1455.8620000000001</v>
          </cell>
        </row>
        <row r="4960">
          <cell r="CJ4960" t="str">
            <v xml:space="preserve">NFT-/XUTR/DEUTH02430980595X </v>
          </cell>
          <cell r="CK4960" t="str">
            <v>2024-11-04</v>
          </cell>
          <cell r="CL4960">
            <v>15336.558999999999</v>
          </cell>
          <cell r="CP4960" t="str">
            <v xml:space="preserve">NFT-/XUTR/DEUTH024309A02A3X </v>
          </cell>
          <cell r="CQ4960" t="str">
            <v>2024-11-04</v>
          </cell>
          <cell r="CR4960">
            <v>1455.8620000000001</v>
          </cell>
        </row>
        <row r="4961">
          <cell r="CJ4961" t="str">
            <v xml:space="preserve">NFT-/XUTR/DEUTH02430980595X </v>
          </cell>
          <cell r="CK4961" t="str">
            <v>2024-11-04</v>
          </cell>
          <cell r="CL4961">
            <v>15336.558999999999</v>
          </cell>
          <cell r="CP4961" t="str">
            <v xml:space="preserve">NFT-/XUTR/DEUTH024309A02A3X </v>
          </cell>
          <cell r="CQ4961" t="str">
            <v>2024-11-04</v>
          </cell>
          <cell r="CR4961">
            <v>1455.8620000000001</v>
          </cell>
        </row>
        <row r="4962">
          <cell r="CJ4962" t="str">
            <v xml:space="preserve">NFT-/XUTR/DEUTH02430980595X </v>
          </cell>
          <cell r="CK4962" t="str">
            <v>2024-11-04</v>
          </cell>
          <cell r="CL4962">
            <v>15336.558999999999</v>
          </cell>
          <cell r="CP4962" t="str">
            <v xml:space="preserve">NFT-/XUTR/DEUTH024309A02A3X </v>
          </cell>
          <cell r="CQ4962" t="str">
            <v>2024-11-04</v>
          </cell>
          <cell r="CR4962">
            <v>1455.8620000000001</v>
          </cell>
        </row>
        <row r="4963">
          <cell r="CJ4963" t="str">
            <v xml:space="preserve">NFT-/XUTR/DEUTH02430980595X </v>
          </cell>
          <cell r="CK4963" t="str">
            <v>2024-11-04</v>
          </cell>
          <cell r="CL4963">
            <v>15685.438</v>
          </cell>
          <cell r="CP4963" t="str">
            <v xml:space="preserve">NFT-/XUTR/DEUTH024309A02A3X </v>
          </cell>
          <cell r="CQ4963" t="str">
            <v>2024-11-04</v>
          </cell>
          <cell r="CR4963">
            <v>1455.8620000000001</v>
          </cell>
        </row>
        <row r="4964">
          <cell r="CJ4964" t="str">
            <v xml:space="preserve">NFT-/XUTR/DEUTH02430980595X </v>
          </cell>
          <cell r="CK4964" t="str">
            <v>2024-11-04</v>
          </cell>
          <cell r="CL4964">
            <v>15355.439</v>
          </cell>
          <cell r="CP4964" t="str">
            <v xml:space="preserve">NFT-/XUTR/DEUTH024309A02A3X </v>
          </cell>
          <cell r="CQ4964" t="str">
            <v>2024-11-04</v>
          </cell>
          <cell r="CR4964">
            <v>1455.8620000000001</v>
          </cell>
        </row>
        <row r="4965">
          <cell r="CJ4965" t="str">
            <v xml:space="preserve">NFT-/XUTR/DEUTH02430980595X </v>
          </cell>
          <cell r="CK4965" t="str">
            <v>2024-11-04</v>
          </cell>
          <cell r="CL4965">
            <v>1418.5119999999999</v>
          </cell>
        </row>
        <row r="4966">
          <cell r="CJ4966" t="str">
            <v xml:space="preserve">NFT-/XUTR/DEUTH02430980595X </v>
          </cell>
          <cell r="CK4966" t="str">
            <v>2024-11-04</v>
          </cell>
          <cell r="CL4966">
            <v>15355.439</v>
          </cell>
          <cell r="CP4966" t="str">
            <v xml:space="preserve">NFT-/XUTR/DEUTH024309A02A3X </v>
          </cell>
          <cell r="CQ4966" t="str">
            <v>2024-11-04</v>
          </cell>
          <cell r="CR4966">
            <v>1455.8620000000001</v>
          </cell>
        </row>
        <row r="4967">
          <cell r="CJ4967" t="str">
            <v xml:space="preserve">NFT-/XUTR/DEUTH02430980595X </v>
          </cell>
          <cell r="CK4967" t="str">
            <v>2024-11-04</v>
          </cell>
          <cell r="CL4967">
            <v>15355.439</v>
          </cell>
          <cell r="CM4967" t="str">
            <v xml:space="preserve">NFT-/XUTR/DEUTH02431649943X </v>
          </cell>
          <cell r="CN4967" t="str">
            <v>2024-11-11</v>
          </cell>
          <cell r="CO4967">
            <v>-15355.439</v>
          </cell>
          <cell r="CP4967" t="str">
            <v xml:space="preserve">NFT-/XUTR/DEUTH024309A02A3X </v>
          </cell>
          <cell r="CQ4967" t="str">
            <v>2024-11-04</v>
          </cell>
          <cell r="CR4967">
            <v>1455.8620000000001</v>
          </cell>
          <cell r="CS4967" t="str">
            <v xml:space="preserve">NFT-/XUTR/DEUTH02431658955X </v>
          </cell>
          <cell r="CT4967" t="str">
            <v>2024-11-11</v>
          </cell>
          <cell r="CU4967">
            <v>-1455.8620000000001</v>
          </cell>
        </row>
        <row r="4968">
          <cell r="CJ4968" t="str">
            <v xml:space="preserve">NFT-/XUTR/DEUTH02430980595X </v>
          </cell>
          <cell r="CK4968" t="str">
            <v>2024-11-04</v>
          </cell>
          <cell r="CL4968">
            <v>15336.558999999999</v>
          </cell>
          <cell r="CP4968" t="str">
            <v xml:space="preserve">NFT-/XUTR/DEUTH024309A02A3X </v>
          </cell>
          <cell r="CQ4968" t="str">
            <v>2024-11-04</v>
          </cell>
          <cell r="CR4968">
            <v>1455.8620000000001</v>
          </cell>
        </row>
        <row r="4969">
          <cell r="CJ4969" t="str">
            <v xml:space="preserve">NFT-/XUTR/DEUTH02430980595X </v>
          </cell>
          <cell r="CK4969" t="str">
            <v>2024-11-04</v>
          </cell>
          <cell r="CL4969">
            <v>15355.439</v>
          </cell>
          <cell r="CP4969" t="str">
            <v xml:space="preserve">NFT-/XUTR/DEUTH024309A02A3X </v>
          </cell>
          <cell r="CQ4969" t="str">
            <v>2024-11-04</v>
          </cell>
          <cell r="CR4969">
            <v>1455.8620000000001</v>
          </cell>
        </row>
        <row r="4970">
          <cell r="CJ4970" t="str">
            <v xml:space="preserve">NFT-/XUTR/DEUTH02430980595X </v>
          </cell>
          <cell r="CK4970" t="str">
            <v>2024-11-04</v>
          </cell>
          <cell r="CL4970">
            <v>10517.65</v>
          </cell>
          <cell r="CP4970" t="str">
            <v xml:space="preserve">NFT-/XUTR/DEUTH024309A02A3X </v>
          </cell>
          <cell r="CQ4970" t="str">
            <v>2024-11-04</v>
          </cell>
          <cell r="CR4970">
            <v>1179.252</v>
          </cell>
        </row>
        <row r="4971">
          <cell r="CJ4971" t="str">
            <v xml:space="preserve">NFT-/XUTR/DEUTH02430980595X </v>
          </cell>
          <cell r="CK4971" t="str">
            <v>2024-11-04</v>
          </cell>
          <cell r="CL4971">
            <v>15336.558999999999</v>
          </cell>
          <cell r="CP4971" t="str">
            <v xml:space="preserve">NFT-/XUTR/DEUTH024309A02A3X </v>
          </cell>
          <cell r="CQ4971" t="str">
            <v>2024-11-04</v>
          </cell>
          <cell r="CR4971">
            <v>1455.8620000000001</v>
          </cell>
        </row>
        <row r="4972">
          <cell r="CJ4972" t="str">
            <v xml:space="preserve">NFT-/XUTR/DEUTH02430980595X </v>
          </cell>
          <cell r="CK4972" t="str">
            <v>2024-11-04</v>
          </cell>
          <cell r="CL4972">
            <v>15355.439</v>
          </cell>
          <cell r="CP4972" t="str">
            <v xml:space="preserve">NFT-/XUTR/DEUTH024309A02A3X </v>
          </cell>
          <cell r="CQ4972" t="str">
            <v>2024-11-04</v>
          </cell>
          <cell r="CR4972">
            <v>1455.8620000000001</v>
          </cell>
        </row>
        <row r="4973">
          <cell r="CJ4973" t="str">
            <v xml:space="preserve">NFT-/XUTR/DEUTH02430980595X </v>
          </cell>
          <cell r="CK4973" t="str">
            <v>2024-11-04</v>
          </cell>
          <cell r="CL4973">
            <v>1437.393</v>
          </cell>
          <cell r="CM4973" t="str">
            <v xml:space="preserve">NFT-/XUTR/DEUTH02431649943X </v>
          </cell>
          <cell r="CN4973" t="str">
            <v>2024-11-11</v>
          </cell>
          <cell r="CO4973">
            <v>-1437.393</v>
          </cell>
        </row>
        <row r="4974">
          <cell r="CJ4974" t="str">
            <v xml:space="preserve">NFT-/XUTR/DEUTH02430980595X </v>
          </cell>
          <cell r="CK4974" t="str">
            <v>2024-11-04</v>
          </cell>
          <cell r="CL4974">
            <v>15355.439</v>
          </cell>
          <cell r="CP4974" t="str">
            <v xml:space="preserve">NFT-/XUTR/DEUTH024309A02A3X </v>
          </cell>
          <cell r="CQ4974" t="str">
            <v>2024-11-04</v>
          </cell>
          <cell r="CR4974">
            <v>1455.8620000000001</v>
          </cell>
        </row>
        <row r="4975">
          <cell r="CJ4975" t="str">
            <v xml:space="preserve">NFT-/XUTR/DEUTH02430980595X </v>
          </cell>
          <cell r="CK4975" t="str">
            <v>2024-11-04</v>
          </cell>
          <cell r="CL4975">
            <v>15355.439</v>
          </cell>
          <cell r="CP4975" t="str">
            <v xml:space="preserve">NFT-/XUTR/DEUTH024309A02A3X </v>
          </cell>
          <cell r="CQ4975" t="str">
            <v>2024-11-04</v>
          </cell>
          <cell r="CR4975">
            <v>1455.8620000000001</v>
          </cell>
        </row>
        <row r="4976">
          <cell r="CJ4976" t="str">
            <v xml:space="preserve">NFT-/XUTR/DEUTH02430980595X </v>
          </cell>
          <cell r="CK4976" t="str">
            <v>2024-11-04</v>
          </cell>
          <cell r="CL4976">
            <v>15355.439</v>
          </cell>
          <cell r="CM4976" t="str">
            <v xml:space="preserve">NFT-/XUTR/DEUTH02432045075X </v>
          </cell>
          <cell r="CN4976" t="str">
            <v>2024-11-15</v>
          </cell>
          <cell r="CO4976">
            <v>-15355.439</v>
          </cell>
          <cell r="CP4976" t="str">
            <v xml:space="preserve">NFT-/XUTR/DEUTH024309A02A3X </v>
          </cell>
          <cell r="CQ4976" t="str">
            <v>2024-11-04</v>
          </cell>
          <cell r="CR4976">
            <v>1455.8620000000001</v>
          </cell>
          <cell r="CS4976" t="str">
            <v xml:space="preserve">NFT-/XUTR/DEUTH02432059153X </v>
          </cell>
          <cell r="CT4976" t="str">
            <v>2024-11-15</v>
          </cell>
          <cell r="CU4976">
            <v>-1455.8620000000001</v>
          </cell>
        </row>
        <row r="4977">
          <cell r="CJ4977" t="str">
            <v xml:space="preserve">NFT-/XUTR/DEUTH02430980595X </v>
          </cell>
          <cell r="CK4977" t="str">
            <v>2024-11-04</v>
          </cell>
          <cell r="CL4977">
            <v>15355.439</v>
          </cell>
          <cell r="CP4977" t="str">
            <v xml:space="preserve">NFT-/XUTR/DEUTH024309A02A3X </v>
          </cell>
          <cell r="CQ4977" t="str">
            <v>2024-11-04</v>
          </cell>
          <cell r="CR4977">
            <v>1455.8620000000001</v>
          </cell>
        </row>
        <row r="4978">
          <cell r="CJ4978" t="str">
            <v xml:space="preserve">NFT-/XUTR/DEUTH02430980595X </v>
          </cell>
          <cell r="CK4978" t="str">
            <v>2024-11-04</v>
          </cell>
          <cell r="CL4978">
            <v>15336.558999999999</v>
          </cell>
          <cell r="CP4978" t="str">
            <v xml:space="preserve">NFT-/XUTR/DEUTH024309A02A3X </v>
          </cell>
          <cell r="CQ4978" t="str">
            <v>2024-11-04</v>
          </cell>
          <cell r="CR4978">
            <v>1455.8620000000001</v>
          </cell>
        </row>
        <row r="4979">
          <cell r="CJ4979" t="str">
            <v xml:space="preserve">NFT-/XUTR/DEUTH02430980595X </v>
          </cell>
          <cell r="CK4979" t="str">
            <v>2024-11-04</v>
          </cell>
          <cell r="CL4979">
            <v>5898.16</v>
          </cell>
          <cell r="CM4979" t="str">
            <v xml:space="preserve">NFT-/XUTR/DEUTH02431649943X </v>
          </cell>
          <cell r="CN4979" t="str">
            <v>2024-11-11</v>
          </cell>
          <cell r="CO4979">
            <v>-5898.16</v>
          </cell>
          <cell r="CP4979" t="str">
            <v xml:space="preserve">NFT-/XUTR/DEUTH024309A02A3X </v>
          </cell>
          <cell r="CQ4979" t="str">
            <v>2024-11-04</v>
          </cell>
          <cell r="CR4979">
            <v>314.46199999999999</v>
          </cell>
          <cell r="CS4979" t="str">
            <v xml:space="preserve">NFT-/XUTR/DEUTH02431658955X </v>
          </cell>
          <cell r="CT4979" t="str">
            <v>2024-11-11</v>
          </cell>
          <cell r="CU4979">
            <v>-314.46199999999999</v>
          </cell>
        </row>
        <row r="4980">
          <cell r="CJ4980" t="str">
            <v xml:space="preserve">NFT-/XUTR/DEUTH02430980595X </v>
          </cell>
          <cell r="CK4980" t="str">
            <v>2024-11-04</v>
          </cell>
          <cell r="CL4980">
            <v>14492.156999999999</v>
          </cell>
          <cell r="CP4980" t="str">
            <v xml:space="preserve">NFT-/XUTR/DEUTH024309A02A3X </v>
          </cell>
          <cell r="CQ4980" t="str">
            <v>2024-11-04</v>
          </cell>
          <cell r="CR4980">
            <v>2300.2640000000001</v>
          </cell>
        </row>
        <row r="4981">
          <cell r="CJ4981" t="str">
            <v xml:space="preserve">NFT-/XUTR/DEUTH02430980595X </v>
          </cell>
          <cell r="CK4981" t="str">
            <v>2024-11-04</v>
          </cell>
          <cell r="CL4981">
            <v>14511.036</v>
          </cell>
          <cell r="CP4981" t="str">
            <v xml:space="preserve">NFT-/XUTR/DEUTH024309A02A3X </v>
          </cell>
          <cell r="CQ4981" t="str">
            <v>2024-11-04</v>
          </cell>
          <cell r="CR4981">
            <v>2300.2629999999999</v>
          </cell>
        </row>
        <row r="4982">
          <cell r="CJ4982" t="str">
            <v xml:space="preserve">NFT-/XUTR/DEUTH02430980595X </v>
          </cell>
          <cell r="CK4982" t="str">
            <v>2024-11-04</v>
          </cell>
          <cell r="CL4982">
            <v>15355.439</v>
          </cell>
          <cell r="CP4982" t="str">
            <v xml:space="preserve">NFT-/XUTR/DEUTH024309A02A3X </v>
          </cell>
          <cell r="CQ4982" t="str">
            <v>2024-11-04</v>
          </cell>
          <cell r="CR4982">
            <v>1455.8620000000001</v>
          </cell>
        </row>
        <row r="4983">
          <cell r="CJ4983" t="str">
            <v xml:space="preserve">NFT-/XUTR/DEUTH02430980595X </v>
          </cell>
          <cell r="CK4983" t="str">
            <v>2024-11-04</v>
          </cell>
          <cell r="CL4983">
            <v>15068.152</v>
          </cell>
          <cell r="CP4983" t="str">
            <v xml:space="preserve">NFT-/XUTR/DEUTH024309A02A3X </v>
          </cell>
          <cell r="CQ4983" t="str">
            <v>2024-11-04</v>
          </cell>
          <cell r="CR4983">
            <v>1743.1479999999999</v>
          </cell>
        </row>
        <row r="4984">
          <cell r="CJ4984" t="str">
            <v xml:space="preserve">NFT-/XUTR/DEUTH02430980595X </v>
          </cell>
          <cell r="CK4984" t="str">
            <v>2024-11-04</v>
          </cell>
          <cell r="CL4984">
            <v>42158.828000000001</v>
          </cell>
          <cell r="CP4984" t="str">
            <v xml:space="preserve">NFT-/XUTR/DEUTH024309A02A3X </v>
          </cell>
          <cell r="CQ4984" t="str">
            <v>2024-11-04</v>
          </cell>
          <cell r="CR4984">
            <v>23.29</v>
          </cell>
        </row>
        <row r="4985">
          <cell r="CJ4985" t="str">
            <v xml:space="preserve">NFT-/XUTR/DEUTH02430980595X </v>
          </cell>
          <cell r="CK4985" t="str">
            <v>2024-11-04</v>
          </cell>
          <cell r="CL4985">
            <v>15336.558999999999</v>
          </cell>
          <cell r="CP4985" t="str">
            <v xml:space="preserve">NFT-/XUTR/DEUTH024309A02A3X </v>
          </cell>
          <cell r="CQ4985" t="str">
            <v>2024-11-04</v>
          </cell>
          <cell r="CR4985">
            <v>1455.8620000000001</v>
          </cell>
        </row>
        <row r="4986">
          <cell r="CJ4986" t="str">
            <v xml:space="preserve">NFT-/XUTR/DEUTH02430980595X </v>
          </cell>
          <cell r="CK4986" t="str">
            <v>2024-11-04</v>
          </cell>
          <cell r="CL4986">
            <v>15355.439</v>
          </cell>
          <cell r="CP4986" t="str">
            <v xml:space="preserve">NFT-/XUTR/DEUTH024309A02A3X </v>
          </cell>
          <cell r="CQ4986" t="str">
            <v>2024-11-04</v>
          </cell>
          <cell r="CR4986">
            <v>1455.8620000000001</v>
          </cell>
        </row>
        <row r="4987">
          <cell r="CJ4987" t="str">
            <v xml:space="preserve">NFT-/XUTR/DEUTH02430980595X </v>
          </cell>
          <cell r="CK4987" t="str">
            <v>2024-11-04</v>
          </cell>
          <cell r="CL4987">
            <v>15355.439</v>
          </cell>
          <cell r="CP4987" t="str">
            <v xml:space="preserve">NFT-/XUTR/DEUTH024309A02A3X </v>
          </cell>
          <cell r="CQ4987" t="str">
            <v>2024-11-04</v>
          </cell>
          <cell r="CR4987">
            <v>1455.8620000000001</v>
          </cell>
        </row>
        <row r="4988">
          <cell r="CJ4988" t="str">
            <v xml:space="preserve">NFT-/XUTR/DEUTH02430980595X </v>
          </cell>
          <cell r="CK4988" t="str">
            <v>2024-11-04</v>
          </cell>
          <cell r="CL4988">
            <v>15336.558999999999</v>
          </cell>
          <cell r="CP4988" t="str">
            <v xml:space="preserve">NFT-/XUTR/DEUTH024309A02A3X </v>
          </cell>
          <cell r="CQ4988" t="str">
            <v>2024-11-04</v>
          </cell>
          <cell r="CR4988">
            <v>1455.8620000000001</v>
          </cell>
        </row>
        <row r="4989">
          <cell r="CJ4989" t="str">
            <v xml:space="preserve">NFT-/XUTR/DEUTH02430980595X </v>
          </cell>
          <cell r="CK4989" t="str">
            <v>2024-11-04</v>
          </cell>
          <cell r="CL4989">
            <v>5549.7219999999998</v>
          </cell>
          <cell r="CP4989" t="str">
            <v xml:space="preserve">NFT-/XUTR/DEUTH024309A02A3X </v>
          </cell>
          <cell r="CQ4989" t="str">
            <v>2024-11-04</v>
          </cell>
          <cell r="CR4989">
            <v>662.90099999999995</v>
          </cell>
        </row>
        <row r="4990">
          <cell r="CJ4990" t="str">
            <v xml:space="preserve">NFT-/XUTR/DEUTH02430980595X </v>
          </cell>
          <cell r="CK4990" t="str">
            <v>2024-11-04</v>
          </cell>
          <cell r="CL4990">
            <v>15355.439</v>
          </cell>
          <cell r="CP4990" t="str">
            <v xml:space="preserve">NFT-/XUTR/DEUTH024309A02A3X </v>
          </cell>
          <cell r="CQ4990" t="str">
            <v>2024-11-04</v>
          </cell>
          <cell r="CR4990">
            <v>1455.8620000000001</v>
          </cell>
        </row>
        <row r="4991">
          <cell r="CJ4991" t="str">
            <v xml:space="preserve">NFT-/XUTR/DEUTH02430980595X </v>
          </cell>
          <cell r="CK4991" t="str">
            <v>2024-11-04</v>
          </cell>
          <cell r="CL4991">
            <v>15336.558999999999</v>
          </cell>
          <cell r="CP4991" t="str">
            <v xml:space="preserve">NFT-/XUTR/DEUTH024309A02A3X </v>
          </cell>
          <cell r="CQ4991" t="str">
            <v>2024-11-04</v>
          </cell>
          <cell r="CR4991">
            <v>1455.8620000000001</v>
          </cell>
        </row>
        <row r="4992">
          <cell r="CJ4992" t="str">
            <v xml:space="preserve">NFT-/XUTR/DEUTH02430980595X </v>
          </cell>
          <cell r="CK4992" t="str">
            <v>2024-11-04</v>
          </cell>
          <cell r="CL4992">
            <v>15336.558999999999</v>
          </cell>
          <cell r="CP4992" t="str">
            <v xml:space="preserve">NFT-/XUTR/DEUTH024309A02A3X </v>
          </cell>
          <cell r="CQ4992" t="str">
            <v>2024-11-04</v>
          </cell>
          <cell r="CR4992">
            <v>1455.8620000000001</v>
          </cell>
        </row>
        <row r="4993">
          <cell r="CJ4993" t="str">
            <v xml:space="preserve">NFT-/XUTR/DEUTH02430980595X </v>
          </cell>
          <cell r="CK4993" t="str">
            <v>2024-11-04</v>
          </cell>
          <cell r="CL4993">
            <v>15355.439</v>
          </cell>
          <cell r="CP4993" t="str">
            <v xml:space="preserve">NFT-/XUTR/DEUTH024309A02A3X </v>
          </cell>
          <cell r="CQ4993" t="str">
            <v>2024-11-04</v>
          </cell>
          <cell r="CR4993">
            <v>1455.8620000000001</v>
          </cell>
        </row>
        <row r="4994">
          <cell r="CJ4994" t="str">
            <v xml:space="preserve">NFT-/XUTR/DEUTH02430980595X </v>
          </cell>
          <cell r="CK4994" t="str">
            <v>2024-11-04</v>
          </cell>
          <cell r="CL4994">
            <v>5260.4870000000001</v>
          </cell>
          <cell r="CM4994" t="str">
            <v xml:space="preserve">NFT-/XUTR/DEUTH02432045075X </v>
          </cell>
          <cell r="CN4994" t="str">
            <v>2024-11-15</v>
          </cell>
          <cell r="CO4994">
            <v>-5260.4870000000001</v>
          </cell>
          <cell r="CP4994" t="str">
            <v xml:space="preserve">NFT-/XUTR/DEUTH024309A02A3X </v>
          </cell>
          <cell r="CQ4994" t="str">
            <v>2024-11-04</v>
          </cell>
          <cell r="CR4994">
            <v>593.02099999999996</v>
          </cell>
          <cell r="CS4994" t="str">
            <v xml:space="preserve">NFT-/XUTR/DEUTH02432059153X </v>
          </cell>
          <cell r="CT4994" t="str">
            <v>2024-11-15</v>
          </cell>
          <cell r="CU4994">
            <v>-593.02099999999996</v>
          </cell>
        </row>
        <row r="4995">
          <cell r="CJ4995" t="str">
            <v xml:space="preserve">NFT-/XUTR/DEUTH02430980595X </v>
          </cell>
          <cell r="CK4995" t="str">
            <v>2024-11-04</v>
          </cell>
          <cell r="CL4995">
            <v>15336.558999999999</v>
          </cell>
          <cell r="CP4995" t="str">
            <v xml:space="preserve">NFT-/XUTR/DEUTH024309A02A3X </v>
          </cell>
          <cell r="CQ4995" t="str">
            <v>2024-11-04</v>
          </cell>
          <cell r="CR4995">
            <v>1455.8620000000001</v>
          </cell>
        </row>
        <row r="4996">
          <cell r="CJ4996" t="str">
            <v xml:space="preserve">NFT-/XUTR/DEUTH02430980595X </v>
          </cell>
          <cell r="CK4996" t="str">
            <v>2024-11-04</v>
          </cell>
          <cell r="CL4996">
            <v>15336.558999999999</v>
          </cell>
          <cell r="CP4996" t="str">
            <v xml:space="preserve">NFT-/XUTR/DEUTH024309A02A3X </v>
          </cell>
          <cell r="CQ4996" t="str">
            <v>2024-11-04</v>
          </cell>
          <cell r="CR4996">
            <v>1455.8620000000001</v>
          </cell>
        </row>
        <row r="4997">
          <cell r="CJ4997" t="str">
            <v xml:space="preserve">NFT-/XUTR/DEUTH02430980595X </v>
          </cell>
          <cell r="CK4997" t="str">
            <v>2024-11-04</v>
          </cell>
          <cell r="CL4997">
            <v>15336.558999999999</v>
          </cell>
          <cell r="CP4997" t="str">
            <v xml:space="preserve">NFT-/XUTR/DEUTH024309A02A3X </v>
          </cell>
          <cell r="CQ4997" t="str">
            <v>2024-11-04</v>
          </cell>
          <cell r="CR4997">
            <v>1455.8620000000001</v>
          </cell>
        </row>
        <row r="4998">
          <cell r="CJ4998" t="str">
            <v xml:space="preserve">NFT-/XUTR/DEUTH02430980595X </v>
          </cell>
          <cell r="CK4998" t="str">
            <v>2024-11-04</v>
          </cell>
          <cell r="CL4998">
            <v>83965.895999999993</v>
          </cell>
        </row>
        <row r="4999">
          <cell r="CJ4999" t="str">
            <v xml:space="preserve">NFT-/XUTR/DEUTH02430980595X </v>
          </cell>
          <cell r="CK4999" t="str">
            <v>2024-11-04</v>
          </cell>
          <cell r="CL4999">
            <v>15355.439</v>
          </cell>
          <cell r="CM4999" t="str">
            <v xml:space="preserve">NFT-/XUTR/DEUTH02432756454X </v>
          </cell>
          <cell r="CN4999" t="str">
            <v>2024-11-22</v>
          </cell>
          <cell r="CO4999">
            <v>-15355.439</v>
          </cell>
          <cell r="CP4999" t="str">
            <v xml:space="preserve">NFT-/XUTR/DEUTH024309A02A3X </v>
          </cell>
          <cell r="CQ4999" t="str">
            <v>2024-11-04</v>
          </cell>
          <cell r="CR4999">
            <v>1455.8620000000001</v>
          </cell>
          <cell r="CV4999" t="str">
            <v xml:space="preserve">NFT-/XUTR/DEUTH02433956210X </v>
          </cell>
          <cell r="CW4999" t="str">
            <v>2024-12-04</v>
          </cell>
          <cell r="CX4999">
            <v>-1455.8620000000001</v>
          </cell>
        </row>
        <row r="5000">
          <cell r="CJ5000" t="str">
            <v xml:space="preserve">NFT-/XUTR/DEUTH02430980595X </v>
          </cell>
          <cell r="CK5000" t="str">
            <v>2024-11-04</v>
          </cell>
          <cell r="CL5000">
            <v>15336.558999999999</v>
          </cell>
          <cell r="CP5000" t="str">
            <v xml:space="preserve">NFT-/XUTR/DEUTH024309A02A3X </v>
          </cell>
          <cell r="CQ5000" t="str">
            <v>2024-11-04</v>
          </cell>
          <cell r="CR5000">
            <v>1455.8620000000001</v>
          </cell>
        </row>
        <row r="5001">
          <cell r="CJ5001" t="str">
            <v xml:space="preserve">NFT-/XUTR/DEUTH02430980595X </v>
          </cell>
          <cell r="CK5001" t="str">
            <v>2024-11-04</v>
          </cell>
          <cell r="CL5001">
            <v>15336.558999999999</v>
          </cell>
          <cell r="CP5001" t="str">
            <v xml:space="preserve">NFT-/XUTR/DEUTH024309A02A3X </v>
          </cell>
          <cell r="CQ5001" t="str">
            <v>2024-11-04</v>
          </cell>
          <cell r="CR5001">
            <v>1455.8620000000001</v>
          </cell>
        </row>
        <row r="5002">
          <cell r="CJ5002" t="str">
            <v xml:space="preserve">NFT-/XUTR/DEUTH02430980595X </v>
          </cell>
          <cell r="CK5002" t="str">
            <v>2024-11-04</v>
          </cell>
          <cell r="CL5002">
            <v>15336.558999999999</v>
          </cell>
          <cell r="CP5002" t="str">
            <v xml:space="preserve">NFT-/XUTR/DEUTH024309A02A3X </v>
          </cell>
          <cell r="CQ5002" t="str">
            <v>2024-11-04</v>
          </cell>
          <cell r="CR5002">
            <v>1455.8620000000001</v>
          </cell>
        </row>
        <row r="5003">
          <cell r="CJ5003" t="str">
            <v xml:space="preserve">NFT-/XUTR/DEUTH02430980595X </v>
          </cell>
          <cell r="CK5003" t="str">
            <v>2024-11-04</v>
          </cell>
          <cell r="CL5003">
            <v>5281.4080000000004</v>
          </cell>
          <cell r="CP5003" t="str">
            <v xml:space="preserve">NFT-/XUTR/DEUTH024309A02A3X </v>
          </cell>
          <cell r="CQ5003" t="str">
            <v>2024-11-04</v>
          </cell>
          <cell r="CR5003">
            <v>912.34400000000005</v>
          </cell>
        </row>
        <row r="5004">
          <cell r="CJ5004" t="str">
            <v xml:space="preserve">NFT-/XUTR/DEUTH02430980595X </v>
          </cell>
          <cell r="CK5004" t="str">
            <v>2024-11-04</v>
          </cell>
          <cell r="CL5004">
            <v>15336.558999999999</v>
          </cell>
          <cell r="CP5004" t="str">
            <v xml:space="preserve">NFT-/XUTR/DEUTH024309A02A3X </v>
          </cell>
          <cell r="CQ5004" t="str">
            <v>2024-11-04</v>
          </cell>
          <cell r="CR5004">
            <v>1455.8620000000001</v>
          </cell>
        </row>
        <row r="5005">
          <cell r="CJ5005" t="str">
            <v xml:space="preserve">NFT-/XUTR/DEUTH02430980595X </v>
          </cell>
          <cell r="CK5005" t="str">
            <v>2024-11-04</v>
          </cell>
          <cell r="CL5005">
            <v>15355.439</v>
          </cell>
          <cell r="CP5005" t="str">
            <v xml:space="preserve">NFT-/XUTR/DEUTH024309A02A3X </v>
          </cell>
          <cell r="CQ5005" t="str">
            <v>2024-11-04</v>
          </cell>
          <cell r="CR5005">
            <v>1455.8620000000001</v>
          </cell>
        </row>
        <row r="5006">
          <cell r="CJ5006" t="str">
            <v xml:space="preserve">NFT-/XUTR/DEUTH02430980595X </v>
          </cell>
          <cell r="CK5006" t="str">
            <v>2024-11-04</v>
          </cell>
          <cell r="CL5006">
            <v>5260.4870000000001</v>
          </cell>
          <cell r="CP5006" t="str">
            <v xml:space="preserve">NFT-/XUTR/DEUTH024309A02A3X </v>
          </cell>
          <cell r="CQ5006" t="str">
            <v>2024-11-04</v>
          </cell>
          <cell r="CR5006">
            <v>593.02099999999996</v>
          </cell>
        </row>
        <row r="5007">
          <cell r="CJ5007" t="str">
            <v xml:space="preserve">NFT-/XUTR/DEUTH02430980595X </v>
          </cell>
          <cell r="CK5007" t="str">
            <v>2024-11-04</v>
          </cell>
          <cell r="CL5007">
            <v>15355.439</v>
          </cell>
          <cell r="CP5007" t="str">
            <v xml:space="preserve">NFT-/XUTR/DEUTH024309A02A3X </v>
          </cell>
          <cell r="CQ5007" t="str">
            <v>2024-11-04</v>
          </cell>
          <cell r="CR5007">
            <v>1455.8620000000001</v>
          </cell>
        </row>
        <row r="5008">
          <cell r="CJ5008" t="str">
            <v xml:space="preserve">NFT-/XUTR/DEUTH02430980595X </v>
          </cell>
          <cell r="CK5008" t="str">
            <v>2024-11-04</v>
          </cell>
          <cell r="CL5008">
            <v>15355.439</v>
          </cell>
          <cell r="CP5008" t="str">
            <v xml:space="preserve">NFT-/XUTR/DEUTH024309A02A3X </v>
          </cell>
          <cell r="CQ5008" t="str">
            <v>2024-11-04</v>
          </cell>
          <cell r="CR5008">
            <v>1455.8620000000001</v>
          </cell>
        </row>
        <row r="5009">
          <cell r="CJ5009" t="str">
            <v xml:space="preserve">NFT-/XUTR/DEUTH02430980595X </v>
          </cell>
          <cell r="CK5009" t="str">
            <v>2024-11-04</v>
          </cell>
          <cell r="CL5009">
            <v>15355.439</v>
          </cell>
          <cell r="CP5009" t="str">
            <v xml:space="preserve">NFT-/XUTR/DEUTH024309A02A3X </v>
          </cell>
          <cell r="CQ5009" t="str">
            <v>2024-11-04</v>
          </cell>
          <cell r="CR5009">
            <v>1455.8620000000001</v>
          </cell>
        </row>
        <row r="5010">
          <cell r="CJ5010" t="str">
            <v xml:space="preserve">NFT-/XUTR/DEUTH02430980595X </v>
          </cell>
          <cell r="CK5010" t="str">
            <v>2024-11-04</v>
          </cell>
          <cell r="CL5010">
            <v>15355.439</v>
          </cell>
          <cell r="CP5010" t="str">
            <v xml:space="preserve">NFT-/XUTR/DEUTH024309A02A3X </v>
          </cell>
          <cell r="CQ5010" t="str">
            <v>2024-11-04</v>
          </cell>
          <cell r="CR5010">
            <v>1455.8620000000001</v>
          </cell>
        </row>
        <row r="5011">
          <cell r="CJ5011" t="str">
            <v xml:space="preserve">NFT-/XUTR/DEUTH02430980595X </v>
          </cell>
          <cell r="CK5011" t="str">
            <v>2024-11-04</v>
          </cell>
          <cell r="CL5011">
            <v>40707.385999999999</v>
          </cell>
          <cell r="CP5011" t="str">
            <v xml:space="preserve">NFT-/XUTR/DEUTH024309A02A3X </v>
          </cell>
          <cell r="CQ5011" t="str">
            <v>2024-11-04</v>
          </cell>
          <cell r="CR5011">
            <v>1455.8620000000001</v>
          </cell>
        </row>
        <row r="5012">
          <cell r="CJ5012" t="str">
            <v xml:space="preserve">NFT-/XUTR/DEUTH02430980595X </v>
          </cell>
          <cell r="CK5012" t="str">
            <v>2024-11-04</v>
          </cell>
          <cell r="CL5012">
            <v>15355.439</v>
          </cell>
          <cell r="CP5012" t="str">
            <v xml:space="preserve">NFT-/XUTR/DEUTH024309A02A3X </v>
          </cell>
          <cell r="CQ5012" t="str">
            <v>2024-11-04</v>
          </cell>
          <cell r="CR5012">
            <v>1455.8620000000001</v>
          </cell>
        </row>
        <row r="5013">
          <cell r="CJ5013" t="str">
            <v xml:space="preserve">NFT-/XUTR/DEUTH02430980595X </v>
          </cell>
          <cell r="CK5013" t="str">
            <v>2024-11-04</v>
          </cell>
          <cell r="CL5013">
            <v>7758.7529999999997</v>
          </cell>
          <cell r="CP5013" t="str">
            <v xml:space="preserve">NFT-/XUTR/DEUTH024309A02A3X </v>
          </cell>
          <cell r="CQ5013" t="str">
            <v>2024-11-04</v>
          </cell>
          <cell r="CR5013">
            <v>870.60500000000002</v>
          </cell>
        </row>
        <row r="5014">
          <cell r="CJ5014" t="str">
            <v xml:space="preserve">NFT-/XUTR/DEUTH02430980595X </v>
          </cell>
          <cell r="CK5014" t="str">
            <v>2024-11-04</v>
          </cell>
          <cell r="CL5014">
            <v>15472.442999999999</v>
          </cell>
          <cell r="CP5014" t="str">
            <v xml:space="preserve">NFT-/XUTR/DEUTH024309A02A3X </v>
          </cell>
          <cell r="CQ5014" t="str">
            <v>2024-11-04</v>
          </cell>
          <cell r="CR5014">
            <v>1455.8620000000001</v>
          </cell>
        </row>
        <row r="5015">
          <cell r="CJ5015" t="str">
            <v xml:space="preserve">NFT-/XUTR/DEUTH02430980595X </v>
          </cell>
          <cell r="CK5015" t="str">
            <v>2024-11-04</v>
          </cell>
          <cell r="CL5015">
            <v>5295.4279999999999</v>
          </cell>
          <cell r="CP5015" t="str">
            <v xml:space="preserve">NFT-/XUTR/DEUTH024309A02A3X </v>
          </cell>
          <cell r="CQ5015" t="str">
            <v>2024-11-04</v>
          </cell>
          <cell r="CR5015">
            <v>596.90700000000004</v>
          </cell>
        </row>
        <row r="5016">
          <cell r="CJ5016" t="str">
            <v xml:space="preserve">NFT-/XUTR/DEUTH02430980595X </v>
          </cell>
          <cell r="CK5016" t="str">
            <v>2024-11-04</v>
          </cell>
          <cell r="CL5016">
            <v>5276.5469999999996</v>
          </cell>
          <cell r="CP5016" t="str">
            <v xml:space="preserve">NFT-/XUTR/DEUTH024309A02A3X </v>
          </cell>
          <cell r="CQ5016" t="str">
            <v>2024-11-04</v>
          </cell>
          <cell r="CR5016">
            <v>596.90800000000002</v>
          </cell>
        </row>
        <row r="5017">
          <cell r="CJ5017" t="str">
            <v xml:space="preserve">NFT-/XUTR/DEUTH02430980595X </v>
          </cell>
          <cell r="CK5017" t="str">
            <v>2024-11-04</v>
          </cell>
          <cell r="CL5017">
            <v>15351.121999999999</v>
          </cell>
          <cell r="CP5017" t="str">
            <v xml:space="preserve">NFT-/XUTR/DEUTH024309A02A3X </v>
          </cell>
          <cell r="CQ5017" t="str">
            <v>2024-11-04</v>
          </cell>
          <cell r="CR5017">
            <v>1577.184</v>
          </cell>
        </row>
        <row r="5018">
          <cell r="CJ5018" t="str">
            <v xml:space="preserve">NFT-/XUTR/DEUTH02430980595X </v>
          </cell>
          <cell r="CK5018" t="str">
            <v>2024-11-04</v>
          </cell>
          <cell r="CL5018">
            <v>7758.7520000000004</v>
          </cell>
          <cell r="CP5018" t="str">
            <v xml:space="preserve">NFT-/XUTR/DEUTH024309A02A3X </v>
          </cell>
          <cell r="CQ5018" t="str">
            <v>2024-11-04</v>
          </cell>
          <cell r="CR5018">
            <v>870.60500000000002</v>
          </cell>
        </row>
        <row r="5019">
          <cell r="CJ5019" t="str">
            <v xml:space="preserve">NFT-/XUTR/DEUTH02430980595X </v>
          </cell>
          <cell r="CK5019" t="str">
            <v>2024-11-04</v>
          </cell>
          <cell r="CL5019">
            <v>14640.121999999999</v>
          </cell>
          <cell r="CP5019" t="str">
            <v xml:space="preserve">NFT-/XUTR/DEUTH024309A02A3X </v>
          </cell>
          <cell r="CQ5019" t="str">
            <v>2024-11-04</v>
          </cell>
          <cell r="CR5019">
            <v>2307.0540000000001</v>
          </cell>
        </row>
        <row r="5020">
          <cell r="CJ5020" t="str">
            <v xml:space="preserve">NFT-/XUTR/DEUTH02430980595X </v>
          </cell>
          <cell r="CK5020" t="str">
            <v>2024-11-04</v>
          </cell>
          <cell r="CL5020">
            <v>15472.442999999999</v>
          </cell>
          <cell r="CP5020" t="str">
            <v xml:space="preserve">NFT-/XUTR/DEUTH024309A02A3X </v>
          </cell>
          <cell r="CQ5020" t="str">
            <v>2024-11-04</v>
          </cell>
          <cell r="CR5020">
            <v>1455.8620000000001</v>
          </cell>
        </row>
        <row r="5021">
          <cell r="CJ5021" t="str">
            <v xml:space="preserve">NFT-/XUTR/DEUTH02430980595X </v>
          </cell>
          <cell r="CK5021" t="str">
            <v>2024-11-04</v>
          </cell>
          <cell r="CL5021">
            <v>10587.541999999999</v>
          </cell>
          <cell r="CP5021" t="str">
            <v xml:space="preserve">NFT-/XUTR/DEUTH024309A02A3X </v>
          </cell>
          <cell r="CQ5021" t="str">
            <v>2024-11-04</v>
          </cell>
          <cell r="CR5021">
            <v>1187.0160000000001</v>
          </cell>
        </row>
        <row r="5022">
          <cell r="CJ5022" t="str">
            <v xml:space="preserve">NFT-/XUTR/DEUTH02430980595X </v>
          </cell>
          <cell r="CK5022" t="str">
            <v>2024-11-04</v>
          </cell>
          <cell r="CL5022">
            <v>7739.8729999999996</v>
          </cell>
          <cell r="CP5022" t="str">
            <v xml:space="preserve">NFT-/XUTR/DEUTH024309A02A3X </v>
          </cell>
          <cell r="CQ5022" t="str">
            <v>2024-11-04</v>
          </cell>
          <cell r="CR5022">
            <v>870.60500000000002</v>
          </cell>
        </row>
        <row r="5023">
          <cell r="CJ5023" t="str">
            <v xml:space="preserve">NFT-/XUTR/DEUTH02430980595X </v>
          </cell>
          <cell r="CK5023" t="str">
            <v>2024-11-04</v>
          </cell>
          <cell r="CL5023">
            <v>15336.558999999999</v>
          </cell>
          <cell r="CP5023" t="str">
            <v xml:space="preserve">NFT-/XUTR/DEUTH024309A02A3X </v>
          </cell>
          <cell r="CQ5023" t="str">
            <v>2024-11-04</v>
          </cell>
          <cell r="CR5023">
            <v>1455.8620000000001</v>
          </cell>
        </row>
        <row r="5024">
          <cell r="CJ5024" t="str">
            <v xml:space="preserve">NFT-/XUTR/DEUTH02430980595X </v>
          </cell>
          <cell r="CK5024" t="str">
            <v>2024-11-04</v>
          </cell>
          <cell r="CL5024">
            <v>7739.8729999999996</v>
          </cell>
          <cell r="CP5024" t="str">
            <v xml:space="preserve">NFT-/XUTR/DEUTH024309A02A3X </v>
          </cell>
          <cell r="CQ5024" t="str">
            <v>2024-11-04</v>
          </cell>
          <cell r="CR5024">
            <v>870.60500000000002</v>
          </cell>
        </row>
        <row r="5025">
          <cell r="CJ5025" t="str">
            <v xml:space="preserve">NFT-/XUTR/DEUTH02430980595X </v>
          </cell>
          <cell r="CK5025" t="str">
            <v>2024-11-04</v>
          </cell>
          <cell r="CL5025">
            <v>67368.543999999994</v>
          </cell>
          <cell r="CM5025" t="str">
            <v xml:space="preserve">NFT-/XUTR/DEUTH02431152062X </v>
          </cell>
          <cell r="CN5025" t="str">
            <v>2024-11-06</v>
          </cell>
          <cell r="CO5025">
            <v>-67368.543999999994</v>
          </cell>
        </row>
        <row r="5026">
          <cell r="CJ5026" t="str">
            <v xml:space="preserve">NFT-/XUTR/DEUTH02430980595X </v>
          </cell>
          <cell r="CK5026" t="str">
            <v>2024-11-04</v>
          </cell>
          <cell r="CL5026">
            <v>5892.335</v>
          </cell>
        </row>
        <row r="5027">
          <cell r="CJ5027" t="str">
            <v xml:space="preserve">NFT-/XUTR/DEUTH02430980595X </v>
          </cell>
          <cell r="CK5027" t="str">
            <v>2024-11-04</v>
          </cell>
          <cell r="CL5027">
            <v>41056.79</v>
          </cell>
          <cell r="CP5027" t="str">
            <v xml:space="preserve">NFT-/XUTR/DEUTH024309A02A3X </v>
          </cell>
          <cell r="CQ5027" t="str">
            <v>2024-11-04</v>
          </cell>
          <cell r="CR5027">
            <v>1455.8620000000001</v>
          </cell>
        </row>
        <row r="5028">
          <cell r="CJ5028" t="str">
            <v xml:space="preserve">NFT-/XUTR/DEUTH02430980595X </v>
          </cell>
          <cell r="CK5028" t="str">
            <v>2024-11-04</v>
          </cell>
          <cell r="CL5028">
            <v>5892.335</v>
          </cell>
          <cell r="CM5028" t="str">
            <v xml:space="preserve">NFT-/XUTR/DEUTH02431839302X </v>
          </cell>
          <cell r="CN5028" t="str">
            <v>2024-11-13</v>
          </cell>
          <cell r="CO5028">
            <v>-5892.335</v>
          </cell>
        </row>
        <row r="5029">
          <cell r="CJ5029" t="str">
            <v xml:space="preserve">NFT-/XUTR/DEUTH02430980595X </v>
          </cell>
          <cell r="CK5029" t="str">
            <v>2024-11-04</v>
          </cell>
          <cell r="CL5029">
            <v>15045.386</v>
          </cell>
          <cell r="CP5029" t="str">
            <v xml:space="preserve">NFT-/XUTR/DEUTH024309A02A3X </v>
          </cell>
          <cell r="CQ5029" t="str">
            <v>2024-11-04</v>
          </cell>
          <cell r="CR5029">
            <v>1747.0350000000001</v>
          </cell>
        </row>
        <row r="5030">
          <cell r="CJ5030" t="str">
            <v xml:space="preserve">NFT-/XUTR/DEUTH02430980595X </v>
          </cell>
          <cell r="CK5030" t="str">
            <v>2024-11-04</v>
          </cell>
          <cell r="CL5030">
            <v>15336.558999999999</v>
          </cell>
          <cell r="CP5030" t="str">
            <v xml:space="preserve">NFT-/XUTR/DEUTH024309A02A3X </v>
          </cell>
          <cell r="CQ5030" t="str">
            <v>2024-11-04</v>
          </cell>
          <cell r="CR5030">
            <v>1455.8620000000001</v>
          </cell>
        </row>
        <row r="5031">
          <cell r="CJ5031" t="str">
            <v xml:space="preserve">NFT-/XUTR/DEUTH02430980595X </v>
          </cell>
          <cell r="CK5031" t="str">
            <v>2024-11-04</v>
          </cell>
          <cell r="CL5031">
            <v>15491.323</v>
          </cell>
          <cell r="CP5031" t="str">
            <v xml:space="preserve">NFT-/XUTR/DEUTH024309A02A3X </v>
          </cell>
          <cell r="CQ5031" t="str">
            <v>2024-11-04</v>
          </cell>
          <cell r="CR5031">
            <v>1455.8620000000001</v>
          </cell>
        </row>
        <row r="5032">
          <cell r="CJ5032" t="str">
            <v xml:space="preserve">NFT-/XUTR/DEUTH02430980595X </v>
          </cell>
          <cell r="CK5032" t="str">
            <v>2024-11-04</v>
          </cell>
          <cell r="CL5032">
            <v>15491.323</v>
          </cell>
          <cell r="CP5032" t="str">
            <v xml:space="preserve">NFT-/XUTR/DEUTH024309A02A3X </v>
          </cell>
          <cell r="CQ5032" t="str">
            <v>2024-11-04</v>
          </cell>
          <cell r="CR5032">
            <v>1455.8620000000001</v>
          </cell>
        </row>
        <row r="5033">
          <cell r="CJ5033" t="str">
            <v xml:space="preserve">NFT-/XUTR/DEUTH02430980595X </v>
          </cell>
          <cell r="CK5033" t="str">
            <v>2024-11-04</v>
          </cell>
          <cell r="CL5033">
            <v>5295.4269999999997</v>
          </cell>
          <cell r="CP5033" t="str">
            <v xml:space="preserve">NFT-/XUTR/DEUTH024309A02A3X </v>
          </cell>
          <cell r="CQ5033" t="str">
            <v>2024-11-04</v>
          </cell>
          <cell r="CR5033">
            <v>596.90800000000002</v>
          </cell>
        </row>
        <row r="5034">
          <cell r="CJ5034" t="str">
            <v xml:space="preserve">NFT-/XUTR/DEUTH02430980595X </v>
          </cell>
          <cell r="CK5034" t="str">
            <v>2024-11-04</v>
          </cell>
          <cell r="CL5034">
            <v>15355.439</v>
          </cell>
          <cell r="CP5034" t="str">
            <v xml:space="preserve">NFT-/XUTR/DEUTH024309A02A3X </v>
          </cell>
          <cell r="CQ5034" t="str">
            <v>2024-11-04</v>
          </cell>
          <cell r="CR5034">
            <v>1455.8620000000001</v>
          </cell>
        </row>
        <row r="5035">
          <cell r="CJ5035" t="str">
            <v xml:space="preserve">NFT-/XUTR/DEUTH02430980595X </v>
          </cell>
          <cell r="CK5035" t="str">
            <v>2024-11-04</v>
          </cell>
          <cell r="CL5035">
            <v>10587.541999999999</v>
          </cell>
          <cell r="CM5035" t="str">
            <v xml:space="preserve">NFT-/XUTR/DEUTH02431152062X </v>
          </cell>
          <cell r="CN5035" t="str">
            <v>2024-11-06</v>
          </cell>
          <cell r="CO5035">
            <v>-10587.541999999999</v>
          </cell>
          <cell r="CP5035" t="str">
            <v xml:space="preserve">NFT-/XUTR/DEUTH024309A02A3X </v>
          </cell>
          <cell r="CQ5035" t="str">
            <v>2024-11-04</v>
          </cell>
          <cell r="CR5035">
            <v>1187.0160000000001</v>
          </cell>
          <cell r="CS5035" t="str">
            <v xml:space="preserve">NFT-/XUTR/DEUTH02431162755X </v>
          </cell>
          <cell r="CT5035" t="str">
            <v>2024-11-06</v>
          </cell>
          <cell r="CU5035">
            <v>-1187.0160000000001</v>
          </cell>
        </row>
        <row r="5036">
          <cell r="CJ5036" t="str">
            <v xml:space="preserve">NFT-/XUTR/DEUTH02430980595X </v>
          </cell>
          <cell r="CK5036" t="str">
            <v>2024-11-04</v>
          </cell>
          <cell r="CL5036">
            <v>8610.4770000000008</v>
          </cell>
        </row>
        <row r="5037">
          <cell r="CJ5037" t="str">
            <v xml:space="preserve">NFT-/XUTR/DEUTH02430980595X </v>
          </cell>
          <cell r="CK5037" t="str">
            <v>2024-11-04</v>
          </cell>
          <cell r="CL5037">
            <v>84673.888999999996</v>
          </cell>
          <cell r="CM5037" t="str">
            <v xml:space="preserve">NFT-/XUTR/DEUTH02431152062X </v>
          </cell>
          <cell r="CN5037" t="str">
            <v>2024-11-06</v>
          </cell>
          <cell r="CO5037">
            <v>-84673.888999999996</v>
          </cell>
        </row>
        <row r="5038">
          <cell r="CJ5038" t="str">
            <v xml:space="preserve">NFT-/XUTR/DEUTH02430980595X </v>
          </cell>
          <cell r="CK5038" t="str">
            <v>2024-11-04</v>
          </cell>
          <cell r="CL5038">
            <v>15491.323</v>
          </cell>
          <cell r="CP5038" t="str">
            <v xml:space="preserve">NFT-/XUTR/DEUTH024309A02A3X </v>
          </cell>
          <cell r="CQ5038" t="str">
            <v>2024-11-04</v>
          </cell>
          <cell r="CR5038">
            <v>1455.8620000000001</v>
          </cell>
        </row>
        <row r="5039">
          <cell r="CJ5039" t="str">
            <v xml:space="preserve">NFT-/XUTR/DEUTH02430980595X </v>
          </cell>
          <cell r="CK5039" t="str">
            <v>2024-11-04</v>
          </cell>
          <cell r="CL5039">
            <v>15472.442999999999</v>
          </cell>
          <cell r="CP5039" t="str">
            <v xml:space="preserve">NFT-/XUTR/DEUTH024309A02A3X </v>
          </cell>
          <cell r="CQ5039" t="str">
            <v>2024-11-04</v>
          </cell>
          <cell r="CR5039">
            <v>1455.8620000000001</v>
          </cell>
        </row>
        <row r="5040">
          <cell r="CJ5040" t="str">
            <v xml:space="preserve">NFT-/XUTR/DEUTH02430980595X </v>
          </cell>
          <cell r="CK5040" t="str">
            <v>2024-11-04</v>
          </cell>
          <cell r="CL5040">
            <v>7770.3919999999998</v>
          </cell>
          <cell r="CP5040" t="str">
            <v xml:space="preserve">NFT-/XUTR/DEUTH024309A02A3X </v>
          </cell>
          <cell r="CQ5040" t="str">
            <v>2024-11-04</v>
          </cell>
          <cell r="CR5040">
            <v>858.95500000000004</v>
          </cell>
        </row>
        <row r="5041">
          <cell r="CJ5041" t="str">
            <v xml:space="preserve">NFT-/XUTR/DEUTH02430980595X </v>
          </cell>
          <cell r="CK5041" t="str">
            <v>2024-11-04</v>
          </cell>
          <cell r="CL5041">
            <v>7758.7529999999997</v>
          </cell>
          <cell r="CP5041" t="str">
            <v xml:space="preserve">NFT-/XUTR/DEUTH024309A02A3X </v>
          </cell>
          <cell r="CQ5041" t="str">
            <v>2024-11-04</v>
          </cell>
          <cell r="CR5041">
            <v>870.60500000000002</v>
          </cell>
        </row>
        <row r="5042">
          <cell r="CJ5042" t="str">
            <v xml:space="preserve">NFT-/XUTR/DEUTH02430980595X </v>
          </cell>
          <cell r="CK5042" t="str">
            <v>2024-11-04</v>
          </cell>
          <cell r="CL5042">
            <v>42512.652000000002</v>
          </cell>
        </row>
        <row r="5043">
          <cell r="CJ5043" t="str">
            <v xml:space="preserve">NFT-/XUTR/DEUTH02430980595X </v>
          </cell>
          <cell r="CK5043" t="str">
            <v>2024-11-04</v>
          </cell>
          <cell r="CL5043">
            <v>15472.442999999999</v>
          </cell>
          <cell r="CP5043" t="str">
            <v xml:space="preserve">NFT-/XUTR/DEUTH024309A02A3X </v>
          </cell>
          <cell r="CQ5043" t="str">
            <v>2024-11-04</v>
          </cell>
          <cell r="CR5043">
            <v>1455.8620000000001</v>
          </cell>
        </row>
        <row r="5044">
          <cell r="CJ5044" t="str">
            <v xml:space="preserve">NFT-/XUTR/DEUTH02430980595X </v>
          </cell>
          <cell r="CK5044" t="str">
            <v>2024-11-04</v>
          </cell>
          <cell r="CL5044">
            <v>15491.323</v>
          </cell>
          <cell r="CP5044" t="str">
            <v xml:space="preserve">NFT-/XUTR/DEUTH024309A02A3X </v>
          </cell>
          <cell r="CQ5044" t="str">
            <v>2024-11-04</v>
          </cell>
          <cell r="CR5044">
            <v>1455.8620000000001</v>
          </cell>
        </row>
        <row r="5045">
          <cell r="CJ5045" t="str">
            <v xml:space="preserve">NFT-/XUTR/DEUTH02430980595X </v>
          </cell>
          <cell r="CK5045" t="str">
            <v>2024-11-04</v>
          </cell>
          <cell r="CL5045">
            <v>15472.442999999999</v>
          </cell>
          <cell r="CP5045" t="str">
            <v xml:space="preserve">NFT-/XUTR/DEUTH024309A02A3X </v>
          </cell>
          <cell r="CQ5045" t="str">
            <v>2024-11-04</v>
          </cell>
          <cell r="CR5045">
            <v>1455.8620000000001</v>
          </cell>
        </row>
        <row r="5046">
          <cell r="CJ5046" t="str">
            <v xml:space="preserve">NFT-/XUTR/DEUTH02430980595X </v>
          </cell>
          <cell r="CK5046" t="str">
            <v>2024-11-04</v>
          </cell>
          <cell r="CL5046">
            <v>15472.442999999999</v>
          </cell>
          <cell r="CP5046" t="str">
            <v xml:space="preserve">NFT-/XUTR/DEUTH024309A02A3X </v>
          </cell>
          <cell r="CQ5046" t="str">
            <v>2024-11-04</v>
          </cell>
          <cell r="CR5046">
            <v>1455.8620000000001</v>
          </cell>
        </row>
        <row r="5047">
          <cell r="CJ5047" t="str">
            <v xml:space="preserve">NFT-/XUTR/DEUTH02430980595X </v>
          </cell>
          <cell r="CK5047" t="str">
            <v>2024-11-04</v>
          </cell>
          <cell r="CL5047">
            <v>15472.442999999999</v>
          </cell>
          <cell r="CP5047" t="str">
            <v xml:space="preserve">NFT-/XUTR/DEUTH024309A02A3X </v>
          </cell>
          <cell r="CQ5047" t="str">
            <v>2024-11-04</v>
          </cell>
          <cell r="CR5047">
            <v>1455.8620000000001</v>
          </cell>
        </row>
        <row r="5048">
          <cell r="CJ5048" t="str">
            <v xml:space="preserve">NFT-/XUTR/DEUTH02430980595X </v>
          </cell>
          <cell r="CK5048" t="str">
            <v>2024-11-04</v>
          </cell>
          <cell r="CL5048">
            <v>15472.442999999999</v>
          </cell>
          <cell r="CP5048" t="str">
            <v xml:space="preserve">NFT-/XUTR/DEUTH024309A02A3X </v>
          </cell>
          <cell r="CQ5048" t="str">
            <v>2024-11-04</v>
          </cell>
          <cell r="CR5048">
            <v>1455.8620000000001</v>
          </cell>
        </row>
        <row r="5049">
          <cell r="CJ5049" t="str">
            <v xml:space="preserve">NFT-/XUTR/DEUTH02430980595X </v>
          </cell>
          <cell r="CK5049" t="str">
            <v>2024-11-04</v>
          </cell>
          <cell r="CL5049">
            <v>15472.442999999999</v>
          </cell>
          <cell r="CP5049" t="str">
            <v xml:space="preserve">NFT-/XUTR/DEUTH024309A02A3X </v>
          </cell>
          <cell r="CQ5049" t="str">
            <v>2024-11-04</v>
          </cell>
          <cell r="CR5049">
            <v>1455.8620000000001</v>
          </cell>
        </row>
        <row r="5050">
          <cell r="CJ5050" t="str">
            <v xml:space="preserve">NFT-/XUTR/DEUTH02430980595X </v>
          </cell>
          <cell r="CK5050" t="str">
            <v>2024-11-04</v>
          </cell>
          <cell r="CL5050">
            <v>16947.185000000001</v>
          </cell>
        </row>
        <row r="5051">
          <cell r="CJ5051" t="str">
            <v xml:space="preserve">NFT-/XUTR/DEUTH02430980595X </v>
          </cell>
          <cell r="CK5051" t="str">
            <v>2024-11-04</v>
          </cell>
          <cell r="CL5051">
            <v>15491.323</v>
          </cell>
          <cell r="CM5051" t="str">
            <v xml:space="preserve">NFT-/XUTR/DEUTH02432540165X </v>
          </cell>
          <cell r="CN5051" t="str">
            <v>2024-11-20</v>
          </cell>
          <cell r="CO5051">
            <v>-15491.323</v>
          </cell>
          <cell r="CP5051" t="str">
            <v xml:space="preserve">NFT-/XUTR/DEUTH024309A02A3X </v>
          </cell>
          <cell r="CQ5051" t="str">
            <v>2024-11-04</v>
          </cell>
          <cell r="CR5051">
            <v>1455.8620000000001</v>
          </cell>
          <cell r="CS5051" t="str">
            <v xml:space="preserve">NFT-/XUTR/DEUTH02432567146X </v>
          </cell>
          <cell r="CT5051" t="str">
            <v>2024-11-20</v>
          </cell>
          <cell r="CU5051">
            <v>-1455.8620000000001</v>
          </cell>
        </row>
        <row r="5052">
          <cell r="CJ5052" t="str">
            <v xml:space="preserve">NFT-/XUTR/DEUTH02430980595X </v>
          </cell>
          <cell r="CK5052" t="str">
            <v>2024-11-04</v>
          </cell>
          <cell r="CL5052">
            <v>15472.442999999999</v>
          </cell>
          <cell r="CP5052" t="str">
            <v xml:space="preserve">NFT-/XUTR/DEUTH024309A02A3X </v>
          </cell>
          <cell r="CQ5052" t="str">
            <v>2024-11-04</v>
          </cell>
          <cell r="CR5052">
            <v>1455.8620000000001</v>
          </cell>
        </row>
        <row r="5053">
          <cell r="CJ5053" t="str">
            <v xml:space="preserve">NFT-/XUTR/DEUTH02430980595X </v>
          </cell>
          <cell r="CK5053" t="str">
            <v>2024-11-04</v>
          </cell>
          <cell r="CL5053">
            <v>15491.323</v>
          </cell>
          <cell r="CP5053" t="str">
            <v xml:space="preserve">NFT-/XUTR/DEUTH024309A02A3X </v>
          </cell>
          <cell r="CQ5053" t="str">
            <v>2024-11-04</v>
          </cell>
          <cell r="CR5053">
            <v>1455.8620000000001</v>
          </cell>
        </row>
        <row r="5054">
          <cell r="CJ5054" t="str">
            <v xml:space="preserve">NFT-/XUTR/DEUTH02430980595X </v>
          </cell>
          <cell r="CK5054" t="str">
            <v>2024-11-04</v>
          </cell>
          <cell r="CL5054">
            <v>15472.442999999999</v>
          </cell>
          <cell r="CP5054" t="str">
            <v xml:space="preserve">NFT-/XUTR/DEUTH024309A02A3X </v>
          </cell>
          <cell r="CQ5054" t="str">
            <v>2024-11-04</v>
          </cell>
          <cell r="CR5054">
            <v>1455.8620000000001</v>
          </cell>
        </row>
        <row r="5055">
          <cell r="CJ5055" t="str">
            <v xml:space="preserve">NFT-/XUTR/DEUTH02430980595X </v>
          </cell>
          <cell r="CK5055" t="str">
            <v>2024-11-04</v>
          </cell>
          <cell r="CL5055">
            <v>15472.442999999999</v>
          </cell>
          <cell r="CP5055" t="str">
            <v xml:space="preserve">NFT-/XUTR/DEUTH024309A02A3X </v>
          </cell>
          <cell r="CQ5055" t="str">
            <v>2024-11-04</v>
          </cell>
          <cell r="CR5055">
            <v>1455.8620000000001</v>
          </cell>
        </row>
        <row r="5056">
          <cell r="CJ5056" t="str">
            <v xml:space="preserve">NFT-/XUTR/DEUTH02430980595X </v>
          </cell>
          <cell r="CK5056" t="str">
            <v>2024-11-04</v>
          </cell>
          <cell r="CL5056">
            <v>15472.442999999999</v>
          </cell>
          <cell r="CP5056" t="str">
            <v xml:space="preserve">NFT-/XUTR/DEUTH024309A02A3X </v>
          </cell>
          <cell r="CQ5056" t="str">
            <v>2024-11-04</v>
          </cell>
          <cell r="CR5056">
            <v>1455.8620000000001</v>
          </cell>
        </row>
        <row r="5057">
          <cell r="CJ5057" t="str">
            <v xml:space="preserve">NFT-/XUTR/DEUTH02430980595X </v>
          </cell>
          <cell r="CK5057" t="str">
            <v>2024-11-04</v>
          </cell>
          <cell r="CL5057">
            <v>15472.442999999999</v>
          </cell>
          <cell r="CP5057" t="str">
            <v xml:space="preserve">NFT-/XUTR/DEUTH024309A02A3X </v>
          </cell>
          <cell r="CQ5057" t="str">
            <v>2024-11-04</v>
          </cell>
          <cell r="CR5057">
            <v>1455.8620000000001</v>
          </cell>
        </row>
        <row r="5058">
          <cell r="CJ5058" t="str">
            <v xml:space="preserve">NFT-/XUTR/DEUTH02430980595X </v>
          </cell>
          <cell r="CK5058" t="str">
            <v>2024-11-04</v>
          </cell>
          <cell r="CL5058">
            <v>15759.728999999999</v>
          </cell>
          <cell r="CP5058" t="str">
            <v xml:space="preserve">NFT-/XUTR/DEUTH024309A02A3X </v>
          </cell>
          <cell r="CQ5058" t="str">
            <v>2024-11-04</v>
          </cell>
          <cell r="CR5058">
            <v>1168.576</v>
          </cell>
        </row>
        <row r="5059">
          <cell r="CJ5059" t="str">
            <v xml:space="preserve">NFT-/XUTR/DEUTH02430980595X </v>
          </cell>
          <cell r="CK5059" t="str">
            <v>2024-11-04</v>
          </cell>
          <cell r="CL5059">
            <v>14632.892</v>
          </cell>
          <cell r="CP5059" t="str">
            <v xml:space="preserve">NFT-/XUTR/DEUTH024309A02A3X </v>
          </cell>
          <cell r="CQ5059" t="str">
            <v>2024-11-04</v>
          </cell>
          <cell r="CR5059">
            <v>2295.413</v>
          </cell>
        </row>
        <row r="5060">
          <cell r="CJ5060" t="str">
            <v xml:space="preserve">NFT-/XUTR/DEUTH02430980595X </v>
          </cell>
          <cell r="CK5060" t="str">
            <v>2024-11-04</v>
          </cell>
          <cell r="CL5060">
            <v>15491.323</v>
          </cell>
          <cell r="CP5060" t="str">
            <v xml:space="preserve">NFT-/XUTR/DEUTH024309A02A3X </v>
          </cell>
          <cell r="CQ5060" t="str">
            <v>2024-11-04</v>
          </cell>
          <cell r="CR5060">
            <v>1455.8620000000001</v>
          </cell>
        </row>
        <row r="5061">
          <cell r="CJ5061" t="str">
            <v xml:space="preserve">NFT-/XUTR/DEUTH02430980595X </v>
          </cell>
          <cell r="CK5061" t="str">
            <v>2024-11-04</v>
          </cell>
          <cell r="CL5061">
            <v>15491.323</v>
          </cell>
          <cell r="CP5061" t="str">
            <v xml:space="preserve">NFT-/XUTR/DEUTH024309A02A3X </v>
          </cell>
          <cell r="CQ5061" t="str">
            <v>2024-11-04</v>
          </cell>
          <cell r="CR5061">
            <v>1455.8620000000001</v>
          </cell>
        </row>
        <row r="5062">
          <cell r="CJ5062" t="str">
            <v xml:space="preserve">NFT-/XUTR/DEUTH02430980595X </v>
          </cell>
          <cell r="CK5062" t="str">
            <v>2024-11-04</v>
          </cell>
          <cell r="CL5062">
            <v>14621.242</v>
          </cell>
          <cell r="CP5062" t="str">
            <v xml:space="preserve">NFT-/XUTR/DEUTH024309A02A3X </v>
          </cell>
          <cell r="CQ5062" t="str">
            <v>2024-11-04</v>
          </cell>
          <cell r="CR5062">
            <v>2307.0540000000001</v>
          </cell>
        </row>
        <row r="5063">
          <cell r="CJ5063" t="str">
            <v xml:space="preserve">NFT-/XUTR/DEUTH02430980595X </v>
          </cell>
          <cell r="CK5063" t="str">
            <v>2024-11-04</v>
          </cell>
          <cell r="CL5063">
            <v>15472.442999999999</v>
          </cell>
          <cell r="CP5063" t="str">
            <v xml:space="preserve">NFT-/XUTR/DEUTH024309A02A3X </v>
          </cell>
          <cell r="CQ5063" t="str">
            <v>2024-11-04</v>
          </cell>
          <cell r="CR5063">
            <v>1455.8620000000001</v>
          </cell>
        </row>
        <row r="5064">
          <cell r="CJ5064" t="str">
            <v xml:space="preserve">NFT-/XUTR/DEUTH02430980595X </v>
          </cell>
          <cell r="CK5064" t="str">
            <v>2024-11-04</v>
          </cell>
          <cell r="CL5064">
            <v>14640.121999999999</v>
          </cell>
          <cell r="CP5064" t="str">
            <v xml:space="preserve">NFT-/XUTR/DEUTH024309A02A3X </v>
          </cell>
          <cell r="CQ5064" t="str">
            <v>2024-11-04</v>
          </cell>
          <cell r="CR5064">
            <v>2307.0540000000001</v>
          </cell>
        </row>
        <row r="5065">
          <cell r="CJ5065" t="str">
            <v xml:space="preserve">NFT-/XUTR/DEUTH02430980595X </v>
          </cell>
          <cell r="CK5065" t="str">
            <v>2024-11-04</v>
          </cell>
          <cell r="CL5065">
            <v>15491.323</v>
          </cell>
          <cell r="CP5065" t="str">
            <v xml:space="preserve">NFT-/XUTR/DEUTH024309A02A3X </v>
          </cell>
          <cell r="CQ5065" t="str">
            <v>2024-11-04</v>
          </cell>
          <cell r="CR5065">
            <v>1455.8620000000001</v>
          </cell>
        </row>
        <row r="5066">
          <cell r="CJ5066" t="str">
            <v xml:space="preserve">NFT-/XUTR/DEUTH02430980595X </v>
          </cell>
          <cell r="CK5066" t="str">
            <v>2024-11-04</v>
          </cell>
          <cell r="CL5066">
            <v>15491.323</v>
          </cell>
          <cell r="CM5066" t="str">
            <v xml:space="preserve">NFT-/XUTR/DEUTH02431152062X </v>
          </cell>
          <cell r="CN5066" t="str">
            <v>2024-11-06</v>
          </cell>
          <cell r="CO5066">
            <v>-15491.323</v>
          </cell>
          <cell r="CP5066" t="str">
            <v xml:space="preserve">NFT-/XUTR/DEUTH024309A02A3X </v>
          </cell>
          <cell r="CQ5066" t="str">
            <v>2024-11-04</v>
          </cell>
          <cell r="CR5066">
            <v>1455.8620000000001</v>
          </cell>
          <cell r="CS5066" t="str">
            <v xml:space="preserve">NFT-/XUTR/DEUTH02431162755X </v>
          </cell>
          <cell r="CT5066" t="str">
            <v>2024-11-06</v>
          </cell>
          <cell r="CU5066">
            <v>-1455.8620000000001</v>
          </cell>
        </row>
        <row r="5067">
          <cell r="CJ5067" t="str">
            <v xml:space="preserve">NFT-/XUTR/DEUTH02430980595X </v>
          </cell>
          <cell r="CK5067" t="str">
            <v>2024-11-04</v>
          </cell>
          <cell r="CL5067">
            <v>15472.442999999999</v>
          </cell>
          <cell r="CP5067" t="str">
            <v xml:space="preserve">NFT-/XUTR/DEUTH024309A02A3X </v>
          </cell>
          <cell r="CQ5067" t="str">
            <v>2024-11-04</v>
          </cell>
          <cell r="CR5067">
            <v>1455.8620000000001</v>
          </cell>
        </row>
        <row r="5068">
          <cell r="CJ5068" t="str">
            <v xml:space="preserve">NFT-/XUTR/DEUTH02430980595X </v>
          </cell>
          <cell r="CK5068" t="str">
            <v>2024-11-04</v>
          </cell>
          <cell r="CL5068">
            <v>16947.185000000001</v>
          </cell>
          <cell r="CM5068" t="str">
            <v xml:space="preserve">NFT-/XUTR/DEUTH02432540165X </v>
          </cell>
          <cell r="CN5068" t="str">
            <v>2024-11-20</v>
          </cell>
          <cell r="CO5068">
            <v>-16947.185000000001</v>
          </cell>
        </row>
        <row r="5069">
          <cell r="CJ5069" t="str">
            <v xml:space="preserve">NFT-/XUTR/DEUTH02430980595X </v>
          </cell>
          <cell r="CK5069" t="str">
            <v>2024-11-04</v>
          </cell>
          <cell r="CL5069">
            <v>15491.323</v>
          </cell>
          <cell r="CP5069" t="str">
            <v xml:space="preserve">NFT-/XUTR/DEUTH024309A02A3X </v>
          </cell>
          <cell r="CQ5069" t="str">
            <v>2024-11-04</v>
          </cell>
          <cell r="CR5069">
            <v>1455.8620000000001</v>
          </cell>
        </row>
        <row r="5070">
          <cell r="CJ5070" t="str">
            <v xml:space="preserve">NFT-/XUTR/DEUTH02430980595X </v>
          </cell>
          <cell r="CK5070" t="str">
            <v>2024-11-04</v>
          </cell>
          <cell r="CL5070">
            <v>15491.323</v>
          </cell>
          <cell r="CM5070" t="str">
            <v xml:space="preserve">NFT-/XUTR/DEUTH02432756454X </v>
          </cell>
          <cell r="CN5070" t="str">
            <v>2024-11-22</v>
          </cell>
          <cell r="CO5070">
            <v>-15491.323</v>
          </cell>
          <cell r="CP5070" t="str">
            <v xml:space="preserve">NFT-/XUTR/DEUTH024309A02A3X </v>
          </cell>
          <cell r="CQ5070" t="str">
            <v>2024-11-04</v>
          </cell>
          <cell r="CR5070">
            <v>1455.8620000000001</v>
          </cell>
          <cell r="CV5070" t="str">
            <v xml:space="preserve">NFT-/XUTR/DEUTH02433956210X </v>
          </cell>
          <cell r="CW5070" t="str">
            <v>2024-12-04</v>
          </cell>
          <cell r="CX5070">
            <v>-1455.8620000000001</v>
          </cell>
        </row>
        <row r="5071">
          <cell r="CJ5071" t="str">
            <v xml:space="preserve">NFT-/XUTR/DEUTH02430980595X </v>
          </cell>
          <cell r="CK5071" t="str">
            <v>2024-11-04</v>
          </cell>
          <cell r="CL5071">
            <v>15472.442999999999</v>
          </cell>
          <cell r="CP5071" t="str">
            <v xml:space="preserve">NFT-/XUTR/DEUTH024309A02A3X </v>
          </cell>
          <cell r="CQ5071" t="str">
            <v>2024-11-04</v>
          </cell>
          <cell r="CR5071">
            <v>1455.8620000000001</v>
          </cell>
        </row>
        <row r="5072">
          <cell r="CJ5072" t="str">
            <v xml:space="preserve">NFT-/XUTR/DEUTH02430980595X </v>
          </cell>
          <cell r="CK5072" t="str">
            <v>2024-11-04</v>
          </cell>
          <cell r="CL5072">
            <v>15472.442999999999</v>
          </cell>
          <cell r="CP5072" t="str">
            <v xml:space="preserve">NFT-/XUTR/DEUTH024309A02A3X </v>
          </cell>
          <cell r="CQ5072" t="str">
            <v>2024-11-04</v>
          </cell>
          <cell r="CR5072">
            <v>1455.8620000000001</v>
          </cell>
        </row>
        <row r="5073">
          <cell r="CJ5073" t="str">
            <v xml:space="preserve">NFT-/XUTR/DEUTH02430980595X </v>
          </cell>
          <cell r="CK5073" t="str">
            <v>2024-11-04</v>
          </cell>
          <cell r="CL5073">
            <v>15472.442999999999</v>
          </cell>
          <cell r="CP5073" t="str">
            <v xml:space="preserve">NFT-/XUTR/DEUTH024309A02A3X </v>
          </cell>
          <cell r="CQ5073" t="str">
            <v>2024-11-04</v>
          </cell>
          <cell r="CR5073">
            <v>1455.8620000000001</v>
          </cell>
        </row>
        <row r="5074">
          <cell r="CJ5074" t="str">
            <v xml:space="preserve">NFT-/XUTR/DEUTH02430980595X </v>
          </cell>
          <cell r="CK5074" t="str">
            <v>2024-11-04</v>
          </cell>
          <cell r="CL5074">
            <v>15472.442999999999</v>
          </cell>
          <cell r="CP5074" t="str">
            <v xml:space="preserve">NFT-/XUTR/DEUTH024309A02A3X </v>
          </cell>
          <cell r="CQ5074" t="str">
            <v>2024-11-04</v>
          </cell>
          <cell r="CR5074">
            <v>1455.8620000000001</v>
          </cell>
        </row>
        <row r="5075">
          <cell r="CJ5075" t="str">
            <v xml:space="preserve">NFT-/XUTR/DEUTH02430980595X </v>
          </cell>
          <cell r="CK5075" t="str">
            <v>2024-11-04</v>
          </cell>
          <cell r="CL5075">
            <v>15491.323</v>
          </cell>
          <cell r="CM5075" t="str">
            <v xml:space="preserve">NFT-/XUTR/DEUTH02431839302X </v>
          </cell>
          <cell r="CN5075" t="str">
            <v>2024-11-13</v>
          </cell>
          <cell r="CO5075">
            <v>-15491.323</v>
          </cell>
          <cell r="CP5075" t="str">
            <v xml:space="preserve">NFT-/XUTR/DEUTH024309A02A3X </v>
          </cell>
          <cell r="CQ5075" t="str">
            <v>2024-11-04</v>
          </cell>
          <cell r="CR5075">
            <v>1455.8620000000001</v>
          </cell>
          <cell r="CS5075" t="str">
            <v xml:space="preserve">NFT-/XUTR/DEUTH02431843558X </v>
          </cell>
          <cell r="CT5075" t="str">
            <v>2024-11-13</v>
          </cell>
          <cell r="CU5075">
            <v>-1455.8620000000001</v>
          </cell>
        </row>
        <row r="5076">
          <cell r="CJ5076" t="str">
            <v xml:space="preserve">NFT-/XUTR/DEUTH02430980595X </v>
          </cell>
          <cell r="CK5076" t="str">
            <v>2024-11-04</v>
          </cell>
          <cell r="CL5076">
            <v>15472.442999999999</v>
          </cell>
          <cell r="CP5076" t="str">
            <v xml:space="preserve">NFT-/XUTR/DEUTH024309A02A3X </v>
          </cell>
          <cell r="CQ5076" t="str">
            <v>2024-11-04</v>
          </cell>
          <cell r="CR5076">
            <v>1455.8620000000001</v>
          </cell>
        </row>
        <row r="5077">
          <cell r="CJ5077" t="str">
            <v xml:space="preserve">NFT-/XUTR/DEUTH02430980595X </v>
          </cell>
          <cell r="CK5077" t="str">
            <v>2024-11-04</v>
          </cell>
          <cell r="CL5077">
            <v>15472.442999999999</v>
          </cell>
          <cell r="CP5077" t="str">
            <v xml:space="preserve">NFT-/XUTR/DEUTH024309A02A3X </v>
          </cell>
          <cell r="CQ5077" t="str">
            <v>2024-11-04</v>
          </cell>
          <cell r="CR5077">
            <v>1455.8620000000001</v>
          </cell>
        </row>
        <row r="5078">
          <cell r="CJ5078" t="str">
            <v xml:space="preserve">NFT-/XUTR/DEUTH02430980595X </v>
          </cell>
          <cell r="CK5078" t="str">
            <v>2024-11-04</v>
          </cell>
          <cell r="CL5078">
            <v>15491.323</v>
          </cell>
          <cell r="CM5078" t="str">
            <v xml:space="preserve">NFT-/XUTR/DEUTH02432540165X </v>
          </cell>
          <cell r="CN5078" t="str">
            <v>2024-11-20</v>
          </cell>
          <cell r="CO5078">
            <v>-15491.323</v>
          </cell>
          <cell r="CP5078" t="str">
            <v xml:space="preserve">NFT-/XUTR/DEUTH024309A02A3X </v>
          </cell>
          <cell r="CQ5078" t="str">
            <v>2024-11-04</v>
          </cell>
          <cell r="CR5078">
            <v>1455.8620000000001</v>
          </cell>
          <cell r="CS5078" t="str">
            <v xml:space="preserve">NFT-/XUTR/DEUTH02432567146X </v>
          </cell>
          <cell r="CT5078" t="str">
            <v>2024-11-20</v>
          </cell>
          <cell r="CU5078">
            <v>-1455.8620000000001</v>
          </cell>
        </row>
        <row r="5079">
          <cell r="CJ5079" t="str">
            <v xml:space="preserve">NFT-/XUTR/DEUTH02430980595X </v>
          </cell>
          <cell r="CK5079" t="str">
            <v>2024-11-04</v>
          </cell>
          <cell r="CL5079">
            <v>15472.442999999999</v>
          </cell>
          <cell r="CP5079" t="str">
            <v xml:space="preserve">NFT-/XUTR/DEUTH024309A02A3X </v>
          </cell>
          <cell r="CQ5079" t="str">
            <v>2024-11-04</v>
          </cell>
          <cell r="CR5079">
            <v>1455.8620000000001</v>
          </cell>
        </row>
        <row r="5080">
          <cell r="CJ5080" t="str">
            <v xml:space="preserve">NFT-/XUTR/DEUTH02430980595X </v>
          </cell>
          <cell r="CK5080" t="str">
            <v>2024-11-04</v>
          </cell>
          <cell r="CL5080">
            <v>14621.242</v>
          </cell>
          <cell r="CP5080" t="str">
            <v xml:space="preserve">NFT-/XUTR/DEUTH024309A02A3X </v>
          </cell>
          <cell r="CQ5080" t="str">
            <v>2024-11-04</v>
          </cell>
          <cell r="CR5080">
            <v>2307.0540000000001</v>
          </cell>
        </row>
        <row r="5081">
          <cell r="CJ5081" t="str">
            <v xml:space="preserve">NFT-/XUTR/DEUTH02430980595X </v>
          </cell>
          <cell r="CK5081" t="str">
            <v>2024-11-04</v>
          </cell>
          <cell r="CL5081">
            <v>15491.323</v>
          </cell>
          <cell r="CP5081" t="str">
            <v xml:space="preserve">NFT-/XUTR/DEUTH024309A02A3X </v>
          </cell>
          <cell r="CQ5081" t="str">
            <v>2024-11-04</v>
          </cell>
          <cell r="CR5081">
            <v>1455.8620000000001</v>
          </cell>
        </row>
        <row r="5082">
          <cell r="CJ5082" t="str">
            <v xml:space="preserve">NFT-/XUTR/DEUTH02430980595X </v>
          </cell>
          <cell r="CK5082" t="str">
            <v>2024-11-04</v>
          </cell>
          <cell r="CL5082">
            <v>15491.323</v>
          </cell>
          <cell r="CP5082" t="str">
            <v xml:space="preserve">NFT-/XUTR/DEUTH024309A02A3X </v>
          </cell>
          <cell r="CQ5082" t="str">
            <v>2024-11-04</v>
          </cell>
          <cell r="CR5082">
            <v>1455.8620000000001</v>
          </cell>
        </row>
        <row r="5083">
          <cell r="CJ5083" t="str">
            <v xml:space="preserve">NFT-/XUTR/DEUTH02430980595X </v>
          </cell>
          <cell r="CK5083" t="str">
            <v>2024-11-04</v>
          </cell>
          <cell r="CL5083">
            <v>14640.121999999999</v>
          </cell>
          <cell r="CP5083" t="str">
            <v xml:space="preserve">NFT-/XUTR/DEUTH024309A02A3X </v>
          </cell>
          <cell r="CQ5083" t="str">
            <v>2024-11-04</v>
          </cell>
          <cell r="CR5083">
            <v>2307.0540000000001</v>
          </cell>
        </row>
        <row r="5084">
          <cell r="CJ5084" t="str">
            <v xml:space="preserve">NFT-/XUTR/DEUTH02430980595X </v>
          </cell>
          <cell r="CK5084" t="str">
            <v>2024-11-04</v>
          </cell>
          <cell r="CL5084">
            <v>15336.558999999999</v>
          </cell>
          <cell r="CP5084" t="str">
            <v xml:space="preserve">NFT-/XUTR/DEUTH024309A02A3X </v>
          </cell>
          <cell r="CQ5084" t="str">
            <v>2024-11-04</v>
          </cell>
          <cell r="CR5084">
            <v>1455.8620000000001</v>
          </cell>
        </row>
        <row r="5085">
          <cell r="CJ5085" t="str">
            <v xml:space="preserve">NFT-/XUTR/DEUTH02430980595X </v>
          </cell>
          <cell r="CK5085" t="str">
            <v>2024-11-04</v>
          </cell>
          <cell r="CL5085">
            <v>15472.442999999999</v>
          </cell>
          <cell r="CP5085" t="str">
            <v xml:space="preserve">NFT-/XUTR/DEUTH024309A02A3X </v>
          </cell>
          <cell r="CQ5085" t="str">
            <v>2024-11-04</v>
          </cell>
          <cell r="CR5085">
            <v>1455.8620000000001</v>
          </cell>
        </row>
        <row r="5086">
          <cell r="CJ5086" t="str">
            <v xml:space="preserve">NFT-/XUTR/DEUTH02430980595X </v>
          </cell>
          <cell r="CK5086" t="str">
            <v>2024-11-04</v>
          </cell>
          <cell r="CL5086">
            <v>15472.442999999999</v>
          </cell>
          <cell r="CP5086" t="str">
            <v xml:space="preserve">NFT-/XUTR/DEUTH024309A02A3X </v>
          </cell>
          <cell r="CQ5086" t="str">
            <v>2024-11-04</v>
          </cell>
          <cell r="CR5086">
            <v>1455.8620000000001</v>
          </cell>
        </row>
        <row r="5087">
          <cell r="CJ5087" t="str">
            <v xml:space="preserve">NFT-/XUTR/DEUTH02430980595X </v>
          </cell>
          <cell r="CK5087" t="str">
            <v>2024-11-04</v>
          </cell>
          <cell r="CL5087">
            <v>15491.323</v>
          </cell>
          <cell r="CP5087" t="str">
            <v xml:space="preserve">NFT-/XUTR/DEUTH024309A02A3X </v>
          </cell>
          <cell r="CQ5087" t="str">
            <v>2024-11-04</v>
          </cell>
          <cell r="CR5087">
            <v>1455.8620000000001</v>
          </cell>
        </row>
        <row r="5088">
          <cell r="CJ5088" t="str">
            <v xml:space="preserve">NFT-/XUTR/DEUTH02430980595X </v>
          </cell>
          <cell r="CK5088" t="str">
            <v>2024-11-04</v>
          </cell>
          <cell r="CL5088">
            <v>15472.442999999999</v>
          </cell>
          <cell r="CP5088" t="str">
            <v xml:space="preserve">NFT-/XUTR/DEUTH024309A02A3X </v>
          </cell>
          <cell r="CQ5088" t="str">
            <v>2024-11-04</v>
          </cell>
          <cell r="CR5088">
            <v>1455.8620000000001</v>
          </cell>
        </row>
        <row r="5089">
          <cell r="CJ5089" t="str">
            <v xml:space="preserve">NFT-/XUTR/DEUTH02430980595X </v>
          </cell>
          <cell r="CK5089" t="str">
            <v>2024-11-04</v>
          </cell>
          <cell r="CL5089">
            <v>16105.254999999999</v>
          </cell>
          <cell r="CP5089" t="str">
            <v xml:space="preserve">NFT-/XUTR/DEUTH024309A02A3X </v>
          </cell>
          <cell r="CQ5089" t="str">
            <v>2024-11-04</v>
          </cell>
          <cell r="CR5089">
            <v>823.05</v>
          </cell>
        </row>
        <row r="5090">
          <cell r="CJ5090" t="str">
            <v xml:space="preserve">NFT-/XUTR/DEUTH02430980595X </v>
          </cell>
          <cell r="CK5090" t="str">
            <v>2024-11-04</v>
          </cell>
          <cell r="CL5090">
            <v>15491.323</v>
          </cell>
          <cell r="CM5090" t="str">
            <v xml:space="preserve">NFT-/XUTR/DEUTH02432045075X </v>
          </cell>
          <cell r="CN5090" t="str">
            <v>2024-11-15</v>
          </cell>
          <cell r="CO5090">
            <v>-15491.323</v>
          </cell>
          <cell r="CP5090" t="str">
            <v xml:space="preserve">NFT-/XUTR/DEUTH024309A02A3X </v>
          </cell>
          <cell r="CQ5090" t="str">
            <v>2024-11-04</v>
          </cell>
          <cell r="CR5090">
            <v>1455.8620000000001</v>
          </cell>
          <cell r="CS5090" t="str">
            <v xml:space="preserve">NFT-/XUTR/DEUTH02432059153X </v>
          </cell>
          <cell r="CT5090" t="str">
            <v>2024-11-15</v>
          </cell>
          <cell r="CU5090">
            <v>-1455.8620000000001</v>
          </cell>
        </row>
        <row r="5091">
          <cell r="CJ5091" t="str">
            <v xml:space="preserve">NFT-/XUTR/DEUTH02430980595X </v>
          </cell>
          <cell r="CK5091" t="str">
            <v>2024-11-04</v>
          </cell>
          <cell r="CL5091">
            <v>15472.442999999999</v>
          </cell>
          <cell r="CM5091" t="str">
            <v xml:space="preserve">NFT-/XUTR/DEUTH02431649943X </v>
          </cell>
          <cell r="CN5091" t="str">
            <v>2024-11-11</v>
          </cell>
          <cell r="CO5091">
            <v>-15472.442999999999</v>
          </cell>
          <cell r="CP5091" t="str">
            <v xml:space="preserve">NFT-/XUTR/DEUTH024309A02A3X </v>
          </cell>
          <cell r="CQ5091" t="str">
            <v>2024-11-04</v>
          </cell>
          <cell r="CR5091">
            <v>1455.8620000000001</v>
          </cell>
          <cell r="CS5091" t="str">
            <v xml:space="preserve">NFT-/XUTR/DEUTH02431658955X </v>
          </cell>
          <cell r="CT5091" t="str">
            <v>2024-11-11</v>
          </cell>
          <cell r="CU5091">
            <v>-1455.8620000000001</v>
          </cell>
        </row>
        <row r="5092">
          <cell r="CJ5092" t="str">
            <v xml:space="preserve">NFT-/XUTR/DEUTH02430980595X </v>
          </cell>
          <cell r="CK5092" t="str">
            <v>2024-11-04</v>
          </cell>
          <cell r="CL5092">
            <v>15472.442999999999</v>
          </cell>
          <cell r="CP5092" t="str">
            <v xml:space="preserve">NFT-/XUTR/DEUTH024309A02A3X </v>
          </cell>
          <cell r="CQ5092" t="str">
            <v>2024-11-04</v>
          </cell>
          <cell r="CR5092">
            <v>1455.8620000000001</v>
          </cell>
        </row>
        <row r="5093">
          <cell r="CJ5093" t="str">
            <v xml:space="preserve">NFT-/XUTR/DEUTH02430980595X </v>
          </cell>
          <cell r="CK5093" t="str">
            <v>2024-11-04</v>
          </cell>
          <cell r="CL5093">
            <v>2786.4960000000001</v>
          </cell>
        </row>
        <row r="5094">
          <cell r="CJ5094" t="str">
            <v xml:space="preserve">NFT-/XUTR/DEUTH02430980595X </v>
          </cell>
          <cell r="CK5094" t="str">
            <v>2024-11-04</v>
          </cell>
          <cell r="CL5094">
            <v>15257.941000000001</v>
          </cell>
          <cell r="CP5094" t="str">
            <v xml:space="preserve">NFT-/XUTR/DEUTH024309A02A3X </v>
          </cell>
          <cell r="CQ5094" t="str">
            <v>2024-11-04</v>
          </cell>
          <cell r="CR5094">
            <v>1670.354</v>
          </cell>
        </row>
        <row r="5095">
          <cell r="CJ5095" t="str">
            <v xml:space="preserve">NFT-/XUTR/DEUTH02430980595X </v>
          </cell>
          <cell r="CK5095" t="str">
            <v>2024-11-04</v>
          </cell>
          <cell r="CL5095">
            <v>15491.323</v>
          </cell>
          <cell r="CP5095" t="str">
            <v xml:space="preserve">NFT-/XUTR/DEUTH024309A02A3X </v>
          </cell>
          <cell r="CQ5095" t="str">
            <v>2024-11-04</v>
          </cell>
          <cell r="CR5095">
            <v>1455.8620000000001</v>
          </cell>
        </row>
        <row r="5096">
          <cell r="CJ5096" t="str">
            <v xml:space="preserve">NFT-/XUTR/DEUTH02430980595X </v>
          </cell>
          <cell r="CK5096" t="str">
            <v>2024-11-04</v>
          </cell>
          <cell r="CL5096">
            <v>15472.442999999999</v>
          </cell>
          <cell r="CP5096" t="str">
            <v xml:space="preserve">NFT-/XUTR/DEUTH024309A02A3X </v>
          </cell>
          <cell r="CQ5096" t="str">
            <v>2024-11-04</v>
          </cell>
          <cell r="CR5096">
            <v>1455.8620000000001</v>
          </cell>
        </row>
        <row r="5097">
          <cell r="CJ5097" t="str">
            <v xml:space="preserve">NFT-/XUTR/DEUTH02430980595X </v>
          </cell>
          <cell r="CK5097" t="str">
            <v>2024-11-04</v>
          </cell>
          <cell r="CL5097">
            <v>15069.65</v>
          </cell>
          <cell r="CP5097" t="str">
            <v xml:space="preserve">NFT-/XUTR/DEUTH024309A02A3X </v>
          </cell>
          <cell r="CQ5097" t="str">
            <v>2024-11-04</v>
          </cell>
          <cell r="CR5097">
            <v>1858.654</v>
          </cell>
        </row>
        <row r="5098">
          <cell r="CJ5098" t="str">
            <v xml:space="preserve">NFT-/XUTR/DEUTH02430980595X </v>
          </cell>
          <cell r="CK5098" t="str">
            <v>2024-11-04</v>
          </cell>
          <cell r="CL5098">
            <v>15491.323</v>
          </cell>
          <cell r="CP5098" t="str">
            <v xml:space="preserve">NFT-/XUTR/DEUTH024309A02A3X </v>
          </cell>
          <cell r="CQ5098" t="str">
            <v>2024-11-04</v>
          </cell>
          <cell r="CR5098">
            <v>1455.8620000000001</v>
          </cell>
        </row>
        <row r="5099">
          <cell r="CJ5099" t="str">
            <v xml:space="preserve">NFT-/XUTR/DEUTH02430980595X </v>
          </cell>
          <cell r="CK5099" t="str">
            <v>2024-11-04</v>
          </cell>
          <cell r="CL5099">
            <v>8610.4770000000008</v>
          </cell>
        </row>
        <row r="5100">
          <cell r="CJ5100" t="str">
            <v xml:space="preserve">NFT-/XUTR/DEUTH02430980595X </v>
          </cell>
          <cell r="CK5100" t="str">
            <v>2024-11-04</v>
          </cell>
          <cell r="CL5100">
            <v>15472.442999999999</v>
          </cell>
          <cell r="CP5100" t="str">
            <v xml:space="preserve">NFT-/XUTR/DEUTH024309A02A3X </v>
          </cell>
          <cell r="CQ5100" t="str">
            <v>2024-11-04</v>
          </cell>
          <cell r="CR5100">
            <v>1455.8620000000001</v>
          </cell>
        </row>
        <row r="5101">
          <cell r="CJ5101" t="str">
            <v xml:space="preserve">NFT-/XUTR/DEUTH02430980595X </v>
          </cell>
          <cell r="CK5101" t="str">
            <v>2024-11-04</v>
          </cell>
          <cell r="CL5101">
            <v>8610.4770000000008</v>
          </cell>
        </row>
        <row r="5102">
          <cell r="CJ5102" t="str">
            <v xml:space="preserve">NFT-/XUTR/DEUTH02430980595X </v>
          </cell>
          <cell r="CK5102" t="str">
            <v>2024-11-04</v>
          </cell>
          <cell r="CL5102">
            <v>42512.652000000002</v>
          </cell>
        </row>
        <row r="5103">
          <cell r="CJ5103" t="str">
            <v xml:space="preserve">NFT-/XUTR/DEUTH02430980595X </v>
          </cell>
          <cell r="CK5103" t="str">
            <v>2024-11-04</v>
          </cell>
          <cell r="CL5103">
            <v>2894.21</v>
          </cell>
        </row>
        <row r="5104">
          <cell r="CJ5104" t="str">
            <v xml:space="preserve">NFT-/XUTR/DEUTH02430980595X </v>
          </cell>
          <cell r="CK5104" t="str">
            <v>2024-11-04</v>
          </cell>
          <cell r="CL5104">
            <v>10606.422</v>
          </cell>
          <cell r="CP5104" t="str">
            <v xml:space="preserve">NFT-/XUTR/DEUTH024309A02A3X </v>
          </cell>
          <cell r="CQ5104" t="str">
            <v>2024-11-04</v>
          </cell>
          <cell r="CR5104">
            <v>1187.0170000000001</v>
          </cell>
        </row>
        <row r="5105">
          <cell r="CJ5105" t="str">
            <v xml:space="preserve">NFT-/XUTR/DEUTH02430980595X </v>
          </cell>
          <cell r="CK5105" t="str">
            <v>2024-11-04</v>
          </cell>
          <cell r="CL5105">
            <v>84897.653999999995</v>
          </cell>
          <cell r="CP5105" t="str">
            <v xml:space="preserve">NFT-/XUTR/DEUTH024309A02A3X </v>
          </cell>
          <cell r="CQ5105" t="str">
            <v>2024-11-04</v>
          </cell>
          <cell r="CR5105">
            <v>970.57500000000005</v>
          </cell>
        </row>
        <row r="5106">
          <cell r="CJ5106" t="str">
            <v xml:space="preserve">NFT-/XUTR/DEUTH02430980595X </v>
          </cell>
          <cell r="CK5106" t="str">
            <v>2024-11-04</v>
          </cell>
          <cell r="CL5106">
            <v>6232.57</v>
          </cell>
        </row>
        <row r="5107">
          <cell r="CJ5107" t="str">
            <v xml:space="preserve">NFT-/XUTR/DEUTH02430980595X </v>
          </cell>
          <cell r="CK5107" t="str">
            <v>2024-11-04</v>
          </cell>
          <cell r="CL5107">
            <v>7758.7529999999997</v>
          </cell>
          <cell r="CP5107" t="str">
            <v xml:space="preserve">NFT-/XUTR/DEUTH024309A02A3X </v>
          </cell>
          <cell r="CQ5107" t="str">
            <v>2024-11-04</v>
          </cell>
          <cell r="CR5107">
            <v>870.60500000000002</v>
          </cell>
        </row>
        <row r="5109">
          <cell r="CJ5109" t="str">
            <v xml:space="preserve">NFT-/XUTR/DEUTH02430980595X </v>
          </cell>
          <cell r="CK5109" t="str">
            <v>2024-11-04</v>
          </cell>
          <cell r="CL5109">
            <v>8610.4770000000008</v>
          </cell>
        </row>
        <row r="5110">
          <cell r="CJ5110" t="str">
            <v xml:space="preserve">NFT-/XUTR/DEUTH02430980595X </v>
          </cell>
          <cell r="CK5110" t="str">
            <v>2024-11-04</v>
          </cell>
          <cell r="CL5110">
            <v>10606.422</v>
          </cell>
          <cell r="CP5110" t="str">
            <v xml:space="preserve">NFT-/XUTR/DEUTH024309A02A3X </v>
          </cell>
          <cell r="CQ5110" t="str">
            <v>2024-11-04</v>
          </cell>
          <cell r="CR5110">
            <v>1187.0160000000001</v>
          </cell>
        </row>
        <row r="5111">
          <cell r="CJ5111" t="str">
            <v xml:space="preserve">NFT-/XUTR/DEUTH02430980595X </v>
          </cell>
          <cell r="CK5111" t="str">
            <v>2024-11-04</v>
          </cell>
          <cell r="CL5111">
            <v>5618.6379999999999</v>
          </cell>
          <cell r="CM5111" t="str">
            <v xml:space="preserve">NFT-/XUTR/DEUTH02432540165X </v>
          </cell>
          <cell r="CN5111" t="str">
            <v>2024-11-20</v>
          </cell>
          <cell r="CO5111">
            <v>-5618.6379999999999</v>
          </cell>
          <cell r="CP5111" t="str">
            <v xml:space="preserve">NFT-/XUTR/DEUTH024309A02A3X </v>
          </cell>
          <cell r="CQ5111" t="str">
            <v>2024-11-04</v>
          </cell>
          <cell r="CR5111">
            <v>632.81200000000001</v>
          </cell>
          <cell r="CS5111" t="str">
            <v xml:space="preserve">NFT-/XUTR/DEUTH02432567146X </v>
          </cell>
          <cell r="CT5111" t="str">
            <v>2024-11-20</v>
          </cell>
          <cell r="CU5111">
            <v>-632.81200000000001</v>
          </cell>
        </row>
        <row r="5112">
          <cell r="CJ5112" t="str">
            <v xml:space="preserve">NFT-/XUTR/DEUTH02430980595X </v>
          </cell>
          <cell r="CK5112" t="str">
            <v>2024-11-04</v>
          </cell>
          <cell r="CL5112">
            <v>7758.7529999999997</v>
          </cell>
          <cell r="CP5112" t="str">
            <v xml:space="preserve">NFT-/XUTR/DEUTH024309A02A3X </v>
          </cell>
          <cell r="CQ5112" t="str">
            <v>2024-11-04</v>
          </cell>
          <cell r="CR5112">
            <v>870.60500000000002</v>
          </cell>
        </row>
        <row r="5113">
          <cell r="CJ5113" t="str">
            <v xml:space="preserve">NFT-/XUTR/DEUTH02430980595X </v>
          </cell>
          <cell r="CK5113" t="str">
            <v>2024-11-04</v>
          </cell>
          <cell r="CL5113">
            <v>42531.531999999999</v>
          </cell>
        </row>
        <row r="5114">
          <cell r="CJ5114" t="str">
            <v xml:space="preserve">NFT-/XUTR/DEUTH02430980595X </v>
          </cell>
          <cell r="CK5114" t="str">
            <v>2024-11-04</v>
          </cell>
          <cell r="CL5114">
            <v>42512.652000000002</v>
          </cell>
        </row>
        <row r="5115">
          <cell r="CJ5115" t="str">
            <v xml:space="preserve">NFT-/XUTR/DEUTH02430980595X </v>
          </cell>
          <cell r="CK5115" t="str">
            <v>2024-11-04</v>
          </cell>
          <cell r="CL5115">
            <v>10606.422</v>
          </cell>
          <cell r="CP5115" t="str">
            <v xml:space="preserve">NFT-/XUTR/DEUTH024309A02A3X </v>
          </cell>
          <cell r="CQ5115" t="str">
            <v>2024-11-04</v>
          </cell>
          <cell r="CR5115">
            <v>1187.0160000000001</v>
          </cell>
        </row>
        <row r="5116">
          <cell r="CJ5116" t="str">
            <v xml:space="preserve">NFT-/XUTR/DEUTH02430980595X </v>
          </cell>
          <cell r="CK5116" t="str">
            <v>2024-11-04</v>
          </cell>
          <cell r="CL5116">
            <v>5574.5190000000002</v>
          </cell>
          <cell r="CP5116" t="str">
            <v xml:space="preserve">NFT-/XUTR/DEUTH024309A02A3X </v>
          </cell>
          <cell r="CQ5116" t="str">
            <v>2024-11-04</v>
          </cell>
          <cell r="CR5116">
            <v>298.93599999999998</v>
          </cell>
        </row>
        <row r="5117">
          <cell r="CJ5117" t="str">
            <v xml:space="preserve">NFT-/XUTR/DEUTH02430980595X </v>
          </cell>
          <cell r="CK5117" t="str">
            <v>2024-11-04</v>
          </cell>
          <cell r="CL5117">
            <v>10606.422</v>
          </cell>
          <cell r="CP5117" t="str">
            <v xml:space="preserve">NFT-/XUTR/DEUTH024309A02A3X </v>
          </cell>
          <cell r="CQ5117" t="str">
            <v>2024-11-04</v>
          </cell>
          <cell r="CR5117">
            <v>1187.0170000000001</v>
          </cell>
        </row>
        <row r="5118">
          <cell r="CJ5118" t="str">
            <v xml:space="preserve">NFT-/XUTR/DEUTH02430980595X </v>
          </cell>
          <cell r="CK5118" t="str">
            <v>2024-11-04</v>
          </cell>
          <cell r="CL5118">
            <v>6232.57</v>
          </cell>
        </row>
        <row r="5119">
          <cell r="CJ5119" t="str">
            <v xml:space="preserve">NFT-/XUTR/DEUTH02430980595X </v>
          </cell>
          <cell r="CK5119" t="str">
            <v>2024-11-04</v>
          </cell>
          <cell r="CL5119">
            <v>7678.72</v>
          </cell>
          <cell r="CP5119" t="str">
            <v xml:space="preserve">NFT-/XUTR/DEUTH024309A02A3X </v>
          </cell>
          <cell r="CQ5119" t="str">
            <v>2024-11-04</v>
          </cell>
          <cell r="CR5119">
            <v>931.74800000000005</v>
          </cell>
        </row>
        <row r="5120">
          <cell r="CJ5120" t="str">
            <v xml:space="preserve">NFT-/XUTR/DEUTH02430980595X </v>
          </cell>
          <cell r="CK5120" t="str">
            <v>2024-11-04</v>
          </cell>
          <cell r="CL5120">
            <v>7758.7529999999997</v>
          </cell>
          <cell r="CP5120" t="str">
            <v xml:space="preserve">NFT-/XUTR/DEUTH024309A02A3X </v>
          </cell>
          <cell r="CQ5120" t="str">
            <v>2024-11-04</v>
          </cell>
          <cell r="CR5120">
            <v>870.60500000000002</v>
          </cell>
        </row>
        <row r="5121">
          <cell r="CJ5121" t="str">
            <v xml:space="preserve">NFT-/XUTR/DEUTH02430980595X </v>
          </cell>
          <cell r="CK5121" t="str">
            <v>2024-11-04</v>
          </cell>
          <cell r="CL5121">
            <v>7758.7529999999997</v>
          </cell>
          <cell r="CP5121" t="str">
            <v xml:space="preserve">NFT-/XUTR/DEUTH024309A02A3X </v>
          </cell>
          <cell r="CQ5121" t="str">
            <v>2024-11-04</v>
          </cell>
          <cell r="CR5121">
            <v>870.60500000000002</v>
          </cell>
        </row>
        <row r="5122">
          <cell r="CJ5122" t="str">
            <v xml:space="preserve">NFT-/XUTR/DEUTH02430980595X </v>
          </cell>
          <cell r="CK5122" t="str">
            <v>2024-11-04</v>
          </cell>
          <cell r="CL5122">
            <v>10903.409</v>
          </cell>
          <cell r="CP5122" t="str">
            <v xml:space="preserve">NFT-/XUTR/DEUTH024309A02A3X </v>
          </cell>
          <cell r="CQ5122" t="str">
            <v>2024-11-04</v>
          </cell>
          <cell r="CR5122">
            <v>1220.018</v>
          </cell>
        </row>
        <row r="5123">
          <cell r="CJ5123" t="str">
            <v xml:space="preserve">NFT-/XUTR/DEUTH02430980595X </v>
          </cell>
          <cell r="CK5123" t="str">
            <v>2024-11-04</v>
          </cell>
          <cell r="CL5123">
            <v>7739.8729999999996</v>
          </cell>
          <cell r="CP5123" t="str">
            <v xml:space="preserve">NFT-/XUTR/DEUTH024309A02A3X </v>
          </cell>
          <cell r="CQ5123" t="str">
            <v>2024-11-04</v>
          </cell>
          <cell r="CR5123">
            <v>870.60500000000002</v>
          </cell>
        </row>
        <row r="5124">
          <cell r="CJ5124" t="str">
            <v xml:space="preserve">NFT-/XUTR/DEUTH02430980595X </v>
          </cell>
          <cell r="CK5124" t="str">
            <v>2024-11-04</v>
          </cell>
          <cell r="CL5124">
            <v>8610.4770000000008</v>
          </cell>
        </row>
        <row r="5125">
          <cell r="CJ5125" t="str">
            <v xml:space="preserve">NFT-/XUTR/DEUTH02430980595X </v>
          </cell>
          <cell r="CK5125" t="str">
            <v>2024-11-04</v>
          </cell>
          <cell r="CL5125">
            <v>7758.7529999999997</v>
          </cell>
          <cell r="CP5125" t="str">
            <v xml:space="preserve">NFT-/XUTR/DEUTH024309A02A3X </v>
          </cell>
          <cell r="CQ5125" t="str">
            <v>2024-11-04</v>
          </cell>
          <cell r="CR5125">
            <v>870.60500000000002</v>
          </cell>
        </row>
        <row r="5126">
          <cell r="CJ5126" t="str">
            <v xml:space="preserve">NFT-/XUTR/DEUTH02430980595X </v>
          </cell>
          <cell r="CK5126" t="str">
            <v>2024-11-04</v>
          </cell>
          <cell r="CL5126">
            <v>10884.53</v>
          </cell>
          <cell r="CM5126" t="str">
            <v xml:space="preserve">NFT-/XUTR/DEUTH02431649943X </v>
          </cell>
          <cell r="CN5126" t="str">
            <v>2024-11-11</v>
          </cell>
          <cell r="CO5126">
            <v>-10884.53</v>
          </cell>
          <cell r="CP5126" t="str">
            <v xml:space="preserve">NFT-/XUTR/DEUTH024309A02A3X </v>
          </cell>
          <cell r="CQ5126" t="str">
            <v>2024-11-04</v>
          </cell>
          <cell r="CR5126">
            <v>1220.018</v>
          </cell>
          <cell r="CS5126" t="str">
            <v xml:space="preserve">NFT-/XUTR/DEUTH02431658955X </v>
          </cell>
          <cell r="CT5126" t="str">
            <v>2024-11-11</v>
          </cell>
          <cell r="CU5126">
            <v>-1220.018</v>
          </cell>
        </row>
        <row r="5127">
          <cell r="CJ5127" t="str">
            <v xml:space="preserve">NFT-/XUTR/DEUTH02430980595X </v>
          </cell>
          <cell r="CK5127" t="str">
            <v>2024-11-04</v>
          </cell>
          <cell r="CL5127">
            <v>7758.7529999999997</v>
          </cell>
          <cell r="CM5127" t="str">
            <v xml:space="preserve">NFT-/XUTR/DEUTH02432756454X </v>
          </cell>
          <cell r="CN5127" t="str">
            <v>2024-11-22</v>
          </cell>
          <cell r="CO5127">
            <v>-7758.7529999999997</v>
          </cell>
          <cell r="CP5127" t="str">
            <v xml:space="preserve">NFT-/XUTR/DEUTH024309A02A3X </v>
          </cell>
          <cell r="CQ5127" t="str">
            <v>2024-11-04</v>
          </cell>
          <cell r="CR5127">
            <v>870.60500000000002</v>
          </cell>
          <cell r="CV5127" t="str">
            <v xml:space="preserve">NFT-/XUTR/DEUTH02433956210X </v>
          </cell>
          <cell r="CW5127" t="str">
            <v>2024-12-04</v>
          </cell>
          <cell r="CX5127">
            <v>-870.60500000000002</v>
          </cell>
        </row>
        <row r="5128">
          <cell r="CJ5128" t="str">
            <v xml:space="preserve">NFT-/XUTR/DEUTH02430980595X </v>
          </cell>
          <cell r="CK5128" t="str">
            <v>2024-11-04</v>
          </cell>
          <cell r="CL5128">
            <v>6251.45</v>
          </cell>
        </row>
        <row r="5129">
          <cell r="CJ5129" t="str">
            <v xml:space="preserve">NFT-/XUTR/DEUTH02430980595X </v>
          </cell>
          <cell r="CK5129" t="str">
            <v>2024-11-04</v>
          </cell>
          <cell r="CL5129">
            <v>15472.442999999999</v>
          </cell>
          <cell r="CP5129" t="str">
            <v xml:space="preserve">NFT-/XUTR/DEUTH024309A02A3X </v>
          </cell>
          <cell r="CQ5129" t="str">
            <v>2024-11-04</v>
          </cell>
          <cell r="CR5129">
            <v>1455.8620000000001</v>
          </cell>
        </row>
        <row r="5130">
          <cell r="CJ5130" t="str">
            <v xml:space="preserve">NFT-/XUTR/DEUTH02430980595X </v>
          </cell>
          <cell r="CK5130" t="str">
            <v>2024-11-04</v>
          </cell>
          <cell r="CL5130">
            <v>7739.8729999999996</v>
          </cell>
          <cell r="CP5130" t="str">
            <v xml:space="preserve">NFT-/XUTR/DEUTH024309A02A3X </v>
          </cell>
          <cell r="CQ5130" t="str">
            <v>2024-11-04</v>
          </cell>
          <cell r="CR5130">
            <v>870.60500000000002</v>
          </cell>
        </row>
        <row r="5131">
          <cell r="CJ5131" t="str">
            <v xml:space="preserve">NFT-/XUTR/DEUTH02430980595X </v>
          </cell>
          <cell r="CK5131" t="str">
            <v>2024-11-04</v>
          </cell>
          <cell r="CL5131">
            <v>7758.7529999999997</v>
          </cell>
          <cell r="CP5131" t="str">
            <v xml:space="preserve">NFT-/XUTR/DEUTH024309A02A3X </v>
          </cell>
          <cell r="CQ5131" t="str">
            <v>2024-11-04</v>
          </cell>
          <cell r="CR5131">
            <v>870.60500000000002</v>
          </cell>
        </row>
        <row r="5132">
          <cell r="CJ5132" t="str">
            <v xml:space="preserve">NFT-/XUTR/DEUTH02430980595X </v>
          </cell>
          <cell r="CK5132" t="str">
            <v>2024-11-04</v>
          </cell>
          <cell r="CL5132">
            <v>7758.7520000000004</v>
          </cell>
          <cell r="CM5132" t="str">
            <v xml:space="preserve">NFT-/XUTR/DEUTH02432540165X </v>
          </cell>
          <cell r="CN5132" t="str">
            <v>2024-11-20</v>
          </cell>
          <cell r="CO5132">
            <v>-7758.7520000000004</v>
          </cell>
          <cell r="CP5132" t="str">
            <v xml:space="preserve">NFT-/XUTR/DEUTH024309A02A3X </v>
          </cell>
          <cell r="CQ5132" t="str">
            <v>2024-11-04</v>
          </cell>
          <cell r="CR5132">
            <v>870.60500000000002</v>
          </cell>
          <cell r="CS5132" t="str">
            <v xml:space="preserve">NFT-/XUTR/DEUTH02432567146X </v>
          </cell>
          <cell r="CT5132" t="str">
            <v>2024-11-20</v>
          </cell>
          <cell r="CU5132">
            <v>-870.60500000000002</v>
          </cell>
        </row>
        <row r="5133">
          <cell r="CJ5133" t="str">
            <v xml:space="preserve">NFT-/XUTR/DEUTH02430980595X </v>
          </cell>
          <cell r="CK5133" t="str">
            <v>2024-11-04</v>
          </cell>
          <cell r="CL5133">
            <v>11268.328</v>
          </cell>
          <cell r="CP5133" t="str">
            <v xml:space="preserve">NFT-/XUTR/DEUTH024309A02A3X </v>
          </cell>
          <cell r="CQ5133" t="str">
            <v>2024-11-04</v>
          </cell>
          <cell r="CR5133">
            <v>1234.5719999999999</v>
          </cell>
        </row>
        <row r="5134">
          <cell r="CJ5134" t="str">
            <v xml:space="preserve">NFT-/XUTR/DEUTH02430980595X </v>
          </cell>
          <cell r="CK5134" t="str">
            <v>2024-11-04</v>
          </cell>
          <cell r="CL5134">
            <v>15472.442999999999</v>
          </cell>
          <cell r="CP5134" t="str">
            <v xml:space="preserve">NFT-/XUTR/DEUTH024309A02A3X </v>
          </cell>
          <cell r="CQ5134" t="str">
            <v>2024-11-04</v>
          </cell>
          <cell r="CR5134">
            <v>1455.8620000000001</v>
          </cell>
        </row>
        <row r="5135">
          <cell r="CJ5135" t="str">
            <v xml:space="preserve">NFT-/XUTR/DEUTH02430980595X </v>
          </cell>
          <cell r="CK5135" t="str">
            <v>2024-11-04</v>
          </cell>
          <cell r="CL5135">
            <v>7758.7529999999997</v>
          </cell>
          <cell r="CP5135" t="str">
            <v xml:space="preserve">NFT-/XUTR/DEUTH024309A02A3X </v>
          </cell>
          <cell r="CQ5135" t="str">
            <v>2024-11-04</v>
          </cell>
          <cell r="CR5135">
            <v>870.60500000000002</v>
          </cell>
        </row>
        <row r="5136">
          <cell r="CJ5136" t="str">
            <v xml:space="preserve">NFT-/XUTR/DEUTH02430980595X </v>
          </cell>
          <cell r="CK5136" t="str">
            <v>2024-11-04</v>
          </cell>
          <cell r="CL5136">
            <v>15472.442999999999</v>
          </cell>
          <cell r="CP5136" t="str">
            <v xml:space="preserve">NFT-/XUTR/DEUTH024309A02A3X </v>
          </cell>
          <cell r="CQ5136" t="str">
            <v>2024-11-04</v>
          </cell>
          <cell r="CR5136">
            <v>1455.8620000000001</v>
          </cell>
        </row>
        <row r="5137">
          <cell r="CJ5137" t="str">
            <v xml:space="preserve">NFT-/XUTR/DEUTH02430980595X </v>
          </cell>
          <cell r="CK5137" t="str">
            <v>2024-11-04</v>
          </cell>
          <cell r="CL5137">
            <v>15394.266</v>
          </cell>
          <cell r="CM5137" t="str">
            <v xml:space="preserve">NFT-/XUTR/DEUTH02431839302X </v>
          </cell>
          <cell r="CN5137" t="str">
            <v>2024-11-13</v>
          </cell>
          <cell r="CO5137">
            <v>-15394.266</v>
          </cell>
          <cell r="CP5137" t="str">
            <v xml:space="preserve">NFT-/XUTR/DEUTH024309A02A3X </v>
          </cell>
          <cell r="CQ5137" t="str">
            <v>2024-11-04</v>
          </cell>
          <cell r="CR5137">
            <v>1552.9190000000001</v>
          </cell>
          <cell r="CS5137" t="str">
            <v xml:space="preserve">NFT-/XUTR/DEUTH02431843558X </v>
          </cell>
          <cell r="CT5137" t="str">
            <v>2024-11-13</v>
          </cell>
          <cell r="CU5137">
            <v>-1552.9190000000001</v>
          </cell>
          <cell r="CV5137" t="str">
            <v xml:space="preserve">NFT-/XUTR/DEUTH02501034359X </v>
          </cell>
          <cell r="CW5137" t="str">
            <v>2025-01-10</v>
          </cell>
          <cell r="CX5137">
            <v>15468.23</v>
          </cell>
        </row>
        <row r="5138">
          <cell r="CJ5138" t="str">
            <v xml:space="preserve">NFT-/XUTR/DEUTH02430980595X </v>
          </cell>
          <cell r="CK5138" t="str">
            <v>2024-11-04</v>
          </cell>
          <cell r="CL5138">
            <v>15472.442999999999</v>
          </cell>
          <cell r="CP5138" t="str">
            <v xml:space="preserve">NFT-/XUTR/DEUTH024309A02A3X </v>
          </cell>
          <cell r="CQ5138" t="str">
            <v>2024-11-04</v>
          </cell>
          <cell r="CR5138">
            <v>1455.8620000000001</v>
          </cell>
        </row>
        <row r="5139">
          <cell r="CJ5139" t="str">
            <v xml:space="preserve">NFT-/XUTR/DEUTH02430980595X </v>
          </cell>
          <cell r="CK5139" t="str">
            <v>2024-11-04</v>
          </cell>
          <cell r="CL5139">
            <v>15472.442999999999</v>
          </cell>
          <cell r="CP5139" t="str">
            <v xml:space="preserve">NFT-/XUTR/DEUTH024309A02A3X </v>
          </cell>
          <cell r="CQ5139" t="str">
            <v>2024-11-04</v>
          </cell>
          <cell r="CR5139">
            <v>1455.8620000000001</v>
          </cell>
        </row>
        <row r="5140">
          <cell r="CJ5140" t="str">
            <v xml:space="preserve">NFT-/XUTR/DEUTH02430980595X </v>
          </cell>
          <cell r="CK5140" t="str">
            <v>2024-11-04</v>
          </cell>
          <cell r="CL5140">
            <v>15381.2</v>
          </cell>
          <cell r="CP5140" t="str">
            <v xml:space="preserve">NFT-/XUTR/DEUTH024309A02A3X </v>
          </cell>
          <cell r="CQ5140" t="str">
            <v>2024-11-04</v>
          </cell>
          <cell r="CR5140">
            <v>1547.095</v>
          </cell>
        </row>
        <row r="5141">
          <cell r="CJ5141" t="str">
            <v xml:space="preserve">NFT-/XUTR/DEUTH02430980595X </v>
          </cell>
          <cell r="CK5141" t="str">
            <v>2024-11-04</v>
          </cell>
          <cell r="CL5141">
            <v>15472.442999999999</v>
          </cell>
          <cell r="CP5141" t="str">
            <v xml:space="preserve">NFT-/XUTR/DEUTH024309A02A3X </v>
          </cell>
          <cell r="CQ5141" t="str">
            <v>2024-11-04</v>
          </cell>
          <cell r="CR5141">
            <v>1455.8620000000001</v>
          </cell>
        </row>
        <row r="5142">
          <cell r="CJ5142" t="str">
            <v xml:space="preserve">NFT-/XUTR/DEUTH02430980595X </v>
          </cell>
          <cell r="CK5142" t="str">
            <v>2024-11-04</v>
          </cell>
          <cell r="CL5142">
            <v>14621.242</v>
          </cell>
          <cell r="CP5142" t="str">
            <v xml:space="preserve">NFT-/XUTR/DEUTH024309A02A3X </v>
          </cell>
          <cell r="CQ5142" t="str">
            <v>2024-11-04</v>
          </cell>
          <cell r="CR5142">
            <v>2307.0540000000001</v>
          </cell>
        </row>
        <row r="5143">
          <cell r="CJ5143" t="str">
            <v xml:space="preserve">NFT-/XUTR/DEUTH02430980595X </v>
          </cell>
          <cell r="CK5143" t="str">
            <v>2024-11-04</v>
          </cell>
          <cell r="CL5143">
            <v>15491.323</v>
          </cell>
          <cell r="CP5143" t="str">
            <v xml:space="preserve">NFT-/XUTR/DEUTH024309A02A3X </v>
          </cell>
          <cell r="CQ5143" t="str">
            <v>2024-11-04</v>
          </cell>
          <cell r="CR5143">
            <v>1455.8620000000001</v>
          </cell>
        </row>
        <row r="5144">
          <cell r="CJ5144" t="str">
            <v xml:space="preserve">NFT-/XUTR/DEUTH02430980595X </v>
          </cell>
          <cell r="CK5144" t="str">
            <v>2024-11-04</v>
          </cell>
          <cell r="CL5144">
            <v>14875.002</v>
          </cell>
          <cell r="CM5144" t="str">
            <v xml:space="preserve">NFT-/XUTR/DEUTH02432756454X </v>
          </cell>
          <cell r="CN5144" t="str">
            <v>2024-11-22</v>
          </cell>
          <cell r="CO5144">
            <v>-14875.002</v>
          </cell>
          <cell r="CP5144" t="str">
            <v xml:space="preserve">NFT-/XUTR/DEUTH024309A02A3X </v>
          </cell>
          <cell r="CQ5144" t="str">
            <v>2024-11-04</v>
          </cell>
          <cell r="CR5144">
            <v>2072.1729999999998</v>
          </cell>
          <cell r="CV5144" t="str">
            <v xml:space="preserve">NFT-/XUTR/DEUTH02433956210X </v>
          </cell>
          <cell r="CW5144" t="str">
            <v>2024-12-04</v>
          </cell>
          <cell r="CX5144">
            <v>-2072.1729999999998</v>
          </cell>
        </row>
        <row r="5145">
          <cell r="CJ5145" t="str">
            <v xml:space="preserve">NFT-/XUTR/DEUTH02430980595X </v>
          </cell>
          <cell r="CK5145" t="str">
            <v>2024-11-04</v>
          </cell>
          <cell r="CL5145">
            <v>15491.323</v>
          </cell>
          <cell r="CP5145" t="str">
            <v xml:space="preserve">NFT-/XUTR/DEUTH024309A02A3X </v>
          </cell>
          <cell r="CQ5145" t="str">
            <v>2024-11-04</v>
          </cell>
          <cell r="CR5145">
            <v>1455.8620000000001</v>
          </cell>
        </row>
        <row r="5146">
          <cell r="CJ5146" t="str">
            <v xml:space="preserve">NFT-/XUTR/DEUTH02430980595X </v>
          </cell>
          <cell r="CK5146" t="str">
            <v>2024-11-04</v>
          </cell>
          <cell r="CL5146">
            <v>15472.442999999999</v>
          </cell>
          <cell r="CM5146" t="str">
            <v xml:space="preserve">NFT-/XUTR/DEUTH02432540165X </v>
          </cell>
          <cell r="CN5146" t="str">
            <v>2024-11-20</v>
          </cell>
          <cell r="CO5146">
            <v>-15472.442999999999</v>
          </cell>
          <cell r="CP5146" t="str">
            <v xml:space="preserve">NFT-/XUTR/DEUTH024309A02A3X </v>
          </cell>
          <cell r="CQ5146" t="str">
            <v>2024-11-04</v>
          </cell>
          <cell r="CR5146">
            <v>1455.8620000000001</v>
          </cell>
          <cell r="CS5146" t="str">
            <v xml:space="preserve">NFT-/XUTR/DEUTH02432567146X </v>
          </cell>
          <cell r="CT5146" t="str">
            <v>2024-11-20</v>
          </cell>
          <cell r="CU5146">
            <v>-1455.8620000000001</v>
          </cell>
        </row>
        <row r="5147">
          <cell r="CJ5147" t="str">
            <v xml:space="preserve">NFT-/XUTR/DEUTH02430980595X </v>
          </cell>
          <cell r="CK5147" t="str">
            <v>2024-11-04</v>
          </cell>
          <cell r="CL5147">
            <v>15472.442999999999</v>
          </cell>
          <cell r="CM5147" t="str">
            <v xml:space="preserve">NFT-/XUTR/DEUTH02431152062X </v>
          </cell>
          <cell r="CN5147" t="str">
            <v>2024-11-06</v>
          </cell>
          <cell r="CO5147">
            <v>-15472.442999999999</v>
          </cell>
          <cell r="CP5147" t="str">
            <v xml:space="preserve">NFT-/XUTR/DEUTH024309A02A3X </v>
          </cell>
          <cell r="CQ5147" t="str">
            <v>2024-11-04</v>
          </cell>
          <cell r="CR5147">
            <v>1455.8620000000001</v>
          </cell>
          <cell r="CS5147" t="str">
            <v xml:space="preserve">NFT-/XUTR/DEUTH02431162755X </v>
          </cell>
          <cell r="CT5147" t="str">
            <v>2024-11-06</v>
          </cell>
          <cell r="CU5147">
            <v>-1455.8620000000001</v>
          </cell>
        </row>
        <row r="5148">
          <cell r="CJ5148" t="str">
            <v xml:space="preserve">NFT-/XUTR/DEUTH02430980595X </v>
          </cell>
          <cell r="CK5148" t="str">
            <v>2024-11-04</v>
          </cell>
          <cell r="CL5148">
            <v>15882.023999999999</v>
          </cell>
          <cell r="CP5148" t="str">
            <v xml:space="preserve">NFT-/XUTR/DEUTH024309A02A3X </v>
          </cell>
          <cell r="CQ5148" t="str">
            <v>2024-11-04</v>
          </cell>
          <cell r="CR5148">
            <v>1046.28</v>
          </cell>
        </row>
        <row r="5149">
          <cell r="CJ5149" t="str">
            <v xml:space="preserve">NFT-/XUTR/DEUTH02430980595X </v>
          </cell>
          <cell r="CK5149" t="str">
            <v>2024-11-04</v>
          </cell>
          <cell r="CL5149">
            <v>15491.323</v>
          </cell>
          <cell r="CP5149" t="str">
            <v xml:space="preserve">NFT-/XUTR/DEUTH024309A02A3X </v>
          </cell>
          <cell r="CQ5149" t="str">
            <v>2024-11-04</v>
          </cell>
          <cell r="CR5149">
            <v>1455.8620000000001</v>
          </cell>
        </row>
        <row r="5150">
          <cell r="CJ5150" t="str">
            <v xml:space="preserve">NFT-/XUTR/DEUTH02430980595X </v>
          </cell>
          <cell r="CK5150" t="str">
            <v>2024-11-04</v>
          </cell>
          <cell r="CL5150">
            <v>15491.323</v>
          </cell>
          <cell r="CP5150" t="str">
            <v xml:space="preserve">NFT-/XUTR/DEUTH024309A02A3X </v>
          </cell>
          <cell r="CQ5150" t="str">
            <v>2024-11-04</v>
          </cell>
          <cell r="CR5150">
            <v>1455.8620000000001</v>
          </cell>
        </row>
        <row r="5151">
          <cell r="CJ5151" t="str">
            <v xml:space="preserve">NFT-/XUTR/DEUTH02430980595X </v>
          </cell>
          <cell r="CK5151" t="str">
            <v>2024-11-04</v>
          </cell>
          <cell r="CL5151">
            <v>15491.323</v>
          </cell>
          <cell r="CP5151" t="str">
            <v xml:space="preserve">NFT-/XUTR/DEUTH024309A02A3X </v>
          </cell>
          <cell r="CQ5151" t="str">
            <v>2024-11-04</v>
          </cell>
          <cell r="CR5151">
            <v>1455.8620000000001</v>
          </cell>
        </row>
        <row r="5152">
          <cell r="CJ5152" t="str">
            <v xml:space="preserve">NFT-/XUTR/DEUTH02430980595X </v>
          </cell>
          <cell r="CK5152" t="str">
            <v>2024-11-04</v>
          </cell>
          <cell r="CL5152">
            <v>15491.323</v>
          </cell>
          <cell r="CP5152" t="str">
            <v xml:space="preserve">NFT-/XUTR/DEUTH024309A02A3X </v>
          </cell>
          <cell r="CQ5152" t="str">
            <v>2024-11-04</v>
          </cell>
          <cell r="CR5152">
            <v>1455.8620000000001</v>
          </cell>
        </row>
        <row r="5153">
          <cell r="CJ5153" t="str">
            <v xml:space="preserve">NFT-/XUTR/DEUTH02430980595X </v>
          </cell>
          <cell r="CK5153" t="str">
            <v>2024-11-04</v>
          </cell>
          <cell r="CL5153">
            <v>15491.323</v>
          </cell>
          <cell r="CP5153" t="str">
            <v xml:space="preserve">NFT-/XUTR/DEUTH024309A02A3X </v>
          </cell>
          <cell r="CQ5153" t="str">
            <v>2024-11-04</v>
          </cell>
          <cell r="CR5153">
            <v>1455.8620000000001</v>
          </cell>
        </row>
        <row r="5154">
          <cell r="CJ5154" t="str">
            <v xml:space="preserve">NFT-/XUTR/DEUTH02430980595X </v>
          </cell>
          <cell r="CK5154" t="str">
            <v>2024-11-04</v>
          </cell>
          <cell r="CL5154">
            <v>15491.323</v>
          </cell>
          <cell r="CP5154" t="str">
            <v xml:space="preserve">NFT-/XUTR/DEUTH024309A02A3X </v>
          </cell>
          <cell r="CQ5154" t="str">
            <v>2024-11-04</v>
          </cell>
          <cell r="CR5154">
            <v>1455.8620000000001</v>
          </cell>
        </row>
        <row r="5155">
          <cell r="CJ5155" t="str">
            <v xml:space="preserve">NFT-/XUTR/DEUTH02430980595X </v>
          </cell>
          <cell r="CK5155" t="str">
            <v>2024-11-04</v>
          </cell>
          <cell r="CL5155">
            <v>15491.323</v>
          </cell>
          <cell r="CM5155" t="str">
            <v xml:space="preserve">NFT-/XUTR/DEUTH02432540165X </v>
          </cell>
          <cell r="CN5155" t="str">
            <v>2024-11-20</v>
          </cell>
          <cell r="CO5155">
            <v>-15491.323</v>
          </cell>
          <cell r="CP5155" t="str">
            <v xml:space="preserve">NFT-/XUTR/DEUTH024309A02A3X </v>
          </cell>
          <cell r="CQ5155" t="str">
            <v>2024-11-04</v>
          </cell>
          <cell r="CR5155">
            <v>1455.8620000000001</v>
          </cell>
          <cell r="CS5155" t="str">
            <v xml:space="preserve">NFT-/XUTR/DEUTH02432567146X </v>
          </cell>
          <cell r="CT5155" t="str">
            <v>2024-11-20</v>
          </cell>
          <cell r="CU5155">
            <v>-1455.8620000000001</v>
          </cell>
        </row>
        <row r="5156">
          <cell r="CJ5156" t="str">
            <v xml:space="preserve">NFT-/XUTR/DEUTH02430980595X </v>
          </cell>
          <cell r="CK5156" t="str">
            <v>2024-11-04</v>
          </cell>
          <cell r="CL5156">
            <v>15472.442999999999</v>
          </cell>
          <cell r="CP5156" t="str">
            <v xml:space="preserve">NFT-/XUTR/DEUTH024309A02A3X </v>
          </cell>
          <cell r="CQ5156" t="str">
            <v>2024-11-04</v>
          </cell>
          <cell r="CR5156">
            <v>1455.8620000000001</v>
          </cell>
        </row>
        <row r="5157">
          <cell r="CJ5157" t="str">
            <v xml:space="preserve">NFT-/XUTR/DEUTH02430980595X </v>
          </cell>
          <cell r="CK5157" t="str">
            <v>2024-11-04</v>
          </cell>
          <cell r="CL5157">
            <v>15472.442999999999</v>
          </cell>
          <cell r="CP5157" t="str">
            <v xml:space="preserve">NFT-/XUTR/DEUTH024309A02A3X </v>
          </cell>
          <cell r="CQ5157" t="str">
            <v>2024-11-04</v>
          </cell>
          <cell r="CR5157">
            <v>1455.8620000000001</v>
          </cell>
        </row>
        <row r="5158">
          <cell r="CJ5158" t="str">
            <v xml:space="preserve">NFT-/XUTR/DEUTH02430980595X </v>
          </cell>
          <cell r="CK5158" t="str">
            <v>2024-11-04</v>
          </cell>
          <cell r="CL5158">
            <v>15472.442999999999</v>
          </cell>
          <cell r="CP5158" t="str">
            <v xml:space="preserve">NFT-/XUTR/DEUTH024309A02A3X </v>
          </cell>
          <cell r="CQ5158" t="str">
            <v>2024-11-04</v>
          </cell>
          <cell r="CR5158">
            <v>1455.8620000000001</v>
          </cell>
        </row>
        <row r="5159">
          <cell r="CJ5159" t="str">
            <v xml:space="preserve">NFT-/XUTR/DEUTH02430980595X </v>
          </cell>
          <cell r="CK5159" t="str">
            <v>2024-11-04</v>
          </cell>
          <cell r="CL5159">
            <v>15491.323</v>
          </cell>
          <cell r="CP5159" t="str">
            <v xml:space="preserve">NFT-/XUTR/DEUTH024309A02A3X </v>
          </cell>
          <cell r="CQ5159" t="str">
            <v>2024-11-04</v>
          </cell>
          <cell r="CR5159">
            <v>1455.8620000000001</v>
          </cell>
        </row>
        <row r="5160">
          <cell r="CJ5160" t="str">
            <v xml:space="preserve">NFT-/XUTR/DEUTH02430980595X </v>
          </cell>
          <cell r="CK5160" t="str">
            <v>2024-11-04</v>
          </cell>
          <cell r="CL5160">
            <v>15491.323</v>
          </cell>
          <cell r="CP5160" t="str">
            <v xml:space="preserve">NFT-/XUTR/DEUTH024309A02A3X </v>
          </cell>
          <cell r="CQ5160" t="str">
            <v>2024-11-04</v>
          </cell>
          <cell r="CR5160">
            <v>1455.8620000000001</v>
          </cell>
        </row>
        <row r="5161">
          <cell r="CJ5161" t="str">
            <v xml:space="preserve">NFT-/XUTR/DEUTH02430980595X </v>
          </cell>
          <cell r="CK5161" t="str">
            <v>2024-11-04</v>
          </cell>
          <cell r="CL5161">
            <v>15195.29</v>
          </cell>
          <cell r="CP5161" t="str">
            <v xml:space="preserve">NFT-/XUTR/DEUTH024309A02A3X </v>
          </cell>
          <cell r="CQ5161" t="str">
            <v>2024-11-04</v>
          </cell>
          <cell r="CR5161">
            <v>1751.886</v>
          </cell>
        </row>
        <row r="5162">
          <cell r="CJ5162" t="str">
            <v xml:space="preserve">NFT-/XUTR/DEUTH02430980595X </v>
          </cell>
          <cell r="CK5162" t="str">
            <v>2024-11-04</v>
          </cell>
          <cell r="CL5162">
            <v>15491.323</v>
          </cell>
          <cell r="CP5162" t="str">
            <v xml:space="preserve">NFT-/XUTR/DEUTH024309A02A3X </v>
          </cell>
          <cell r="CQ5162" t="str">
            <v>2024-11-04</v>
          </cell>
          <cell r="CR5162">
            <v>1455.8620000000001</v>
          </cell>
        </row>
        <row r="5163">
          <cell r="CJ5163" t="str">
            <v xml:space="preserve">NFT-/XUTR/DEUTH02430980595X </v>
          </cell>
          <cell r="CK5163" t="str">
            <v>2024-11-04</v>
          </cell>
          <cell r="CL5163">
            <v>15491.323</v>
          </cell>
          <cell r="CP5163" t="str">
            <v xml:space="preserve">NFT-/XUTR/DEUTH024309A02A3X </v>
          </cell>
          <cell r="CQ5163" t="str">
            <v>2024-11-04</v>
          </cell>
          <cell r="CR5163">
            <v>1455.8620000000001</v>
          </cell>
        </row>
        <row r="5164">
          <cell r="CJ5164" t="str">
            <v xml:space="preserve">NFT-/XUTR/DEUTH02430980595X </v>
          </cell>
          <cell r="CK5164" t="str">
            <v>2024-11-04</v>
          </cell>
          <cell r="CL5164">
            <v>15491.323</v>
          </cell>
          <cell r="CP5164" t="str">
            <v xml:space="preserve">NFT-/XUTR/DEUTH024309A02A3X </v>
          </cell>
          <cell r="CQ5164" t="str">
            <v>2024-11-04</v>
          </cell>
          <cell r="CR5164">
            <v>1455.8620000000001</v>
          </cell>
        </row>
        <row r="5165">
          <cell r="CJ5165" t="str">
            <v xml:space="preserve">NFT-/XUTR/DEUTH02430980595X </v>
          </cell>
          <cell r="CK5165" t="str">
            <v>2024-11-04</v>
          </cell>
          <cell r="CL5165">
            <v>15491.323</v>
          </cell>
          <cell r="CM5165" t="str">
            <v xml:space="preserve">NFT-/XUTR/DEUTH02432756454X </v>
          </cell>
          <cell r="CN5165" t="str">
            <v>2024-11-22</v>
          </cell>
          <cell r="CO5165">
            <v>-15491.323</v>
          </cell>
          <cell r="CP5165" t="str">
            <v xml:space="preserve">NFT-/XUTR/DEUTH024309A02A3X </v>
          </cell>
          <cell r="CQ5165" t="str">
            <v>2024-11-04</v>
          </cell>
          <cell r="CR5165">
            <v>1455.8620000000001</v>
          </cell>
          <cell r="CV5165" t="str">
            <v xml:space="preserve">NFT-/XUTR/DEUTH02433956210X </v>
          </cell>
          <cell r="CW5165" t="str">
            <v>2024-12-04</v>
          </cell>
          <cell r="CX5165">
            <v>-1455.8620000000001</v>
          </cell>
        </row>
        <row r="5166">
          <cell r="CJ5166" t="str">
            <v xml:space="preserve">NFT-/XUTR/DEUTH02430980595X </v>
          </cell>
          <cell r="CK5166" t="str">
            <v>2024-11-04</v>
          </cell>
          <cell r="CL5166">
            <v>15802.853999999999</v>
          </cell>
          <cell r="CP5166" t="str">
            <v xml:space="preserve">NFT-/XUTR/DEUTH024309A02A3X </v>
          </cell>
          <cell r="CQ5166" t="str">
            <v>2024-11-04</v>
          </cell>
          <cell r="CR5166">
            <v>1455.864</v>
          </cell>
        </row>
        <row r="5167">
          <cell r="CJ5167" t="str">
            <v xml:space="preserve">NFT-/XUTR/DEUTH02430980595X </v>
          </cell>
          <cell r="CK5167" t="str">
            <v>2024-11-04</v>
          </cell>
          <cell r="CL5167">
            <v>14936.679</v>
          </cell>
          <cell r="CP5167" t="str">
            <v xml:space="preserve">NFT-/XUTR/DEUTH024309A02A3X </v>
          </cell>
          <cell r="CQ5167" t="str">
            <v>2024-11-04</v>
          </cell>
          <cell r="CR5167">
            <v>1991.616</v>
          </cell>
        </row>
        <row r="5168">
          <cell r="CJ5168" t="str">
            <v xml:space="preserve">NFT-/XUTR/DEUTH02430980595X </v>
          </cell>
          <cell r="CK5168" t="str">
            <v>2024-11-04</v>
          </cell>
          <cell r="CL5168">
            <v>15472.442999999999</v>
          </cell>
          <cell r="CP5168" t="str">
            <v xml:space="preserve">NFT-/XUTR/DEUTH024309A02A3X </v>
          </cell>
          <cell r="CQ5168" t="str">
            <v>2024-11-04</v>
          </cell>
          <cell r="CR5168">
            <v>1455.8620000000001</v>
          </cell>
        </row>
        <row r="5169">
          <cell r="CJ5169" t="str">
            <v xml:space="preserve">NFT-/XUTR/DEUTH02430980595X </v>
          </cell>
          <cell r="CK5169" t="str">
            <v>2024-11-04</v>
          </cell>
          <cell r="CL5169">
            <v>15491.323</v>
          </cell>
          <cell r="CP5169" t="str">
            <v xml:space="preserve">NFT-/XUTR/DEUTH024309A02A3X </v>
          </cell>
          <cell r="CQ5169" t="str">
            <v>2024-11-04</v>
          </cell>
          <cell r="CR5169">
            <v>1455.8620000000001</v>
          </cell>
        </row>
        <row r="5170">
          <cell r="CJ5170" t="str">
            <v xml:space="preserve">NFT-/XUTR/DEUTH02430980595X </v>
          </cell>
          <cell r="CK5170" t="str">
            <v>2024-11-04</v>
          </cell>
          <cell r="CL5170">
            <v>15472.442999999999</v>
          </cell>
          <cell r="CP5170" t="str">
            <v xml:space="preserve">NFT-/XUTR/DEUTH024309A02A3X </v>
          </cell>
          <cell r="CQ5170" t="str">
            <v>2024-11-04</v>
          </cell>
          <cell r="CR5170">
            <v>1455.8620000000001</v>
          </cell>
        </row>
        <row r="5171">
          <cell r="CJ5171" t="str">
            <v xml:space="preserve">NFT-/XUTR/DEUTH02430980595X </v>
          </cell>
          <cell r="CK5171" t="str">
            <v>2024-11-04</v>
          </cell>
          <cell r="CL5171">
            <v>15491.323</v>
          </cell>
          <cell r="CP5171" t="str">
            <v xml:space="preserve">NFT-/XUTR/DEUTH024309A02A3X </v>
          </cell>
          <cell r="CQ5171" t="str">
            <v>2024-11-04</v>
          </cell>
          <cell r="CR5171">
            <v>1455.8620000000001</v>
          </cell>
        </row>
        <row r="5172">
          <cell r="CJ5172" t="str">
            <v xml:space="preserve">NFT-/XUTR/DEUTH02430980595X </v>
          </cell>
          <cell r="CK5172" t="str">
            <v>2024-11-04</v>
          </cell>
          <cell r="CL5172">
            <v>15472.442999999999</v>
          </cell>
          <cell r="CP5172" t="str">
            <v xml:space="preserve">NFT-/XUTR/DEUTH024309A02A3X </v>
          </cell>
          <cell r="CQ5172" t="str">
            <v>2024-11-04</v>
          </cell>
          <cell r="CR5172">
            <v>1455.8620000000001</v>
          </cell>
        </row>
        <row r="5173">
          <cell r="CJ5173" t="str">
            <v xml:space="preserve">NFT-/XUTR/DEUTH02430980595X </v>
          </cell>
          <cell r="CK5173" t="str">
            <v>2024-11-04</v>
          </cell>
          <cell r="CL5173">
            <v>15472.442999999999</v>
          </cell>
          <cell r="CP5173" t="str">
            <v xml:space="preserve">NFT-/XUTR/DEUTH024309A02A3X </v>
          </cell>
          <cell r="CQ5173" t="str">
            <v>2024-11-04</v>
          </cell>
          <cell r="CR5173">
            <v>1455.8620000000001</v>
          </cell>
        </row>
        <row r="5174">
          <cell r="CJ5174" t="str">
            <v xml:space="preserve">NFT-/XUTR/DEUTH02430980595X </v>
          </cell>
          <cell r="CK5174" t="str">
            <v>2024-11-04</v>
          </cell>
          <cell r="CL5174">
            <v>15394.264999999999</v>
          </cell>
          <cell r="CP5174" t="str">
            <v xml:space="preserve">NFT-/XUTR/DEUTH024309A02A3X </v>
          </cell>
          <cell r="CQ5174" t="str">
            <v>2024-11-04</v>
          </cell>
          <cell r="CR5174">
            <v>1552.92</v>
          </cell>
        </row>
        <row r="5175">
          <cell r="CJ5175" t="str">
            <v xml:space="preserve">NFT-/XUTR/DEUTH02430980595X </v>
          </cell>
          <cell r="CK5175" t="str">
            <v>2024-11-04</v>
          </cell>
          <cell r="CL5175">
            <v>15051.212</v>
          </cell>
          <cell r="CP5175" t="str">
            <v xml:space="preserve">NFT-/XUTR/DEUTH024309A02A3X </v>
          </cell>
          <cell r="CQ5175" t="str">
            <v>2024-11-04</v>
          </cell>
          <cell r="CR5175">
            <v>1877.0940000000001</v>
          </cell>
        </row>
        <row r="5176">
          <cell r="CJ5176" t="str">
            <v xml:space="preserve">NFT-/XUTR/DEUTH02430980595X </v>
          </cell>
          <cell r="CK5176" t="str">
            <v>2024-11-04</v>
          </cell>
          <cell r="CL5176">
            <v>15472.442999999999</v>
          </cell>
          <cell r="CP5176" t="str">
            <v xml:space="preserve">NFT-/XUTR/DEUTH024309A02A3X </v>
          </cell>
          <cell r="CQ5176" t="str">
            <v>2024-11-04</v>
          </cell>
          <cell r="CR5176">
            <v>1455.8620000000001</v>
          </cell>
        </row>
        <row r="5177">
          <cell r="CJ5177" t="str">
            <v xml:space="preserve">NFT-/XUTR/DEUTH02430980595X </v>
          </cell>
          <cell r="CK5177" t="str">
            <v>2024-11-04</v>
          </cell>
          <cell r="CL5177">
            <v>15491.323</v>
          </cell>
          <cell r="CP5177" t="str">
            <v xml:space="preserve">NFT-/XUTR/DEUTH024309A02A3X </v>
          </cell>
          <cell r="CQ5177" t="str">
            <v>2024-11-04</v>
          </cell>
          <cell r="CR5177">
            <v>1455.8620000000001</v>
          </cell>
        </row>
        <row r="5178">
          <cell r="CJ5178" t="str">
            <v xml:space="preserve">NFT-/XUTR/DEUTH02430980595X </v>
          </cell>
          <cell r="CK5178" t="str">
            <v>2024-11-04</v>
          </cell>
          <cell r="CL5178">
            <v>15491.323</v>
          </cell>
          <cell r="CP5178" t="str">
            <v xml:space="preserve">NFT-/XUTR/DEUTH024309A02A3X </v>
          </cell>
          <cell r="CQ5178" t="str">
            <v>2024-11-04</v>
          </cell>
          <cell r="CR5178">
            <v>1455.8620000000001</v>
          </cell>
        </row>
        <row r="5179">
          <cell r="CJ5179" t="str">
            <v xml:space="preserve">NFT-/XUTR/DEUTH02430980595X </v>
          </cell>
          <cell r="CK5179" t="str">
            <v>2024-11-04</v>
          </cell>
          <cell r="CL5179">
            <v>15472.442999999999</v>
          </cell>
          <cell r="CP5179" t="str">
            <v xml:space="preserve">NFT-/XUTR/DEUTH024309A02A3X </v>
          </cell>
          <cell r="CQ5179" t="str">
            <v>2024-11-04</v>
          </cell>
          <cell r="CR5179">
            <v>1455.8620000000001</v>
          </cell>
        </row>
        <row r="5180">
          <cell r="CJ5180" t="str">
            <v xml:space="preserve">NFT-/XUTR/DEUTH02430980595X </v>
          </cell>
          <cell r="CK5180" t="str">
            <v>2024-11-04</v>
          </cell>
          <cell r="CL5180">
            <v>15491.323</v>
          </cell>
          <cell r="CP5180" t="str">
            <v xml:space="preserve">NFT-/XUTR/DEUTH024309A02A3X </v>
          </cell>
          <cell r="CQ5180" t="str">
            <v>2024-11-04</v>
          </cell>
          <cell r="CR5180">
            <v>1455.8620000000001</v>
          </cell>
        </row>
        <row r="5181">
          <cell r="CJ5181" t="str">
            <v xml:space="preserve">NFT-/XUTR/DEUTH02430980595X </v>
          </cell>
          <cell r="CK5181" t="str">
            <v>2024-11-04</v>
          </cell>
          <cell r="CL5181">
            <v>15491.323</v>
          </cell>
          <cell r="CP5181" t="str">
            <v xml:space="preserve">NFT-/XUTR/DEUTH024309A02A3X </v>
          </cell>
          <cell r="CQ5181" t="str">
            <v>2024-11-04</v>
          </cell>
          <cell r="CR5181">
            <v>1455.8620000000001</v>
          </cell>
        </row>
        <row r="5182">
          <cell r="CJ5182" t="str">
            <v xml:space="preserve">NFT-/XUTR/DEUTH02430980595X </v>
          </cell>
          <cell r="CK5182" t="str">
            <v>2024-11-04</v>
          </cell>
          <cell r="CL5182">
            <v>15491.323</v>
          </cell>
          <cell r="CP5182" t="str">
            <v xml:space="preserve">NFT-/XUTR/DEUTH024309A02A3X </v>
          </cell>
          <cell r="CQ5182" t="str">
            <v>2024-11-04</v>
          </cell>
          <cell r="CR5182">
            <v>1455.8620000000001</v>
          </cell>
        </row>
        <row r="5183">
          <cell r="CJ5183" t="str">
            <v xml:space="preserve">NFT-/XUTR/DEUTH02430980595X </v>
          </cell>
          <cell r="CK5183" t="str">
            <v>2024-11-04</v>
          </cell>
          <cell r="CL5183">
            <v>15491.323</v>
          </cell>
          <cell r="CP5183" t="str">
            <v xml:space="preserve">NFT-/XUTR/DEUTH024309A02A3X </v>
          </cell>
          <cell r="CQ5183" t="str">
            <v>2024-11-04</v>
          </cell>
          <cell r="CR5183">
            <v>1455.8620000000001</v>
          </cell>
        </row>
        <row r="5184">
          <cell r="CJ5184" t="str">
            <v xml:space="preserve">NFT-/XUTR/DEUTH02430980595X </v>
          </cell>
          <cell r="CK5184" t="str">
            <v>2024-11-04</v>
          </cell>
          <cell r="CL5184">
            <v>14621.242</v>
          </cell>
          <cell r="CP5184" t="str">
            <v xml:space="preserve">NFT-/XUTR/DEUTH024309A02A3X </v>
          </cell>
          <cell r="CQ5184" t="str">
            <v>2024-11-04</v>
          </cell>
          <cell r="CR5184">
            <v>2307.0540000000001</v>
          </cell>
        </row>
        <row r="5185">
          <cell r="CJ5185" t="str">
            <v xml:space="preserve">NFT-/XUTR/DEUTH02430980595X </v>
          </cell>
          <cell r="CK5185" t="str">
            <v>2024-11-04</v>
          </cell>
          <cell r="CL5185">
            <v>15472.442999999999</v>
          </cell>
          <cell r="CP5185" t="str">
            <v xml:space="preserve">NFT-/XUTR/DEUTH024309A02A3X </v>
          </cell>
          <cell r="CQ5185" t="str">
            <v>2024-11-04</v>
          </cell>
          <cell r="CR5185">
            <v>1455.8620000000001</v>
          </cell>
        </row>
        <row r="5186">
          <cell r="CJ5186" t="str">
            <v xml:space="preserve">NFT-/XUTR/DEUTH02430980595X </v>
          </cell>
          <cell r="CK5186" t="str">
            <v>2024-11-04</v>
          </cell>
          <cell r="CL5186">
            <v>15472.442999999999</v>
          </cell>
          <cell r="CP5186" t="str">
            <v xml:space="preserve">NFT-/XUTR/DEUTH024309A02A3X </v>
          </cell>
          <cell r="CQ5186" t="str">
            <v>2024-11-04</v>
          </cell>
          <cell r="CR5186">
            <v>1455.8620000000001</v>
          </cell>
        </row>
        <row r="5187">
          <cell r="CJ5187" t="str">
            <v xml:space="preserve">NFT-/XUTR/DEUTH02430980595X </v>
          </cell>
          <cell r="CK5187" t="str">
            <v>2024-11-04</v>
          </cell>
          <cell r="CL5187">
            <v>15472.442999999999</v>
          </cell>
          <cell r="CP5187" t="str">
            <v xml:space="preserve">NFT-/XUTR/DEUTH024309A02A3X </v>
          </cell>
          <cell r="CQ5187" t="str">
            <v>2024-11-04</v>
          </cell>
          <cell r="CR5187">
            <v>1455.8620000000001</v>
          </cell>
        </row>
        <row r="5188">
          <cell r="CJ5188" t="str">
            <v xml:space="preserve">NFT-/XUTR/DEUTH02430980595X </v>
          </cell>
          <cell r="CK5188" t="str">
            <v>2024-11-04</v>
          </cell>
          <cell r="CL5188">
            <v>15491.323</v>
          </cell>
          <cell r="CP5188" t="str">
            <v xml:space="preserve">NFT-/XUTR/DEUTH024309A02A3X </v>
          </cell>
          <cell r="CQ5188" t="str">
            <v>2024-11-04</v>
          </cell>
          <cell r="CR5188">
            <v>1455.8620000000001</v>
          </cell>
        </row>
        <row r="5189">
          <cell r="CJ5189" t="str">
            <v xml:space="preserve">NFT-/XUTR/DEUTH02430980595X </v>
          </cell>
          <cell r="CK5189" t="str">
            <v>2024-11-04</v>
          </cell>
          <cell r="CL5189">
            <v>15491.323</v>
          </cell>
          <cell r="CP5189" t="str">
            <v xml:space="preserve">NFT-/XUTR/DEUTH024309A02A3X </v>
          </cell>
          <cell r="CQ5189" t="str">
            <v>2024-11-04</v>
          </cell>
          <cell r="CR5189">
            <v>1455.8620000000001</v>
          </cell>
        </row>
        <row r="5190">
          <cell r="CJ5190" t="str">
            <v xml:space="preserve">NFT-/XUTR/DEUTH02430980595X </v>
          </cell>
          <cell r="CK5190" t="str">
            <v>2024-11-04</v>
          </cell>
          <cell r="CL5190">
            <v>15491.323</v>
          </cell>
          <cell r="CM5190" t="str">
            <v xml:space="preserve">NFT-/XUTR/DEUTH02432540165X </v>
          </cell>
          <cell r="CN5190" t="str">
            <v>2024-11-20</v>
          </cell>
          <cell r="CO5190">
            <v>-15491.323</v>
          </cell>
          <cell r="CP5190" t="str">
            <v xml:space="preserve">NFT-/XUTR/DEUTH024309A02A3X </v>
          </cell>
          <cell r="CQ5190" t="str">
            <v>2024-11-04</v>
          </cell>
          <cell r="CR5190">
            <v>1455.8620000000001</v>
          </cell>
          <cell r="CS5190" t="str">
            <v xml:space="preserve">NFT-/XUTR/DEUTH02432567146X </v>
          </cell>
          <cell r="CT5190" t="str">
            <v>2024-11-20</v>
          </cell>
          <cell r="CU5190">
            <v>-1455.8620000000001</v>
          </cell>
        </row>
        <row r="5191">
          <cell r="CJ5191" t="str">
            <v xml:space="preserve">NFT-/XUTR/DEUTH02430980595X </v>
          </cell>
          <cell r="CK5191" t="str">
            <v>2024-11-04</v>
          </cell>
          <cell r="CL5191">
            <v>33875.480000000003</v>
          </cell>
        </row>
        <row r="5192">
          <cell r="CJ5192" t="str">
            <v xml:space="preserve">NFT-/XUTR/DEUTH02430980595X </v>
          </cell>
          <cell r="CK5192" t="str">
            <v>2024-11-04</v>
          </cell>
          <cell r="CL5192">
            <v>15472.442999999999</v>
          </cell>
          <cell r="CP5192" t="str">
            <v xml:space="preserve">NFT-/XUTR/DEUTH024309A02A3X </v>
          </cell>
          <cell r="CQ5192" t="str">
            <v>2024-11-04</v>
          </cell>
          <cell r="CR5192">
            <v>1455.8620000000001</v>
          </cell>
        </row>
        <row r="5193">
          <cell r="CJ5193" t="str">
            <v xml:space="preserve">NFT-/XUTR/DEUTH02430980595X </v>
          </cell>
          <cell r="CK5193" t="str">
            <v>2024-11-04</v>
          </cell>
          <cell r="CL5193">
            <v>15491.323</v>
          </cell>
          <cell r="CP5193" t="str">
            <v xml:space="preserve">NFT-/XUTR/DEUTH024309A02A3X </v>
          </cell>
          <cell r="CQ5193" t="str">
            <v>2024-11-04</v>
          </cell>
          <cell r="CR5193">
            <v>1455.8620000000001</v>
          </cell>
        </row>
        <row r="5194">
          <cell r="CJ5194" t="str">
            <v xml:space="preserve">NFT-/XUTR/DEUTH02430980595X </v>
          </cell>
          <cell r="CK5194" t="str">
            <v>2024-11-04</v>
          </cell>
          <cell r="CL5194">
            <v>15472.442999999999</v>
          </cell>
          <cell r="CP5194" t="str">
            <v xml:space="preserve">NFT-/XUTR/DEUTH024309A02A3X </v>
          </cell>
          <cell r="CQ5194" t="str">
            <v>2024-11-04</v>
          </cell>
          <cell r="CR5194">
            <v>1455.8620000000001</v>
          </cell>
        </row>
        <row r="5195">
          <cell r="CJ5195" t="str">
            <v xml:space="preserve">NFT-/XUTR/DEUTH02430980595X </v>
          </cell>
          <cell r="CK5195" t="str">
            <v>2024-11-04</v>
          </cell>
          <cell r="CL5195">
            <v>15491.323</v>
          </cell>
          <cell r="CP5195" t="str">
            <v xml:space="preserve">NFT-/XUTR/DEUTH024309A02A3X </v>
          </cell>
          <cell r="CQ5195" t="str">
            <v>2024-11-04</v>
          </cell>
          <cell r="CR5195">
            <v>1455.8620000000001</v>
          </cell>
        </row>
        <row r="5196">
          <cell r="CJ5196" t="str">
            <v xml:space="preserve">NFT-/XUTR/DEUTH02430980595X </v>
          </cell>
          <cell r="CK5196" t="str">
            <v>2024-11-04</v>
          </cell>
          <cell r="CL5196">
            <v>15491.323</v>
          </cell>
          <cell r="CP5196" t="str">
            <v xml:space="preserve">NFT-/XUTR/DEUTH024309A02A3X </v>
          </cell>
          <cell r="CQ5196" t="str">
            <v>2024-11-04</v>
          </cell>
          <cell r="CR5196">
            <v>1455.8620000000001</v>
          </cell>
        </row>
        <row r="5197">
          <cell r="CJ5197" t="str">
            <v xml:space="preserve">NFT-/XUTR/DEUTH02430980595X </v>
          </cell>
          <cell r="CK5197" t="str">
            <v>2024-11-04</v>
          </cell>
          <cell r="CL5197">
            <v>15491.323</v>
          </cell>
          <cell r="CP5197" t="str">
            <v xml:space="preserve">NFT-/XUTR/DEUTH024309A02A3X </v>
          </cell>
          <cell r="CQ5197" t="str">
            <v>2024-11-04</v>
          </cell>
          <cell r="CR5197">
            <v>1455.8620000000001</v>
          </cell>
        </row>
        <row r="5198">
          <cell r="CJ5198" t="str">
            <v xml:space="preserve">NFT-/XUTR/DEUTH02430980595X </v>
          </cell>
          <cell r="CK5198" t="str">
            <v>2024-11-04</v>
          </cell>
          <cell r="CL5198">
            <v>15472.442999999999</v>
          </cell>
          <cell r="CP5198" t="str">
            <v xml:space="preserve">NFT-/XUTR/DEUTH024309A02A3X </v>
          </cell>
          <cell r="CQ5198" t="str">
            <v>2024-11-04</v>
          </cell>
          <cell r="CR5198">
            <v>1455.8620000000001</v>
          </cell>
        </row>
        <row r="5199">
          <cell r="CJ5199" t="str">
            <v xml:space="preserve">NFT-/XUTR/DEUTH02430980595X </v>
          </cell>
          <cell r="CK5199" t="str">
            <v>2024-11-04</v>
          </cell>
          <cell r="CL5199">
            <v>15472.442999999999</v>
          </cell>
          <cell r="CP5199" t="str">
            <v xml:space="preserve">NFT-/XUTR/DEUTH024309A02A3X </v>
          </cell>
          <cell r="CQ5199" t="str">
            <v>2024-11-04</v>
          </cell>
          <cell r="CR5199">
            <v>1455.8620000000001</v>
          </cell>
        </row>
        <row r="5200">
          <cell r="CJ5200" t="str">
            <v xml:space="preserve">NFT-/XUTR/DEUTH02430980595X </v>
          </cell>
          <cell r="CK5200" t="str">
            <v>2024-11-04</v>
          </cell>
          <cell r="CL5200">
            <v>15472.442999999999</v>
          </cell>
          <cell r="CP5200" t="str">
            <v xml:space="preserve">NFT-/XUTR/DEUTH024309A02A3X </v>
          </cell>
          <cell r="CQ5200" t="str">
            <v>2024-11-04</v>
          </cell>
          <cell r="CR5200">
            <v>1455.8620000000001</v>
          </cell>
        </row>
        <row r="5201">
          <cell r="CJ5201" t="str">
            <v xml:space="preserve">NFT-/XUTR/DEUTH02430980595X </v>
          </cell>
          <cell r="CK5201" t="str">
            <v>2024-11-04</v>
          </cell>
          <cell r="CL5201">
            <v>15491.323</v>
          </cell>
          <cell r="CP5201" t="str">
            <v xml:space="preserve">NFT-/XUTR/DEUTH024309A02A3X </v>
          </cell>
          <cell r="CQ5201" t="str">
            <v>2024-11-04</v>
          </cell>
          <cell r="CR5201">
            <v>1455.8620000000001</v>
          </cell>
        </row>
        <row r="5202">
          <cell r="CJ5202" t="str">
            <v xml:space="preserve">NFT-/XUTR/DEUTH02430980595X </v>
          </cell>
          <cell r="CK5202" t="str">
            <v>2024-11-04</v>
          </cell>
          <cell r="CL5202">
            <v>15472.442999999999</v>
          </cell>
          <cell r="CP5202" t="str">
            <v xml:space="preserve">NFT-/XUTR/DEUTH024309A02A3X </v>
          </cell>
          <cell r="CQ5202" t="str">
            <v>2024-11-04</v>
          </cell>
          <cell r="CR5202">
            <v>1455.8620000000001</v>
          </cell>
        </row>
        <row r="5203">
          <cell r="CJ5203" t="str">
            <v xml:space="preserve">NFT-/XUTR/DEUTH02430980595X </v>
          </cell>
          <cell r="CK5203" t="str">
            <v>2024-11-04</v>
          </cell>
          <cell r="CL5203">
            <v>15472.442999999999</v>
          </cell>
          <cell r="CP5203" t="str">
            <v xml:space="preserve">NFT-/XUTR/DEUTH024309A02A3X </v>
          </cell>
          <cell r="CQ5203" t="str">
            <v>2024-11-04</v>
          </cell>
          <cell r="CR5203">
            <v>1455.8620000000001</v>
          </cell>
        </row>
        <row r="5204">
          <cell r="CJ5204" t="str">
            <v xml:space="preserve">NFT-/XUTR/DEUTH02430980595X </v>
          </cell>
          <cell r="CK5204" t="str">
            <v>2024-11-04</v>
          </cell>
          <cell r="CL5204">
            <v>15491.323</v>
          </cell>
          <cell r="CP5204" t="str">
            <v xml:space="preserve">NFT-/XUTR/DEUTH024309A02A3X </v>
          </cell>
          <cell r="CQ5204" t="str">
            <v>2024-11-04</v>
          </cell>
          <cell r="CR5204">
            <v>1455.8620000000001</v>
          </cell>
        </row>
        <row r="5205">
          <cell r="CJ5205" t="str">
            <v xml:space="preserve">NFT-/XUTR/DEUTH02430980595X </v>
          </cell>
          <cell r="CK5205" t="str">
            <v>2024-11-04</v>
          </cell>
          <cell r="CL5205">
            <v>15491.323</v>
          </cell>
          <cell r="CP5205" t="str">
            <v xml:space="preserve">NFT-/XUTR/DEUTH024309A02A3X </v>
          </cell>
          <cell r="CQ5205" t="str">
            <v>2024-11-04</v>
          </cell>
          <cell r="CR5205">
            <v>1455.8620000000001</v>
          </cell>
        </row>
        <row r="5206">
          <cell r="CJ5206" t="str">
            <v xml:space="preserve">NFT-/XUTR/DEUTH02430980595X </v>
          </cell>
          <cell r="CK5206" t="str">
            <v>2024-11-04</v>
          </cell>
          <cell r="CL5206">
            <v>15491.323</v>
          </cell>
          <cell r="CP5206" t="str">
            <v xml:space="preserve">NFT-/XUTR/DEUTH024309A02A3X </v>
          </cell>
          <cell r="CQ5206" t="str">
            <v>2024-11-04</v>
          </cell>
          <cell r="CR5206">
            <v>1455.8620000000001</v>
          </cell>
        </row>
        <row r="5207">
          <cell r="CJ5207" t="str">
            <v xml:space="preserve">NFT-/XUTR/DEUTH02430980595X </v>
          </cell>
          <cell r="CK5207" t="str">
            <v>2024-11-04</v>
          </cell>
          <cell r="CL5207">
            <v>15472.442999999999</v>
          </cell>
          <cell r="CP5207" t="str">
            <v xml:space="preserve">NFT-/XUTR/DEUTH024309A02A3X </v>
          </cell>
          <cell r="CQ5207" t="str">
            <v>2024-11-04</v>
          </cell>
          <cell r="CR5207">
            <v>1455.8620000000001</v>
          </cell>
        </row>
        <row r="5208">
          <cell r="CJ5208" t="str">
            <v xml:space="preserve">NFT-/XUTR/DEUTH02430980595X </v>
          </cell>
          <cell r="CK5208" t="str">
            <v>2024-11-04</v>
          </cell>
          <cell r="CL5208">
            <v>16928.305</v>
          </cell>
        </row>
        <row r="5209">
          <cell r="CJ5209" t="str">
            <v xml:space="preserve">NFT-/XUTR/DEUTH02430980595X </v>
          </cell>
          <cell r="CK5209" t="str">
            <v>2024-11-04</v>
          </cell>
          <cell r="CL5209">
            <v>10884.53</v>
          </cell>
          <cell r="CP5209" t="str">
            <v xml:space="preserve">NFT-/XUTR/DEUTH024309A02A3X </v>
          </cell>
          <cell r="CQ5209" t="str">
            <v>2024-11-04</v>
          </cell>
          <cell r="CR5209">
            <v>1220.018</v>
          </cell>
        </row>
        <row r="5210">
          <cell r="CJ5210" t="str">
            <v xml:space="preserve">NFT-/XUTR/DEUTH02430980595X </v>
          </cell>
          <cell r="CK5210" t="str">
            <v>2024-11-04</v>
          </cell>
          <cell r="CL5210">
            <v>10587.541999999999</v>
          </cell>
          <cell r="CM5210" t="str">
            <v xml:space="preserve">NFT-/XUTR/DEUTH02431649943X </v>
          </cell>
          <cell r="CN5210" t="str">
            <v>2024-11-11</v>
          </cell>
          <cell r="CO5210">
            <v>-10587.541999999999</v>
          </cell>
          <cell r="CP5210" t="str">
            <v xml:space="preserve">NFT-/XUTR/DEUTH024309A02A3X </v>
          </cell>
          <cell r="CQ5210" t="str">
            <v>2024-11-04</v>
          </cell>
          <cell r="CR5210">
            <v>1187.0160000000001</v>
          </cell>
          <cell r="CS5210" t="str">
            <v xml:space="preserve">NFT-/XUTR/DEUTH02431658955X </v>
          </cell>
          <cell r="CT5210" t="str">
            <v>2024-11-11</v>
          </cell>
          <cell r="CU5210">
            <v>-1187.0160000000001</v>
          </cell>
        </row>
        <row r="5211">
          <cell r="CJ5211" t="str">
            <v xml:space="preserve">NFT-/XUTR/DEUTH02430980595X </v>
          </cell>
          <cell r="CK5211" t="str">
            <v>2024-11-04</v>
          </cell>
          <cell r="CL5211">
            <v>15491.323</v>
          </cell>
          <cell r="CP5211" t="str">
            <v xml:space="preserve">NFT-/XUTR/DEUTH024309A02A3X </v>
          </cell>
          <cell r="CQ5211" t="str">
            <v>2024-11-04</v>
          </cell>
          <cell r="CR5211">
            <v>1455.8620000000001</v>
          </cell>
        </row>
        <row r="5212">
          <cell r="CJ5212" t="str">
            <v xml:space="preserve">NFT-/XUTR/DEUTH02430980595X </v>
          </cell>
          <cell r="CK5212" t="str">
            <v>2024-11-04</v>
          </cell>
          <cell r="CL5212">
            <v>5314.4</v>
          </cell>
          <cell r="CP5212" t="str">
            <v xml:space="preserve">NFT-/XUTR/DEUTH024309A02A3X </v>
          </cell>
          <cell r="CQ5212" t="str">
            <v>2024-11-04</v>
          </cell>
          <cell r="CR5212">
            <v>918.15800000000002</v>
          </cell>
        </row>
        <row r="5213">
          <cell r="CJ5213" t="str">
            <v xml:space="preserve">NFT-/XUTR/DEUTH02430980595X </v>
          </cell>
          <cell r="CK5213" t="str">
            <v>2024-11-04</v>
          </cell>
          <cell r="CL5213">
            <v>10314.276</v>
          </cell>
          <cell r="CP5213" t="str">
            <v xml:space="preserve">NFT-/XUTR/DEUTH024309A02A3X </v>
          </cell>
          <cell r="CQ5213" t="str">
            <v>2024-11-04</v>
          </cell>
          <cell r="CR5213">
            <v>1372.394</v>
          </cell>
        </row>
        <row r="5214">
          <cell r="CJ5214" t="str">
            <v xml:space="preserve">NFT-/XUTR/DEUTH02430980595X </v>
          </cell>
          <cell r="CK5214" t="str">
            <v>2024-11-04</v>
          </cell>
          <cell r="CL5214">
            <v>15472.442999999999</v>
          </cell>
          <cell r="CP5214" t="str">
            <v xml:space="preserve">NFT-/XUTR/DEUTH024309A02A3X </v>
          </cell>
          <cell r="CQ5214" t="str">
            <v>2024-11-04</v>
          </cell>
          <cell r="CR5214">
            <v>1455.8620000000001</v>
          </cell>
        </row>
        <row r="5215">
          <cell r="CJ5215" t="str">
            <v xml:space="preserve">NFT-/XUTR/DEUTH02430980595X </v>
          </cell>
          <cell r="CK5215" t="str">
            <v>2024-11-04</v>
          </cell>
          <cell r="CL5215">
            <v>15472.442999999999</v>
          </cell>
          <cell r="CP5215" t="str">
            <v xml:space="preserve">NFT-/XUTR/DEUTH024309A02A3X </v>
          </cell>
          <cell r="CQ5215" t="str">
            <v>2024-11-04</v>
          </cell>
          <cell r="CR5215">
            <v>1455.8620000000001</v>
          </cell>
        </row>
        <row r="5216">
          <cell r="CJ5216" t="str">
            <v xml:space="preserve">NFT-/XUTR/DEUTH02430980595X </v>
          </cell>
          <cell r="CK5216" t="str">
            <v>2024-11-04</v>
          </cell>
          <cell r="CL5216">
            <v>15472.442999999999</v>
          </cell>
          <cell r="CP5216" t="str">
            <v xml:space="preserve">NFT-/XUTR/DEUTH024309A02A3X </v>
          </cell>
          <cell r="CQ5216" t="str">
            <v>2024-11-04</v>
          </cell>
          <cell r="CR5216">
            <v>1455.8620000000001</v>
          </cell>
        </row>
        <row r="5217">
          <cell r="CJ5217" t="str">
            <v xml:space="preserve">NFT-/XUTR/DEUTH02430980595X </v>
          </cell>
          <cell r="CK5217" t="str">
            <v>2024-11-04</v>
          </cell>
          <cell r="CL5217">
            <v>15472.442999999999</v>
          </cell>
          <cell r="CP5217" t="str">
            <v xml:space="preserve">NFT-/XUTR/DEUTH024309A02A3X </v>
          </cell>
          <cell r="CQ5217" t="str">
            <v>2024-11-04</v>
          </cell>
          <cell r="CR5217">
            <v>1455.8620000000001</v>
          </cell>
        </row>
        <row r="5218">
          <cell r="CJ5218" t="str">
            <v xml:space="preserve">NFT-/XUTR/DEUTH02430980595X </v>
          </cell>
          <cell r="CK5218" t="str">
            <v>2024-11-04</v>
          </cell>
          <cell r="CL5218">
            <v>15365.674000000001</v>
          </cell>
          <cell r="CP5218" t="str">
            <v xml:space="preserve">NFT-/XUTR/DEUTH024309A02A3X </v>
          </cell>
          <cell r="CQ5218" t="str">
            <v>2024-11-04</v>
          </cell>
          <cell r="CR5218">
            <v>1455.8620000000001</v>
          </cell>
        </row>
        <row r="5219">
          <cell r="CJ5219" t="str">
            <v xml:space="preserve">NFT-/XUTR/DEUTH02430980595X </v>
          </cell>
          <cell r="CK5219" t="str">
            <v>2024-11-04</v>
          </cell>
          <cell r="CL5219">
            <v>15491.323</v>
          </cell>
          <cell r="CP5219" t="str">
            <v xml:space="preserve">NFT-/XUTR/DEUTH024309A02A3X </v>
          </cell>
          <cell r="CQ5219" t="str">
            <v>2024-11-04</v>
          </cell>
          <cell r="CR5219">
            <v>1455.8620000000001</v>
          </cell>
        </row>
        <row r="5220">
          <cell r="CJ5220" t="str">
            <v xml:space="preserve">NFT-/XUTR/DEUTH02430980595X </v>
          </cell>
          <cell r="CK5220" t="str">
            <v>2024-11-04</v>
          </cell>
          <cell r="CL5220">
            <v>15121.532999999999</v>
          </cell>
          <cell r="CP5220" t="str">
            <v xml:space="preserve">NFT-/XUTR/DEUTH024309A02A3X </v>
          </cell>
          <cell r="CQ5220" t="str">
            <v>2024-11-04</v>
          </cell>
          <cell r="CR5220">
            <v>1825.652</v>
          </cell>
        </row>
        <row r="5221">
          <cell r="CJ5221" t="str">
            <v xml:space="preserve">NFT-/XUTR/DEUTH02430980595X </v>
          </cell>
          <cell r="CK5221" t="str">
            <v>2024-11-04</v>
          </cell>
          <cell r="CL5221">
            <v>15491.323</v>
          </cell>
          <cell r="CM5221" t="str">
            <v xml:space="preserve">NFT-/XUTR/DEUTH02432756454X </v>
          </cell>
          <cell r="CN5221" t="str">
            <v>2024-11-22</v>
          </cell>
          <cell r="CO5221">
            <v>-15491.323</v>
          </cell>
          <cell r="CP5221" t="str">
            <v xml:space="preserve">NFT-/XUTR/DEUTH024309A02A3X </v>
          </cell>
          <cell r="CQ5221" t="str">
            <v>2024-11-04</v>
          </cell>
          <cell r="CR5221">
            <v>1455.8620000000001</v>
          </cell>
          <cell r="CV5221" t="str">
            <v xml:space="preserve">NFT-/XUTR/DEUTH02433956210X </v>
          </cell>
          <cell r="CW5221" t="str">
            <v>2024-12-04</v>
          </cell>
          <cell r="CX5221">
            <v>-1455.8620000000001</v>
          </cell>
        </row>
        <row r="5222">
          <cell r="CJ5222" t="str">
            <v xml:space="preserve">NFT-/XUTR/DEUTH02430980595X </v>
          </cell>
          <cell r="CK5222" t="str">
            <v>2024-11-04</v>
          </cell>
          <cell r="CL5222">
            <v>15339.912</v>
          </cell>
          <cell r="CP5222" t="str">
            <v xml:space="preserve">NFT-/XUTR/DEUTH024309A02A3X </v>
          </cell>
          <cell r="CQ5222" t="str">
            <v>2024-11-04</v>
          </cell>
          <cell r="CR5222">
            <v>1607.2739999999999</v>
          </cell>
        </row>
        <row r="5223">
          <cell r="CJ5223" t="str">
            <v xml:space="preserve">NFT-/XUTR/DEUTH02430980595X </v>
          </cell>
          <cell r="CK5223" t="str">
            <v>2024-11-04</v>
          </cell>
          <cell r="CL5223">
            <v>15491.323</v>
          </cell>
          <cell r="CP5223" t="str">
            <v xml:space="preserve">NFT-/XUTR/DEUTH024309A02A3X </v>
          </cell>
          <cell r="CQ5223" t="str">
            <v>2024-11-04</v>
          </cell>
          <cell r="CR5223">
            <v>1455.8620000000001</v>
          </cell>
        </row>
        <row r="5225">
          <cell r="CJ5225" t="str">
            <v xml:space="preserve">NFT-/XUTR/DEUTH02430980595X </v>
          </cell>
          <cell r="CK5225" t="str">
            <v>2024-11-04</v>
          </cell>
          <cell r="CL5225">
            <v>15177.825000000001</v>
          </cell>
          <cell r="CM5225" t="str">
            <v xml:space="preserve">NFT-/XUTR/DEUTH02432540165X </v>
          </cell>
          <cell r="CN5225" t="str">
            <v>2024-11-20</v>
          </cell>
          <cell r="CO5225">
            <v>-15177.825000000001</v>
          </cell>
          <cell r="CP5225" t="str">
            <v xml:space="preserve">NFT-/XUTR/DEUTH024309A02A3X </v>
          </cell>
          <cell r="CQ5225" t="str">
            <v>2024-11-04</v>
          </cell>
          <cell r="CR5225">
            <v>1769.36</v>
          </cell>
          <cell r="CS5225" t="str">
            <v xml:space="preserve">NFT-/XUTR/DEUTH02432567146X </v>
          </cell>
          <cell r="CT5225" t="str">
            <v>2024-11-20</v>
          </cell>
          <cell r="CU5225">
            <v>-1769.36</v>
          </cell>
        </row>
        <row r="5226">
          <cell r="CJ5226" t="str">
            <v xml:space="preserve">NFT-/XUTR/DEUTH02430980595X </v>
          </cell>
          <cell r="CK5226" t="str">
            <v>2024-11-04</v>
          </cell>
          <cell r="CL5226">
            <v>15491.323</v>
          </cell>
          <cell r="CP5226" t="str">
            <v xml:space="preserve">NFT-/XUTR/DEUTH024309A02A3X </v>
          </cell>
          <cell r="CQ5226" t="str">
            <v>2024-11-04</v>
          </cell>
          <cell r="CR5226">
            <v>1455.8620000000001</v>
          </cell>
        </row>
        <row r="5227">
          <cell r="CJ5227" t="str">
            <v xml:space="preserve">NFT-/XUTR/DEUTH02430980595X </v>
          </cell>
          <cell r="CK5227" t="str">
            <v>2024-11-04</v>
          </cell>
          <cell r="CL5227">
            <v>15491.323</v>
          </cell>
          <cell r="CP5227" t="str">
            <v xml:space="preserve">NFT-/XUTR/DEUTH024309A02A3X </v>
          </cell>
          <cell r="CQ5227" t="str">
            <v>2024-11-04</v>
          </cell>
          <cell r="CR5227">
            <v>1455.8620000000001</v>
          </cell>
        </row>
        <row r="5228">
          <cell r="CJ5228" t="str">
            <v xml:space="preserve">NFT-/XUTR/DEUTH02430980595X </v>
          </cell>
          <cell r="CK5228" t="str">
            <v>2024-11-04</v>
          </cell>
          <cell r="CL5228">
            <v>15491.323</v>
          </cell>
          <cell r="CP5228" t="str">
            <v xml:space="preserve">NFT-/XUTR/DEUTH024309A02A3X </v>
          </cell>
          <cell r="CQ5228" t="str">
            <v>2024-11-04</v>
          </cell>
          <cell r="CR5228">
            <v>1455.8620000000001</v>
          </cell>
        </row>
        <row r="5229">
          <cell r="CJ5229" t="str">
            <v xml:space="preserve">NFT-/XUTR/DEUTH02430980595X </v>
          </cell>
          <cell r="CK5229" t="str">
            <v>2024-11-04</v>
          </cell>
          <cell r="CL5229">
            <v>15491.323</v>
          </cell>
          <cell r="CM5229" t="str">
            <v xml:space="preserve">NFT-/XUTR/DEUTH02432540165X </v>
          </cell>
          <cell r="CN5229" t="str">
            <v>2024-11-20</v>
          </cell>
          <cell r="CO5229">
            <v>-15491.323</v>
          </cell>
          <cell r="CP5229" t="str">
            <v xml:space="preserve">NFT-/XUTR/DEUTH024309A02A3X </v>
          </cell>
          <cell r="CQ5229" t="str">
            <v>2024-11-04</v>
          </cell>
          <cell r="CR5229">
            <v>1455.8620000000001</v>
          </cell>
          <cell r="CS5229" t="str">
            <v xml:space="preserve">NFT-/XUTR/DEUTH02432567146X </v>
          </cell>
          <cell r="CT5229" t="str">
            <v>2024-11-20</v>
          </cell>
          <cell r="CU5229">
            <v>-1455.8620000000001</v>
          </cell>
        </row>
        <row r="5230">
          <cell r="CJ5230" t="str">
            <v xml:space="preserve">NFT-/XUTR/DEUTH02430980595X </v>
          </cell>
          <cell r="CK5230" t="str">
            <v>2024-11-04</v>
          </cell>
          <cell r="CL5230">
            <v>15365.674000000001</v>
          </cell>
          <cell r="CP5230" t="str">
            <v xml:space="preserve">NFT-/XUTR/DEUTH024309A02A3X </v>
          </cell>
          <cell r="CQ5230" t="str">
            <v>2024-11-04</v>
          </cell>
          <cell r="CR5230">
            <v>1455.8620000000001</v>
          </cell>
        </row>
        <row r="5231">
          <cell r="CJ5231" t="str">
            <v xml:space="preserve">NFT-/XUTR/DEUTH02430980595X </v>
          </cell>
          <cell r="CK5231" t="str">
            <v>2024-11-04</v>
          </cell>
          <cell r="CL5231">
            <v>15384.554</v>
          </cell>
          <cell r="CP5231" t="str">
            <v xml:space="preserve">NFT-/XUTR/DEUTH024309A02A3X </v>
          </cell>
          <cell r="CQ5231" t="str">
            <v>2024-11-04</v>
          </cell>
          <cell r="CR5231">
            <v>1455.8620000000001</v>
          </cell>
        </row>
        <row r="5232">
          <cell r="CJ5232" t="str">
            <v xml:space="preserve">NFT-/XUTR/DEUTH02430980595X </v>
          </cell>
          <cell r="CK5232" t="str">
            <v>2024-11-04</v>
          </cell>
          <cell r="CL5232">
            <v>15365.674000000001</v>
          </cell>
          <cell r="CP5232" t="str">
            <v xml:space="preserve">NFT-/XUTR/DEUTH024309A02A3X </v>
          </cell>
          <cell r="CQ5232" t="str">
            <v>2024-11-04</v>
          </cell>
          <cell r="CR5232">
            <v>1455.8620000000001</v>
          </cell>
        </row>
        <row r="5233">
          <cell r="CJ5233" t="str">
            <v xml:space="preserve">NFT-/XUTR/DEUTH02430980595X </v>
          </cell>
          <cell r="CK5233" t="str">
            <v>2024-11-04</v>
          </cell>
          <cell r="CL5233">
            <v>15384.554</v>
          </cell>
          <cell r="CP5233" t="str">
            <v xml:space="preserve">NFT-/XUTR/DEUTH024309A02A3X </v>
          </cell>
          <cell r="CQ5233" t="str">
            <v>2024-11-04</v>
          </cell>
          <cell r="CR5233">
            <v>1455.8620000000001</v>
          </cell>
        </row>
        <row r="5234">
          <cell r="CJ5234" t="str">
            <v xml:space="preserve">NFT-/XUTR/DEUTH02430980595X </v>
          </cell>
          <cell r="CK5234" t="str">
            <v>2024-11-04</v>
          </cell>
          <cell r="CL5234">
            <v>15365.674000000001</v>
          </cell>
          <cell r="CP5234" t="str">
            <v xml:space="preserve">NFT-/XUTR/DEUTH024309A02A3X </v>
          </cell>
          <cell r="CQ5234" t="str">
            <v>2024-11-04</v>
          </cell>
          <cell r="CR5234">
            <v>1455.8620000000001</v>
          </cell>
        </row>
        <row r="5235">
          <cell r="CJ5235" t="str">
            <v xml:space="preserve">NFT-/XUTR/DEUTH02430980595X </v>
          </cell>
          <cell r="CK5235" t="str">
            <v>2024-11-04</v>
          </cell>
          <cell r="CL5235">
            <v>15384.554</v>
          </cell>
          <cell r="CP5235" t="str">
            <v xml:space="preserve">NFT-/XUTR/DEUTH024309A02A3X </v>
          </cell>
          <cell r="CQ5235" t="str">
            <v>2024-11-04</v>
          </cell>
          <cell r="CR5235">
            <v>1455.8620000000001</v>
          </cell>
        </row>
        <row r="5236">
          <cell r="CJ5236" t="str">
            <v xml:space="preserve">NFT-/XUTR/DEUTH02430980595X </v>
          </cell>
          <cell r="CK5236" t="str">
            <v>2024-11-04</v>
          </cell>
          <cell r="CL5236">
            <v>15365.674000000001</v>
          </cell>
          <cell r="CP5236" t="str">
            <v xml:space="preserve">NFT-/XUTR/DEUTH024309A02A3X </v>
          </cell>
          <cell r="CQ5236" t="str">
            <v>2024-11-04</v>
          </cell>
          <cell r="CR5236">
            <v>1455.8620000000001</v>
          </cell>
        </row>
        <row r="5237">
          <cell r="CJ5237" t="str">
            <v xml:space="preserve">NFT-/XUTR/DEUTH02430980595X </v>
          </cell>
          <cell r="CK5237" t="str">
            <v>2024-11-04</v>
          </cell>
          <cell r="CL5237">
            <v>7706.3379999999997</v>
          </cell>
          <cell r="CP5237" t="str">
            <v xml:space="preserve">NFT-/XUTR/DEUTH024309A02A3X </v>
          </cell>
          <cell r="CQ5237" t="str">
            <v>2024-11-04</v>
          </cell>
          <cell r="CR5237">
            <v>864.78</v>
          </cell>
        </row>
        <row r="5238">
          <cell r="CJ5238" t="str">
            <v xml:space="preserve">NFT-/XUTR/DEUTH02430980595X </v>
          </cell>
          <cell r="CK5238" t="str">
            <v>2024-11-04</v>
          </cell>
          <cell r="CL5238">
            <v>7706.3379999999997</v>
          </cell>
          <cell r="CP5238" t="str">
            <v xml:space="preserve">NFT-/XUTR/DEUTH024309A02A3X </v>
          </cell>
          <cell r="CQ5238" t="str">
            <v>2024-11-04</v>
          </cell>
          <cell r="CR5238">
            <v>864.78</v>
          </cell>
        </row>
        <row r="5239">
          <cell r="CJ5239" t="str">
            <v xml:space="preserve">NFT-/XUTR/DEUTH02430980595X </v>
          </cell>
          <cell r="CK5239" t="str">
            <v>2024-11-04</v>
          </cell>
          <cell r="CL5239">
            <v>15384.554</v>
          </cell>
          <cell r="CP5239" t="str">
            <v xml:space="preserve">NFT-/XUTR/DEUTH024309A02A3X </v>
          </cell>
          <cell r="CQ5239" t="str">
            <v>2024-11-04</v>
          </cell>
          <cell r="CR5239">
            <v>1455.8620000000001</v>
          </cell>
        </row>
        <row r="5240">
          <cell r="CJ5240" t="str">
            <v xml:space="preserve">NFT-/XUTR/DEUTH02430980595X </v>
          </cell>
          <cell r="CK5240" t="str">
            <v>2024-11-04</v>
          </cell>
          <cell r="CL5240">
            <v>15365.674000000001</v>
          </cell>
          <cell r="CP5240" t="str">
            <v xml:space="preserve">NFT-/XUTR/DEUTH024309A02A3X </v>
          </cell>
          <cell r="CQ5240" t="str">
            <v>2024-11-04</v>
          </cell>
          <cell r="CR5240">
            <v>1455.8620000000001</v>
          </cell>
        </row>
        <row r="5241">
          <cell r="CJ5241" t="str">
            <v xml:space="preserve">NFT-/XUTR/DEUTH02430980595X </v>
          </cell>
          <cell r="CK5241" t="str">
            <v>2024-11-04</v>
          </cell>
          <cell r="CL5241">
            <v>15384.554</v>
          </cell>
          <cell r="CP5241" t="str">
            <v xml:space="preserve">NFT-/XUTR/DEUTH024309A02A3X </v>
          </cell>
          <cell r="CQ5241" t="str">
            <v>2024-11-04</v>
          </cell>
          <cell r="CR5241">
            <v>1455.8620000000001</v>
          </cell>
        </row>
        <row r="5242">
          <cell r="CJ5242" t="str">
            <v xml:space="preserve">NFT-/XUTR/DEUTH02430980595X </v>
          </cell>
          <cell r="CK5242" t="str">
            <v>2024-11-04</v>
          </cell>
          <cell r="CL5242">
            <v>15384.554</v>
          </cell>
          <cell r="CP5242" t="str">
            <v xml:space="preserve">NFT-/XUTR/DEUTH024309A02A3X </v>
          </cell>
          <cell r="CQ5242" t="str">
            <v>2024-11-04</v>
          </cell>
          <cell r="CR5242">
            <v>1455.8620000000001</v>
          </cell>
          <cell r="CS5242" t="str">
            <v xml:space="preserve">NFT-/XUTR/DEUTH02503444373X </v>
          </cell>
          <cell r="CT5242" t="str">
            <v>2025-02-03</v>
          </cell>
          <cell r="CU5242">
            <v>-15384.554</v>
          </cell>
          <cell r="CV5242" t="str">
            <v xml:space="preserve">NFT-/XUTR/DEUTH02503477187X </v>
          </cell>
          <cell r="CW5242" t="str">
            <v>2025-02-03</v>
          </cell>
          <cell r="CX5242">
            <v>-1455.8620000000001</v>
          </cell>
        </row>
        <row r="5243">
          <cell r="CJ5243" t="str">
            <v xml:space="preserve">NFT-/XUTR/DEUTH02430980595X </v>
          </cell>
          <cell r="CK5243" t="str">
            <v>2024-11-04</v>
          </cell>
          <cell r="CL5243">
            <v>7706.3379999999997</v>
          </cell>
          <cell r="CP5243" t="str">
            <v xml:space="preserve">NFT-/XUTR/DEUTH024309A02A3X </v>
          </cell>
          <cell r="CQ5243" t="str">
            <v>2024-11-04</v>
          </cell>
          <cell r="CR5243">
            <v>864.78</v>
          </cell>
        </row>
        <row r="5244">
          <cell r="CJ5244" t="str">
            <v xml:space="preserve">NFT-/XUTR/DEUTH02430980595X </v>
          </cell>
          <cell r="CK5244" t="str">
            <v>2024-11-04</v>
          </cell>
          <cell r="CL5244">
            <v>15365.674000000001</v>
          </cell>
          <cell r="CP5244" t="str">
            <v xml:space="preserve">NFT-/XUTR/DEUTH024309A02A3X </v>
          </cell>
          <cell r="CQ5244" t="str">
            <v>2024-11-04</v>
          </cell>
          <cell r="CR5244">
            <v>1455.8620000000001</v>
          </cell>
        </row>
        <row r="5245">
          <cell r="CJ5245" t="str">
            <v xml:space="preserve">NFT-/XUTR/DEUTH02430980595X </v>
          </cell>
          <cell r="CK5245" t="str">
            <v>2024-11-04</v>
          </cell>
          <cell r="CL5245">
            <v>15154.523999999999</v>
          </cell>
          <cell r="CP5245" t="str">
            <v xml:space="preserve">NFT-/XUTR/DEUTH024309A02A3X </v>
          </cell>
          <cell r="CQ5245" t="str">
            <v>2024-11-04</v>
          </cell>
          <cell r="CR5245">
            <v>1685.8920000000001</v>
          </cell>
        </row>
        <row r="5246">
          <cell r="CJ5246" t="str">
            <v xml:space="preserve">NFT-/XUTR/DEUTH02430980595X </v>
          </cell>
          <cell r="CK5246" t="str">
            <v>2024-11-04</v>
          </cell>
          <cell r="CL5246">
            <v>15093.380999999999</v>
          </cell>
          <cell r="CP5246" t="str">
            <v xml:space="preserve">NFT-/XUTR/DEUTH024309A02A3X </v>
          </cell>
          <cell r="CQ5246" t="str">
            <v>2024-11-04</v>
          </cell>
          <cell r="CR5246">
            <v>1747.0350000000001</v>
          </cell>
        </row>
        <row r="5247">
          <cell r="CJ5247" t="str">
            <v xml:space="preserve">NFT-/XUTR/DEUTH02430980595X </v>
          </cell>
          <cell r="CK5247" t="str">
            <v>2024-11-04</v>
          </cell>
          <cell r="CL5247">
            <v>15365.674000000001</v>
          </cell>
          <cell r="CP5247" t="str">
            <v xml:space="preserve">NFT-/XUTR/DEUTH024309A02A3X </v>
          </cell>
          <cell r="CQ5247" t="str">
            <v>2024-11-04</v>
          </cell>
          <cell r="CR5247">
            <v>1455.8620000000001</v>
          </cell>
        </row>
        <row r="5248">
          <cell r="CJ5248" t="str">
            <v xml:space="preserve">NFT-/XUTR/DEUTH02430980595X </v>
          </cell>
          <cell r="CK5248" t="str">
            <v>2024-11-04</v>
          </cell>
          <cell r="CL5248">
            <v>15384.554</v>
          </cell>
          <cell r="CP5248" t="str">
            <v xml:space="preserve">NFT-/XUTR/DEUTH024309A02A3X </v>
          </cell>
          <cell r="CQ5248" t="str">
            <v>2024-11-04</v>
          </cell>
          <cell r="CR5248">
            <v>1455.8620000000001</v>
          </cell>
        </row>
        <row r="5249">
          <cell r="CJ5249" t="str">
            <v xml:space="preserve">NFT-/XUTR/DEUTH02430980595X </v>
          </cell>
          <cell r="CK5249" t="str">
            <v>2024-11-04</v>
          </cell>
          <cell r="CL5249">
            <v>15365.674000000001</v>
          </cell>
          <cell r="CP5249" t="str">
            <v xml:space="preserve">NFT-/XUTR/DEUTH024309A02A3X </v>
          </cell>
          <cell r="CQ5249" t="str">
            <v>2024-11-04</v>
          </cell>
          <cell r="CR5249">
            <v>1455.8620000000001</v>
          </cell>
        </row>
        <row r="5250">
          <cell r="CJ5250" t="str">
            <v xml:space="preserve">NFT-/XUTR/DEUTH02430980595X </v>
          </cell>
          <cell r="CK5250" t="str">
            <v>2024-11-04</v>
          </cell>
          <cell r="CL5250">
            <v>15384.554</v>
          </cell>
          <cell r="CP5250" t="str">
            <v xml:space="preserve">NFT-/XUTR/DEUTH024309A02A3X </v>
          </cell>
          <cell r="CQ5250" t="str">
            <v>2024-11-04</v>
          </cell>
          <cell r="CR5250">
            <v>1455.8620000000001</v>
          </cell>
        </row>
        <row r="5251">
          <cell r="CJ5251" t="str">
            <v xml:space="preserve">NFT-/XUTR/DEUTH02430980595X </v>
          </cell>
          <cell r="CK5251" t="str">
            <v>2024-11-04</v>
          </cell>
          <cell r="CL5251">
            <v>15384.554</v>
          </cell>
          <cell r="CP5251" t="str">
            <v xml:space="preserve">NFT-/XUTR/DEUTH024309A02A3X </v>
          </cell>
          <cell r="CQ5251" t="str">
            <v>2024-11-04</v>
          </cell>
          <cell r="CR5251">
            <v>1455.8620000000001</v>
          </cell>
        </row>
        <row r="5252">
          <cell r="CJ5252" t="str">
            <v xml:space="preserve">NFT-/XUTR/DEUTH02430980595X </v>
          </cell>
          <cell r="CK5252" t="str">
            <v>2024-11-04</v>
          </cell>
          <cell r="CL5252">
            <v>7706.3379999999997</v>
          </cell>
          <cell r="CP5252" t="str">
            <v xml:space="preserve">NFT-/XUTR/DEUTH024309A02A3X </v>
          </cell>
          <cell r="CQ5252" t="str">
            <v>2024-11-04</v>
          </cell>
          <cell r="CR5252">
            <v>864.78</v>
          </cell>
        </row>
        <row r="5253">
          <cell r="CJ5253" t="str">
            <v xml:space="preserve">NFT-/XUTR/DEUTH02430980595X </v>
          </cell>
          <cell r="CK5253" t="str">
            <v>2024-11-04</v>
          </cell>
          <cell r="CL5253">
            <v>54250.171999999999</v>
          </cell>
          <cell r="CP5253" t="str">
            <v xml:space="preserve">NFT-/XUTR/DEUTH024309A02A3X </v>
          </cell>
          <cell r="CQ5253" t="str">
            <v>2024-11-04</v>
          </cell>
          <cell r="CR5253">
            <v>2426.4369999999999</v>
          </cell>
        </row>
        <row r="5254">
          <cell r="CJ5254" t="str">
            <v xml:space="preserve">NFT-/XUTR/DEUTH02430980595X </v>
          </cell>
          <cell r="CK5254" t="str">
            <v>2024-11-04</v>
          </cell>
          <cell r="CL5254">
            <v>15384.554</v>
          </cell>
          <cell r="CP5254" t="str">
            <v xml:space="preserve">NFT-/XUTR/DEUTH024309A02A3X </v>
          </cell>
          <cell r="CQ5254" t="str">
            <v>2024-11-04</v>
          </cell>
          <cell r="CR5254">
            <v>1455.8620000000001</v>
          </cell>
        </row>
        <row r="5255">
          <cell r="CJ5255" t="str">
            <v xml:space="preserve">NFT-/XUTR/DEUTH02430980595X </v>
          </cell>
          <cell r="CK5255" t="str">
            <v>2024-11-04</v>
          </cell>
          <cell r="CL5255">
            <v>10788.446</v>
          </cell>
          <cell r="CP5255" t="str">
            <v xml:space="preserve">NFT-/XUTR/DEUTH024309A02A3X </v>
          </cell>
          <cell r="CQ5255" t="str">
            <v>2024-11-04</v>
          </cell>
          <cell r="CR5255">
            <v>1209.3309999999999</v>
          </cell>
        </row>
        <row r="5256">
          <cell r="CJ5256" t="str">
            <v xml:space="preserve">NFT-/XUTR/DEUTH02430980595X </v>
          </cell>
          <cell r="CK5256" t="str">
            <v>2024-11-04</v>
          </cell>
          <cell r="CL5256">
            <v>15384.554</v>
          </cell>
          <cell r="CP5256" t="str">
            <v xml:space="preserve">NFT-/XUTR/DEUTH024309A02A3X </v>
          </cell>
          <cell r="CQ5256" t="str">
            <v>2024-11-04</v>
          </cell>
          <cell r="CR5256">
            <v>1455.8620000000001</v>
          </cell>
        </row>
        <row r="5257">
          <cell r="CJ5257" t="str">
            <v xml:space="preserve">NFT-/XUTR/DEUTH02430980595X </v>
          </cell>
          <cell r="CK5257" t="str">
            <v>2024-11-04</v>
          </cell>
          <cell r="CL5257">
            <v>15384.554</v>
          </cell>
          <cell r="CP5257" t="str">
            <v xml:space="preserve">NFT-/XUTR/DEUTH024309A02A3X </v>
          </cell>
          <cell r="CQ5257" t="str">
            <v>2024-11-04</v>
          </cell>
          <cell r="CR5257">
            <v>1455.8620000000001</v>
          </cell>
        </row>
        <row r="5258">
          <cell r="CJ5258" t="str">
            <v xml:space="preserve">NFT-/XUTR/DEUTH02430980595X </v>
          </cell>
          <cell r="CK5258" t="str">
            <v>2024-11-04</v>
          </cell>
          <cell r="CL5258">
            <v>15365.674000000001</v>
          </cell>
          <cell r="CP5258" t="str">
            <v xml:space="preserve">NFT-/XUTR/DEUTH024309A02A3X </v>
          </cell>
          <cell r="CQ5258" t="str">
            <v>2024-11-04</v>
          </cell>
          <cell r="CR5258">
            <v>1455.8620000000001</v>
          </cell>
        </row>
        <row r="5259">
          <cell r="CJ5259" t="str">
            <v xml:space="preserve">NFT-/XUTR/DEUTH02430980595X </v>
          </cell>
          <cell r="CK5259" t="str">
            <v>2024-11-04</v>
          </cell>
          <cell r="CL5259">
            <v>15384.554</v>
          </cell>
          <cell r="CP5259" t="str">
            <v xml:space="preserve">NFT-/XUTR/DEUTH024309A02A3X </v>
          </cell>
          <cell r="CQ5259" t="str">
            <v>2024-11-04</v>
          </cell>
          <cell r="CR5259">
            <v>1455.8620000000001</v>
          </cell>
        </row>
        <row r="5260">
          <cell r="CJ5260" t="str">
            <v xml:space="preserve">NFT-/XUTR/DEUTH02430980595X </v>
          </cell>
          <cell r="CK5260" t="str">
            <v>2024-11-04</v>
          </cell>
          <cell r="CL5260">
            <v>15365.674000000001</v>
          </cell>
          <cell r="CP5260" t="str">
            <v xml:space="preserve">NFT-/XUTR/DEUTH024309A02A3X </v>
          </cell>
          <cell r="CQ5260" t="str">
            <v>2024-11-04</v>
          </cell>
          <cell r="CR5260">
            <v>1455.8620000000001</v>
          </cell>
        </row>
        <row r="5261">
          <cell r="CJ5261" t="str">
            <v xml:space="preserve">NFT-/XUTR/DEUTH02430980595X </v>
          </cell>
          <cell r="CK5261" t="str">
            <v>2024-11-04</v>
          </cell>
          <cell r="CL5261">
            <v>15365.674000000001</v>
          </cell>
          <cell r="CP5261" t="str">
            <v xml:space="preserve">NFT-/XUTR/DEUTH024309A02A3X </v>
          </cell>
          <cell r="CQ5261" t="str">
            <v>2024-11-04</v>
          </cell>
          <cell r="CR5261">
            <v>1455.8620000000001</v>
          </cell>
        </row>
        <row r="5262">
          <cell r="CJ5262" t="str">
            <v xml:space="preserve">NFT-/XUTR/DEUTH02430980595X </v>
          </cell>
          <cell r="CK5262" t="str">
            <v>2024-11-04</v>
          </cell>
          <cell r="CL5262">
            <v>15365.674000000001</v>
          </cell>
          <cell r="CP5262" t="str">
            <v xml:space="preserve">NFT-/XUTR/DEUTH024309A02A3X </v>
          </cell>
          <cell r="CQ5262" t="str">
            <v>2024-11-04</v>
          </cell>
          <cell r="CR5262">
            <v>1455.8620000000001</v>
          </cell>
        </row>
        <row r="5263">
          <cell r="CJ5263" t="str">
            <v xml:space="preserve">NFT-/XUTR/DEUTH02430980595X </v>
          </cell>
          <cell r="CK5263" t="str">
            <v>2024-11-04</v>
          </cell>
          <cell r="CL5263">
            <v>15384.554</v>
          </cell>
          <cell r="CP5263" t="str">
            <v xml:space="preserve">NFT-/XUTR/DEUTH024309A02A3X </v>
          </cell>
          <cell r="CQ5263" t="str">
            <v>2024-11-04</v>
          </cell>
          <cell r="CR5263">
            <v>1455.8620000000001</v>
          </cell>
        </row>
        <row r="5264">
          <cell r="CJ5264" t="str">
            <v xml:space="preserve">NFT-/XUTR/DEUTH02430980595X </v>
          </cell>
          <cell r="CK5264" t="str">
            <v>2024-11-04</v>
          </cell>
          <cell r="CL5264">
            <v>7706.3379999999997</v>
          </cell>
          <cell r="CP5264" t="str">
            <v xml:space="preserve">NFT-/XUTR/DEUTH024309A02A3X </v>
          </cell>
          <cell r="CQ5264" t="str">
            <v>2024-11-04</v>
          </cell>
          <cell r="CR5264">
            <v>864.78</v>
          </cell>
        </row>
        <row r="5265">
          <cell r="CJ5265" t="str">
            <v xml:space="preserve">NFT-/XUTR/DEUTH02430980595X </v>
          </cell>
          <cell r="CK5265" t="str">
            <v>2024-11-04</v>
          </cell>
          <cell r="CL5265">
            <v>7706.3379999999997</v>
          </cell>
          <cell r="CP5265" t="str">
            <v xml:space="preserve">NFT-/XUTR/DEUTH024309A02A3X </v>
          </cell>
          <cell r="CQ5265" t="str">
            <v>2024-11-04</v>
          </cell>
          <cell r="CR5265">
            <v>864.78</v>
          </cell>
        </row>
        <row r="5266">
          <cell r="CJ5266" t="str">
            <v xml:space="preserve">NFT-/XUTR/DEUTH02430980595X </v>
          </cell>
          <cell r="CK5266" t="str">
            <v>2024-11-04</v>
          </cell>
          <cell r="CL5266">
            <v>5566.2219999999998</v>
          </cell>
          <cell r="CP5266" t="str">
            <v xml:space="preserve">NFT-/XUTR/DEUTH024309A02A3X </v>
          </cell>
          <cell r="CQ5266" t="str">
            <v>2024-11-04</v>
          </cell>
          <cell r="CR5266">
            <v>626.98699999999997</v>
          </cell>
        </row>
        <row r="5267">
          <cell r="CJ5267" t="str">
            <v xml:space="preserve">NFT-/XUTR/DEUTH02430980595X </v>
          </cell>
          <cell r="CK5267" t="str">
            <v>2024-11-04</v>
          </cell>
          <cell r="CL5267">
            <v>15384.554</v>
          </cell>
          <cell r="CP5267" t="str">
            <v xml:space="preserve">NFT-/XUTR/DEUTH024309A02A3X </v>
          </cell>
          <cell r="CQ5267" t="str">
            <v>2024-11-04</v>
          </cell>
          <cell r="CR5267">
            <v>1455.8620000000001</v>
          </cell>
        </row>
        <row r="5268">
          <cell r="CJ5268" t="str">
            <v xml:space="preserve">NFT-/XUTR/DEUTH02430980595X </v>
          </cell>
          <cell r="CK5268" t="str">
            <v>2024-11-04</v>
          </cell>
          <cell r="CL5268">
            <v>82665.331999999995</v>
          </cell>
          <cell r="CP5268" t="str">
            <v xml:space="preserve">NFT-/XUTR/DEUTH024309A02A3X </v>
          </cell>
          <cell r="CQ5268" t="str">
            <v>2024-11-04</v>
          </cell>
          <cell r="CR5268">
            <v>1455.8620000000001</v>
          </cell>
        </row>
        <row r="5269">
          <cell r="CJ5269" t="str">
            <v xml:space="preserve">NFT-/XUTR/DEUTH02430980595X </v>
          </cell>
          <cell r="CK5269" t="str">
            <v>2024-11-04</v>
          </cell>
          <cell r="CL5269">
            <v>15365.674000000001</v>
          </cell>
          <cell r="CP5269" t="str">
            <v xml:space="preserve">NFT-/XUTR/DEUTH024309A02A3X </v>
          </cell>
          <cell r="CQ5269" t="str">
            <v>2024-11-04</v>
          </cell>
          <cell r="CR5269">
            <v>1455.8620000000001</v>
          </cell>
        </row>
        <row r="5270">
          <cell r="CJ5270" t="str">
            <v xml:space="preserve">NFT-/XUTR/DEUTH02430980595X </v>
          </cell>
          <cell r="CK5270" t="str">
            <v>2024-11-04</v>
          </cell>
          <cell r="CL5270">
            <v>15337.532999999999</v>
          </cell>
          <cell r="CP5270" t="str">
            <v xml:space="preserve">NFT-/XUTR/DEUTH024309A02A3X </v>
          </cell>
          <cell r="CQ5270" t="str">
            <v>2024-11-04</v>
          </cell>
          <cell r="CR5270">
            <v>1484.0129999999999</v>
          </cell>
        </row>
        <row r="5271">
          <cell r="CJ5271" t="str">
            <v xml:space="preserve">NFT-/XUTR/DEUTH02430980595X </v>
          </cell>
          <cell r="CK5271" t="str">
            <v>2024-11-04</v>
          </cell>
          <cell r="CL5271">
            <v>15365.674000000001</v>
          </cell>
          <cell r="CM5271" t="str">
            <v xml:space="preserve">NFT-/XUTR/DEUTH02432540165X </v>
          </cell>
          <cell r="CN5271" t="str">
            <v>2024-11-20</v>
          </cell>
          <cell r="CO5271">
            <v>-15365.674000000001</v>
          </cell>
          <cell r="CP5271" t="str">
            <v xml:space="preserve">NFT-/XUTR/DEUTH024309A02A3X </v>
          </cell>
          <cell r="CQ5271" t="str">
            <v>2024-11-04</v>
          </cell>
          <cell r="CR5271">
            <v>1455.8620000000001</v>
          </cell>
          <cell r="CS5271" t="str">
            <v xml:space="preserve">NFT-/XUTR/DEUTH02432567146X </v>
          </cell>
          <cell r="CT5271" t="str">
            <v>2024-11-20</v>
          </cell>
          <cell r="CU5271">
            <v>-1455.8620000000001</v>
          </cell>
        </row>
        <row r="5272">
          <cell r="CJ5272" t="str">
            <v xml:space="preserve">NFT-/XUTR/DEUTH02430980595X </v>
          </cell>
          <cell r="CK5272" t="str">
            <v>2024-11-04</v>
          </cell>
          <cell r="CL5272">
            <v>15384.554</v>
          </cell>
          <cell r="CP5272" t="str">
            <v xml:space="preserve">NFT-/XUTR/DEUTH024309A02A3X </v>
          </cell>
          <cell r="CQ5272" t="str">
            <v>2024-11-04</v>
          </cell>
          <cell r="CR5272">
            <v>1455.8620000000001</v>
          </cell>
        </row>
        <row r="5273">
          <cell r="CJ5273" t="str">
            <v xml:space="preserve">NFT-/XUTR/DEUTH02430980595X </v>
          </cell>
          <cell r="CK5273" t="str">
            <v>2024-11-04</v>
          </cell>
          <cell r="CL5273">
            <v>15384.554</v>
          </cell>
          <cell r="CP5273" t="str">
            <v xml:space="preserve">NFT-/XUTR/DEUTH024309A02A3X </v>
          </cell>
          <cell r="CQ5273" t="str">
            <v>2024-11-04</v>
          </cell>
          <cell r="CR5273">
            <v>1455.8620000000001</v>
          </cell>
        </row>
        <row r="5274">
          <cell r="CJ5274" t="str">
            <v xml:space="preserve">NFT-/XUTR/DEUTH02430980595X </v>
          </cell>
          <cell r="CK5274" t="str">
            <v>2024-11-04</v>
          </cell>
          <cell r="CL5274">
            <v>15384.554</v>
          </cell>
          <cell r="CP5274" t="str">
            <v xml:space="preserve">NFT-/XUTR/DEUTH024309A02A3X </v>
          </cell>
          <cell r="CQ5274" t="str">
            <v>2024-11-04</v>
          </cell>
          <cell r="CR5274">
            <v>1455.8620000000001</v>
          </cell>
        </row>
        <row r="5275">
          <cell r="CJ5275" t="str">
            <v xml:space="preserve">NFT-/XUTR/DEUTH02430980595X </v>
          </cell>
          <cell r="CK5275" t="str">
            <v>2024-11-04</v>
          </cell>
          <cell r="CL5275">
            <v>15365.674000000001</v>
          </cell>
          <cell r="CP5275" t="str">
            <v xml:space="preserve">NFT-/XUTR/DEUTH024309A02A3X </v>
          </cell>
          <cell r="CQ5275" t="str">
            <v>2024-11-04</v>
          </cell>
          <cell r="CR5275">
            <v>1455.8620000000001</v>
          </cell>
        </row>
        <row r="5276">
          <cell r="CJ5276" t="str">
            <v xml:space="preserve">NFT-/XUTR/DEUTH02430980595X </v>
          </cell>
          <cell r="CK5276" t="str">
            <v>2024-11-04</v>
          </cell>
          <cell r="CL5276">
            <v>7706.3379999999997</v>
          </cell>
          <cell r="CP5276" t="str">
            <v xml:space="preserve">NFT-/XUTR/DEUTH024309A02A3X </v>
          </cell>
          <cell r="CQ5276" t="str">
            <v>2024-11-04</v>
          </cell>
          <cell r="CR5276">
            <v>864.78</v>
          </cell>
        </row>
        <row r="5277">
          <cell r="CJ5277" t="str">
            <v xml:space="preserve">NFT-/XUTR/DEUTH02430980595X </v>
          </cell>
          <cell r="CK5277" t="str">
            <v>2024-11-04</v>
          </cell>
          <cell r="CL5277">
            <v>15365.674000000001</v>
          </cell>
          <cell r="CP5277" t="str">
            <v xml:space="preserve">NFT-/XUTR/DEUTH024309A02A3X </v>
          </cell>
          <cell r="CQ5277" t="str">
            <v>2024-11-04</v>
          </cell>
          <cell r="CR5277">
            <v>1455.8620000000001</v>
          </cell>
        </row>
        <row r="5278">
          <cell r="CJ5278" t="str">
            <v xml:space="preserve">NFT-/XUTR/DEUTH02430980595X </v>
          </cell>
          <cell r="CK5278" t="str">
            <v>2024-11-04</v>
          </cell>
          <cell r="CL5278">
            <v>10510.328</v>
          </cell>
          <cell r="CP5278" t="str">
            <v xml:space="preserve">NFT-/XUTR/DEUTH024309A02A3X </v>
          </cell>
          <cell r="CQ5278" t="str">
            <v>2024-11-04</v>
          </cell>
          <cell r="CR5278">
            <v>1176.3389999999999</v>
          </cell>
        </row>
        <row r="5279">
          <cell r="CJ5279" t="str">
            <v xml:space="preserve">NFT-/XUTR/DEUTH02430980595X </v>
          </cell>
          <cell r="CK5279" t="str">
            <v>2024-11-04</v>
          </cell>
          <cell r="CL5279">
            <v>15384.554</v>
          </cell>
          <cell r="CP5279" t="str">
            <v xml:space="preserve">NFT-/XUTR/DEUTH024309A02A3X </v>
          </cell>
          <cell r="CQ5279" t="str">
            <v>2024-11-04</v>
          </cell>
          <cell r="CR5279">
            <v>1455.8620000000001</v>
          </cell>
        </row>
        <row r="5280">
          <cell r="CJ5280" t="str">
            <v xml:space="preserve">NFT-/XUTR/DEUTH02430980595X </v>
          </cell>
          <cell r="CK5280" t="str">
            <v>2024-11-04</v>
          </cell>
          <cell r="CL5280">
            <v>15384.554</v>
          </cell>
          <cell r="CP5280" t="str">
            <v xml:space="preserve">NFT-/XUTR/DEUTH024309A02A3X </v>
          </cell>
          <cell r="CQ5280" t="str">
            <v>2024-11-04</v>
          </cell>
          <cell r="CR5280">
            <v>1455.8620000000001</v>
          </cell>
        </row>
        <row r="5281">
          <cell r="CJ5281" t="str">
            <v xml:space="preserve">NFT-/XUTR/DEUTH02430980595X </v>
          </cell>
          <cell r="CK5281" t="str">
            <v>2024-11-04</v>
          </cell>
          <cell r="CL5281">
            <v>15085.178</v>
          </cell>
          <cell r="CP5281" t="str">
            <v xml:space="preserve">NFT-/XUTR/DEUTH024309A02A3X </v>
          </cell>
          <cell r="CQ5281" t="str">
            <v>2024-11-04</v>
          </cell>
          <cell r="CR5281">
            <v>1736.3579999999999</v>
          </cell>
        </row>
        <row r="5282">
          <cell r="CJ5282" t="str">
            <v xml:space="preserve">NFT-/XUTR/DEUTH02430980595X </v>
          </cell>
          <cell r="CK5282" t="str">
            <v>2024-11-04</v>
          </cell>
          <cell r="CL5282">
            <v>7706.3379999999997</v>
          </cell>
          <cell r="CP5282" t="str">
            <v xml:space="preserve">NFT-/XUTR/DEUTH024309A02A3X </v>
          </cell>
          <cell r="CQ5282" t="str">
            <v>2024-11-04</v>
          </cell>
          <cell r="CR5282">
            <v>864.78</v>
          </cell>
        </row>
        <row r="5283">
          <cell r="CJ5283" t="str">
            <v xml:space="preserve">NFT-/XUTR/DEUTH02430980595X </v>
          </cell>
          <cell r="CK5283" t="str">
            <v>2024-11-04</v>
          </cell>
          <cell r="CL5283">
            <v>15365.674000000001</v>
          </cell>
          <cell r="CP5283" t="str">
            <v xml:space="preserve">NFT-/XUTR/DEUTH024309A02A3X </v>
          </cell>
          <cell r="CQ5283" t="str">
            <v>2024-11-04</v>
          </cell>
          <cell r="CR5283">
            <v>1455.8620000000001</v>
          </cell>
        </row>
        <row r="5284">
          <cell r="CJ5284" t="str">
            <v xml:space="preserve">NFT-/XUTR/DEUTH02430980595X </v>
          </cell>
          <cell r="CK5284" t="str">
            <v>2024-11-04</v>
          </cell>
          <cell r="CL5284">
            <v>5250.7849999999999</v>
          </cell>
          <cell r="CP5284" t="str">
            <v xml:space="preserve">NFT-/XUTR/DEUTH024309A02A3X </v>
          </cell>
          <cell r="CQ5284" t="str">
            <v>2024-11-04</v>
          </cell>
          <cell r="CR5284">
            <v>593.02099999999996</v>
          </cell>
        </row>
        <row r="5285">
          <cell r="CJ5285" t="str">
            <v xml:space="preserve">NFT-/XUTR/DEUTH02430980595X </v>
          </cell>
          <cell r="CK5285" t="str">
            <v>2024-11-04</v>
          </cell>
          <cell r="CL5285">
            <v>15365.674000000001</v>
          </cell>
          <cell r="CP5285" t="str">
            <v xml:space="preserve">NFT-/XUTR/DEUTH024309A02A3X </v>
          </cell>
          <cell r="CQ5285" t="str">
            <v>2024-11-04</v>
          </cell>
          <cell r="CR5285">
            <v>1455.8620000000001</v>
          </cell>
        </row>
        <row r="5286">
          <cell r="CJ5286" t="str">
            <v xml:space="preserve">NFT-/XUTR/DEUTH02430980595X </v>
          </cell>
          <cell r="CK5286" t="str">
            <v>2024-11-04</v>
          </cell>
          <cell r="CL5286">
            <v>15384.554</v>
          </cell>
          <cell r="CP5286" t="str">
            <v xml:space="preserve">NFT-/XUTR/DEUTH024309A02A3X </v>
          </cell>
          <cell r="CQ5286" t="str">
            <v>2024-11-04</v>
          </cell>
          <cell r="CR5286">
            <v>1455.8620000000001</v>
          </cell>
        </row>
        <row r="5287">
          <cell r="CJ5287" t="str">
            <v xml:space="preserve">NFT-/XUTR/DEUTH02430980595X </v>
          </cell>
          <cell r="CK5287" t="str">
            <v>2024-11-04</v>
          </cell>
          <cell r="CL5287">
            <v>15501.999</v>
          </cell>
          <cell r="CP5287" t="str">
            <v xml:space="preserve">NFT-/XUTR/DEUTH024309A02A3X </v>
          </cell>
          <cell r="CQ5287" t="str">
            <v>2024-11-04</v>
          </cell>
          <cell r="CR5287">
            <v>1338.4269999999999</v>
          </cell>
        </row>
        <row r="5288">
          <cell r="CJ5288" t="str">
            <v xml:space="preserve">NFT-/XUTR/DEUTH02430980595X </v>
          </cell>
          <cell r="CK5288" t="str">
            <v>2024-11-04</v>
          </cell>
          <cell r="CL5288">
            <v>5283.7870000000003</v>
          </cell>
          <cell r="CP5288" t="str">
            <v xml:space="preserve">NFT-/XUTR/DEUTH024309A02A3X </v>
          </cell>
          <cell r="CQ5288" t="str">
            <v>2024-11-04</v>
          </cell>
          <cell r="CR5288">
            <v>909.43100000000004</v>
          </cell>
        </row>
        <row r="5289">
          <cell r="CJ5289" t="str">
            <v xml:space="preserve">NFT-/XUTR/DEUTH02430980595X </v>
          </cell>
          <cell r="CK5289" t="str">
            <v>2024-11-04</v>
          </cell>
          <cell r="CL5289">
            <v>15384.554</v>
          </cell>
          <cell r="CP5289" t="str">
            <v xml:space="preserve">NFT-/XUTR/DEUTH024309A02A3X </v>
          </cell>
          <cell r="CQ5289" t="str">
            <v>2024-11-04</v>
          </cell>
          <cell r="CR5289">
            <v>1455.8620000000001</v>
          </cell>
        </row>
        <row r="5290">
          <cell r="CJ5290" t="str">
            <v xml:space="preserve">NFT-/XUTR/DEUTH02430980595X </v>
          </cell>
          <cell r="CK5290" t="str">
            <v>2024-11-04</v>
          </cell>
          <cell r="CL5290">
            <v>15384.554</v>
          </cell>
          <cell r="CM5290" t="str">
            <v xml:space="preserve">NFT-/XUTR/DEUTH02432540165X </v>
          </cell>
          <cell r="CN5290" t="str">
            <v>2024-11-20</v>
          </cell>
          <cell r="CO5290">
            <v>-15384.554</v>
          </cell>
          <cell r="CP5290" t="str">
            <v xml:space="preserve">NFT-/XUTR/DEUTH024309A02A3X </v>
          </cell>
          <cell r="CQ5290" t="str">
            <v>2024-11-04</v>
          </cell>
          <cell r="CR5290">
            <v>1455.8620000000001</v>
          </cell>
          <cell r="CS5290" t="str">
            <v xml:space="preserve">NFT-/XUTR/DEUTH02432567146X </v>
          </cell>
          <cell r="CT5290" t="str">
            <v>2024-11-20</v>
          </cell>
          <cell r="CU5290">
            <v>-1455.8620000000001</v>
          </cell>
        </row>
        <row r="5291">
          <cell r="CJ5291" t="str">
            <v xml:space="preserve">NFT-/XUTR/DEUTH02430980595X </v>
          </cell>
          <cell r="CK5291" t="str">
            <v>2024-11-04</v>
          </cell>
          <cell r="CL5291">
            <v>15365.674000000001</v>
          </cell>
          <cell r="CP5291" t="str">
            <v xml:space="preserve">NFT-/XUTR/DEUTH024309A02A3X </v>
          </cell>
          <cell r="CQ5291" t="str">
            <v>2024-11-04</v>
          </cell>
          <cell r="CR5291">
            <v>1455.8620000000001</v>
          </cell>
        </row>
        <row r="5292">
          <cell r="CJ5292" t="str">
            <v xml:space="preserve">NFT-/XUTR/DEUTH02430980595X </v>
          </cell>
          <cell r="CK5292" t="str">
            <v>2024-11-04</v>
          </cell>
          <cell r="CL5292">
            <v>7706.3379999999997</v>
          </cell>
          <cell r="CP5292" t="str">
            <v xml:space="preserve">NFT-/XUTR/DEUTH024309A02A3X </v>
          </cell>
          <cell r="CQ5292" t="str">
            <v>2024-11-04</v>
          </cell>
          <cell r="CR5292">
            <v>864.78</v>
          </cell>
        </row>
        <row r="5293">
          <cell r="CJ5293" t="str">
            <v xml:space="preserve">NFT-/XUTR/DEUTH02430980595X </v>
          </cell>
          <cell r="CK5293" t="str">
            <v>2024-11-04</v>
          </cell>
          <cell r="CL5293">
            <v>15365.674000000001</v>
          </cell>
          <cell r="CP5293" t="str">
            <v xml:space="preserve">NFT-/XUTR/DEUTH024309A02A3X </v>
          </cell>
          <cell r="CQ5293" t="str">
            <v>2024-11-04</v>
          </cell>
          <cell r="CR5293">
            <v>1455.8620000000001</v>
          </cell>
        </row>
        <row r="5294">
          <cell r="CJ5294" t="str">
            <v xml:space="preserve">NFT-/XUTR/DEUTH02430980595X </v>
          </cell>
          <cell r="CK5294" t="str">
            <v>2024-11-04</v>
          </cell>
          <cell r="CL5294">
            <v>15365.674000000001</v>
          </cell>
          <cell r="CP5294" t="str">
            <v xml:space="preserve">NFT-/XUTR/DEUTH024309A02A3X </v>
          </cell>
          <cell r="CQ5294" t="str">
            <v>2024-11-04</v>
          </cell>
          <cell r="CR5294">
            <v>1455.8620000000001</v>
          </cell>
        </row>
        <row r="5295">
          <cell r="CJ5295" t="str">
            <v xml:space="preserve">NFT-/XUTR/DEUTH02430980595X </v>
          </cell>
          <cell r="CK5295" t="str">
            <v>2024-11-04</v>
          </cell>
          <cell r="CL5295">
            <v>15384.554</v>
          </cell>
          <cell r="CP5295" t="str">
            <v xml:space="preserve">NFT-/XUTR/DEUTH024309A02A3X </v>
          </cell>
          <cell r="CQ5295" t="str">
            <v>2024-11-04</v>
          </cell>
          <cell r="CR5295">
            <v>1455.8620000000001</v>
          </cell>
        </row>
        <row r="5296">
          <cell r="CJ5296" t="str">
            <v xml:space="preserve">NFT-/XUTR/DEUTH02430980595X </v>
          </cell>
          <cell r="CK5296" t="str">
            <v>2024-11-04</v>
          </cell>
          <cell r="CL5296">
            <v>15384.554</v>
          </cell>
          <cell r="CP5296" t="str">
            <v xml:space="preserve">NFT-/XUTR/DEUTH024309A02A3X </v>
          </cell>
          <cell r="CQ5296" t="str">
            <v>2024-11-04</v>
          </cell>
          <cell r="CR5296">
            <v>1455.8620000000001</v>
          </cell>
        </row>
        <row r="5297">
          <cell r="CJ5297" t="str">
            <v xml:space="preserve">NFT-/XUTR/DEUTH02430980595X </v>
          </cell>
          <cell r="CK5297" t="str">
            <v>2024-11-04</v>
          </cell>
          <cell r="CL5297">
            <v>15384.554</v>
          </cell>
          <cell r="CP5297" t="str">
            <v xml:space="preserve">NFT-/XUTR/DEUTH024309A02A3X </v>
          </cell>
          <cell r="CQ5297" t="str">
            <v>2024-11-04</v>
          </cell>
          <cell r="CR5297">
            <v>1455.8620000000001</v>
          </cell>
        </row>
        <row r="5298">
          <cell r="CJ5298" t="str">
            <v xml:space="preserve">NFT-/XUTR/DEUTH02430980595X </v>
          </cell>
          <cell r="CK5298" t="str">
            <v>2024-11-04</v>
          </cell>
          <cell r="CL5298">
            <v>7706.3379999999997</v>
          </cell>
          <cell r="CP5298" t="str">
            <v xml:space="preserve">NFT-/XUTR/DEUTH024309A02A3X </v>
          </cell>
          <cell r="CQ5298" t="str">
            <v>2024-11-04</v>
          </cell>
          <cell r="CR5298">
            <v>864.78</v>
          </cell>
        </row>
        <row r="5299">
          <cell r="CJ5299" t="str">
            <v xml:space="preserve">NFT-/XUTR/DEUTH02430980595X </v>
          </cell>
          <cell r="CK5299" t="str">
            <v>2024-11-04</v>
          </cell>
          <cell r="CL5299">
            <v>14519.334000000001</v>
          </cell>
          <cell r="CP5299" t="str">
            <v xml:space="preserve">NFT-/XUTR/DEUTH024309A02A3X </v>
          </cell>
          <cell r="CQ5299" t="str">
            <v>2024-11-04</v>
          </cell>
          <cell r="CR5299">
            <v>2302.2020000000002</v>
          </cell>
        </row>
        <row r="5300">
          <cell r="CJ5300" t="str">
            <v xml:space="preserve">NFT-/XUTR/DEUTH02430980595X </v>
          </cell>
          <cell r="CK5300" t="str">
            <v>2024-11-04</v>
          </cell>
          <cell r="CL5300">
            <v>15384.554</v>
          </cell>
          <cell r="CP5300" t="str">
            <v xml:space="preserve">NFT-/XUTR/DEUTH024309A02A3X </v>
          </cell>
          <cell r="CQ5300" t="str">
            <v>2024-11-04</v>
          </cell>
          <cell r="CR5300">
            <v>1455.8620000000001</v>
          </cell>
        </row>
        <row r="5301">
          <cell r="CJ5301" t="str">
            <v xml:space="preserve">NFT-/XUTR/DEUTH02430980595X </v>
          </cell>
          <cell r="CK5301" t="str">
            <v>2024-11-04</v>
          </cell>
          <cell r="CL5301">
            <v>15365.674000000001</v>
          </cell>
          <cell r="CP5301" t="str">
            <v xml:space="preserve">NFT-/XUTR/DEUTH024309A02A3X </v>
          </cell>
          <cell r="CQ5301" t="str">
            <v>2024-11-04</v>
          </cell>
          <cell r="CR5301">
            <v>1455.8620000000001</v>
          </cell>
        </row>
        <row r="5302">
          <cell r="CJ5302" t="str">
            <v xml:space="preserve">NFT-/XUTR/DEUTH02430980595X </v>
          </cell>
          <cell r="CK5302" t="str">
            <v>2024-11-04</v>
          </cell>
          <cell r="CL5302">
            <v>15384.554</v>
          </cell>
          <cell r="CP5302" t="str">
            <v xml:space="preserve">NFT-/XUTR/DEUTH024309A02A3X </v>
          </cell>
          <cell r="CQ5302" t="str">
            <v>2024-11-04</v>
          </cell>
          <cell r="CR5302">
            <v>1455.8620000000001</v>
          </cell>
        </row>
        <row r="5303">
          <cell r="CJ5303" t="str">
            <v xml:space="preserve">NFT-/XUTR/DEUTH02430980595X </v>
          </cell>
          <cell r="CK5303" t="str">
            <v>2024-11-04</v>
          </cell>
          <cell r="CL5303">
            <v>14923.531000000001</v>
          </cell>
          <cell r="CP5303" t="str">
            <v xml:space="preserve">NFT-/XUTR/DEUTH024309A02A3X </v>
          </cell>
          <cell r="CQ5303" t="str">
            <v>2024-11-04</v>
          </cell>
          <cell r="CR5303">
            <v>1916.885</v>
          </cell>
        </row>
        <row r="5304">
          <cell r="CJ5304" t="str">
            <v xml:space="preserve">NFT-/XUTR/DEUTH02430980595X </v>
          </cell>
          <cell r="CK5304" t="str">
            <v>2024-11-04</v>
          </cell>
          <cell r="CL5304">
            <v>14771.156000000001</v>
          </cell>
          <cell r="CM5304" t="str">
            <v xml:space="preserve">NFT-/XUTR/DEUTH02432540165X </v>
          </cell>
          <cell r="CN5304" t="str">
            <v>2024-11-20</v>
          </cell>
          <cell r="CO5304">
            <v>-14771.156000000001</v>
          </cell>
          <cell r="CP5304" t="str">
            <v xml:space="preserve">NFT-/XUTR/DEUTH024309A02A3X </v>
          </cell>
          <cell r="CQ5304" t="str">
            <v>2024-11-04</v>
          </cell>
          <cell r="CR5304">
            <v>2069.2600000000002</v>
          </cell>
          <cell r="CS5304" t="str">
            <v xml:space="preserve">NFT-/XUTR/DEUTH02432567146X </v>
          </cell>
          <cell r="CT5304" t="str">
            <v>2024-11-20</v>
          </cell>
          <cell r="CU5304">
            <v>-2069.2600000000002</v>
          </cell>
        </row>
        <row r="5305">
          <cell r="CJ5305" t="str">
            <v xml:space="preserve">NFT-/XUTR/DEUTH02430980595X </v>
          </cell>
          <cell r="CK5305" t="str">
            <v>2024-11-04</v>
          </cell>
          <cell r="CL5305">
            <v>15384.554</v>
          </cell>
          <cell r="CP5305" t="str">
            <v xml:space="preserve">NFT-/XUTR/DEUTH024309A02A3X </v>
          </cell>
          <cell r="CQ5305" t="str">
            <v>2024-11-04</v>
          </cell>
          <cell r="CR5305">
            <v>1455.8620000000001</v>
          </cell>
        </row>
        <row r="5306">
          <cell r="CJ5306" t="str">
            <v xml:space="preserve">NFT-/XUTR/DEUTH02430980595X </v>
          </cell>
          <cell r="CK5306" t="str">
            <v>2024-11-04</v>
          </cell>
          <cell r="CL5306">
            <v>15384.554</v>
          </cell>
          <cell r="CP5306" t="str">
            <v xml:space="preserve">NFT-/XUTR/DEUTH024309A02A3X </v>
          </cell>
          <cell r="CQ5306" t="str">
            <v>2024-11-04</v>
          </cell>
          <cell r="CR5306">
            <v>1455.8620000000001</v>
          </cell>
        </row>
        <row r="5307">
          <cell r="CJ5307" t="str">
            <v xml:space="preserve">NFT-/XUTR/DEUTH02430980595X </v>
          </cell>
          <cell r="CK5307" t="str">
            <v>2024-11-04</v>
          </cell>
          <cell r="CL5307">
            <v>15384.554</v>
          </cell>
          <cell r="CP5307" t="str">
            <v xml:space="preserve">NFT-/XUTR/DEUTH024309A02A3X </v>
          </cell>
          <cell r="CQ5307" t="str">
            <v>2024-11-04</v>
          </cell>
          <cell r="CR5307">
            <v>1455.8620000000001</v>
          </cell>
        </row>
        <row r="5308">
          <cell r="CJ5308" t="str">
            <v xml:space="preserve">NFT-/XUTR/DEUTH02430980595X </v>
          </cell>
          <cell r="CK5308" t="str">
            <v>2024-11-04</v>
          </cell>
          <cell r="CL5308">
            <v>15384.554</v>
          </cell>
          <cell r="CP5308" t="str">
            <v xml:space="preserve">NFT-/XUTR/DEUTH024309A02A3X </v>
          </cell>
          <cell r="CQ5308" t="str">
            <v>2024-11-04</v>
          </cell>
          <cell r="CR5308">
            <v>1455.8620000000001</v>
          </cell>
        </row>
        <row r="5309">
          <cell r="CJ5309" t="str">
            <v xml:space="preserve">NFT-/XUTR/DEUTH02430980595X </v>
          </cell>
          <cell r="CK5309" t="str">
            <v>2024-11-04</v>
          </cell>
          <cell r="CL5309">
            <v>15384.554</v>
          </cell>
          <cell r="CP5309" t="str">
            <v xml:space="preserve">NFT-/XUTR/DEUTH024309A02A3X </v>
          </cell>
          <cell r="CQ5309" t="str">
            <v>2024-11-04</v>
          </cell>
          <cell r="CR5309">
            <v>1455.8620000000001</v>
          </cell>
        </row>
        <row r="5310">
          <cell r="CJ5310" t="str">
            <v xml:space="preserve">NFT-/XUTR/DEUTH02430980595X </v>
          </cell>
          <cell r="CK5310" t="str">
            <v>2024-11-04</v>
          </cell>
          <cell r="CL5310">
            <v>15365.674000000001</v>
          </cell>
          <cell r="CP5310" t="str">
            <v xml:space="preserve">NFT-/XUTR/DEUTH024309A02A3X </v>
          </cell>
          <cell r="CQ5310" t="str">
            <v>2024-11-04</v>
          </cell>
          <cell r="CR5310">
            <v>1455.8620000000001</v>
          </cell>
        </row>
        <row r="5311">
          <cell r="CJ5311" t="str">
            <v xml:space="preserve">NFT-/XUTR/DEUTH02430980595X </v>
          </cell>
          <cell r="CK5311" t="str">
            <v>2024-11-04</v>
          </cell>
          <cell r="CL5311">
            <v>7687.4579999999996</v>
          </cell>
          <cell r="CP5311" t="str">
            <v xml:space="preserve">NFT-/XUTR/DEUTH024309A02A3X </v>
          </cell>
          <cell r="CQ5311" t="str">
            <v>2024-11-04</v>
          </cell>
          <cell r="CR5311">
            <v>864.78</v>
          </cell>
        </row>
        <row r="5312">
          <cell r="CJ5312" t="str">
            <v xml:space="preserve">NFT-/XUTR/DEUTH02430980595X </v>
          </cell>
          <cell r="CK5312" t="str">
            <v>2024-11-04</v>
          </cell>
          <cell r="CL5312">
            <v>7706.3370000000004</v>
          </cell>
          <cell r="CP5312" t="str">
            <v xml:space="preserve">NFT-/XUTR/DEUTH024309A02A3X </v>
          </cell>
          <cell r="CQ5312" t="str">
            <v>2024-11-04</v>
          </cell>
          <cell r="CR5312">
            <v>864.779</v>
          </cell>
        </row>
        <row r="5313">
          <cell r="CJ5313" t="str">
            <v xml:space="preserve">NFT-/XUTR/DEUTH02430980595X </v>
          </cell>
          <cell r="CK5313" t="str">
            <v>2024-11-04</v>
          </cell>
          <cell r="CL5313">
            <v>15384.554</v>
          </cell>
          <cell r="CP5313" t="str">
            <v xml:space="preserve">NFT-/XUTR/DEUTH024309A02A3X </v>
          </cell>
          <cell r="CQ5313" t="str">
            <v>2024-11-04</v>
          </cell>
          <cell r="CR5313">
            <v>1455.8620000000001</v>
          </cell>
        </row>
        <row r="5314">
          <cell r="CJ5314" t="str">
            <v xml:space="preserve">NFT-/XUTR/DEUTH02430980595X </v>
          </cell>
          <cell r="CK5314" t="str">
            <v>2024-11-04</v>
          </cell>
          <cell r="CL5314">
            <v>15384.554</v>
          </cell>
          <cell r="CP5314" t="str">
            <v xml:space="preserve">NFT-/XUTR/DEUTH024309A02A3X </v>
          </cell>
          <cell r="CQ5314" t="str">
            <v>2024-11-04</v>
          </cell>
          <cell r="CR5314">
            <v>1455.8620000000001</v>
          </cell>
        </row>
        <row r="5315">
          <cell r="CJ5315" t="str">
            <v xml:space="preserve">NFT-/XUTR/DEUTH02430980595X </v>
          </cell>
          <cell r="CK5315" t="str">
            <v>2024-11-04</v>
          </cell>
          <cell r="CL5315">
            <v>10510.329</v>
          </cell>
          <cell r="CP5315" t="str">
            <v xml:space="preserve">NFT-/XUTR/DEUTH024309A02A3X </v>
          </cell>
          <cell r="CQ5315" t="str">
            <v>2024-11-04</v>
          </cell>
          <cell r="CR5315">
            <v>1176.3399999999999</v>
          </cell>
        </row>
        <row r="5316">
          <cell r="CJ5316" t="str">
            <v xml:space="preserve">NFT-/XUTR/DEUTH02430980595X </v>
          </cell>
          <cell r="CK5316" t="str">
            <v>2024-11-04</v>
          </cell>
          <cell r="CL5316">
            <v>7706.3379999999997</v>
          </cell>
          <cell r="CP5316" t="str">
            <v xml:space="preserve">NFT-/XUTR/DEUTH024309A02A3X </v>
          </cell>
          <cell r="CQ5316" t="str">
            <v>2024-11-04</v>
          </cell>
          <cell r="CR5316">
            <v>864.78</v>
          </cell>
        </row>
        <row r="5317">
          <cell r="CJ5317" t="str">
            <v xml:space="preserve">NFT-/XUTR/DEUTH02430980595X </v>
          </cell>
          <cell r="CK5317" t="str">
            <v>2024-11-04</v>
          </cell>
          <cell r="CL5317">
            <v>7706.3379999999997</v>
          </cell>
          <cell r="CP5317" t="str">
            <v xml:space="preserve">NFT-/XUTR/DEUTH024309A02A3X </v>
          </cell>
          <cell r="CQ5317" t="str">
            <v>2024-11-04</v>
          </cell>
          <cell r="CR5317">
            <v>864.78</v>
          </cell>
        </row>
        <row r="5318">
          <cell r="CJ5318" t="str">
            <v xml:space="preserve">NFT-/XUTR/DEUTH02430980595X </v>
          </cell>
          <cell r="CK5318" t="str">
            <v>2024-11-04</v>
          </cell>
          <cell r="CL5318">
            <v>15365.674000000001</v>
          </cell>
          <cell r="CM5318" t="str">
            <v xml:space="preserve">NFT-/XUTR/DEUTH02431839302X </v>
          </cell>
          <cell r="CN5318" t="str">
            <v>2024-11-13</v>
          </cell>
          <cell r="CO5318">
            <v>-15365.674000000001</v>
          </cell>
          <cell r="CP5318" t="str">
            <v xml:space="preserve">NFT-/XUTR/DEUTH024309A02A3X </v>
          </cell>
          <cell r="CQ5318" t="str">
            <v>2024-11-04</v>
          </cell>
          <cell r="CR5318">
            <v>1455.8620000000001</v>
          </cell>
          <cell r="CS5318" t="str">
            <v xml:space="preserve">NFT-/XUTR/DEUTH02431843558X </v>
          </cell>
          <cell r="CT5318" t="str">
            <v>2024-11-13</v>
          </cell>
          <cell r="CU5318">
            <v>-1455.8620000000001</v>
          </cell>
        </row>
        <row r="5319">
          <cell r="CJ5319" t="str">
            <v xml:space="preserve">NFT-/XUTR/DEUTH02430980595X </v>
          </cell>
          <cell r="CK5319" t="str">
            <v>2024-11-04</v>
          </cell>
          <cell r="CL5319">
            <v>15536.94</v>
          </cell>
          <cell r="CP5319" t="str">
            <v xml:space="preserve">NFT-/XUTR/DEUTH024309A02A3X </v>
          </cell>
          <cell r="CQ5319" t="str">
            <v>2024-11-04</v>
          </cell>
          <cell r="CR5319">
            <v>1303.4760000000001</v>
          </cell>
        </row>
        <row r="5320">
          <cell r="CJ5320" t="str">
            <v xml:space="preserve">NFT-/XUTR/DEUTH02430980595X </v>
          </cell>
          <cell r="CK5320" t="str">
            <v>2024-11-04</v>
          </cell>
          <cell r="CL5320">
            <v>7687.4579999999996</v>
          </cell>
          <cell r="CP5320" t="str">
            <v xml:space="preserve">NFT-/XUTR/DEUTH024309A02A3X </v>
          </cell>
          <cell r="CQ5320" t="str">
            <v>2024-11-04</v>
          </cell>
          <cell r="CR5320">
            <v>864.78</v>
          </cell>
        </row>
        <row r="5321">
          <cell r="CJ5321" t="str">
            <v xml:space="preserve">NFT-/XUTR/DEUTH02430980595X </v>
          </cell>
          <cell r="CK5321" t="str">
            <v>2024-11-04</v>
          </cell>
          <cell r="CL5321">
            <v>15365.674000000001</v>
          </cell>
          <cell r="CP5321" t="str">
            <v xml:space="preserve">NFT-/XUTR/DEUTH024309A02A3X </v>
          </cell>
          <cell r="CQ5321" t="str">
            <v>2024-11-04</v>
          </cell>
          <cell r="CR5321">
            <v>1455.8620000000001</v>
          </cell>
        </row>
        <row r="5322">
          <cell r="CJ5322" t="str">
            <v xml:space="preserve">NFT-/XUTR/DEUTH02430980595X </v>
          </cell>
          <cell r="CK5322" t="str">
            <v>2024-11-04</v>
          </cell>
          <cell r="CL5322">
            <v>15384.554</v>
          </cell>
          <cell r="CP5322" t="str">
            <v xml:space="preserve">NFT-/XUTR/DEUTH024309A02A3X </v>
          </cell>
          <cell r="CQ5322" t="str">
            <v>2024-11-04</v>
          </cell>
          <cell r="CR5322">
            <v>1455.8620000000001</v>
          </cell>
        </row>
        <row r="5323">
          <cell r="CJ5323" t="str">
            <v xml:space="preserve">NFT-/XUTR/DEUTH02430980595X </v>
          </cell>
          <cell r="CK5323" t="str">
            <v>2024-11-04</v>
          </cell>
          <cell r="CL5323">
            <v>15384.554</v>
          </cell>
          <cell r="CP5323" t="str">
            <v xml:space="preserve">NFT-/XUTR/DEUTH024309A02A3X </v>
          </cell>
          <cell r="CQ5323" t="str">
            <v>2024-11-04</v>
          </cell>
          <cell r="CR5323">
            <v>1455.8620000000001</v>
          </cell>
        </row>
        <row r="5324">
          <cell r="CJ5324" t="str">
            <v xml:space="preserve">NFT-/XUTR/DEUTH02430980595X </v>
          </cell>
          <cell r="CK5324" t="str">
            <v>2024-11-04</v>
          </cell>
          <cell r="CL5324">
            <v>15384.554</v>
          </cell>
          <cell r="CP5324" t="str">
            <v xml:space="preserve">NFT-/XUTR/DEUTH024309A02A3X </v>
          </cell>
          <cell r="CQ5324" t="str">
            <v>2024-11-04</v>
          </cell>
          <cell r="CR5324">
            <v>1455.8620000000001</v>
          </cell>
        </row>
        <row r="5325">
          <cell r="CJ5325" t="str">
            <v xml:space="preserve">NFT-/XUTR/DEUTH02430980595X </v>
          </cell>
          <cell r="CK5325" t="str">
            <v>2024-11-04</v>
          </cell>
          <cell r="CL5325">
            <v>10510.328</v>
          </cell>
          <cell r="CP5325" t="str">
            <v xml:space="preserve">NFT-/XUTR/DEUTH024309A02A3X </v>
          </cell>
          <cell r="CQ5325" t="str">
            <v>2024-11-04</v>
          </cell>
          <cell r="CR5325">
            <v>1176.3389999999999</v>
          </cell>
        </row>
        <row r="5326">
          <cell r="CJ5326" t="str">
            <v xml:space="preserve">NFT-/XUTR/DEUTH02430980595X </v>
          </cell>
          <cell r="CK5326" t="str">
            <v>2024-11-04</v>
          </cell>
          <cell r="CL5326">
            <v>15384.554</v>
          </cell>
          <cell r="CP5326" t="str">
            <v xml:space="preserve">NFT-/XUTR/DEUTH024309A02A3X </v>
          </cell>
          <cell r="CQ5326" t="str">
            <v>2024-11-04</v>
          </cell>
          <cell r="CR5326">
            <v>1455.8620000000001</v>
          </cell>
        </row>
        <row r="5327">
          <cell r="CJ5327" t="str">
            <v xml:space="preserve">NFT-/XUTR/DEUTH02430980595X </v>
          </cell>
          <cell r="CK5327" t="str">
            <v>2024-11-04</v>
          </cell>
          <cell r="CL5327">
            <v>7706.3379999999997</v>
          </cell>
          <cell r="CM5327" t="str">
            <v xml:space="preserve">NFT-/XUTR/DEUTH02432540165X </v>
          </cell>
          <cell r="CN5327" t="str">
            <v>2024-11-20</v>
          </cell>
          <cell r="CO5327">
            <v>-7706.3379999999997</v>
          </cell>
          <cell r="CP5327" t="str">
            <v xml:space="preserve">NFT-/XUTR/DEUTH024309A02A3X </v>
          </cell>
          <cell r="CQ5327" t="str">
            <v>2024-11-04</v>
          </cell>
          <cell r="CR5327">
            <v>864.78</v>
          </cell>
          <cell r="CS5327" t="str">
            <v xml:space="preserve">NFT-/XUTR/DEUTH02432567146X </v>
          </cell>
          <cell r="CT5327" t="str">
            <v>2024-11-20</v>
          </cell>
          <cell r="CU5327">
            <v>-864.78</v>
          </cell>
        </row>
        <row r="5328">
          <cell r="CJ5328" t="str">
            <v xml:space="preserve">NFT-/XUTR/DEUTH02430980595X </v>
          </cell>
          <cell r="CK5328" t="str">
            <v>2024-11-04</v>
          </cell>
          <cell r="CL5328">
            <v>7706.3370000000004</v>
          </cell>
          <cell r="CP5328" t="str">
            <v xml:space="preserve">NFT-/XUTR/DEUTH024309A02A3X </v>
          </cell>
          <cell r="CQ5328" t="str">
            <v>2024-11-04</v>
          </cell>
          <cell r="CR5328">
            <v>864.779</v>
          </cell>
        </row>
        <row r="5329">
          <cell r="CJ5329" t="str">
            <v xml:space="preserve">NFT-/XUTR/DEUTH02430980595X </v>
          </cell>
          <cell r="CK5329" t="str">
            <v>2024-11-04</v>
          </cell>
          <cell r="CL5329">
            <v>15365.674000000001</v>
          </cell>
          <cell r="CP5329" t="str">
            <v xml:space="preserve">NFT-/XUTR/DEUTH024309A02A3X </v>
          </cell>
          <cell r="CQ5329" t="str">
            <v>2024-11-04</v>
          </cell>
          <cell r="CR5329">
            <v>1455.8620000000001</v>
          </cell>
        </row>
        <row r="5330">
          <cell r="CJ5330" t="str">
            <v xml:space="preserve">NFT-/XUTR/DEUTH02430980595X </v>
          </cell>
          <cell r="CK5330" t="str">
            <v>2024-11-04</v>
          </cell>
          <cell r="CL5330">
            <v>15365.674000000001</v>
          </cell>
          <cell r="CP5330" t="str">
            <v xml:space="preserve">NFT-/XUTR/DEUTH024309A02A3X </v>
          </cell>
          <cell r="CQ5330" t="str">
            <v>2024-11-04</v>
          </cell>
          <cell r="CR5330">
            <v>1455.8620000000001</v>
          </cell>
        </row>
        <row r="5331">
          <cell r="CJ5331" t="str">
            <v xml:space="preserve">NFT-/XUTR/DEUTH02430980595X </v>
          </cell>
          <cell r="CK5331" t="str">
            <v>2024-11-04</v>
          </cell>
          <cell r="CL5331">
            <v>7687.4579999999996</v>
          </cell>
          <cell r="CP5331" t="str">
            <v xml:space="preserve">NFT-/XUTR/DEUTH024309A02A3X </v>
          </cell>
          <cell r="CQ5331" t="str">
            <v>2024-11-04</v>
          </cell>
          <cell r="CR5331">
            <v>864.78</v>
          </cell>
        </row>
        <row r="5332">
          <cell r="CJ5332" t="str">
            <v xml:space="preserve">NFT-/XUTR/DEUTH02430980595X </v>
          </cell>
          <cell r="CK5332" t="str">
            <v>2024-11-04</v>
          </cell>
          <cell r="CL5332">
            <v>7980.0450000000001</v>
          </cell>
          <cell r="CP5332" t="str">
            <v xml:space="preserve">NFT-/XUTR/DEUTH024309A02A3X </v>
          </cell>
          <cell r="CQ5332" t="str">
            <v>2024-11-04</v>
          </cell>
          <cell r="CR5332">
            <v>591.08299999999997</v>
          </cell>
        </row>
        <row r="5333">
          <cell r="CJ5333" t="str">
            <v xml:space="preserve">NFT-/XUTR/DEUTH02430980595X </v>
          </cell>
          <cell r="CK5333" t="str">
            <v>2024-11-04</v>
          </cell>
          <cell r="CL5333">
            <v>15365.674000000001</v>
          </cell>
          <cell r="CP5333" t="str">
            <v xml:space="preserve">NFT-/XUTR/DEUTH024309A02A3X </v>
          </cell>
          <cell r="CQ5333" t="str">
            <v>2024-11-04</v>
          </cell>
          <cell r="CR5333">
            <v>1455.8620000000001</v>
          </cell>
        </row>
        <row r="5334">
          <cell r="CJ5334" t="str">
            <v xml:space="preserve">NFT-/XUTR/DEUTH02430980595X </v>
          </cell>
          <cell r="CK5334" t="str">
            <v>2024-11-04</v>
          </cell>
          <cell r="CL5334">
            <v>15384.554</v>
          </cell>
          <cell r="CP5334" t="str">
            <v xml:space="preserve">NFT-/XUTR/DEUTH024309A02A3X </v>
          </cell>
          <cell r="CQ5334" t="str">
            <v>2024-11-04</v>
          </cell>
          <cell r="CR5334">
            <v>1455.8620000000001</v>
          </cell>
        </row>
        <row r="5335">
          <cell r="CJ5335" t="str">
            <v xml:space="preserve">NFT-/XUTR/DEUTH02430980595X </v>
          </cell>
          <cell r="CK5335" t="str">
            <v>2024-11-04</v>
          </cell>
          <cell r="CL5335">
            <v>15365.674000000001</v>
          </cell>
          <cell r="CP5335" t="str">
            <v xml:space="preserve">NFT-/XUTR/DEUTH024309A02A3X </v>
          </cell>
          <cell r="CQ5335" t="str">
            <v>2024-11-04</v>
          </cell>
          <cell r="CR5335">
            <v>1455.8620000000001</v>
          </cell>
        </row>
        <row r="5336">
          <cell r="CJ5336" t="str">
            <v xml:space="preserve">NFT-/XUTR/DEUTH02430980595X </v>
          </cell>
          <cell r="CK5336" t="str">
            <v>2024-11-04</v>
          </cell>
          <cell r="CL5336">
            <v>7706.3379999999997</v>
          </cell>
          <cell r="CP5336" t="str">
            <v xml:space="preserve">NFT-/XUTR/DEUTH024309A02A3X </v>
          </cell>
          <cell r="CQ5336" t="str">
            <v>2024-11-04</v>
          </cell>
          <cell r="CR5336">
            <v>864.78</v>
          </cell>
        </row>
        <row r="5337">
          <cell r="CJ5337" t="str">
            <v xml:space="preserve">NFT-/XUTR/DEUTH02430980595X </v>
          </cell>
          <cell r="CK5337" t="str">
            <v>2024-11-04</v>
          </cell>
          <cell r="CL5337">
            <v>15384.554</v>
          </cell>
          <cell r="CP5337" t="str">
            <v xml:space="preserve">NFT-/XUTR/DEUTH024309A02A3X </v>
          </cell>
          <cell r="CQ5337" t="str">
            <v>2024-11-04</v>
          </cell>
          <cell r="CR5337">
            <v>1455.8620000000001</v>
          </cell>
        </row>
        <row r="5338">
          <cell r="CJ5338" t="str">
            <v xml:space="preserve">NFT-/XUTR/DEUTH02430980595X </v>
          </cell>
          <cell r="CK5338" t="str">
            <v>2024-11-04</v>
          </cell>
          <cell r="CL5338">
            <v>7706.3379999999997</v>
          </cell>
          <cell r="CP5338" t="str">
            <v xml:space="preserve">NFT-/XUTR/DEUTH024309A02A3X </v>
          </cell>
          <cell r="CQ5338" t="str">
            <v>2024-11-04</v>
          </cell>
          <cell r="CR5338">
            <v>864.78</v>
          </cell>
        </row>
        <row r="5339">
          <cell r="CJ5339" t="str">
            <v xml:space="preserve">NFT-/XUTR/DEUTH02430980595X </v>
          </cell>
          <cell r="CK5339" t="str">
            <v>2024-11-04</v>
          </cell>
          <cell r="CL5339">
            <v>10807.325999999999</v>
          </cell>
          <cell r="CM5339" t="str">
            <v xml:space="preserve">NFT-/XUTR/DEUTH02432045075X </v>
          </cell>
          <cell r="CN5339" t="str">
            <v>2024-11-15</v>
          </cell>
          <cell r="CO5339">
            <v>-10807.325999999999</v>
          </cell>
          <cell r="CP5339" t="str">
            <v xml:space="preserve">NFT-/XUTR/DEUTH024309A02A3X </v>
          </cell>
          <cell r="CQ5339" t="str">
            <v>2024-11-04</v>
          </cell>
          <cell r="CR5339">
            <v>1209.3309999999999</v>
          </cell>
          <cell r="CS5339" t="str">
            <v xml:space="preserve">NFT-/XUTR/DEUTH02432059153X </v>
          </cell>
          <cell r="CT5339" t="str">
            <v>2024-11-15</v>
          </cell>
          <cell r="CU5339">
            <v>-1209.3309999999999</v>
          </cell>
        </row>
        <row r="5340">
          <cell r="CJ5340" t="str">
            <v xml:space="preserve">NFT-/XUTR/DEUTH02430980595X </v>
          </cell>
          <cell r="CK5340" t="str">
            <v>2024-11-04</v>
          </cell>
          <cell r="CL5340">
            <v>14788.18</v>
          </cell>
          <cell r="CP5340" t="str">
            <v xml:space="preserve">NFT-/XUTR/DEUTH024309A02A3X </v>
          </cell>
          <cell r="CQ5340" t="str">
            <v>2024-11-04</v>
          </cell>
          <cell r="CR5340">
            <v>2033.356</v>
          </cell>
        </row>
        <row r="5341">
          <cell r="CJ5341" t="str">
            <v xml:space="preserve">NFT-/XUTR/DEUTH02430980595X </v>
          </cell>
          <cell r="CK5341" t="str">
            <v>2024-11-04</v>
          </cell>
          <cell r="CL5341">
            <v>15384.554</v>
          </cell>
          <cell r="CM5341" t="str">
            <v xml:space="preserve">NFT-/XUTR/DEUTH02432540165X </v>
          </cell>
          <cell r="CN5341" t="str">
            <v>2024-11-20</v>
          </cell>
          <cell r="CO5341">
            <v>-15384.554</v>
          </cell>
          <cell r="CP5341" t="str">
            <v xml:space="preserve">NFT-/XUTR/DEUTH024309A02A3X </v>
          </cell>
          <cell r="CQ5341" t="str">
            <v>2024-11-04</v>
          </cell>
          <cell r="CR5341">
            <v>1455.8620000000001</v>
          </cell>
          <cell r="CS5341" t="str">
            <v xml:space="preserve">NFT-/XUTR/DEUTH02432567146X </v>
          </cell>
          <cell r="CT5341" t="str">
            <v>2024-11-20</v>
          </cell>
          <cell r="CU5341">
            <v>-1455.8620000000001</v>
          </cell>
        </row>
        <row r="5342">
          <cell r="CJ5342" t="str">
            <v xml:space="preserve">NFT-/XUTR/DEUTH02430980595X </v>
          </cell>
          <cell r="CK5342" t="str">
            <v>2024-11-04</v>
          </cell>
          <cell r="CL5342">
            <v>7706.3379999999997</v>
          </cell>
          <cell r="CP5342" t="str">
            <v xml:space="preserve">NFT-/XUTR/DEUTH024309A02A3X </v>
          </cell>
          <cell r="CQ5342" t="str">
            <v>2024-11-04</v>
          </cell>
          <cell r="CR5342">
            <v>864.78</v>
          </cell>
        </row>
        <row r="5343">
          <cell r="CJ5343" t="str">
            <v xml:space="preserve">NFT-/XUTR/DEUTH02430980595X </v>
          </cell>
          <cell r="CK5343" t="str">
            <v>2024-11-04</v>
          </cell>
          <cell r="CL5343">
            <v>7706.3379999999997</v>
          </cell>
          <cell r="CP5343" t="str">
            <v xml:space="preserve">NFT-/XUTR/DEUTH024309A02A3X </v>
          </cell>
          <cell r="CQ5343" t="str">
            <v>2024-11-04</v>
          </cell>
          <cell r="CR5343">
            <v>864.78</v>
          </cell>
        </row>
        <row r="5344">
          <cell r="CJ5344" t="str">
            <v xml:space="preserve">NFT-/XUTR/DEUTH02430980595X </v>
          </cell>
          <cell r="CK5344" t="str">
            <v>2024-11-04</v>
          </cell>
          <cell r="CL5344">
            <v>15384.554</v>
          </cell>
          <cell r="CP5344" t="str">
            <v xml:space="preserve">NFT-/XUTR/DEUTH024309A02A3X </v>
          </cell>
          <cell r="CQ5344" t="str">
            <v>2024-11-04</v>
          </cell>
          <cell r="CR5344">
            <v>1455.8620000000001</v>
          </cell>
        </row>
        <row r="5345">
          <cell r="CJ5345" t="str">
            <v xml:space="preserve">NFT-/XUTR/DEUTH02430980595X </v>
          </cell>
          <cell r="CK5345" t="str">
            <v>2024-11-04</v>
          </cell>
          <cell r="CL5345">
            <v>15384.554</v>
          </cell>
          <cell r="CP5345" t="str">
            <v xml:space="preserve">NFT-/XUTR/DEUTH024309A02A3X </v>
          </cell>
          <cell r="CQ5345" t="str">
            <v>2024-11-04</v>
          </cell>
          <cell r="CR5345">
            <v>1455.8620000000001</v>
          </cell>
        </row>
        <row r="5346">
          <cell r="CJ5346" t="str">
            <v xml:space="preserve">NFT-/XUTR/DEUTH02430980595X </v>
          </cell>
          <cell r="CK5346" t="str">
            <v>2024-11-04</v>
          </cell>
          <cell r="CL5346">
            <v>15667.502</v>
          </cell>
          <cell r="CP5346" t="str">
            <v xml:space="preserve">NFT-/XUTR/DEUTH024309A02A3X </v>
          </cell>
          <cell r="CQ5346" t="str">
            <v>2024-11-04</v>
          </cell>
          <cell r="CR5346">
            <v>1455.8620000000001</v>
          </cell>
        </row>
        <row r="5347">
          <cell r="CJ5347" t="str">
            <v xml:space="preserve">NFT-/XUTR/DEUTH02430980595X </v>
          </cell>
          <cell r="CK5347" t="str">
            <v>2024-11-04</v>
          </cell>
          <cell r="CL5347">
            <v>7706.3379999999997</v>
          </cell>
          <cell r="CP5347" t="str">
            <v xml:space="preserve">NFT-/XUTR/DEUTH024309A02A3X </v>
          </cell>
          <cell r="CQ5347" t="str">
            <v>2024-11-04</v>
          </cell>
          <cell r="CR5347">
            <v>864.78</v>
          </cell>
        </row>
        <row r="5348">
          <cell r="CJ5348" t="str">
            <v xml:space="preserve">NFT-/XUTR/DEUTH02430980595X </v>
          </cell>
          <cell r="CK5348" t="str">
            <v>2024-11-04</v>
          </cell>
          <cell r="CL5348">
            <v>14519.334000000001</v>
          </cell>
          <cell r="CP5348" t="str">
            <v xml:space="preserve">NFT-/XUTR/DEUTH024309A02A3X </v>
          </cell>
          <cell r="CQ5348" t="str">
            <v>2024-11-04</v>
          </cell>
          <cell r="CR5348">
            <v>2302.2020000000002</v>
          </cell>
        </row>
        <row r="5349">
          <cell r="CJ5349" t="str">
            <v xml:space="preserve">NFT-/XUTR/DEUTH02430980595X </v>
          </cell>
          <cell r="CK5349" t="str">
            <v>2024-11-04</v>
          </cell>
          <cell r="CL5349">
            <v>7706.3379999999997</v>
          </cell>
          <cell r="CP5349" t="str">
            <v xml:space="preserve">NFT-/XUTR/DEUTH024309A02A3X </v>
          </cell>
          <cell r="CQ5349" t="str">
            <v>2024-11-04</v>
          </cell>
          <cell r="CR5349">
            <v>864.78</v>
          </cell>
        </row>
        <row r="5350">
          <cell r="CJ5350" t="str">
            <v xml:space="preserve">NFT-/XUTR/DEUTH02430980595X </v>
          </cell>
          <cell r="CK5350" t="str">
            <v>2024-11-04</v>
          </cell>
          <cell r="CL5350">
            <v>14885.237999999999</v>
          </cell>
          <cell r="CM5350" t="str">
            <v xml:space="preserve">NFT-/XUTR/DEUTH02431649943X </v>
          </cell>
          <cell r="CN5350" t="str">
            <v>2024-11-11</v>
          </cell>
          <cell r="CO5350">
            <v>-14885.237999999999</v>
          </cell>
          <cell r="CP5350" t="str">
            <v xml:space="preserve">NFT-/XUTR/DEUTH024309A02A3X </v>
          </cell>
          <cell r="CQ5350" t="str">
            <v>2024-11-04</v>
          </cell>
          <cell r="CR5350">
            <v>1936.298</v>
          </cell>
          <cell r="CS5350" t="str">
            <v xml:space="preserve">NFT-/XUTR/DEUTH02431658955X </v>
          </cell>
          <cell r="CT5350" t="str">
            <v>2024-11-11</v>
          </cell>
          <cell r="CU5350">
            <v>-1936.298</v>
          </cell>
        </row>
        <row r="5351">
          <cell r="CJ5351" t="str">
            <v xml:space="preserve">NFT-/XUTR/DEUTH02430980595X </v>
          </cell>
          <cell r="CK5351" t="str">
            <v>2024-11-04</v>
          </cell>
          <cell r="CL5351">
            <v>15384.554</v>
          </cell>
          <cell r="CP5351" t="str">
            <v xml:space="preserve">NFT-/XUTR/DEUTH024309A02A3X </v>
          </cell>
          <cell r="CQ5351" t="str">
            <v>2024-11-04</v>
          </cell>
          <cell r="CR5351">
            <v>1455.8620000000001</v>
          </cell>
        </row>
        <row r="5352">
          <cell r="CJ5352" t="str">
            <v xml:space="preserve">NFT-/XUTR/DEUTH02430980595X </v>
          </cell>
          <cell r="CK5352" t="str">
            <v>2024-11-04</v>
          </cell>
          <cell r="CL5352">
            <v>15365.674000000001</v>
          </cell>
          <cell r="CP5352" t="str">
            <v xml:space="preserve">NFT-/XUTR/DEUTH024309A02A3X </v>
          </cell>
          <cell r="CQ5352" t="str">
            <v>2024-11-04</v>
          </cell>
          <cell r="CR5352">
            <v>1455.8620000000001</v>
          </cell>
        </row>
        <row r="5353">
          <cell r="CJ5353" t="str">
            <v xml:space="preserve">NFT-/XUTR/DEUTH02430980595X </v>
          </cell>
          <cell r="CK5353" t="str">
            <v>2024-11-04</v>
          </cell>
          <cell r="CL5353">
            <v>15384.554</v>
          </cell>
          <cell r="CP5353" t="str">
            <v xml:space="preserve">NFT-/XUTR/DEUTH024309A02A3X </v>
          </cell>
          <cell r="CQ5353" t="str">
            <v>2024-11-04</v>
          </cell>
          <cell r="CR5353">
            <v>1455.8620000000001</v>
          </cell>
        </row>
        <row r="5354">
          <cell r="CJ5354" t="str">
            <v xml:space="preserve">NFT-/XUTR/DEUTH02430980595X </v>
          </cell>
          <cell r="CK5354" t="str">
            <v>2024-11-04</v>
          </cell>
          <cell r="CL5354">
            <v>7687.4579999999996</v>
          </cell>
          <cell r="CM5354" t="str">
            <v xml:space="preserve">NFT-/XUTR/DEUTH02431839302X </v>
          </cell>
          <cell r="CN5354" t="str">
            <v>2024-11-13</v>
          </cell>
          <cell r="CO5354">
            <v>-7687.4579999999996</v>
          </cell>
          <cell r="CP5354" t="str">
            <v xml:space="preserve">NFT-/XUTR/DEUTH024309A02A3X </v>
          </cell>
          <cell r="CQ5354" t="str">
            <v>2024-11-04</v>
          </cell>
          <cell r="CR5354">
            <v>864.78</v>
          </cell>
          <cell r="CS5354" t="str">
            <v xml:space="preserve">NFT-/XUTR/DEUTH02431843558X </v>
          </cell>
          <cell r="CT5354" t="str">
            <v>2024-11-13</v>
          </cell>
          <cell r="CU5354">
            <v>-864.78</v>
          </cell>
        </row>
        <row r="5355">
          <cell r="CJ5355" t="str">
            <v xml:space="preserve">NFT-/XUTR/DEUTH02430980595X </v>
          </cell>
          <cell r="CK5355" t="str">
            <v>2024-11-04</v>
          </cell>
          <cell r="CL5355">
            <v>15384.554</v>
          </cell>
          <cell r="CP5355" t="str">
            <v xml:space="preserve">NFT-/XUTR/DEUTH024309A02A3X </v>
          </cell>
          <cell r="CQ5355" t="str">
            <v>2024-11-04</v>
          </cell>
          <cell r="CR5355">
            <v>1455.8620000000001</v>
          </cell>
        </row>
        <row r="5356">
          <cell r="CJ5356" t="str">
            <v xml:space="preserve">NFT-/XUTR/DEUTH02430980595X </v>
          </cell>
          <cell r="CK5356" t="str">
            <v>2024-11-04</v>
          </cell>
          <cell r="CL5356">
            <v>15384.554</v>
          </cell>
          <cell r="CP5356" t="str">
            <v xml:space="preserve">NFT-/XUTR/DEUTH024309A02A3X </v>
          </cell>
          <cell r="CQ5356" t="str">
            <v>2024-11-04</v>
          </cell>
          <cell r="CR5356">
            <v>1455.8620000000001</v>
          </cell>
        </row>
        <row r="5357">
          <cell r="CJ5357" t="str">
            <v xml:space="preserve">NFT-/XUTR/DEUTH02430980595X </v>
          </cell>
          <cell r="CK5357" t="str">
            <v>2024-11-04</v>
          </cell>
          <cell r="CL5357">
            <v>7705.3739999999998</v>
          </cell>
          <cell r="CP5357" t="str">
            <v xml:space="preserve">NFT-/XUTR/DEUTH024309A02A3X </v>
          </cell>
          <cell r="CQ5357" t="str">
            <v>2024-11-04</v>
          </cell>
          <cell r="CR5357">
            <v>865.75400000000002</v>
          </cell>
        </row>
        <row r="5358">
          <cell r="CJ5358" t="str">
            <v xml:space="preserve">NFT-/XUTR/DEUTH02430980595X </v>
          </cell>
          <cell r="CK5358" t="str">
            <v>2024-11-04</v>
          </cell>
          <cell r="CL5358">
            <v>7687.4579999999996</v>
          </cell>
          <cell r="CP5358" t="str">
            <v xml:space="preserve">NFT-/XUTR/DEUTH024309A02A3X </v>
          </cell>
          <cell r="CQ5358" t="str">
            <v>2024-11-04</v>
          </cell>
          <cell r="CR5358">
            <v>864.78</v>
          </cell>
        </row>
        <row r="5359">
          <cell r="CJ5359" t="str">
            <v xml:space="preserve">NFT-/XUTR/DEUTH02430980595X </v>
          </cell>
          <cell r="CK5359" t="str">
            <v>2024-11-04</v>
          </cell>
          <cell r="CL5359">
            <v>7687.4579999999996</v>
          </cell>
          <cell r="CP5359" t="str">
            <v xml:space="preserve">NFT-/XUTR/DEUTH024309A02A3X </v>
          </cell>
          <cell r="CQ5359" t="str">
            <v>2024-11-04</v>
          </cell>
          <cell r="CR5359">
            <v>864.78</v>
          </cell>
        </row>
        <row r="5360">
          <cell r="CJ5360" t="str">
            <v xml:space="preserve">NFT-/XUTR/DEUTH02430980595X </v>
          </cell>
          <cell r="CK5360" t="str">
            <v>2024-11-04</v>
          </cell>
          <cell r="CL5360">
            <v>15384.554</v>
          </cell>
          <cell r="CP5360" t="str">
            <v xml:space="preserve">NFT-/XUTR/DEUTH024309A02A3X </v>
          </cell>
          <cell r="CQ5360" t="str">
            <v>2024-11-04</v>
          </cell>
          <cell r="CR5360">
            <v>1455.8620000000001</v>
          </cell>
        </row>
        <row r="5361">
          <cell r="CJ5361" t="str">
            <v xml:space="preserve">NFT-/XUTR/DEUTH02430980595X </v>
          </cell>
          <cell r="CK5361" t="str">
            <v>2024-11-04</v>
          </cell>
          <cell r="CL5361">
            <v>7687.4579999999996</v>
          </cell>
          <cell r="CP5361" t="str">
            <v xml:space="preserve">NFT-/XUTR/DEUTH024309A02A3X </v>
          </cell>
          <cell r="CQ5361" t="str">
            <v>2024-11-04</v>
          </cell>
          <cell r="CR5361">
            <v>864.78</v>
          </cell>
        </row>
        <row r="5362">
          <cell r="CJ5362" t="str">
            <v xml:space="preserve">NFT-/XUTR/DEUTH02430980595X </v>
          </cell>
          <cell r="CK5362" t="str">
            <v>2024-11-04</v>
          </cell>
          <cell r="CL5362">
            <v>5233.8440000000001</v>
          </cell>
          <cell r="CP5362" t="str">
            <v xml:space="preserve">NFT-/XUTR/DEUTH024309A02A3X </v>
          </cell>
          <cell r="CQ5362" t="str">
            <v>2024-11-04</v>
          </cell>
          <cell r="CR5362">
            <v>591.08299999999997</v>
          </cell>
        </row>
        <row r="5363">
          <cell r="CJ5363" t="str">
            <v xml:space="preserve">NFT-/XUTR/DEUTH02430980595X </v>
          </cell>
          <cell r="CK5363" t="str">
            <v>2024-11-04</v>
          </cell>
          <cell r="CL5363">
            <v>126779.306</v>
          </cell>
          <cell r="CM5363" t="str">
            <v xml:space="preserve">NFT-/XUTR/DEUTH02431152062X </v>
          </cell>
          <cell r="CN5363" t="str">
            <v>2024-11-06</v>
          </cell>
          <cell r="CO5363">
            <v>-126779.306</v>
          </cell>
        </row>
        <row r="5364">
          <cell r="CJ5364" t="str">
            <v xml:space="preserve">NFT-/XUTR/DEUTH02430980595X </v>
          </cell>
          <cell r="CK5364" t="str">
            <v>2024-11-04</v>
          </cell>
          <cell r="CL5364">
            <v>10491.449000000001</v>
          </cell>
          <cell r="CM5364" t="str">
            <v xml:space="preserve">NFT-/XUTR/DEUTH02431649943X </v>
          </cell>
          <cell r="CN5364" t="str">
            <v>2024-11-11</v>
          </cell>
          <cell r="CO5364">
            <v>-10491.449000000001</v>
          </cell>
          <cell r="CP5364" t="str">
            <v xml:space="preserve">NFT-/XUTR/DEUTH024309A02A3X </v>
          </cell>
          <cell r="CQ5364" t="str">
            <v>2024-11-04</v>
          </cell>
          <cell r="CR5364">
            <v>1176.3399999999999</v>
          </cell>
          <cell r="CS5364" t="str">
            <v xml:space="preserve">NFT-/XUTR/DEUTH02431658955X </v>
          </cell>
          <cell r="CT5364" t="str">
            <v>2024-11-11</v>
          </cell>
          <cell r="CU5364">
            <v>-1176.3399999999999</v>
          </cell>
        </row>
        <row r="5365">
          <cell r="CJ5365" t="str">
            <v xml:space="preserve">NFT-/XUTR/DEUTH02430980595X </v>
          </cell>
          <cell r="CK5365" t="str">
            <v>2024-11-04</v>
          </cell>
          <cell r="CL5365">
            <v>7706.3379999999997</v>
          </cell>
          <cell r="CP5365" t="str">
            <v xml:space="preserve">NFT-/XUTR/DEUTH024309A02A3X </v>
          </cell>
          <cell r="CQ5365" t="str">
            <v>2024-11-04</v>
          </cell>
          <cell r="CR5365">
            <v>864.78</v>
          </cell>
        </row>
        <row r="5366">
          <cell r="CJ5366" t="str">
            <v xml:space="preserve">NFT-/XUTR/DEUTH02430980595X </v>
          </cell>
          <cell r="CK5366" t="str">
            <v>2024-11-04</v>
          </cell>
          <cell r="CL5366">
            <v>15384.554</v>
          </cell>
          <cell r="CP5366" t="str">
            <v xml:space="preserve">NFT-/XUTR/DEUTH024309A02A3X </v>
          </cell>
          <cell r="CQ5366" t="str">
            <v>2024-11-04</v>
          </cell>
          <cell r="CR5366">
            <v>1455.8620000000001</v>
          </cell>
        </row>
        <row r="5367">
          <cell r="CJ5367" t="str">
            <v xml:space="preserve">NFT-/XUTR/DEUTH02430980595X </v>
          </cell>
          <cell r="CK5367" t="str">
            <v>2024-11-04</v>
          </cell>
          <cell r="CL5367">
            <v>7687.4579999999996</v>
          </cell>
          <cell r="CP5367" t="str">
            <v xml:space="preserve">NFT-/XUTR/DEUTH024309A02A3X </v>
          </cell>
          <cell r="CQ5367" t="str">
            <v>2024-11-04</v>
          </cell>
          <cell r="CR5367">
            <v>864.78</v>
          </cell>
        </row>
        <row r="5368">
          <cell r="CJ5368" t="str">
            <v xml:space="preserve">NFT-/XUTR/DEUTH02430980595X </v>
          </cell>
          <cell r="CK5368" t="str">
            <v>2024-11-04</v>
          </cell>
          <cell r="CL5368">
            <v>15384.554</v>
          </cell>
          <cell r="CM5368" t="str">
            <v xml:space="preserve">NFT-/XUTR/DEUTH02432540165X </v>
          </cell>
          <cell r="CN5368" t="str">
            <v>2024-11-20</v>
          </cell>
          <cell r="CO5368">
            <v>-15384.554</v>
          </cell>
          <cell r="CP5368" t="str">
            <v xml:space="preserve">NFT-/XUTR/DEUTH024309A02A3X </v>
          </cell>
          <cell r="CQ5368" t="str">
            <v>2024-11-04</v>
          </cell>
          <cell r="CR5368">
            <v>1455.8620000000001</v>
          </cell>
          <cell r="CS5368" t="str">
            <v xml:space="preserve">NFT-/XUTR/DEUTH02432567146X </v>
          </cell>
          <cell r="CT5368" t="str">
            <v>2024-11-20</v>
          </cell>
          <cell r="CU5368">
            <v>-1455.8620000000001</v>
          </cell>
        </row>
        <row r="5369">
          <cell r="CJ5369" t="str">
            <v xml:space="preserve">NFT-/XUTR/DEUTH02430980595X </v>
          </cell>
          <cell r="CK5369" t="str">
            <v>2024-11-04</v>
          </cell>
          <cell r="CL5369">
            <v>15384.554</v>
          </cell>
          <cell r="CP5369" t="str">
            <v xml:space="preserve">NFT-/XUTR/DEUTH024309A02A3X </v>
          </cell>
          <cell r="CQ5369" t="str">
            <v>2024-11-04</v>
          </cell>
          <cell r="CR5369">
            <v>1455.8620000000001</v>
          </cell>
        </row>
        <row r="5370">
          <cell r="CJ5370" t="str">
            <v xml:space="preserve">NFT-/XUTR/DEUTH02430980595X </v>
          </cell>
          <cell r="CK5370" t="str">
            <v>2024-11-04</v>
          </cell>
          <cell r="CL5370">
            <v>15458.855</v>
          </cell>
          <cell r="CP5370" t="str">
            <v xml:space="preserve">NFT-/XUTR/DEUTH024309A02A3X </v>
          </cell>
          <cell r="CQ5370" t="str">
            <v>2024-11-04</v>
          </cell>
          <cell r="CR5370">
            <v>1362.691</v>
          </cell>
        </row>
        <row r="5371">
          <cell r="CJ5371" t="str">
            <v xml:space="preserve">NFT-/XUTR/DEUTH02430980595X </v>
          </cell>
          <cell r="CK5371" t="str">
            <v>2024-11-04</v>
          </cell>
          <cell r="CL5371">
            <v>15365.674000000001</v>
          </cell>
          <cell r="CP5371" t="str">
            <v xml:space="preserve">NFT-/XUTR/DEUTH024309A02A3X </v>
          </cell>
          <cell r="CQ5371" t="str">
            <v>2024-11-04</v>
          </cell>
          <cell r="CR5371">
            <v>1455.8620000000001</v>
          </cell>
        </row>
        <row r="5372">
          <cell r="CJ5372" t="str">
            <v xml:space="preserve">NFT-/XUTR/DEUTH02430980595X </v>
          </cell>
          <cell r="CK5372" t="str">
            <v>2024-11-04</v>
          </cell>
          <cell r="CL5372">
            <v>7322.518</v>
          </cell>
          <cell r="CP5372" t="str">
            <v xml:space="preserve">NFT-/XUTR/DEUTH024309A02A3X </v>
          </cell>
          <cell r="CQ5372" t="str">
            <v>2024-11-04</v>
          </cell>
          <cell r="CR5372">
            <v>1229.72</v>
          </cell>
        </row>
        <row r="5373">
          <cell r="CJ5373" t="str">
            <v xml:space="preserve">NFT-/XUTR/DEUTH02430980595X </v>
          </cell>
          <cell r="CK5373" t="str">
            <v>2024-11-04</v>
          </cell>
          <cell r="CL5373">
            <v>15365.674000000001</v>
          </cell>
          <cell r="CP5373" t="str">
            <v xml:space="preserve">NFT-/XUTR/DEUTH024309A02A3X </v>
          </cell>
          <cell r="CQ5373" t="str">
            <v>2024-11-04</v>
          </cell>
          <cell r="CR5373">
            <v>1455.8620000000001</v>
          </cell>
        </row>
        <row r="5374">
          <cell r="CJ5374" t="str">
            <v xml:space="preserve">NFT-/XUTR/DEUTH02430980595X </v>
          </cell>
          <cell r="CK5374" t="str">
            <v>2024-11-04</v>
          </cell>
          <cell r="CL5374">
            <v>14856.562</v>
          </cell>
          <cell r="CP5374" t="str">
            <v xml:space="preserve">NFT-/XUTR/DEUTH024309A02A3X </v>
          </cell>
          <cell r="CQ5374" t="str">
            <v>2024-11-04</v>
          </cell>
          <cell r="CR5374">
            <v>1983.8530000000001</v>
          </cell>
        </row>
        <row r="5375">
          <cell r="CJ5375" t="str">
            <v xml:space="preserve">NFT-/XUTR/DEUTH02430980595X </v>
          </cell>
          <cell r="CK5375" t="str">
            <v>2024-11-04</v>
          </cell>
          <cell r="CL5375">
            <v>15365.674000000001</v>
          </cell>
          <cell r="CP5375" t="str">
            <v xml:space="preserve">NFT-/XUTR/DEUTH024309A02A3X </v>
          </cell>
          <cell r="CQ5375" t="str">
            <v>2024-11-04</v>
          </cell>
          <cell r="CR5375">
            <v>1455.8620000000001</v>
          </cell>
        </row>
        <row r="5376">
          <cell r="CJ5376" t="str">
            <v xml:space="preserve">NFT-/XUTR/DEUTH02430980595X </v>
          </cell>
          <cell r="CK5376" t="str">
            <v>2024-11-04</v>
          </cell>
          <cell r="CL5376">
            <v>15365.674000000001</v>
          </cell>
          <cell r="CP5376" t="str">
            <v xml:space="preserve">NFT-/XUTR/DEUTH024309A02A3X </v>
          </cell>
          <cell r="CQ5376" t="str">
            <v>2024-11-04</v>
          </cell>
          <cell r="CR5376">
            <v>1455.8620000000001</v>
          </cell>
        </row>
        <row r="5377">
          <cell r="CJ5377" t="str">
            <v xml:space="preserve">NFT-/XUTR/DEUTH02430980595X </v>
          </cell>
          <cell r="CK5377" t="str">
            <v>2024-11-04</v>
          </cell>
          <cell r="CL5377">
            <v>15384.554</v>
          </cell>
          <cell r="CP5377" t="str">
            <v xml:space="preserve">NFT-/XUTR/DEUTH024309A02A3X </v>
          </cell>
          <cell r="CQ5377" t="str">
            <v>2024-11-04</v>
          </cell>
          <cell r="CR5377">
            <v>1455.8620000000001</v>
          </cell>
        </row>
        <row r="5378">
          <cell r="CJ5378" t="str">
            <v xml:space="preserve">NFT-/XUTR/DEUTH02430980595X </v>
          </cell>
          <cell r="CK5378" t="str">
            <v>2024-11-04</v>
          </cell>
          <cell r="CL5378">
            <v>15384.554</v>
          </cell>
          <cell r="CP5378" t="str">
            <v xml:space="preserve">NFT-/XUTR/DEUTH024309A02A3X </v>
          </cell>
          <cell r="CQ5378" t="str">
            <v>2024-11-04</v>
          </cell>
          <cell r="CR5378">
            <v>1455.8620000000001</v>
          </cell>
        </row>
        <row r="5379">
          <cell r="CJ5379" t="str">
            <v xml:space="preserve">NFT-/XUTR/DEUTH02430980595X </v>
          </cell>
          <cell r="CK5379" t="str">
            <v>2024-11-04</v>
          </cell>
          <cell r="CL5379">
            <v>15365.674000000001</v>
          </cell>
          <cell r="CM5379" t="str">
            <v xml:space="preserve">NFT-/XUTR/DEUTH02431839302X </v>
          </cell>
          <cell r="CN5379" t="str">
            <v>2024-11-13</v>
          </cell>
          <cell r="CO5379">
            <v>-15365.674000000001</v>
          </cell>
          <cell r="CP5379" t="str">
            <v xml:space="preserve">NFT-/XUTR/DEUTH024309A02A3X </v>
          </cell>
          <cell r="CQ5379" t="str">
            <v>2024-11-04</v>
          </cell>
          <cell r="CR5379">
            <v>1455.8620000000001</v>
          </cell>
          <cell r="CS5379" t="str">
            <v xml:space="preserve">NFT-/XUTR/DEUTH02431843558X </v>
          </cell>
          <cell r="CT5379" t="str">
            <v>2024-11-13</v>
          </cell>
          <cell r="CU5379">
            <v>-1455.8620000000001</v>
          </cell>
        </row>
        <row r="5380">
          <cell r="CJ5380" t="str">
            <v xml:space="preserve">NFT-/XUTR/DEUTH02430980595X </v>
          </cell>
          <cell r="CK5380" t="str">
            <v>2024-11-04</v>
          </cell>
          <cell r="CL5380">
            <v>15384.554</v>
          </cell>
          <cell r="CP5380" t="str">
            <v xml:space="preserve">NFT-/XUTR/DEUTH024309A02A3X </v>
          </cell>
          <cell r="CQ5380" t="str">
            <v>2024-11-04</v>
          </cell>
          <cell r="CR5380">
            <v>1455.8620000000001</v>
          </cell>
        </row>
        <row r="5381">
          <cell r="CJ5381" t="str">
            <v xml:space="preserve">NFT-/XUTR/DEUTH02430980595X </v>
          </cell>
          <cell r="CK5381" t="str">
            <v>2024-11-04</v>
          </cell>
          <cell r="CL5381">
            <v>15365.674000000001</v>
          </cell>
          <cell r="CP5381" t="str">
            <v xml:space="preserve">NFT-/XUTR/DEUTH024309A02A3X </v>
          </cell>
          <cell r="CQ5381" t="str">
            <v>2024-11-04</v>
          </cell>
          <cell r="CR5381">
            <v>1455.8620000000001</v>
          </cell>
        </row>
        <row r="5382">
          <cell r="CJ5382" t="str">
            <v xml:space="preserve">NFT-/XUTR/DEUTH02430980595X </v>
          </cell>
          <cell r="CK5382" t="str">
            <v>2024-11-04</v>
          </cell>
          <cell r="CL5382">
            <v>15384.554</v>
          </cell>
          <cell r="CP5382" t="str">
            <v xml:space="preserve">NFT-/XUTR/DEUTH024309A02A3X </v>
          </cell>
          <cell r="CQ5382" t="str">
            <v>2024-11-04</v>
          </cell>
          <cell r="CR5382">
            <v>1455.8620000000001</v>
          </cell>
        </row>
        <row r="5383">
          <cell r="CJ5383" t="str">
            <v xml:space="preserve">NFT-/XUTR/DEUTH02430980595X </v>
          </cell>
          <cell r="CK5383" t="str">
            <v>2024-11-04</v>
          </cell>
          <cell r="CL5383">
            <v>15384.554</v>
          </cell>
          <cell r="CP5383" t="str">
            <v xml:space="preserve">NFT-/XUTR/DEUTH024309A02A3X </v>
          </cell>
          <cell r="CQ5383" t="str">
            <v>2024-11-04</v>
          </cell>
          <cell r="CR5383">
            <v>1455.8620000000001</v>
          </cell>
        </row>
        <row r="5384">
          <cell r="CJ5384" t="str">
            <v xml:space="preserve">NFT-/XUTR/DEUTH02430980595X </v>
          </cell>
          <cell r="CK5384" t="str">
            <v>2024-11-04</v>
          </cell>
          <cell r="CL5384">
            <v>15384.554</v>
          </cell>
          <cell r="CP5384" t="str">
            <v xml:space="preserve">NFT-/XUTR/DEUTH024309A02A3X </v>
          </cell>
          <cell r="CQ5384" t="str">
            <v>2024-11-04</v>
          </cell>
          <cell r="CR5384">
            <v>1455.8620000000001</v>
          </cell>
        </row>
        <row r="5385">
          <cell r="CJ5385" t="str">
            <v xml:space="preserve">NFT-/XUTR/DEUTH02430980595X </v>
          </cell>
          <cell r="CK5385" t="str">
            <v>2024-11-04</v>
          </cell>
          <cell r="CL5385">
            <v>10510.328</v>
          </cell>
          <cell r="CP5385" t="str">
            <v xml:space="preserve">NFT-/XUTR/DEUTH024309A02A3X </v>
          </cell>
          <cell r="CQ5385" t="str">
            <v>2024-11-04</v>
          </cell>
          <cell r="CR5385">
            <v>1176.3389999999999</v>
          </cell>
        </row>
        <row r="5386">
          <cell r="CJ5386" t="str">
            <v xml:space="preserve">NFT-/XUTR/DEUTH02430980595X </v>
          </cell>
          <cell r="CK5386" t="str">
            <v>2024-11-04</v>
          </cell>
          <cell r="CL5386">
            <v>7687.4579999999996</v>
          </cell>
          <cell r="CP5386" t="str">
            <v xml:space="preserve">NFT-/XUTR/DEUTH024309A02A3X </v>
          </cell>
          <cell r="CQ5386" t="str">
            <v>2024-11-04</v>
          </cell>
          <cell r="CR5386">
            <v>864.78</v>
          </cell>
        </row>
        <row r="5387">
          <cell r="CJ5387" t="str">
            <v xml:space="preserve">NFT-/XUTR/DEUTH02430980595X </v>
          </cell>
          <cell r="CK5387" t="str">
            <v>2024-11-04</v>
          </cell>
          <cell r="CL5387">
            <v>15365.674000000001</v>
          </cell>
          <cell r="CP5387" t="str">
            <v xml:space="preserve">NFT-/XUTR/DEUTH024309A02A3X </v>
          </cell>
          <cell r="CQ5387" t="str">
            <v>2024-11-04</v>
          </cell>
          <cell r="CR5387">
            <v>1455.8620000000001</v>
          </cell>
        </row>
        <row r="5388">
          <cell r="CJ5388" t="str">
            <v xml:space="preserve">NFT-/XUTR/DEUTH02430980595X </v>
          </cell>
          <cell r="CK5388" t="str">
            <v>2024-11-04</v>
          </cell>
          <cell r="CL5388">
            <v>15384.554</v>
          </cell>
          <cell r="CP5388" t="str">
            <v xml:space="preserve">NFT-/XUTR/DEUTH024309A02A3X </v>
          </cell>
          <cell r="CQ5388" t="str">
            <v>2024-11-04</v>
          </cell>
          <cell r="CR5388">
            <v>1455.8620000000001</v>
          </cell>
        </row>
        <row r="5389">
          <cell r="CJ5389" t="str">
            <v xml:space="preserve">NFT-/XUTR/DEUTH02430980595X </v>
          </cell>
          <cell r="CK5389" t="str">
            <v>2024-11-04</v>
          </cell>
          <cell r="CL5389">
            <v>14538.214</v>
          </cell>
          <cell r="CM5389" t="str">
            <v xml:space="preserve">NFT-/XUTR/DEUTH02433944890X </v>
          </cell>
          <cell r="CN5389" t="str">
            <v>2024-12-04</v>
          </cell>
          <cell r="CO5389">
            <v>-14538.214</v>
          </cell>
          <cell r="CP5389" t="str">
            <v xml:space="preserve">NFT-/XUTR/DEUTH024309A02A3X </v>
          </cell>
          <cell r="CQ5389" t="str">
            <v>2024-11-04</v>
          </cell>
          <cell r="CR5389">
            <v>2302.2020000000002</v>
          </cell>
          <cell r="CV5389" t="str">
            <v xml:space="preserve">NFT-/XUTR/DEUTH02433956210X </v>
          </cell>
          <cell r="CW5389" t="str">
            <v>2024-12-04</v>
          </cell>
          <cell r="CX5389">
            <v>-2302.2020000000002</v>
          </cell>
        </row>
        <row r="5390">
          <cell r="CJ5390" t="str">
            <v xml:space="preserve">NFT-/XUTR/DEUTH02430980595X </v>
          </cell>
          <cell r="CK5390" t="str">
            <v>2024-11-04</v>
          </cell>
          <cell r="CL5390">
            <v>7706.3370000000004</v>
          </cell>
          <cell r="CM5390" t="str">
            <v xml:space="preserve">NFT-/XUTR/DEUTH02432540165X </v>
          </cell>
          <cell r="CN5390" t="str">
            <v>2024-11-20</v>
          </cell>
          <cell r="CO5390">
            <v>-7706.3370000000004</v>
          </cell>
          <cell r="CP5390" t="str">
            <v xml:space="preserve">NFT-/XUTR/DEUTH024309A02A3X </v>
          </cell>
          <cell r="CQ5390" t="str">
            <v>2024-11-04</v>
          </cell>
          <cell r="CR5390">
            <v>864.779</v>
          </cell>
          <cell r="CS5390" t="str">
            <v xml:space="preserve">NFT-/XUTR/DEUTH02432567146X </v>
          </cell>
          <cell r="CT5390" t="str">
            <v>2024-11-20</v>
          </cell>
          <cell r="CU5390">
            <v>-864.779</v>
          </cell>
        </row>
        <row r="5391">
          <cell r="CJ5391" t="str">
            <v xml:space="preserve">NFT-/XUTR/DEUTH02430980595X </v>
          </cell>
          <cell r="CK5391" t="str">
            <v>2024-11-04</v>
          </cell>
          <cell r="CL5391">
            <v>7980.0450000000001</v>
          </cell>
          <cell r="CP5391" t="str">
            <v xml:space="preserve">NFT-/XUTR/DEUTH024309A02A3X </v>
          </cell>
          <cell r="CQ5391" t="str">
            <v>2024-11-04</v>
          </cell>
          <cell r="CR5391">
            <v>591.08299999999997</v>
          </cell>
        </row>
        <row r="5392">
          <cell r="CJ5392" t="str">
            <v xml:space="preserve">NFT-/XUTR/DEUTH02430980595X </v>
          </cell>
          <cell r="CK5392" t="str">
            <v>2024-11-04</v>
          </cell>
          <cell r="CL5392">
            <v>15686.382</v>
          </cell>
          <cell r="CP5392" t="str">
            <v xml:space="preserve">NFT-/XUTR/DEUTH024309A02A3X </v>
          </cell>
          <cell r="CQ5392" t="str">
            <v>2024-11-04</v>
          </cell>
          <cell r="CR5392">
            <v>1455.8620000000001</v>
          </cell>
        </row>
        <row r="5393">
          <cell r="CJ5393" t="str">
            <v xml:space="preserve">NFT-/XUTR/DEUTH02430980595X </v>
          </cell>
          <cell r="CK5393" t="str">
            <v>2024-11-04</v>
          </cell>
          <cell r="CL5393">
            <v>15365.674000000001</v>
          </cell>
          <cell r="CP5393" t="str">
            <v xml:space="preserve">NFT-/XUTR/DEUTH024309A02A3X </v>
          </cell>
          <cell r="CQ5393" t="str">
            <v>2024-11-04</v>
          </cell>
          <cell r="CR5393">
            <v>1455.8620000000001</v>
          </cell>
        </row>
        <row r="5394">
          <cell r="CJ5394" t="str">
            <v xml:space="preserve">NFT-/XUTR/DEUTH02430980595X </v>
          </cell>
          <cell r="CK5394" t="str">
            <v>2024-11-04</v>
          </cell>
          <cell r="CL5394">
            <v>15365.674000000001</v>
          </cell>
          <cell r="CP5394" t="str">
            <v xml:space="preserve">NFT-/XUTR/DEUTH024309A02A3X </v>
          </cell>
          <cell r="CQ5394" t="str">
            <v>2024-11-04</v>
          </cell>
          <cell r="CR5394">
            <v>1455.8620000000001</v>
          </cell>
        </row>
        <row r="5395">
          <cell r="CJ5395" t="str">
            <v xml:space="preserve">NFT-/XUTR/DEUTH02430980595X </v>
          </cell>
          <cell r="CK5395" t="str">
            <v>2024-11-04</v>
          </cell>
          <cell r="CL5395">
            <v>15365.674000000001</v>
          </cell>
          <cell r="CP5395" t="str">
            <v xml:space="preserve">NFT-/XUTR/DEUTH024309A02A3X </v>
          </cell>
          <cell r="CQ5395" t="str">
            <v>2024-11-04</v>
          </cell>
          <cell r="CR5395">
            <v>1455.8620000000001</v>
          </cell>
        </row>
        <row r="5396">
          <cell r="CJ5396" t="str">
            <v xml:space="preserve">NFT-/XUTR/DEUTH02430980595X </v>
          </cell>
          <cell r="CK5396" t="str">
            <v>2024-11-04</v>
          </cell>
          <cell r="CL5396">
            <v>15365.674000000001</v>
          </cell>
          <cell r="CP5396" t="str">
            <v xml:space="preserve">NFT-/XUTR/DEUTH024309A02A3X </v>
          </cell>
          <cell r="CQ5396" t="str">
            <v>2024-11-04</v>
          </cell>
          <cell r="CR5396">
            <v>1455.8620000000001</v>
          </cell>
        </row>
        <row r="5397">
          <cell r="CJ5397" t="str">
            <v xml:space="preserve">NFT-/XUTR/DEUTH02430980595X </v>
          </cell>
          <cell r="CK5397" t="str">
            <v>2024-11-04</v>
          </cell>
          <cell r="CL5397">
            <v>15384.554</v>
          </cell>
          <cell r="CP5397" t="str">
            <v xml:space="preserve">NFT-/XUTR/DEUTH024309A02A3X </v>
          </cell>
          <cell r="CQ5397" t="str">
            <v>2024-11-04</v>
          </cell>
          <cell r="CR5397">
            <v>1455.8620000000001</v>
          </cell>
        </row>
        <row r="5398">
          <cell r="CJ5398" t="str">
            <v xml:space="preserve">NFT-/XUTR/DEUTH02430980595X </v>
          </cell>
          <cell r="CK5398" t="str">
            <v>2024-11-04</v>
          </cell>
          <cell r="CL5398">
            <v>15384.554</v>
          </cell>
          <cell r="CP5398" t="str">
            <v xml:space="preserve">NFT-/XUTR/DEUTH024309A02A3X </v>
          </cell>
          <cell r="CQ5398" t="str">
            <v>2024-11-04</v>
          </cell>
          <cell r="CR5398">
            <v>1455.8620000000001</v>
          </cell>
        </row>
        <row r="5399">
          <cell r="CJ5399" t="str">
            <v xml:space="preserve">NFT-/XUTR/DEUTH02430980595X </v>
          </cell>
          <cell r="CK5399" t="str">
            <v>2024-11-04</v>
          </cell>
          <cell r="CL5399">
            <v>15384.554</v>
          </cell>
          <cell r="CP5399" t="str">
            <v xml:space="preserve">NFT-/XUTR/DEUTH024309A02A3X </v>
          </cell>
          <cell r="CQ5399" t="str">
            <v>2024-11-04</v>
          </cell>
          <cell r="CR5399">
            <v>1455.8620000000001</v>
          </cell>
        </row>
        <row r="5400">
          <cell r="CJ5400" t="str">
            <v xml:space="preserve">NFT-/XUTR/DEUTH02430980595X </v>
          </cell>
          <cell r="CK5400" t="str">
            <v>2024-11-04</v>
          </cell>
          <cell r="CL5400">
            <v>15384.554</v>
          </cell>
          <cell r="CP5400" t="str">
            <v xml:space="preserve">NFT-/XUTR/DEUTH024309A02A3X </v>
          </cell>
          <cell r="CQ5400" t="str">
            <v>2024-11-04</v>
          </cell>
          <cell r="CR5400">
            <v>1455.8620000000001</v>
          </cell>
        </row>
        <row r="5401">
          <cell r="CJ5401" t="str">
            <v xml:space="preserve">NFT-/XUTR/DEUTH02430980595X </v>
          </cell>
          <cell r="CK5401" t="str">
            <v>2024-11-04</v>
          </cell>
          <cell r="CL5401">
            <v>9980.3989999999994</v>
          </cell>
          <cell r="CM5401" t="str">
            <v xml:space="preserve">NFT-/XUTR/DEUTH02432756454X </v>
          </cell>
          <cell r="CN5401" t="str">
            <v>2024-11-22</v>
          </cell>
          <cell r="CO5401">
            <v>-9980.3989999999994</v>
          </cell>
          <cell r="CP5401" t="str">
            <v xml:space="preserve">NFT-/XUTR/DEUTH024309A02A3X </v>
          </cell>
          <cell r="CQ5401" t="str">
            <v>2024-11-04</v>
          </cell>
          <cell r="CR5401">
            <v>1706.27</v>
          </cell>
          <cell r="CV5401" t="str">
            <v xml:space="preserve">NFT-/XUTR/DEUTH02433956210X </v>
          </cell>
          <cell r="CW5401" t="str">
            <v>2024-12-04</v>
          </cell>
          <cell r="CX5401">
            <v>-1706.27</v>
          </cell>
        </row>
        <row r="5402">
          <cell r="CJ5402" t="str">
            <v xml:space="preserve">NFT-/XUTR/DEUTH02430980595X </v>
          </cell>
          <cell r="CK5402" t="str">
            <v>2024-11-04</v>
          </cell>
          <cell r="CL5402">
            <v>15365.674000000001</v>
          </cell>
          <cell r="CP5402" t="str">
            <v xml:space="preserve">NFT-/XUTR/DEUTH024309A02A3X </v>
          </cell>
          <cell r="CQ5402" t="str">
            <v>2024-11-04</v>
          </cell>
          <cell r="CR5402">
            <v>1455.8620000000001</v>
          </cell>
        </row>
        <row r="5403">
          <cell r="CJ5403" t="str">
            <v xml:space="preserve">NFT-/XUTR/DEUTH02430980595X </v>
          </cell>
          <cell r="CK5403" t="str">
            <v>2024-11-04</v>
          </cell>
          <cell r="CL5403">
            <v>15384.554</v>
          </cell>
          <cell r="CP5403" t="str">
            <v xml:space="preserve">NFT-/XUTR/DEUTH024309A02A3X </v>
          </cell>
          <cell r="CQ5403" t="str">
            <v>2024-11-04</v>
          </cell>
          <cell r="CR5403">
            <v>1455.8620000000001</v>
          </cell>
        </row>
        <row r="5404">
          <cell r="CJ5404" t="str">
            <v xml:space="preserve">NFT-/XUTR/DEUTH02430980595X </v>
          </cell>
          <cell r="CK5404" t="str">
            <v>2024-11-04</v>
          </cell>
          <cell r="CL5404">
            <v>15365.674000000001</v>
          </cell>
          <cell r="CP5404" t="str">
            <v xml:space="preserve">NFT-/XUTR/DEUTH024309A02A3X </v>
          </cell>
          <cell r="CQ5404" t="str">
            <v>2024-11-04</v>
          </cell>
          <cell r="CR5404">
            <v>1455.8620000000001</v>
          </cell>
        </row>
        <row r="5405">
          <cell r="CJ5405" t="str">
            <v xml:space="preserve">NFT-/XUTR/DEUTH02430980595X </v>
          </cell>
          <cell r="CK5405" t="str">
            <v>2024-11-04</v>
          </cell>
          <cell r="CL5405">
            <v>15365.674000000001</v>
          </cell>
          <cell r="CP5405" t="str">
            <v xml:space="preserve">NFT-/XUTR/DEUTH024309A02A3X </v>
          </cell>
          <cell r="CQ5405" t="str">
            <v>2024-11-04</v>
          </cell>
          <cell r="CR5405">
            <v>1455.8620000000001</v>
          </cell>
        </row>
        <row r="5406">
          <cell r="CJ5406" t="str">
            <v xml:space="preserve">NFT-/XUTR/DEUTH02430980595X </v>
          </cell>
          <cell r="CK5406" t="str">
            <v>2024-11-04</v>
          </cell>
          <cell r="CL5406">
            <v>15365.674000000001</v>
          </cell>
          <cell r="CP5406" t="str">
            <v xml:space="preserve">NFT-/XUTR/DEUTH024309A02A3X </v>
          </cell>
          <cell r="CQ5406" t="str">
            <v>2024-11-04</v>
          </cell>
          <cell r="CR5406">
            <v>1455.8620000000001</v>
          </cell>
        </row>
        <row r="5407">
          <cell r="CJ5407" t="str">
            <v xml:space="preserve">NFT-/XUTR/DEUTH02430980595X </v>
          </cell>
          <cell r="CK5407" t="str">
            <v>2024-11-04</v>
          </cell>
          <cell r="CL5407">
            <v>15384.554</v>
          </cell>
          <cell r="CP5407" t="str">
            <v xml:space="preserve">NFT-/XUTR/DEUTH024309A02A3X </v>
          </cell>
          <cell r="CQ5407" t="str">
            <v>2024-11-04</v>
          </cell>
          <cell r="CR5407">
            <v>1455.8620000000001</v>
          </cell>
        </row>
        <row r="5408">
          <cell r="CJ5408" t="str">
            <v xml:space="preserve">NFT-/XUTR/DEUTH02430980595X </v>
          </cell>
          <cell r="CK5408" t="str">
            <v>2024-11-04</v>
          </cell>
          <cell r="CL5408">
            <v>15384.554</v>
          </cell>
          <cell r="CP5408" t="str">
            <v xml:space="preserve">NFT-/XUTR/DEUTH024309A02A3X </v>
          </cell>
          <cell r="CQ5408" t="str">
            <v>2024-11-04</v>
          </cell>
          <cell r="CR5408">
            <v>1455.8620000000001</v>
          </cell>
        </row>
        <row r="5409">
          <cell r="CJ5409" t="str">
            <v xml:space="preserve">NFT-/XUTR/DEUTH02430980595X </v>
          </cell>
          <cell r="CK5409" t="str">
            <v>2024-11-04</v>
          </cell>
          <cell r="CL5409">
            <v>15384.554</v>
          </cell>
          <cell r="CM5409" t="str">
            <v xml:space="preserve">NFT-/XUTR/DEUTH02432045075X </v>
          </cell>
          <cell r="CN5409" t="str">
            <v>2024-11-15</v>
          </cell>
          <cell r="CO5409">
            <v>-15384.554</v>
          </cell>
          <cell r="CP5409" t="str">
            <v xml:space="preserve">NFT-/XUTR/DEUTH024309A02A3X </v>
          </cell>
          <cell r="CQ5409" t="str">
            <v>2024-11-04</v>
          </cell>
          <cell r="CR5409">
            <v>1455.8620000000001</v>
          </cell>
          <cell r="CS5409" t="str">
            <v xml:space="preserve">NFT-/XUTR/DEUTH02432059153X </v>
          </cell>
          <cell r="CT5409" t="str">
            <v>2024-11-15</v>
          </cell>
          <cell r="CU5409">
            <v>-1455.8620000000001</v>
          </cell>
        </row>
        <row r="5410">
          <cell r="CJ5410" t="str">
            <v xml:space="preserve">NFT-/XUTR/DEUTH02430980595X </v>
          </cell>
          <cell r="CK5410" t="str">
            <v>2024-11-04</v>
          </cell>
          <cell r="CL5410">
            <v>15384.554</v>
          </cell>
          <cell r="CM5410" t="str">
            <v xml:space="preserve">NFT-/XUTR/DEUTH02432045075X </v>
          </cell>
          <cell r="CN5410" t="str">
            <v>2024-11-15</v>
          </cell>
          <cell r="CO5410">
            <v>-15384.554</v>
          </cell>
          <cell r="CP5410" t="str">
            <v xml:space="preserve">NFT-/XUTR/DEUTH024309A02A3X </v>
          </cell>
          <cell r="CQ5410" t="str">
            <v>2024-11-04</v>
          </cell>
          <cell r="CR5410">
            <v>1455.8620000000001</v>
          </cell>
          <cell r="CS5410" t="str">
            <v xml:space="preserve">NFT-/XUTR/DEUTH02432059153X </v>
          </cell>
          <cell r="CT5410" t="str">
            <v>2024-11-15</v>
          </cell>
          <cell r="CU5410">
            <v>-1455.8620000000001</v>
          </cell>
        </row>
        <row r="5411">
          <cell r="CJ5411" t="str">
            <v xml:space="preserve">NFT-/XUTR/DEUTH02430980595X </v>
          </cell>
          <cell r="CK5411" t="str">
            <v>2024-11-04</v>
          </cell>
          <cell r="CL5411">
            <v>7687.4579999999996</v>
          </cell>
          <cell r="CP5411" t="str">
            <v xml:space="preserve">NFT-/XUTR/DEUTH024309A02A3X </v>
          </cell>
          <cell r="CQ5411" t="str">
            <v>2024-11-04</v>
          </cell>
          <cell r="CR5411">
            <v>864.78</v>
          </cell>
        </row>
        <row r="5412">
          <cell r="CJ5412" t="str">
            <v xml:space="preserve">NFT-/XUTR/DEUTH02430980595X </v>
          </cell>
          <cell r="CK5412" t="str">
            <v>2024-11-04</v>
          </cell>
          <cell r="CL5412">
            <v>15384.554</v>
          </cell>
          <cell r="CP5412" t="str">
            <v xml:space="preserve">NFT-/XUTR/DEUTH024309A02A3X </v>
          </cell>
          <cell r="CQ5412" t="str">
            <v>2024-11-04</v>
          </cell>
          <cell r="CR5412">
            <v>1455.8620000000001</v>
          </cell>
        </row>
        <row r="5413">
          <cell r="CJ5413" t="str">
            <v xml:space="preserve">NFT-/XUTR/DEUTH02430980595X </v>
          </cell>
          <cell r="CK5413" t="str">
            <v>2024-11-04</v>
          </cell>
          <cell r="CL5413">
            <v>15365.674000000001</v>
          </cell>
          <cell r="CP5413" t="str">
            <v xml:space="preserve">NFT-/XUTR/DEUTH024309A02A3X </v>
          </cell>
          <cell r="CQ5413" t="str">
            <v>2024-11-04</v>
          </cell>
          <cell r="CR5413">
            <v>1455.8620000000001</v>
          </cell>
        </row>
        <row r="5414">
          <cell r="CJ5414" t="str">
            <v xml:space="preserve">NFT-/XUTR/DEUTH02430980595X </v>
          </cell>
          <cell r="CK5414" t="str">
            <v>2024-11-04</v>
          </cell>
          <cell r="CL5414">
            <v>15384.554</v>
          </cell>
          <cell r="CP5414" t="str">
            <v xml:space="preserve">NFT-/XUTR/DEUTH024309A02A3X </v>
          </cell>
          <cell r="CQ5414" t="str">
            <v>2024-11-04</v>
          </cell>
          <cell r="CR5414">
            <v>1455.8620000000001</v>
          </cell>
        </row>
        <row r="5415">
          <cell r="CJ5415" t="str">
            <v xml:space="preserve">NFT-/XUTR/DEUTH02430980595X </v>
          </cell>
          <cell r="CK5415" t="str">
            <v>2024-11-04</v>
          </cell>
          <cell r="CL5415">
            <v>15384.554</v>
          </cell>
          <cell r="CM5415" t="str">
            <v xml:space="preserve">NFT-/XUTR/DEUTH02432540165X </v>
          </cell>
          <cell r="CN5415" t="str">
            <v>2024-11-20</v>
          </cell>
          <cell r="CO5415">
            <v>-15384.554</v>
          </cell>
          <cell r="CP5415" t="str">
            <v xml:space="preserve">NFT-/XUTR/DEUTH024309A02A3X </v>
          </cell>
          <cell r="CQ5415" t="str">
            <v>2024-11-04</v>
          </cell>
          <cell r="CR5415">
            <v>1455.8620000000001</v>
          </cell>
          <cell r="CS5415" t="str">
            <v xml:space="preserve">NFT-/XUTR/DEUTH02432567146X </v>
          </cell>
          <cell r="CT5415" t="str">
            <v>2024-11-20</v>
          </cell>
          <cell r="CU5415">
            <v>-1455.8620000000001</v>
          </cell>
        </row>
        <row r="5416">
          <cell r="CJ5416" t="str">
            <v xml:space="preserve">NFT-/XUTR/DEUTH02430980595X </v>
          </cell>
          <cell r="CK5416" t="str">
            <v>2024-11-04</v>
          </cell>
          <cell r="CL5416">
            <v>7687.4579999999996</v>
          </cell>
          <cell r="CP5416" t="str">
            <v xml:space="preserve">NFT-/XUTR/DEUTH024309A02A3X </v>
          </cell>
          <cell r="CQ5416" t="str">
            <v>2024-11-04</v>
          </cell>
          <cell r="CR5416">
            <v>864.78</v>
          </cell>
        </row>
        <row r="5417">
          <cell r="CJ5417" t="str">
            <v xml:space="preserve">NFT-/XUTR/DEUTH02430980595X </v>
          </cell>
          <cell r="CK5417" t="str">
            <v>2024-11-04</v>
          </cell>
          <cell r="CL5417">
            <v>15365.674000000001</v>
          </cell>
          <cell r="CP5417" t="str">
            <v xml:space="preserve">NFT-/XUTR/DEUTH024309A02A3X </v>
          </cell>
          <cell r="CQ5417" t="str">
            <v>2024-11-04</v>
          </cell>
          <cell r="CR5417">
            <v>1455.8620000000001</v>
          </cell>
        </row>
        <row r="5418">
          <cell r="CJ5418" t="str">
            <v xml:space="preserve">NFT-/XUTR/DEUTH02430980595X </v>
          </cell>
          <cell r="CK5418" t="str">
            <v>2024-11-04</v>
          </cell>
          <cell r="CL5418">
            <v>15384.554</v>
          </cell>
          <cell r="CP5418" t="str">
            <v xml:space="preserve">NFT-/XUTR/DEUTH024309A02A3X </v>
          </cell>
          <cell r="CQ5418" t="str">
            <v>2024-11-04</v>
          </cell>
          <cell r="CR5418">
            <v>1455.8620000000001</v>
          </cell>
        </row>
        <row r="5419">
          <cell r="CJ5419" t="str">
            <v xml:space="preserve">NFT-/XUTR/DEUTH02430980595X </v>
          </cell>
          <cell r="CK5419" t="str">
            <v>2024-11-04</v>
          </cell>
          <cell r="CL5419">
            <v>7687.4579999999996</v>
          </cell>
          <cell r="CP5419" t="str">
            <v xml:space="preserve">NFT-/XUTR/DEUTH024309A02A3X </v>
          </cell>
          <cell r="CQ5419" t="str">
            <v>2024-11-04</v>
          </cell>
          <cell r="CR5419">
            <v>864.78</v>
          </cell>
        </row>
        <row r="5420">
          <cell r="CJ5420" t="str">
            <v xml:space="preserve">NFT-/XUTR/DEUTH02430980595X </v>
          </cell>
          <cell r="CK5420" t="str">
            <v>2024-11-04</v>
          </cell>
          <cell r="CL5420">
            <v>10491.449000000001</v>
          </cell>
          <cell r="CP5420" t="str">
            <v xml:space="preserve">NFT-/XUTR/DEUTH024309A02A3X </v>
          </cell>
          <cell r="CQ5420" t="str">
            <v>2024-11-04</v>
          </cell>
          <cell r="CR5420">
            <v>1176.3399999999999</v>
          </cell>
        </row>
        <row r="5421">
          <cell r="CJ5421" t="str">
            <v xml:space="preserve">NFT-/XUTR/DEUTH02430980595X </v>
          </cell>
          <cell r="CK5421" t="str">
            <v>2024-11-04</v>
          </cell>
          <cell r="CL5421">
            <v>5232.88</v>
          </cell>
          <cell r="CP5421" t="str">
            <v xml:space="preserve">NFT-/XUTR/DEUTH024309A02A3X </v>
          </cell>
          <cell r="CQ5421" t="str">
            <v>2024-11-04</v>
          </cell>
          <cell r="CR5421">
            <v>592.04700000000003</v>
          </cell>
        </row>
        <row r="5422">
          <cell r="CJ5422" t="str">
            <v xml:space="preserve">NFT-/XUTR/DEUTH02430980595X </v>
          </cell>
          <cell r="CK5422" t="str">
            <v>2024-11-04</v>
          </cell>
          <cell r="CL5422">
            <v>15384.554</v>
          </cell>
          <cell r="CP5422" t="str">
            <v xml:space="preserve">NFT-/XUTR/DEUTH024309A02A3X </v>
          </cell>
          <cell r="CQ5422" t="str">
            <v>2024-11-04</v>
          </cell>
          <cell r="CR5422">
            <v>1455.8620000000001</v>
          </cell>
        </row>
        <row r="5423">
          <cell r="CJ5423" t="str">
            <v xml:space="preserve">NFT-/XUTR/DEUTH02430980595X </v>
          </cell>
          <cell r="CK5423" t="str">
            <v>2024-11-04</v>
          </cell>
          <cell r="CL5423">
            <v>15384.554</v>
          </cell>
          <cell r="CM5423" t="str">
            <v xml:space="preserve">NFT-/XUTR/DEUTH02432045075X </v>
          </cell>
          <cell r="CN5423" t="str">
            <v>2024-11-15</v>
          </cell>
          <cell r="CO5423">
            <v>-15384.554</v>
          </cell>
          <cell r="CP5423" t="str">
            <v xml:space="preserve">NFT-/XUTR/DEUTH024309A02A3X </v>
          </cell>
          <cell r="CQ5423" t="str">
            <v>2024-11-04</v>
          </cell>
          <cell r="CR5423">
            <v>1455.8620000000001</v>
          </cell>
          <cell r="CS5423" t="str">
            <v xml:space="preserve">NFT-/XUTR/DEUTH02432059153X </v>
          </cell>
          <cell r="CT5423" t="str">
            <v>2024-11-15</v>
          </cell>
          <cell r="CU5423">
            <v>-1455.8620000000001</v>
          </cell>
        </row>
        <row r="5424">
          <cell r="CJ5424" t="str">
            <v xml:space="preserve">NFT-/XUTR/DEUTH02430980595X </v>
          </cell>
          <cell r="CK5424" t="str">
            <v>2024-11-04</v>
          </cell>
          <cell r="CL5424">
            <v>15365.674000000001</v>
          </cell>
          <cell r="CP5424" t="str">
            <v xml:space="preserve">NFT-/XUTR/DEUTH024309A02A3X </v>
          </cell>
          <cell r="CQ5424" t="str">
            <v>2024-11-04</v>
          </cell>
          <cell r="CR5424">
            <v>1455.8620000000001</v>
          </cell>
        </row>
        <row r="5425">
          <cell r="CJ5425" t="str">
            <v xml:space="preserve">NFT-/XUTR/DEUTH02430980595X </v>
          </cell>
          <cell r="CK5425" t="str">
            <v>2024-11-04</v>
          </cell>
          <cell r="CL5425">
            <v>15365.674000000001</v>
          </cell>
          <cell r="CP5425" t="str">
            <v xml:space="preserve">NFT-/XUTR/DEUTH024309A02A3X </v>
          </cell>
          <cell r="CQ5425" t="str">
            <v>2024-11-04</v>
          </cell>
          <cell r="CR5425">
            <v>1455.8620000000001</v>
          </cell>
        </row>
        <row r="5426">
          <cell r="CJ5426" t="str">
            <v xml:space="preserve">NFT-/XUTR/DEUTH02430980595X </v>
          </cell>
          <cell r="CK5426" t="str">
            <v>2024-11-04</v>
          </cell>
          <cell r="CL5426">
            <v>15384.554</v>
          </cell>
          <cell r="CP5426" t="str">
            <v xml:space="preserve">NFT-/XUTR/DEUTH024309A02A3X </v>
          </cell>
          <cell r="CQ5426" t="str">
            <v>2024-11-04</v>
          </cell>
          <cell r="CR5426">
            <v>1455.8620000000001</v>
          </cell>
        </row>
        <row r="5427">
          <cell r="CJ5427" t="str">
            <v xml:space="preserve">NFT-/XUTR/DEUTH02430980595X </v>
          </cell>
          <cell r="CK5427" t="str">
            <v>2024-11-04</v>
          </cell>
          <cell r="CL5427">
            <v>7687.4579999999996</v>
          </cell>
          <cell r="CM5427" t="str">
            <v xml:space="preserve">NFT-/XUTR/DEUTH02432045075X </v>
          </cell>
          <cell r="CN5427" t="str">
            <v>2024-11-15</v>
          </cell>
          <cell r="CO5427">
            <v>-7687.4579999999996</v>
          </cell>
          <cell r="CP5427" t="str">
            <v xml:space="preserve">NFT-/XUTR/DEUTH024309A02A3X </v>
          </cell>
          <cell r="CQ5427" t="str">
            <v>2024-11-04</v>
          </cell>
          <cell r="CR5427">
            <v>864.78</v>
          </cell>
          <cell r="CS5427" t="str">
            <v xml:space="preserve">NFT-/XUTR/DEUTH02432059153X </v>
          </cell>
          <cell r="CT5427" t="str">
            <v>2024-11-15</v>
          </cell>
          <cell r="CU5427">
            <v>-864.78</v>
          </cell>
        </row>
        <row r="5428">
          <cell r="CJ5428" t="str">
            <v xml:space="preserve">NFT-/XUTR/DEUTH02430980595X </v>
          </cell>
          <cell r="CK5428" t="str">
            <v>2024-11-04</v>
          </cell>
          <cell r="CL5428">
            <v>7706.3379999999997</v>
          </cell>
          <cell r="CP5428" t="str">
            <v xml:space="preserve">NFT-/XUTR/DEUTH024309A02A3X </v>
          </cell>
          <cell r="CQ5428" t="str">
            <v>2024-11-04</v>
          </cell>
          <cell r="CR5428">
            <v>864.78</v>
          </cell>
        </row>
        <row r="5429">
          <cell r="CJ5429" t="str">
            <v xml:space="preserve">NFT-/XUTR/DEUTH02430980595X </v>
          </cell>
          <cell r="CK5429" t="str">
            <v>2024-11-04</v>
          </cell>
          <cell r="CL5429">
            <v>15365.674000000001</v>
          </cell>
          <cell r="CP5429" t="str">
            <v xml:space="preserve">NFT-/XUTR/DEUTH024309A02A3X </v>
          </cell>
          <cell r="CQ5429" t="str">
            <v>2024-11-04</v>
          </cell>
          <cell r="CR5429">
            <v>1455.8620000000001</v>
          </cell>
        </row>
        <row r="5430">
          <cell r="CJ5430" t="str">
            <v xml:space="preserve">NFT-/XUTR/DEUTH02430980595X </v>
          </cell>
          <cell r="CK5430" t="str">
            <v>2024-11-04</v>
          </cell>
          <cell r="CL5430">
            <v>1418.5119999999999</v>
          </cell>
        </row>
        <row r="5431">
          <cell r="CJ5431" t="str">
            <v xml:space="preserve">NFT-/XUTR/DEUTH02430980595X </v>
          </cell>
          <cell r="CK5431" t="str">
            <v>2024-11-04</v>
          </cell>
          <cell r="CL5431">
            <v>15365.674000000001</v>
          </cell>
          <cell r="CP5431" t="str">
            <v xml:space="preserve">NFT-/XUTR/DEUTH024309A02A3X </v>
          </cell>
          <cell r="CQ5431" t="str">
            <v>2024-11-04</v>
          </cell>
          <cell r="CR5431">
            <v>1455.8620000000001</v>
          </cell>
        </row>
        <row r="5432">
          <cell r="CJ5432" t="str">
            <v xml:space="preserve">NFT-/XUTR/DEUTH02430980595X </v>
          </cell>
          <cell r="CK5432" t="str">
            <v>2024-11-04</v>
          </cell>
          <cell r="CL5432">
            <v>16306.6</v>
          </cell>
          <cell r="CM5432" t="str">
            <v xml:space="preserve">NFT-/XUTR/DEUTH02432045075X </v>
          </cell>
          <cell r="CN5432" t="str">
            <v>2024-11-15</v>
          </cell>
          <cell r="CO5432">
            <v>-16306.6</v>
          </cell>
          <cell r="CP5432" t="str">
            <v xml:space="preserve">NFT-/XUTR/DEUTH024309A02A3X </v>
          </cell>
          <cell r="CQ5432" t="str">
            <v>2024-11-04</v>
          </cell>
          <cell r="CR5432">
            <v>533.81600000000003</v>
          </cell>
          <cell r="CS5432" t="str">
            <v xml:space="preserve">NFT-/XUTR/DEUTH02432059153X </v>
          </cell>
          <cell r="CT5432" t="str">
            <v>2024-11-15</v>
          </cell>
          <cell r="CU5432">
            <v>-533.81600000000003</v>
          </cell>
        </row>
        <row r="5433">
          <cell r="CJ5433" t="str">
            <v xml:space="preserve">NFT-/XUTR/DEUTH02430980595X </v>
          </cell>
          <cell r="CK5433" t="str">
            <v>2024-11-04</v>
          </cell>
          <cell r="CL5433">
            <v>15384.554</v>
          </cell>
          <cell r="CP5433" t="str">
            <v xml:space="preserve">NFT-/XUTR/DEUTH024309A02A3X </v>
          </cell>
          <cell r="CQ5433" t="str">
            <v>2024-11-04</v>
          </cell>
          <cell r="CR5433">
            <v>1455.8620000000001</v>
          </cell>
        </row>
        <row r="5434">
          <cell r="CJ5434" t="str">
            <v xml:space="preserve">NFT-/XUTR/DEUTH02430980595X </v>
          </cell>
          <cell r="CK5434" t="str">
            <v>2024-11-04</v>
          </cell>
          <cell r="CL5434">
            <v>15384.554</v>
          </cell>
          <cell r="CP5434" t="str">
            <v xml:space="preserve">NFT-/XUTR/DEUTH024309A02A3X </v>
          </cell>
          <cell r="CQ5434" t="str">
            <v>2024-11-04</v>
          </cell>
          <cell r="CR5434">
            <v>1455.8620000000001</v>
          </cell>
        </row>
        <row r="5435">
          <cell r="CJ5435" t="str">
            <v xml:space="preserve">NFT-/XUTR/DEUTH02430980595X </v>
          </cell>
          <cell r="CK5435" t="str">
            <v>2024-11-04</v>
          </cell>
          <cell r="CL5435">
            <v>15384.554</v>
          </cell>
          <cell r="CP5435" t="str">
            <v xml:space="preserve">NFT-/XUTR/DEUTH024309A02A3X </v>
          </cell>
          <cell r="CQ5435" t="str">
            <v>2024-11-04</v>
          </cell>
          <cell r="CR5435">
            <v>1455.8620000000001</v>
          </cell>
        </row>
        <row r="5436">
          <cell r="CJ5436" t="str">
            <v xml:space="preserve">NFT-/XUTR/DEUTH02430980595X </v>
          </cell>
          <cell r="CK5436" t="str">
            <v>2024-11-04</v>
          </cell>
          <cell r="CL5436">
            <v>15384.554</v>
          </cell>
          <cell r="CM5436" t="str">
            <v xml:space="preserve">NFT-/XUTR/DEUTH02432045075X </v>
          </cell>
          <cell r="CN5436" t="str">
            <v>2024-11-15</v>
          </cell>
          <cell r="CO5436">
            <v>-15384.554</v>
          </cell>
          <cell r="CP5436" t="str">
            <v xml:space="preserve">NFT-/XUTR/DEUTH024309A02A3X </v>
          </cell>
          <cell r="CQ5436" t="str">
            <v>2024-11-04</v>
          </cell>
          <cell r="CR5436">
            <v>1455.8620000000001</v>
          </cell>
          <cell r="CS5436" t="str">
            <v xml:space="preserve">NFT-/XUTR/DEUTH02432059153X </v>
          </cell>
          <cell r="CT5436" t="str">
            <v>2024-11-15</v>
          </cell>
          <cell r="CU5436">
            <v>-1455.8620000000001</v>
          </cell>
        </row>
        <row r="5437">
          <cell r="CJ5437" t="str">
            <v xml:space="preserve">NFT-/XUTR/DEUTH02430980595X </v>
          </cell>
          <cell r="CK5437" t="str">
            <v>2024-11-04</v>
          </cell>
          <cell r="CL5437">
            <v>15365.674000000001</v>
          </cell>
          <cell r="CP5437" t="str">
            <v xml:space="preserve">NFT-/XUTR/DEUTH024309A02A3X </v>
          </cell>
          <cell r="CQ5437" t="str">
            <v>2024-11-04</v>
          </cell>
          <cell r="CR5437">
            <v>1455.8620000000001</v>
          </cell>
        </row>
        <row r="5438">
          <cell r="CJ5438" t="str">
            <v xml:space="preserve">NFT-/XUTR/DEUTH02430980595X </v>
          </cell>
          <cell r="CK5438" t="str">
            <v>2024-11-04</v>
          </cell>
          <cell r="CL5438">
            <v>15002.148999999999</v>
          </cell>
          <cell r="CM5438" t="str">
            <v xml:space="preserve">NFT-/XUTR/DEUTH02433037112X </v>
          </cell>
          <cell r="CN5438" t="str">
            <v>2024-11-25</v>
          </cell>
          <cell r="CO5438">
            <v>-15002.148999999999</v>
          </cell>
          <cell r="CP5438" t="str">
            <v xml:space="preserve">NFT-/XUTR/DEUTH024309A02A3X </v>
          </cell>
          <cell r="CQ5438" t="str">
            <v>2024-11-04</v>
          </cell>
          <cell r="CR5438">
            <v>1838.2670000000001</v>
          </cell>
          <cell r="CV5438" t="str">
            <v xml:space="preserve">NFT-/XUTR/DEUTH02433956210X </v>
          </cell>
          <cell r="CW5438" t="str">
            <v>2024-12-04</v>
          </cell>
          <cell r="CX5438">
            <v>-1838.2670000000001</v>
          </cell>
        </row>
        <row r="5439">
          <cell r="CJ5439" t="str">
            <v xml:space="preserve">NFT-/XUTR/DEUTH02430980595X </v>
          </cell>
          <cell r="CK5439" t="str">
            <v>2024-11-04</v>
          </cell>
          <cell r="CL5439">
            <v>15365.674000000001</v>
          </cell>
          <cell r="CP5439" t="str">
            <v xml:space="preserve">NFT-/XUTR/DEUTH024309A02A3X </v>
          </cell>
          <cell r="CQ5439" t="str">
            <v>2024-11-04</v>
          </cell>
          <cell r="CR5439">
            <v>1455.8620000000001</v>
          </cell>
        </row>
        <row r="5440">
          <cell r="CJ5440" t="str">
            <v xml:space="preserve">NFT-/XUTR/DEUTH02430980595X </v>
          </cell>
          <cell r="CK5440" t="str">
            <v>2024-11-04</v>
          </cell>
          <cell r="CL5440">
            <v>7706.3379999999997</v>
          </cell>
          <cell r="CP5440" t="str">
            <v xml:space="preserve">NFT-/XUTR/DEUTH024309A02A3X </v>
          </cell>
          <cell r="CQ5440" t="str">
            <v>2024-11-04</v>
          </cell>
          <cell r="CR5440">
            <v>864.78</v>
          </cell>
        </row>
        <row r="5441">
          <cell r="CJ5441" t="str">
            <v xml:space="preserve">NFT-/XUTR/DEUTH02430980595X </v>
          </cell>
          <cell r="CK5441" t="str">
            <v>2024-11-04</v>
          </cell>
          <cell r="CL5441">
            <v>15365.674000000001</v>
          </cell>
          <cell r="CP5441" t="str">
            <v xml:space="preserve">NFT-/XUTR/DEUTH024309A02A3X </v>
          </cell>
          <cell r="CQ5441" t="str">
            <v>2024-11-04</v>
          </cell>
          <cell r="CR5441">
            <v>1455.8620000000001</v>
          </cell>
        </row>
        <row r="5442">
          <cell r="CJ5442" t="str">
            <v xml:space="preserve">NFT-/XUTR/DEUTH02430980595X </v>
          </cell>
          <cell r="CK5442" t="str">
            <v>2024-11-04</v>
          </cell>
          <cell r="CL5442">
            <v>15365.674000000001</v>
          </cell>
          <cell r="CP5442" t="str">
            <v xml:space="preserve">NFT-/XUTR/DEUTH024309A02A3X </v>
          </cell>
          <cell r="CQ5442" t="str">
            <v>2024-11-04</v>
          </cell>
          <cell r="CR5442">
            <v>1455.8620000000001</v>
          </cell>
        </row>
        <row r="5443">
          <cell r="CJ5443" t="str">
            <v xml:space="preserve">NFT-/XUTR/DEUTH02430980595X </v>
          </cell>
          <cell r="CK5443" t="str">
            <v>2024-11-04</v>
          </cell>
          <cell r="CL5443">
            <v>15365.674000000001</v>
          </cell>
          <cell r="CP5443" t="str">
            <v xml:space="preserve">NFT-/XUTR/DEUTH024309A02A3X </v>
          </cell>
          <cell r="CQ5443" t="str">
            <v>2024-11-04</v>
          </cell>
          <cell r="CR5443">
            <v>1455.8620000000001</v>
          </cell>
        </row>
        <row r="5444">
          <cell r="CJ5444" t="str">
            <v xml:space="preserve">NFT-/XUTR/DEUTH02430980595X </v>
          </cell>
          <cell r="CK5444" t="str">
            <v>2024-11-04</v>
          </cell>
          <cell r="CL5444">
            <v>15365.674000000001</v>
          </cell>
          <cell r="CP5444" t="str">
            <v xml:space="preserve">NFT-/XUTR/DEUTH024309A02A3X </v>
          </cell>
          <cell r="CQ5444" t="str">
            <v>2024-11-04</v>
          </cell>
          <cell r="CR5444">
            <v>1455.8620000000001</v>
          </cell>
        </row>
        <row r="5445">
          <cell r="CJ5445" t="str">
            <v xml:space="preserve">NFT-/XUTR/DEUTH02430980595X </v>
          </cell>
          <cell r="CK5445" t="str">
            <v>2024-11-04</v>
          </cell>
          <cell r="CL5445">
            <v>15365.674000000001</v>
          </cell>
          <cell r="CP5445" t="str">
            <v xml:space="preserve">NFT-/XUTR/DEUTH024309A02A3X </v>
          </cell>
          <cell r="CQ5445" t="str">
            <v>2024-11-04</v>
          </cell>
          <cell r="CR5445">
            <v>1455.8620000000001</v>
          </cell>
        </row>
        <row r="5446">
          <cell r="CJ5446" t="str">
            <v xml:space="preserve">NFT-/XUTR/DEUTH02430980595X </v>
          </cell>
          <cell r="CK5446" t="str">
            <v>2024-11-04</v>
          </cell>
          <cell r="CL5446">
            <v>15365.674000000001</v>
          </cell>
          <cell r="CP5446" t="str">
            <v xml:space="preserve">NFT-/XUTR/DEUTH024309A02A3X </v>
          </cell>
          <cell r="CQ5446" t="str">
            <v>2024-11-04</v>
          </cell>
          <cell r="CR5446">
            <v>1455.8620000000001</v>
          </cell>
        </row>
        <row r="5447">
          <cell r="CJ5447" t="str">
            <v xml:space="preserve">NFT-/XUTR/DEUTH02430980595X </v>
          </cell>
          <cell r="CK5447" t="str">
            <v>2024-11-04</v>
          </cell>
          <cell r="CL5447">
            <v>15365.674000000001</v>
          </cell>
          <cell r="CP5447" t="str">
            <v xml:space="preserve">NFT-/XUTR/DEUTH024309A02A3X </v>
          </cell>
          <cell r="CQ5447" t="str">
            <v>2024-11-04</v>
          </cell>
          <cell r="CR5447">
            <v>1455.8620000000001</v>
          </cell>
        </row>
        <row r="5448">
          <cell r="CJ5448" t="str">
            <v xml:space="preserve">NFT-/XUTR/DEUTH02430980595X </v>
          </cell>
          <cell r="CK5448" t="str">
            <v>2024-11-04</v>
          </cell>
          <cell r="CL5448">
            <v>7706.3370000000004</v>
          </cell>
          <cell r="CP5448" t="str">
            <v xml:space="preserve">NFT-/XUTR/DEUTH024309A02A3X </v>
          </cell>
          <cell r="CQ5448" t="str">
            <v>2024-11-04</v>
          </cell>
          <cell r="CR5448">
            <v>864.779</v>
          </cell>
        </row>
        <row r="5449">
          <cell r="CJ5449" t="str">
            <v xml:space="preserve">NFT-/XUTR/DEUTH02430980595X </v>
          </cell>
          <cell r="CK5449" t="str">
            <v>2024-11-04</v>
          </cell>
          <cell r="CL5449">
            <v>7706.3379999999997</v>
          </cell>
          <cell r="CP5449" t="str">
            <v xml:space="preserve">NFT-/XUTR/DEUTH024309A02A3X </v>
          </cell>
          <cell r="CQ5449" t="str">
            <v>2024-11-04</v>
          </cell>
          <cell r="CR5449">
            <v>864.78</v>
          </cell>
        </row>
        <row r="5450">
          <cell r="CJ5450" t="str">
            <v xml:space="preserve">NFT-/XUTR/DEUTH02430980595X </v>
          </cell>
          <cell r="CK5450" t="str">
            <v>2024-11-04</v>
          </cell>
          <cell r="CL5450">
            <v>15365.674000000001</v>
          </cell>
          <cell r="CP5450" t="str">
            <v xml:space="preserve">NFT-/XUTR/DEUTH024309A02A3X </v>
          </cell>
          <cell r="CQ5450" t="str">
            <v>2024-11-04</v>
          </cell>
          <cell r="CR5450">
            <v>1455.8620000000001</v>
          </cell>
        </row>
        <row r="5451">
          <cell r="CJ5451" t="str">
            <v xml:space="preserve">NFT-/XUTR/DEUTH02430980595X </v>
          </cell>
          <cell r="CK5451" t="str">
            <v>2024-11-04</v>
          </cell>
          <cell r="CL5451">
            <v>15365.674000000001</v>
          </cell>
          <cell r="CP5451" t="str">
            <v xml:space="preserve">NFT-/XUTR/DEUTH024309A02A3X </v>
          </cell>
          <cell r="CQ5451" t="str">
            <v>2024-11-04</v>
          </cell>
          <cell r="CR5451">
            <v>1455.8620000000001</v>
          </cell>
        </row>
        <row r="5452">
          <cell r="CJ5452" t="str">
            <v xml:space="preserve">NFT-/XUTR/DEUTH02430980595X </v>
          </cell>
          <cell r="CK5452" t="str">
            <v>2024-11-04</v>
          </cell>
          <cell r="CL5452">
            <v>7706.3379999999997</v>
          </cell>
          <cell r="CP5452" t="str">
            <v xml:space="preserve">NFT-/XUTR/DEUTH024309A02A3X </v>
          </cell>
          <cell r="CQ5452" t="str">
            <v>2024-11-04</v>
          </cell>
          <cell r="CR5452">
            <v>864.78</v>
          </cell>
        </row>
        <row r="5453">
          <cell r="CJ5453" t="str">
            <v xml:space="preserve">NFT-/XUTR/DEUTH02430980595X </v>
          </cell>
          <cell r="CK5453" t="str">
            <v>2024-11-04</v>
          </cell>
          <cell r="CL5453">
            <v>15365.674000000001</v>
          </cell>
          <cell r="CP5453" t="str">
            <v xml:space="preserve">NFT-/XUTR/DEUTH024309A02A3X </v>
          </cell>
          <cell r="CQ5453" t="str">
            <v>2024-11-04</v>
          </cell>
          <cell r="CR5453">
            <v>1455.8620000000001</v>
          </cell>
        </row>
        <row r="5454">
          <cell r="CJ5454" t="str">
            <v xml:space="preserve">NFT-/XUTR/DEUTH02430980595X </v>
          </cell>
          <cell r="CK5454" t="str">
            <v>2024-11-04</v>
          </cell>
          <cell r="CL5454">
            <v>14519.334000000001</v>
          </cell>
          <cell r="CP5454" t="str">
            <v xml:space="preserve">NFT-/XUTR/DEUTH024309A02A3X </v>
          </cell>
          <cell r="CQ5454" t="str">
            <v>2024-11-04</v>
          </cell>
          <cell r="CR5454">
            <v>2302.2020000000002</v>
          </cell>
        </row>
        <row r="5455">
          <cell r="CJ5455" t="str">
            <v xml:space="preserve">NFT-/XUTR/DEUTH02430980595X </v>
          </cell>
          <cell r="CK5455" t="str">
            <v>2024-11-04</v>
          </cell>
          <cell r="CL5455">
            <v>7706.3379999999997</v>
          </cell>
          <cell r="CP5455" t="str">
            <v xml:space="preserve">NFT-/XUTR/DEUTH024309A02A3X </v>
          </cell>
          <cell r="CQ5455" t="str">
            <v>2024-11-04</v>
          </cell>
          <cell r="CR5455">
            <v>864.78</v>
          </cell>
        </row>
        <row r="5456">
          <cell r="CJ5456" t="str">
            <v xml:space="preserve">NFT-/XUTR/DEUTH02430980595X </v>
          </cell>
          <cell r="CK5456" t="str">
            <v>2024-11-04</v>
          </cell>
          <cell r="CL5456">
            <v>7706.3379999999997</v>
          </cell>
          <cell r="CP5456" t="str">
            <v xml:space="preserve">NFT-/XUTR/DEUTH024309A02A3X </v>
          </cell>
          <cell r="CQ5456" t="str">
            <v>2024-11-04</v>
          </cell>
          <cell r="CR5456">
            <v>864.78</v>
          </cell>
        </row>
        <row r="5457">
          <cell r="CJ5457" t="str">
            <v xml:space="preserve">NFT-/XUTR/DEUTH02430980595X </v>
          </cell>
          <cell r="CK5457" t="str">
            <v>2024-11-04</v>
          </cell>
          <cell r="CL5457">
            <v>15384.554</v>
          </cell>
          <cell r="CM5457" t="str">
            <v xml:space="preserve">NFT-/XUTR/DEUTH02432756454X </v>
          </cell>
          <cell r="CN5457" t="str">
            <v>2024-11-22</v>
          </cell>
          <cell r="CO5457">
            <v>-15384.554</v>
          </cell>
          <cell r="CP5457" t="str">
            <v xml:space="preserve">NFT-/XUTR/DEUTH024309A02A3X </v>
          </cell>
          <cell r="CQ5457" t="str">
            <v>2024-11-04</v>
          </cell>
          <cell r="CR5457">
            <v>1455.8620000000001</v>
          </cell>
          <cell r="CV5457" t="str">
            <v xml:space="preserve">NFT-/XUTR/DEUTH02433956210X </v>
          </cell>
          <cell r="CW5457" t="str">
            <v>2024-12-04</v>
          </cell>
          <cell r="CX5457">
            <v>-1455.8620000000001</v>
          </cell>
        </row>
        <row r="5458">
          <cell r="CJ5458" t="str">
            <v xml:space="preserve">NFT-/XUTR/DEUTH02430980595X </v>
          </cell>
          <cell r="CK5458" t="str">
            <v>2024-11-04</v>
          </cell>
          <cell r="CL5458">
            <v>15384.554</v>
          </cell>
          <cell r="CP5458" t="str">
            <v xml:space="preserve">NFT-/XUTR/DEUTH024309A02A3X </v>
          </cell>
          <cell r="CQ5458" t="str">
            <v>2024-11-04</v>
          </cell>
          <cell r="CR5458">
            <v>1455.8620000000001</v>
          </cell>
        </row>
        <row r="5459">
          <cell r="CJ5459" t="str">
            <v xml:space="preserve">NFT-/XUTR/DEUTH02430980595X </v>
          </cell>
          <cell r="CK5459" t="str">
            <v>2024-11-04</v>
          </cell>
          <cell r="CL5459">
            <v>7687.4579999999996</v>
          </cell>
          <cell r="CP5459" t="str">
            <v xml:space="preserve">NFT-/XUTR/DEUTH024309A02A3X </v>
          </cell>
          <cell r="CQ5459" t="str">
            <v>2024-11-04</v>
          </cell>
          <cell r="CR5459">
            <v>864.78</v>
          </cell>
        </row>
        <row r="5460">
          <cell r="CJ5460" t="str">
            <v xml:space="preserve">NFT-/XUTR/DEUTH02430980595X </v>
          </cell>
          <cell r="CK5460" t="str">
            <v>2024-11-04</v>
          </cell>
          <cell r="CL5460">
            <v>15365.674000000001</v>
          </cell>
          <cell r="CP5460" t="str">
            <v xml:space="preserve">NFT-/XUTR/DEUTH024309A02A3X </v>
          </cell>
          <cell r="CQ5460" t="str">
            <v>2024-11-04</v>
          </cell>
          <cell r="CR5460">
            <v>1455.8620000000001</v>
          </cell>
        </row>
        <row r="5461">
          <cell r="CJ5461" t="str">
            <v xml:space="preserve">NFT-/XUTR/DEUTH02430980595X </v>
          </cell>
          <cell r="CK5461" t="str">
            <v>2024-11-04</v>
          </cell>
          <cell r="CL5461">
            <v>15384.554</v>
          </cell>
          <cell r="CP5461" t="str">
            <v xml:space="preserve">NFT-/XUTR/DEUTH024309A02A3X </v>
          </cell>
          <cell r="CQ5461" t="str">
            <v>2024-11-04</v>
          </cell>
          <cell r="CR5461">
            <v>1455.8620000000001</v>
          </cell>
        </row>
        <row r="5462">
          <cell r="CJ5462" t="str">
            <v xml:space="preserve">NFT-/XUTR/DEUTH02430980595X </v>
          </cell>
          <cell r="CK5462" t="str">
            <v>2024-11-04</v>
          </cell>
          <cell r="CL5462">
            <v>15365.674000000001</v>
          </cell>
          <cell r="CP5462" t="str">
            <v xml:space="preserve">NFT-/XUTR/DEUTH024309A02A3X </v>
          </cell>
          <cell r="CQ5462" t="str">
            <v>2024-11-04</v>
          </cell>
          <cell r="CR5462">
            <v>1455.8620000000001</v>
          </cell>
        </row>
        <row r="5463">
          <cell r="CJ5463" t="str">
            <v xml:space="preserve">NFT-/XUTR/DEUTH02430980595X </v>
          </cell>
          <cell r="CK5463" t="str">
            <v>2024-11-04</v>
          </cell>
          <cell r="CL5463">
            <v>15365.674000000001</v>
          </cell>
          <cell r="CP5463" t="str">
            <v xml:space="preserve">NFT-/XUTR/DEUTH024309A02A3X </v>
          </cell>
          <cell r="CQ5463" t="str">
            <v>2024-11-04</v>
          </cell>
          <cell r="CR5463">
            <v>1455.8620000000001</v>
          </cell>
        </row>
        <row r="5464">
          <cell r="CJ5464" t="str">
            <v xml:space="preserve">NFT-/XUTR/DEUTH02430980595X </v>
          </cell>
          <cell r="CK5464" t="str">
            <v>2024-11-04</v>
          </cell>
          <cell r="CL5464">
            <v>7687.4579999999996</v>
          </cell>
          <cell r="CP5464" t="str">
            <v xml:space="preserve">NFT-/XUTR/DEUTH024309A02A3X </v>
          </cell>
          <cell r="CQ5464" t="str">
            <v>2024-11-04</v>
          </cell>
          <cell r="CR5464">
            <v>864.78</v>
          </cell>
        </row>
        <row r="5465">
          <cell r="CJ5465" t="str">
            <v xml:space="preserve">NFT-/XUTR/DEUTH02430980595X </v>
          </cell>
          <cell r="CK5465" t="str">
            <v>2024-11-04</v>
          </cell>
          <cell r="CL5465">
            <v>7706.3379999999997</v>
          </cell>
          <cell r="CP5465" t="str">
            <v xml:space="preserve">NFT-/XUTR/DEUTH024309A02A3X </v>
          </cell>
          <cell r="CQ5465" t="str">
            <v>2024-11-04</v>
          </cell>
          <cell r="CR5465">
            <v>864.78</v>
          </cell>
        </row>
        <row r="5466">
          <cell r="CJ5466" t="str">
            <v xml:space="preserve">NFT-/XUTR/DEUTH02430980595X </v>
          </cell>
          <cell r="CK5466" t="str">
            <v>2024-11-04</v>
          </cell>
          <cell r="CL5466">
            <v>10510.329</v>
          </cell>
          <cell r="CP5466" t="str">
            <v xml:space="preserve">NFT-/XUTR/DEUTH024309A02A3X </v>
          </cell>
          <cell r="CQ5466" t="str">
            <v>2024-11-04</v>
          </cell>
          <cell r="CR5466">
            <v>1176.3399999999999</v>
          </cell>
        </row>
        <row r="5467">
          <cell r="CJ5467" t="str">
            <v xml:space="preserve">NFT-/XUTR/DEUTH02430980595X </v>
          </cell>
          <cell r="CK5467" t="str">
            <v>2024-11-04</v>
          </cell>
          <cell r="CL5467">
            <v>7951.893</v>
          </cell>
          <cell r="CM5467" t="str">
            <v xml:space="preserve">NFT-/XUTR/DEUTH02432756454X </v>
          </cell>
          <cell r="CN5467" t="str">
            <v>2024-11-22</v>
          </cell>
          <cell r="CO5467">
            <v>-7951.893</v>
          </cell>
          <cell r="CP5467" t="str">
            <v xml:space="preserve">NFT-/XUTR/DEUTH024309A02A3X </v>
          </cell>
          <cell r="CQ5467" t="str">
            <v>2024-11-04</v>
          </cell>
          <cell r="CR5467">
            <v>619.22299999999996</v>
          </cell>
          <cell r="CV5467" t="str">
            <v xml:space="preserve">NFT-/XUTR/DEUTH02433956210X </v>
          </cell>
          <cell r="CW5467" t="str">
            <v>2024-12-04</v>
          </cell>
          <cell r="CX5467">
            <v>-619.22299999999996</v>
          </cell>
        </row>
        <row r="5468">
          <cell r="CJ5468" t="str">
            <v xml:space="preserve">NFT-/XUTR/DEUTH02430980595X </v>
          </cell>
          <cell r="CK5468" t="str">
            <v>2024-11-04</v>
          </cell>
          <cell r="CL5468">
            <v>15365.674000000001</v>
          </cell>
          <cell r="CP5468" t="str">
            <v xml:space="preserve">NFT-/XUTR/DEUTH024309A02A3X </v>
          </cell>
          <cell r="CQ5468" t="str">
            <v>2024-11-04</v>
          </cell>
          <cell r="CR5468">
            <v>1455.8620000000001</v>
          </cell>
        </row>
        <row r="5469">
          <cell r="CJ5469" t="str">
            <v xml:space="preserve">NFT-/XUTR/DEUTH02430980595X </v>
          </cell>
          <cell r="CK5469" t="str">
            <v>2024-11-04</v>
          </cell>
          <cell r="CL5469">
            <v>10358.477000000001</v>
          </cell>
          <cell r="CM5469" t="str">
            <v xml:space="preserve">NFT-/XUTR/DEUTH024334A0F3IX </v>
          </cell>
          <cell r="CN5469" t="str">
            <v>2024-11-29</v>
          </cell>
          <cell r="CO5469">
            <v>-10358.477000000001</v>
          </cell>
          <cell r="CP5469" t="str">
            <v xml:space="preserve">NFT-/XUTR/DEUTH024309A02A3X </v>
          </cell>
          <cell r="CQ5469" t="str">
            <v>2024-11-04</v>
          </cell>
          <cell r="CR5469">
            <v>1309.3009999999999</v>
          </cell>
          <cell r="CV5469" t="str">
            <v xml:space="preserve">NFT-/XUTR/DEUTH02433956210X </v>
          </cell>
          <cell r="CW5469" t="str">
            <v>2024-12-04</v>
          </cell>
          <cell r="CX5469">
            <v>-1309.3009999999999</v>
          </cell>
        </row>
        <row r="5470">
          <cell r="CJ5470" t="str">
            <v xml:space="preserve">NFT-/XUTR/DEUTH02430980595X </v>
          </cell>
          <cell r="CK5470" t="str">
            <v>2024-11-04</v>
          </cell>
          <cell r="CL5470">
            <v>10510.328</v>
          </cell>
          <cell r="CM5470" t="str">
            <v xml:space="preserve">NFT-/XUTR/DEUTH02432756454X </v>
          </cell>
          <cell r="CN5470" t="str">
            <v>2024-11-22</v>
          </cell>
          <cell r="CO5470">
            <v>-10510.328</v>
          </cell>
          <cell r="CP5470" t="str">
            <v xml:space="preserve">NFT-/XUTR/DEUTH024309A02A3X </v>
          </cell>
          <cell r="CQ5470" t="str">
            <v>2024-11-04</v>
          </cell>
          <cell r="CR5470">
            <v>1176.3389999999999</v>
          </cell>
          <cell r="CV5470" t="str">
            <v xml:space="preserve">NFT-/XUTR/DEUTH02433956210X </v>
          </cell>
          <cell r="CW5470" t="str">
            <v>2024-12-04</v>
          </cell>
          <cell r="CX5470">
            <v>-1176.3389999999999</v>
          </cell>
        </row>
        <row r="5471">
          <cell r="CJ5471" t="str">
            <v xml:space="preserve">NFT-/XUTR/DEUTH02430980595X </v>
          </cell>
          <cell r="CK5471" t="str">
            <v>2024-11-04</v>
          </cell>
          <cell r="CL5471">
            <v>11212.028</v>
          </cell>
          <cell r="CP5471" t="str">
            <v xml:space="preserve">NFT-/XUTR/DEUTH024309A02A3X </v>
          </cell>
          <cell r="CQ5471" t="str">
            <v>2024-11-04</v>
          </cell>
          <cell r="CR5471">
            <v>1174.394</v>
          </cell>
        </row>
        <row r="5472">
          <cell r="CJ5472" t="str">
            <v xml:space="preserve">NFT-/XUTR/DEUTH02430980595X </v>
          </cell>
          <cell r="CK5472" t="str">
            <v>2024-11-04</v>
          </cell>
          <cell r="CL5472">
            <v>2386.616</v>
          </cell>
          <cell r="CP5472" t="str">
            <v xml:space="preserve">NFT-/XUTR/DEUTH024309A02A3X </v>
          </cell>
          <cell r="CQ5472" t="str">
            <v>2024-11-04</v>
          </cell>
          <cell r="CR5472">
            <v>254.29400000000001</v>
          </cell>
        </row>
        <row r="5473">
          <cell r="CJ5473" t="str">
            <v xml:space="preserve">NFT-/XUTR/DEUTH02430980595X </v>
          </cell>
          <cell r="CK5473" t="str">
            <v>2024-11-04</v>
          </cell>
          <cell r="CL5473">
            <v>7514.1610000000001</v>
          </cell>
          <cell r="CP5473" t="str">
            <v xml:space="preserve">NFT-/XUTR/DEUTH024309A02A3X </v>
          </cell>
          <cell r="CQ5473" t="str">
            <v>2024-11-04</v>
          </cell>
          <cell r="CR5473">
            <v>1056.9559999999999</v>
          </cell>
        </row>
        <row r="5474">
          <cell r="CJ5474" t="str">
            <v xml:space="preserve">NFT-/XUTR/DEUTH02430980595X </v>
          </cell>
          <cell r="CK5474" t="str">
            <v>2024-11-04</v>
          </cell>
          <cell r="CL5474">
            <v>15764.56</v>
          </cell>
          <cell r="CP5474" t="str">
            <v xml:space="preserve">NFT-/XUTR/DEUTH024309A02A3X </v>
          </cell>
          <cell r="CQ5474" t="str">
            <v>2024-11-04</v>
          </cell>
          <cell r="CR5474">
            <v>1358.8040000000001</v>
          </cell>
        </row>
        <row r="5475">
          <cell r="CJ5475" t="str">
            <v xml:space="preserve">NFT-/XUTR/DEUTH02430980595X </v>
          </cell>
          <cell r="CK5475" t="str">
            <v>2024-11-04</v>
          </cell>
          <cell r="CL5475">
            <v>15365.674000000001</v>
          </cell>
          <cell r="CP5475" t="str">
            <v xml:space="preserve">NFT-/XUTR/DEUTH024309A02A3X </v>
          </cell>
          <cell r="CQ5475" t="str">
            <v>2024-11-04</v>
          </cell>
          <cell r="CR5475">
            <v>1455.8620000000001</v>
          </cell>
        </row>
        <row r="5476">
          <cell r="CJ5476" t="str">
            <v xml:space="preserve">NFT-/XUTR/DEUTH02430980595X </v>
          </cell>
          <cell r="CK5476" t="str">
            <v>2024-11-04</v>
          </cell>
          <cell r="CL5476">
            <v>15365.674000000001</v>
          </cell>
          <cell r="CP5476" t="str">
            <v xml:space="preserve">NFT-/XUTR/DEUTH024309A02A3X </v>
          </cell>
          <cell r="CQ5476" t="str">
            <v>2024-11-04</v>
          </cell>
          <cell r="CR5476">
            <v>1455.8620000000001</v>
          </cell>
        </row>
        <row r="5477">
          <cell r="CJ5477" t="str">
            <v xml:space="preserve">NFT-/XUTR/DEUTH02430980595X </v>
          </cell>
          <cell r="CK5477" t="str">
            <v>2024-11-04</v>
          </cell>
          <cell r="CL5477">
            <v>15384.554</v>
          </cell>
          <cell r="CP5477" t="str">
            <v xml:space="preserve">NFT-/XUTR/DEUTH024309A02A3X </v>
          </cell>
          <cell r="CQ5477" t="str">
            <v>2024-11-04</v>
          </cell>
          <cell r="CR5477">
            <v>1455.8620000000001</v>
          </cell>
        </row>
        <row r="5478">
          <cell r="CJ5478" t="str">
            <v xml:space="preserve">NFT-/XUTR/DEUTH02430980595X </v>
          </cell>
          <cell r="CK5478" t="str">
            <v>2024-11-04</v>
          </cell>
          <cell r="CL5478">
            <v>15365.674000000001</v>
          </cell>
          <cell r="CP5478" t="str">
            <v xml:space="preserve">NFT-/XUTR/DEUTH024309A02A3X </v>
          </cell>
          <cell r="CQ5478" t="str">
            <v>2024-11-04</v>
          </cell>
          <cell r="CR5478">
            <v>1455.8620000000001</v>
          </cell>
        </row>
        <row r="5479">
          <cell r="CJ5479" t="str">
            <v xml:space="preserve">NFT-/XUTR/DEUTH02430980595X </v>
          </cell>
          <cell r="CK5479" t="str">
            <v>2024-11-04</v>
          </cell>
          <cell r="CL5479">
            <v>7686.4939999999997</v>
          </cell>
          <cell r="CP5479" t="str">
            <v xml:space="preserve">NFT-/XUTR/DEUTH024309A02A3X </v>
          </cell>
          <cell r="CQ5479" t="str">
            <v>2024-11-04</v>
          </cell>
          <cell r="CR5479">
            <v>865.75400000000002</v>
          </cell>
        </row>
        <row r="5480">
          <cell r="CJ5480" t="str">
            <v xml:space="preserve">NFT-/XUTR/DEUTH02430980595X </v>
          </cell>
          <cell r="CK5480" t="str">
            <v>2024-11-04</v>
          </cell>
          <cell r="CL5480">
            <v>7706.3379999999997</v>
          </cell>
          <cell r="CM5480" t="str">
            <v xml:space="preserve">NFT-/XUTR/DEUTH02432756454X </v>
          </cell>
          <cell r="CN5480" t="str">
            <v>2024-11-22</v>
          </cell>
          <cell r="CO5480">
            <v>-7706.3379999999997</v>
          </cell>
          <cell r="CP5480" t="str">
            <v xml:space="preserve">NFT-/XUTR/DEUTH024309A02A3X </v>
          </cell>
          <cell r="CQ5480" t="str">
            <v>2024-11-04</v>
          </cell>
          <cell r="CR5480">
            <v>864.78</v>
          </cell>
          <cell r="CV5480" t="str">
            <v xml:space="preserve">NFT-/XUTR/DEUTH02433956210X </v>
          </cell>
          <cell r="CW5480" t="str">
            <v>2024-12-04</v>
          </cell>
          <cell r="CX5480">
            <v>-864.78</v>
          </cell>
        </row>
        <row r="5481">
          <cell r="CJ5481" t="str">
            <v xml:space="preserve">NFT-/XUTR/DEUTH02430980595X </v>
          </cell>
          <cell r="CK5481" t="str">
            <v>2024-11-04</v>
          </cell>
          <cell r="CL5481">
            <v>7687.4579999999996</v>
          </cell>
          <cell r="CP5481" t="str">
            <v xml:space="preserve">NFT-/XUTR/DEUTH024309A02A3X </v>
          </cell>
          <cell r="CQ5481" t="str">
            <v>2024-11-04</v>
          </cell>
          <cell r="CR5481">
            <v>864.78</v>
          </cell>
        </row>
        <row r="5482">
          <cell r="CJ5482" t="str">
            <v xml:space="preserve">NFT-/XUTR/DEUTH02430980595X </v>
          </cell>
          <cell r="CK5482" t="str">
            <v>2024-11-04</v>
          </cell>
          <cell r="CL5482">
            <v>7686.4939999999997</v>
          </cell>
          <cell r="CP5482" t="str">
            <v xml:space="preserve">NFT-/XUTR/DEUTH024309A02A3X </v>
          </cell>
          <cell r="CQ5482" t="str">
            <v>2024-11-04</v>
          </cell>
          <cell r="CR5482">
            <v>865.75400000000002</v>
          </cell>
        </row>
        <row r="5483">
          <cell r="CJ5483" t="str">
            <v xml:space="preserve">NFT-/XUTR/DEUTH02430980595X </v>
          </cell>
          <cell r="CK5483" t="str">
            <v>2024-11-04</v>
          </cell>
          <cell r="CL5483">
            <v>15365.674000000001</v>
          </cell>
          <cell r="CP5483" t="str">
            <v xml:space="preserve">NFT-/XUTR/DEUTH024309A02A3X </v>
          </cell>
          <cell r="CQ5483" t="str">
            <v>2024-11-04</v>
          </cell>
          <cell r="CR5483">
            <v>1455.8620000000001</v>
          </cell>
        </row>
        <row r="5484">
          <cell r="CJ5484" t="str">
            <v xml:space="preserve">NFT-/XUTR/DEUTH02430980595X </v>
          </cell>
          <cell r="CK5484" t="str">
            <v>2024-11-04</v>
          </cell>
          <cell r="CL5484">
            <v>7706.3370000000004</v>
          </cell>
          <cell r="CP5484" t="str">
            <v xml:space="preserve">NFT-/XUTR/DEUTH024309A02A3X </v>
          </cell>
          <cell r="CQ5484" t="str">
            <v>2024-11-04</v>
          </cell>
          <cell r="CR5484">
            <v>864.779</v>
          </cell>
        </row>
        <row r="5485">
          <cell r="CJ5485" t="str">
            <v xml:space="preserve">NFT-/XUTR/DEUTH02430980595X </v>
          </cell>
          <cell r="CK5485" t="str">
            <v>2024-11-04</v>
          </cell>
          <cell r="CL5485">
            <v>7706.3379999999997</v>
          </cell>
          <cell r="CP5485" t="str">
            <v xml:space="preserve">NFT-/XUTR/DEUTH024309A02A3X </v>
          </cell>
          <cell r="CQ5485" t="str">
            <v>2024-11-04</v>
          </cell>
          <cell r="CR5485">
            <v>864.78</v>
          </cell>
        </row>
        <row r="5486">
          <cell r="CJ5486" t="str">
            <v xml:space="preserve">NFT-/XUTR/DEUTH02430980595X </v>
          </cell>
          <cell r="CK5486" t="str">
            <v>2024-11-04</v>
          </cell>
          <cell r="CL5486">
            <v>15365.674000000001</v>
          </cell>
          <cell r="CP5486" t="str">
            <v xml:space="preserve">NFT-/XUTR/DEUTH024309A02A3X </v>
          </cell>
          <cell r="CQ5486" t="str">
            <v>2024-11-04</v>
          </cell>
          <cell r="CR5486">
            <v>1455.8620000000001</v>
          </cell>
        </row>
        <row r="5487">
          <cell r="CJ5487" t="str">
            <v xml:space="preserve">NFT-/XUTR/DEUTH02430980595X </v>
          </cell>
          <cell r="CK5487" t="str">
            <v>2024-11-04</v>
          </cell>
          <cell r="CL5487">
            <v>15365.674000000001</v>
          </cell>
          <cell r="CP5487" t="str">
            <v xml:space="preserve">NFT-/XUTR/DEUTH024309A02A3X </v>
          </cell>
          <cell r="CQ5487" t="str">
            <v>2024-11-04</v>
          </cell>
          <cell r="CR5487">
            <v>1455.8620000000001</v>
          </cell>
        </row>
        <row r="5488">
          <cell r="CJ5488" t="str">
            <v xml:space="preserve">NFT-/XUTR/DEUTH02430980595X </v>
          </cell>
          <cell r="CK5488" t="str">
            <v>2024-11-04</v>
          </cell>
          <cell r="CL5488">
            <v>7316.1689999999999</v>
          </cell>
          <cell r="CM5488" t="str">
            <v xml:space="preserve">NFT-/XUTR/DEUTH02433037112X </v>
          </cell>
          <cell r="CN5488" t="str">
            <v>2024-11-25</v>
          </cell>
          <cell r="CO5488">
            <v>-7316.1689999999999</v>
          </cell>
          <cell r="CP5488" t="str">
            <v xml:space="preserve">NFT-/XUTR/DEUTH024309A02A3X </v>
          </cell>
          <cell r="CQ5488" t="str">
            <v>2024-11-04</v>
          </cell>
          <cell r="CR5488">
            <v>1254.9480000000001</v>
          </cell>
          <cell r="CV5488" t="str">
            <v xml:space="preserve">NFT-/XUTR/DEUTH02433956210X </v>
          </cell>
          <cell r="CW5488" t="str">
            <v>2024-12-04</v>
          </cell>
          <cell r="CX5488">
            <v>-1254.9480000000001</v>
          </cell>
        </row>
        <row r="5489">
          <cell r="CJ5489" t="str">
            <v xml:space="preserve">NFT-/XUTR/DEUTH02430980595X </v>
          </cell>
          <cell r="CK5489" t="str">
            <v>2024-11-04</v>
          </cell>
          <cell r="CL5489">
            <v>7706.3379999999997</v>
          </cell>
          <cell r="CP5489" t="str">
            <v xml:space="preserve">NFT-/XUTR/DEUTH024309A02A3X </v>
          </cell>
          <cell r="CQ5489" t="str">
            <v>2024-11-04</v>
          </cell>
          <cell r="CR5489">
            <v>864.78</v>
          </cell>
        </row>
        <row r="5490">
          <cell r="CJ5490" t="str">
            <v xml:space="preserve">NFT-/XUTR/DEUTH02430980595X </v>
          </cell>
          <cell r="CK5490" t="str">
            <v>2024-11-04</v>
          </cell>
          <cell r="CL5490">
            <v>15365.674000000001</v>
          </cell>
          <cell r="CP5490" t="str">
            <v xml:space="preserve">NFT-/XUTR/DEUTH024309A02A3X </v>
          </cell>
          <cell r="CQ5490" t="str">
            <v>2024-11-04</v>
          </cell>
          <cell r="CR5490">
            <v>1455.8620000000001</v>
          </cell>
        </row>
        <row r="5491">
          <cell r="CJ5491" t="str">
            <v xml:space="preserve">NFT-/XUTR/DEUTH02430980595X </v>
          </cell>
          <cell r="CK5491" t="str">
            <v>2024-11-04</v>
          </cell>
          <cell r="CL5491">
            <v>15365.674000000001</v>
          </cell>
          <cell r="CP5491" t="str">
            <v xml:space="preserve">NFT-/XUTR/DEUTH024309A02A3X </v>
          </cell>
          <cell r="CQ5491" t="str">
            <v>2024-11-04</v>
          </cell>
          <cell r="CR5491">
            <v>1455.8620000000001</v>
          </cell>
        </row>
        <row r="5492">
          <cell r="CJ5492" t="str">
            <v xml:space="preserve">NFT-/XUTR/DEUTH02430980595X </v>
          </cell>
          <cell r="CK5492" t="str">
            <v>2024-11-04</v>
          </cell>
          <cell r="CL5492">
            <v>15384.554</v>
          </cell>
          <cell r="CP5492" t="str">
            <v xml:space="preserve">NFT-/XUTR/DEUTH024309A02A3X </v>
          </cell>
          <cell r="CQ5492" t="str">
            <v>2024-11-04</v>
          </cell>
          <cell r="CR5492">
            <v>1455.8620000000001</v>
          </cell>
        </row>
        <row r="5493">
          <cell r="CJ5493" t="str">
            <v xml:space="preserve">NFT-/XUTR/DEUTH02430980595X </v>
          </cell>
          <cell r="CK5493" t="str">
            <v>2024-11-04</v>
          </cell>
          <cell r="CL5493">
            <v>7687.4579999999996</v>
          </cell>
          <cell r="CP5493" t="str">
            <v xml:space="preserve">NFT-/XUTR/DEUTH024309A02A3X </v>
          </cell>
          <cell r="CQ5493" t="str">
            <v>2024-11-04</v>
          </cell>
          <cell r="CR5493">
            <v>864.78</v>
          </cell>
        </row>
        <row r="5494">
          <cell r="CJ5494" t="str">
            <v xml:space="preserve">NFT-/XUTR/DEUTH02430980595X </v>
          </cell>
          <cell r="CK5494" t="str">
            <v>2024-11-04</v>
          </cell>
          <cell r="CL5494">
            <v>15384.554</v>
          </cell>
          <cell r="CP5494" t="str">
            <v xml:space="preserve">NFT-/XUTR/DEUTH024309A02A3X </v>
          </cell>
          <cell r="CQ5494" t="str">
            <v>2024-11-04</v>
          </cell>
          <cell r="CR5494">
            <v>1455.8620000000001</v>
          </cell>
        </row>
        <row r="5495">
          <cell r="CJ5495" t="str">
            <v xml:space="preserve">NFT-/XUTR/DEUTH02430980595X </v>
          </cell>
          <cell r="CK5495" t="str">
            <v>2024-11-04</v>
          </cell>
          <cell r="CL5495">
            <v>7706.3379999999997</v>
          </cell>
          <cell r="CP5495" t="str">
            <v xml:space="preserve">NFT-/XUTR/DEUTH024309A02A3X </v>
          </cell>
          <cell r="CQ5495" t="str">
            <v>2024-11-04</v>
          </cell>
          <cell r="CR5495">
            <v>864.78</v>
          </cell>
        </row>
        <row r="5496">
          <cell r="CJ5496" t="str">
            <v xml:space="preserve">NFT-/XUTR/DEUTH02430980595X </v>
          </cell>
          <cell r="CK5496" t="str">
            <v>2024-11-04</v>
          </cell>
          <cell r="CL5496">
            <v>15384.554</v>
          </cell>
          <cell r="CP5496" t="str">
            <v xml:space="preserve">NFT-/XUTR/DEUTH024309A02A3X </v>
          </cell>
          <cell r="CQ5496" t="str">
            <v>2024-11-04</v>
          </cell>
          <cell r="CR5496">
            <v>1455.8620000000001</v>
          </cell>
        </row>
        <row r="5497">
          <cell r="CJ5497" t="str">
            <v xml:space="preserve">NFT-/XUTR/DEUTH02430980595X </v>
          </cell>
          <cell r="CK5497" t="str">
            <v>2024-11-04</v>
          </cell>
          <cell r="CL5497">
            <v>7687.4579999999996</v>
          </cell>
          <cell r="CP5497" t="str">
            <v xml:space="preserve">NFT-/XUTR/DEUTH024309A02A3X </v>
          </cell>
          <cell r="CQ5497" t="str">
            <v>2024-11-04</v>
          </cell>
          <cell r="CR5497">
            <v>864.78</v>
          </cell>
        </row>
        <row r="5498">
          <cell r="CJ5498" t="str">
            <v xml:space="preserve">NFT-/XUTR/DEUTH02430980595X </v>
          </cell>
          <cell r="CK5498" t="str">
            <v>2024-11-04</v>
          </cell>
          <cell r="CL5498">
            <v>15384.554</v>
          </cell>
          <cell r="CM5498" t="str">
            <v xml:space="preserve">NFT-/XUTR/DEUTH02432540165X </v>
          </cell>
          <cell r="CN5498" t="str">
            <v>2024-11-20</v>
          </cell>
          <cell r="CO5498">
            <v>-15384.554</v>
          </cell>
          <cell r="CP5498" t="str">
            <v xml:space="preserve">NFT-/XUTR/DEUTH024309A02A3X </v>
          </cell>
          <cell r="CQ5498" t="str">
            <v>2024-11-04</v>
          </cell>
          <cell r="CR5498">
            <v>1455.8620000000001</v>
          </cell>
          <cell r="CS5498" t="str">
            <v xml:space="preserve">NFT-/XUTR/DEUTH02432567146X </v>
          </cell>
          <cell r="CT5498" t="str">
            <v>2024-11-20</v>
          </cell>
          <cell r="CU5498">
            <v>-1455.8620000000001</v>
          </cell>
        </row>
        <row r="5499">
          <cell r="CJ5499" t="str">
            <v xml:space="preserve">NFT-/XUTR/DEUTH02430980595X </v>
          </cell>
          <cell r="CK5499" t="str">
            <v>2024-11-04</v>
          </cell>
          <cell r="CL5499">
            <v>15365.674000000001</v>
          </cell>
          <cell r="CP5499" t="str">
            <v xml:space="preserve">NFT-/XUTR/DEUTH024309A02A3X </v>
          </cell>
          <cell r="CQ5499" t="str">
            <v>2024-11-04</v>
          </cell>
          <cell r="CR5499">
            <v>1455.8620000000001</v>
          </cell>
        </row>
        <row r="5500">
          <cell r="CJ5500" t="str">
            <v xml:space="preserve">NFT-/XUTR/DEUTH02430980595X </v>
          </cell>
          <cell r="CK5500" t="str">
            <v>2024-11-04</v>
          </cell>
          <cell r="CL5500">
            <v>14519.334000000001</v>
          </cell>
          <cell r="CP5500" t="str">
            <v xml:space="preserve">NFT-/XUTR/DEUTH024309A02A3X </v>
          </cell>
          <cell r="CQ5500" t="str">
            <v>2024-11-04</v>
          </cell>
          <cell r="CR5500">
            <v>2302.2020000000002</v>
          </cell>
        </row>
        <row r="5501">
          <cell r="CJ5501" t="str">
            <v xml:space="preserve">NFT-/XUTR/DEUTH02430980595X </v>
          </cell>
          <cell r="CK5501" t="str">
            <v>2024-11-04</v>
          </cell>
          <cell r="CL5501">
            <v>15365.674000000001</v>
          </cell>
          <cell r="CP5501" t="str">
            <v xml:space="preserve">NFT-/XUTR/DEUTH024309A02A3X </v>
          </cell>
          <cell r="CQ5501" t="str">
            <v>2024-11-04</v>
          </cell>
          <cell r="CR5501">
            <v>1455.8620000000001</v>
          </cell>
        </row>
        <row r="5502">
          <cell r="CJ5502" t="str">
            <v xml:space="preserve">NFT-/XUTR/DEUTH02430980595X </v>
          </cell>
          <cell r="CK5502" t="str">
            <v>2024-11-04</v>
          </cell>
          <cell r="CL5502">
            <v>15365.674000000001</v>
          </cell>
          <cell r="CP5502" t="str">
            <v xml:space="preserve">NFT-/XUTR/DEUTH024309A02A3X </v>
          </cell>
          <cell r="CQ5502" t="str">
            <v>2024-11-04</v>
          </cell>
          <cell r="CR5502">
            <v>1455.8620000000001</v>
          </cell>
        </row>
        <row r="5503">
          <cell r="CJ5503" t="str">
            <v xml:space="preserve">NFT-/XUTR/DEUTH02430980595X </v>
          </cell>
          <cell r="CK5503" t="str">
            <v>2024-11-04</v>
          </cell>
          <cell r="CL5503">
            <v>15365.674000000001</v>
          </cell>
          <cell r="CP5503" t="str">
            <v xml:space="preserve">NFT-/XUTR/DEUTH024309A02A3X </v>
          </cell>
          <cell r="CQ5503" t="str">
            <v>2024-11-04</v>
          </cell>
          <cell r="CR5503">
            <v>1455.8620000000001</v>
          </cell>
        </row>
        <row r="5504">
          <cell r="CJ5504" t="str">
            <v xml:space="preserve">NFT-/XUTR/DEUTH02430980595X </v>
          </cell>
          <cell r="CK5504" t="str">
            <v>2024-11-04</v>
          </cell>
          <cell r="CL5504">
            <v>5251.76</v>
          </cell>
          <cell r="CP5504" t="str">
            <v xml:space="preserve">NFT-/XUTR/DEUTH024309A02A3X </v>
          </cell>
          <cell r="CQ5504" t="str">
            <v>2024-11-04</v>
          </cell>
          <cell r="CR5504">
            <v>592.04700000000003</v>
          </cell>
        </row>
        <row r="5505">
          <cell r="CJ5505" t="str">
            <v xml:space="preserve">NFT-/XUTR/DEUTH02430980595X </v>
          </cell>
          <cell r="CK5505" t="str">
            <v>2024-11-04</v>
          </cell>
          <cell r="CL5505">
            <v>7706.3370000000004</v>
          </cell>
          <cell r="CP5505" t="str">
            <v xml:space="preserve">NFT-/XUTR/DEUTH024309A02A3X </v>
          </cell>
          <cell r="CQ5505" t="str">
            <v>2024-11-04</v>
          </cell>
          <cell r="CR5505">
            <v>864.779</v>
          </cell>
        </row>
        <row r="5506">
          <cell r="CJ5506" t="str">
            <v xml:space="preserve">NFT-/XUTR/DEUTH02430980595X </v>
          </cell>
          <cell r="CK5506" t="str">
            <v>2024-11-04</v>
          </cell>
          <cell r="CL5506">
            <v>16337.664000000001</v>
          </cell>
          <cell r="CP5506" t="str">
            <v xml:space="preserve">NFT-/XUTR/DEUTH024309A02A3X </v>
          </cell>
          <cell r="CQ5506" t="str">
            <v>2024-11-04</v>
          </cell>
          <cell r="CR5506">
            <v>502.762</v>
          </cell>
        </row>
        <row r="5507">
          <cell r="CJ5507" t="str">
            <v xml:space="preserve">NFT-/XUTR/DEUTH02430980595X </v>
          </cell>
          <cell r="CK5507" t="str">
            <v>2024-11-04</v>
          </cell>
          <cell r="CL5507">
            <v>7706.3370000000004</v>
          </cell>
          <cell r="CP5507" t="str">
            <v xml:space="preserve">NFT-/XUTR/DEUTH024309A02A3X </v>
          </cell>
          <cell r="CQ5507" t="str">
            <v>2024-11-04</v>
          </cell>
          <cell r="CR5507">
            <v>864.779</v>
          </cell>
        </row>
        <row r="5508">
          <cell r="CJ5508" t="str">
            <v xml:space="preserve">NFT-/XUTR/DEUTH02430980595X </v>
          </cell>
          <cell r="CK5508" t="str">
            <v>2024-11-04</v>
          </cell>
          <cell r="CL5508">
            <v>7706.3379999999997</v>
          </cell>
          <cell r="CP5508" t="str">
            <v xml:space="preserve">NFT-/XUTR/DEUTH024309A02A3X </v>
          </cell>
          <cell r="CQ5508" t="str">
            <v>2024-11-04</v>
          </cell>
          <cell r="CR5508">
            <v>864.78</v>
          </cell>
        </row>
        <row r="5509">
          <cell r="CJ5509" t="str">
            <v xml:space="preserve">NFT-/XUTR/DEUTH02430980595X </v>
          </cell>
          <cell r="CK5509" t="str">
            <v>2024-11-04</v>
          </cell>
          <cell r="CL5509">
            <v>15365.674000000001</v>
          </cell>
          <cell r="CP5509" t="str">
            <v xml:space="preserve">NFT-/XUTR/DEUTH024309A02A3X </v>
          </cell>
          <cell r="CQ5509" t="str">
            <v>2024-11-04</v>
          </cell>
          <cell r="CR5509">
            <v>1455.8620000000001</v>
          </cell>
        </row>
        <row r="5510">
          <cell r="CJ5510" t="str">
            <v xml:space="preserve">NFT-/XUTR/DEUTH02430980595X </v>
          </cell>
          <cell r="CK5510" t="str">
            <v>2024-11-04</v>
          </cell>
          <cell r="CL5510">
            <v>15384.554</v>
          </cell>
          <cell r="CP5510" t="str">
            <v xml:space="preserve">NFT-/XUTR/DEUTH024309A02A3X </v>
          </cell>
          <cell r="CQ5510" t="str">
            <v>2024-11-04</v>
          </cell>
          <cell r="CR5510">
            <v>1455.8620000000001</v>
          </cell>
        </row>
        <row r="5511">
          <cell r="CJ5511" t="str">
            <v xml:space="preserve">NFT-/XUTR/DEUTH02430980595X </v>
          </cell>
          <cell r="CK5511" t="str">
            <v>2024-11-04</v>
          </cell>
          <cell r="CL5511">
            <v>7706.3370000000004</v>
          </cell>
          <cell r="CP5511" t="str">
            <v xml:space="preserve">NFT-/XUTR/DEUTH024309A02A3X </v>
          </cell>
          <cell r="CQ5511" t="str">
            <v>2024-11-04</v>
          </cell>
          <cell r="CR5511">
            <v>864.779</v>
          </cell>
        </row>
        <row r="5512">
          <cell r="CJ5512" t="str">
            <v xml:space="preserve">NFT-/XUTR/DEUTH02430980595X </v>
          </cell>
          <cell r="CK5512" t="str">
            <v>2024-11-04</v>
          </cell>
          <cell r="CL5512">
            <v>15676.672</v>
          </cell>
          <cell r="CP5512" t="str">
            <v xml:space="preserve">NFT-/XUTR/DEUTH024309A02A3X </v>
          </cell>
          <cell r="CQ5512" t="str">
            <v>2024-11-04</v>
          </cell>
          <cell r="CR5512">
            <v>1465.5640000000001</v>
          </cell>
        </row>
        <row r="5513">
          <cell r="CJ5513" t="str">
            <v xml:space="preserve">NFT-/XUTR/DEUTH02430980595X </v>
          </cell>
          <cell r="CK5513" t="str">
            <v>2024-11-04</v>
          </cell>
          <cell r="CL5513">
            <v>7706.3379999999997</v>
          </cell>
          <cell r="CP5513" t="str">
            <v xml:space="preserve">NFT-/XUTR/DEUTH024309A02A3X </v>
          </cell>
          <cell r="CQ5513" t="str">
            <v>2024-11-04</v>
          </cell>
          <cell r="CR5513">
            <v>864.78</v>
          </cell>
        </row>
        <row r="5514">
          <cell r="CJ5514" t="str">
            <v xml:space="preserve">NFT-/XUTR/DEUTH02430980595X </v>
          </cell>
          <cell r="CK5514" t="str">
            <v>2024-11-04</v>
          </cell>
          <cell r="CL5514">
            <v>15365.674000000001</v>
          </cell>
          <cell r="CP5514" t="str">
            <v xml:space="preserve">NFT-/XUTR/DEUTH024309A02A3X </v>
          </cell>
          <cell r="CQ5514" t="str">
            <v>2024-11-04</v>
          </cell>
          <cell r="CR5514">
            <v>1455.8620000000001</v>
          </cell>
        </row>
        <row r="5515">
          <cell r="CJ5515" t="str">
            <v xml:space="preserve">NFT-/XUTR/DEUTH02430980595X </v>
          </cell>
          <cell r="CK5515" t="str">
            <v>2024-11-04</v>
          </cell>
          <cell r="CL5515">
            <v>15093.380999999999</v>
          </cell>
          <cell r="CP5515" t="str">
            <v xml:space="preserve">NFT-/XUTR/DEUTH024309A02A3X </v>
          </cell>
          <cell r="CQ5515" t="str">
            <v>2024-11-04</v>
          </cell>
          <cell r="CR5515">
            <v>1747.0350000000001</v>
          </cell>
        </row>
        <row r="5516">
          <cell r="CJ5516" t="str">
            <v xml:space="preserve">NFT-/XUTR/DEUTH02430980595X </v>
          </cell>
          <cell r="CK5516" t="str">
            <v>2024-11-04</v>
          </cell>
          <cell r="CL5516">
            <v>7687.4579999999996</v>
          </cell>
          <cell r="CP5516" t="str">
            <v xml:space="preserve">NFT-/XUTR/DEUTH024309A02A3X </v>
          </cell>
          <cell r="CQ5516" t="str">
            <v>2024-11-04</v>
          </cell>
          <cell r="CR5516">
            <v>864.78</v>
          </cell>
        </row>
        <row r="5517">
          <cell r="CJ5517" t="str">
            <v xml:space="preserve">NFT-/XUTR/DEUTH02430980595X </v>
          </cell>
          <cell r="CK5517" t="str">
            <v>2024-11-04</v>
          </cell>
          <cell r="CL5517">
            <v>7395.7510000000002</v>
          </cell>
          <cell r="CP5517" t="str">
            <v xml:space="preserve">NFT-/XUTR/DEUTH024309A02A3X </v>
          </cell>
          <cell r="CQ5517" t="str">
            <v>2024-11-04</v>
          </cell>
          <cell r="CR5517">
            <v>1175.364</v>
          </cell>
        </row>
        <row r="5518">
          <cell r="CJ5518" t="str">
            <v xml:space="preserve">NFT-/XUTR/DEUTH02430980595X </v>
          </cell>
          <cell r="CK5518" t="str">
            <v>2024-11-04</v>
          </cell>
          <cell r="CL5518">
            <v>5250.7849999999999</v>
          </cell>
          <cell r="CP5518" t="str">
            <v xml:space="preserve">NFT-/XUTR/DEUTH024309A02A3X </v>
          </cell>
          <cell r="CQ5518" t="str">
            <v>2024-11-04</v>
          </cell>
          <cell r="CR5518">
            <v>593.02099999999996</v>
          </cell>
        </row>
        <row r="5519">
          <cell r="CJ5519" t="str">
            <v xml:space="preserve">NFT-/XUTR/DEUTH02430980595X </v>
          </cell>
          <cell r="CK5519" t="str">
            <v>2024-11-04</v>
          </cell>
          <cell r="CL5519">
            <v>7706.3379999999997</v>
          </cell>
          <cell r="CP5519" t="str">
            <v xml:space="preserve">NFT-/XUTR/DEUTH024309A02A3X </v>
          </cell>
          <cell r="CQ5519" t="str">
            <v>2024-11-04</v>
          </cell>
          <cell r="CR5519">
            <v>864.78</v>
          </cell>
        </row>
        <row r="5520">
          <cell r="CJ5520" t="str">
            <v xml:space="preserve">NFT-/XUTR/DEUTH02430980595X </v>
          </cell>
          <cell r="CK5520" t="str">
            <v>2024-11-04</v>
          </cell>
          <cell r="CL5520">
            <v>7980.0450000000001</v>
          </cell>
          <cell r="CP5520" t="str">
            <v xml:space="preserve">NFT-/XUTR/DEUTH024309A02A3X </v>
          </cell>
          <cell r="CQ5520" t="str">
            <v>2024-11-04</v>
          </cell>
          <cell r="CR5520">
            <v>591.08299999999997</v>
          </cell>
        </row>
        <row r="5521">
          <cell r="CJ5521" t="str">
            <v xml:space="preserve">NFT-/XUTR/DEUTH02430980595X </v>
          </cell>
          <cell r="CK5521" t="str">
            <v>2024-11-04</v>
          </cell>
          <cell r="CL5521">
            <v>7687.4579999999996</v>
          </cell>
          <cell r="CP5521" t="str">
            <v xml:space="preserve">NFT-/XUTR/DEUTH024309A02A3X </v>
          </cell>
          <cell r="CQ5521" t="str">
            <v>2024-11-04</v>
          </cell>
          <cell r="CR5521">
            <v>864.78</v>
          </cell>
        </row>
        <row r="5522">
          <cell r="CJ5522" t="str">
            <v xml:space="preserve">NFT-/XUTR/DEUTH02430980595X </v>
          </cell>
          <cell r="CK5522" t="str">
            <v>2024-11-04</v>
          </cell>
          <cell r="CL5522">
            <v>5252.723</v>
          </cell>
          <cell r="CM5522" t="str">
            <v xml:space="preserve">NFT-/XUTR/DEUTH02432045075X </v>
          </cell>
          <cell r="CN5522" t="str">
            <v>2024-11-15</v>
          </cell>
          <cell r="CO5522">
            <v>-7706.3370000000004</v>
          </cell>
          <cell r="CP5522" t="str">
            <v xml:space="preserve">NFT-/XUTR/DEUTH024309A02A3X </v>
          </cell>
          <cell r="CQ5522" t="str">
            <v>2024-11-04</v>
          </cell>
          <cell r="CR5522">
            <v>591.08299999999997</v>
          </cell>
          <cell r="CS5522" t="str">
            <v xml:space="preserve">NFT-/XUTR/DEUTH02432059153X </v>
          </cell>
          <cell r="CT5522" t="str">
            <v>2024-11-15</v>
          </cell>
          <cell r="CU5522">
            <v>-591.08299999999997</v>
          </cell>
        </row>
        <row r="5523">
          <cell r="CJ5523" t="str">
            <v xml:space="preserve">NFT-/XUTR/DEUTH02430980595X </v>
          </cell>
          <cell r="CK5523" t="str">
            <v>2024-11-04</v>
          </cell>
          <cell r="CL5523">
            <v>7706.3370000000004</v>
          </cell>
          <cell r="CM5523" t="str">
            <v xml:space="preserve">NFT-/XUTR/DEUTH02432045075X </v>
          </cell>
          <cell r="CN5523" t="str">
            <v>2024-11-15</v>
          </cell>
          <cell r="CO5523">
            <v>-5252.723</v>
          </cell>
          <cell r="CP5523" t="str">
            <v xml:space="preserve">NFT-/XUTR/DEUTH024309A02A3X </v>
          </cell>
          <cell r="CQ5523" t="str">
            <v>2024-11-04</v>
          </cell>
          <cell r="CR5523">
            <v>864.779</v>
          </cell>
          <cell r="CS5523" t="str">
            <v xml:space="preserve">NFT-/XUTR/DEUTH02432059153X </v>
          </cell>
          <cell r="CT5523" t="str">
            <v>2024-11-15</v>
          </cell>
          <cell r="CU5523">
            <v>-864.779</v>
          </cell>
        </row>
        <row r="5524">
          <cell r="CJ5524" t="str">
            <v xml:space="preserve">NFT-/XUTR/DEUTH02430980595X </v>
          </cell>
          <cell r="CK5524" t="str">
            <v>2024-11-04</v>
          </cell>
          <cell r="CL5524">
            <v>5602.1369999999997</v>
          </cell>
          <cell r="CP5524" t="str">
            <v xml:space="preserve">NFT-/XUTR/DEUTH024309A02A3X </v>
          </cell>
          <cell r="CQ5524" t="str">
            <v>2024-11-04</v>
          </cell>
          <cell r="CR5524">
            <v>591.08299999999997</v>
          </cell>
        </row>
        <row r="5525">
          <cell r="CJ5525" t="str">
            <v xml:space="preserve">NFT-/XUTR/DEUTH02430980595X </v>
          </cell>
          <cell r="CK5525" t="str">
            <v>2024-11-04</v>
          </cell>
          <cell r="CL5525">
            <v>15667.502</v>
          </cell>
          <cell r="CP5525" t="str">
            <v xml:space="preserve">NFT-/XUTR/DEUTH024309A02A3X </v>
          </cell>
          <cell r="CQ5525" t="str">
            <v>2024-11-04</v>
          </cell>
          <cell r="CR5525">
            <v>1455.8620000000001</v>
          </cell>
        </row>
        <row r="5526">
          <cell r="CJ5526" t="str">
            <v xml:space="preserve">NFT-/XUTR/DEUTH02430980595X </v>
          </cell>
          <cell r="CK5526" t="str">
            <v>2024-11-04</v>
          </cell>
          <cell r="CL5526">
            <v>7706.3379999999997</v>
          </cell>
          <cell r="CP5526" t="str">
            <v xml:space="preserve">NFT-/XUTR/DEUTH024309A02A3X </v>
          </cell>
          <cell r="CQ5526" t="str">
            <v>2024-11-04</v>
          </cell>
          <cell r="CR5526">
            <v>864.78</v>
          </cell>
        </row>
        <row r="5527">
          <cell r="CJ5527" t="str">
            <v xml:space="preserve">NFT-/XUTR/DEUTH02430980595X </v>
          </cell>
          <cell r="CK5527" t="str">
            <v>2024-11-04</v>
          </cell>
          <cell r="CL5527">
            <v>5251.76</v>
          </cell>
          <cell r="CM5527" t="str">
            <v xml:space="preserve">NFT-/XUTR/DEUTH02432540165X </v>
          </cell>
          <cell r="CN5527" t="str">
            <v>2024-11-20</v>
          </cell>
          <cell r="CO5527">
            <v>-5251.76</v>
          </cell>
          <cell r="CP5527" t="str">
            <v xml:space="preserve">NFT-/XUTR/DEUTH024309A02A3X </v>
          </cell>
          <cell r="CQ5527" t="str">
            <v>2024-11-04</v>
          </cell>
          <cell r="CR5527">
            <v>592.04700000000003</v>
          </cell>
          <cell r="CS5527" t="str">
            <v xml:space="preserve">NFT-/XUTR/DEUTH02432567146X </v>
          </cell>
          <cell r="CT5527" t="str">
            <v>2024-11-20</v>
          </cell>
          <cell r="CU5527">
            <v>-592.04700000000003</v>
          </cell>
        </row>
        <row r="5528">
          <cell r="CJ5528" t="str">
            <v xml:space="preserve">NFT-/XUTR/DEUTH02430980595X </v>
          </cell>
          <cell r="CK5528" t="str">
            <v>2024-11-04</v>
          </cell>
          <cell r="CL5528">
            <v>10807.325999999999</v>
          </cell>
          <cell r="CM5528" t="str">
            <v xml:space="preserve">NFT-/XUTR/DEUTH02432756454X </v>
          </cell>
          <cell r="CN5528" t="str">
            <v>2024-11-22</v>
          </cell>
          <cell r="CO5528">
            <v>-10807.325999999999</v>
          </cell>
          <cell r="CP5528" t="str">
            <v xml:space="preserve">NFT-/XUTR/DEUTH024309A02A3X </v>
          </cell>
          <cell r="CQ5528" t="str">
            <v>2024-11-04</v>
          </cell>
          <cell r="CR5528">
            <v>1209.3309999999999</v>
          </cell>
          <cell r="CV5528" t="str">
            <v xml:space="preserve">NFT-/XUTR/DEUTH02433956210X </v>
          </cell>
          <cell r="CW5528" t="str">
            <v>2024-12-04</v>
          </cell>
          <cell r="CX5528">
            <v>-1209.3309999999999</v>
          </cell>
        </row>
        <row r="5529">
          <cell r="CJ5529" t="str">
            <v xml:space="preserve">NFT-/XUTR/DEUTH02430980595X </v>
          </cell>
          <cell r="CK5529" t="str">
            <v>2024-11-04</v>
          </cell>
          <cell r="CL5529">
            <v>7687.4579999999996</v>
          </cell>
          <cell r="CP5529" t="str">
            <v xml:space="preserve">NFT-/XUTR/DEUTH024309A02A3X </v>
          </cell>
          <cell r="CQ5529" t="str">
            <v>2024-11-04</v>
          </cell>
          <cell r="CR5529">
            <v>864.78</v>
          </cell>
        </row>
        <row r="5530">
          <cell r="CJ5530" t="str">
            <v xml:space="preserve">NFT-/XUTR/DEUTH02430980595X </v>
          </cell>
          <cell r="CK5530" t="str">
            <v>2024-11-04</v>
          </cell>
          <cell r="CL5530">
            <v>40785.031000000003</v>
          </cell>
          <cell r="CP5530" t="str">
            <v xml:space="preserve">NFT-/XUTR/DEUTH024309A02A3X </v>
          </cell>
          <cell r="CQ5530" t="str">
            <v>2024-11-04</v>
          </cell>
          <cell r="CR5530">
            <v>1455.8620000000001</v>
          </cell>
        </row>
        <row r="5531">
          <cell r="CJ5531" t="str">
            <v xml:space="preserve">NFT-/XUTR/DEUTH02430980595X </v>
          </cell>
          <cell r="CK5531" t="str">
            <v>2024-11-04</v>
          </cell>
          <cell r="CL5531">
            <v>7687.4579999999996</v>
          </cell>
          <cell r="CP5531" t="str">
            <v xml:space="preserve">NFT-/XUTR/DEUTH024309A02A3X </v>
          </cell>
          <cell r="CQ5531" t="str">
            <v>2024-11-04</v>
          </cell>
          <cell r="CR5531">
            <v>864.78</v>
          </cell>
        </row>
        <row r="5532">
          <cell r="CJ5532" t="str">
            <v xml:space="preserve">NFT-/XUTR/DEUTH02430980595X </v>
          </cell>
          <cell r="CK5532" t="str">
            <v>2024-11-04</v>
          </cell>
          <cell r="CL5532">
            <v>7297.2889999999998</v>
          </cell>
          <cell r="CP5532" t="str">
            <v xml:space="preserve">NFT-/XUTR/DEUTH024309A02A3X </v>
          </cell>
          <cell r="CQ5532" t="str">
            <v>2024-11-04</v>
          </cell>
          <cell r="CR5532">
            <v>1254.9480000000001</v>
          </cell>
        </row>
        <row r="5533">
          <cell r="CJ5533" t="str">
            <v xml:space="preserve">NFT-/XUTR/DEUTH02430980595X </v>
          </cell>
          <cell r="CK5533" t="str">
            <v>2024-11-04</v>
          </cell>
          <cell r="CL5533">
            <v>7297.2889999999998</v>
          </cell>
          <cell r="CP5533" t="str">
            <v xml:space="preserve">NFT-/XUTR/DEUTH024309A02A3X </v>
          </cell>
          <cell r="CQ5533" t="str">
            <v>2024-11-04</v>
          </cell>
          <cell r="CR5533">
            <v>1254.9480000000001</v>
          </cell>
        </row>
        <row r="5534">
          <cell r="CJ5534" t="str">
            <v xml:space="preserve">NFT-/XUTR/DEUTH02430980595X </v>
          </cell>
          <cell r="CK5534" t="str">
            <v>2024-11-04</v>
          </cell>
          <cell r="CL5534">
            <v>7706.3370000000004</v>
          </cell>
          <cell r="CP5534" t="str">
            <v xml:space="preserve">NFT-/XUTR/DEUTH024309A02A3X </v>
          </cell>
          <cell r="CQ5534" t="str">
            <v>2024-11-04</v>
          </cell>
          <cell r="CR5534">
            <v>864.779</v>
          </cell>
        </row>
        <row r="5535">
          <cell r="CJ5535" t="str">
            <v xml:space="preserve">NFT-/XUTR/DEUTH02430980595X </v>
          </cell>
          <cell r="CK5535" t="str">
            <v>2024-11-04</v>
          </cell>
          <cell r="CL5535">
            <v>10510.329</v>
          </cell>
          <cell r="CP5535" t="str">
            <v xml:space="preserve">NFT-/XUTR/DEUTH024309A02A3X </v>
          </cell>
          <cell r="CQ5535" t="str">
            <v>2024-11-04</v>
          </cell>
          <cell r="CR5535">
            <v>1176.3399999999999</v>
          </cell>
        </row>
        <row r="5536">
          <cell r="CJ5536" t="str">
            <v xml:space="preserve">NFT-/XUTR/DEUTH02430980595X </v>
          </cell>
          <cell r="CK5536" t="str">
            <v>2024-11-04</v>
          </cell>
          <cell r="CL5536">
            <v>8119.366</v>
          </cell>
          <cell r="CP5536" t="str">
            <v xml:space="preserve">NFT-/XUTR/DEUTH024309A02A3X </v>
          </cell>
          <cell r="CQ5536" t="str">
            <v>2024-11-04</v>
          </cell>
          <cell r="CR5536">
            <v>432.87200000000001</v>
          </cell>
        </row>
        <row r="5537">
          <cell r="CJ5537" t="str">
            <v xml:space="preserve">NFT-/XUTR/DEUTH02430980595X </v>
          </cell>
          <cell r="CK5537" t="str">
            <v>2024-11-04</v>
          </cell>
          <cell r="CL5537">
            <v>7297.2889999999998</v>
          </cell>
          <cell r="CP5537" t="str">
            <v xml:space="preserve">NFT-/XUTR/DEUTH024309A02A3X </v>
          </cell>
          <cell r="CQ5537" t="str">
            <v>2024-11-04</v>
          </cell>
          <cell r="CR5537">
            <v>1254.9480000000001</v>
          </cell>
        </row>
        <row r="5538">
          <cell r="CJ5538" t="str">
            <v xml:space="preserve">NFT-/XUTR/DEUTH02430980595X </v>
          </cell>
          <cell r="CK5538" t="str">
            <v>2024-11-04</v>
          </cell>
          <cell r="CL5538">
            <v>7706.3379999999997</v>
          </cell>
          <cell r="CP5538" t="str">
            <v xml:space="preserve">NFT-/XUTR/DEUTH024309A02A3X </v>
          </cell>
          <cell r="CQ5538" t="str">
            <v>2024-11-04</v>
          </cell>
          <cell r="CR5538">
            <v>864.78</v>
          </cell>
        </row>
        <row r="5539">
          <cell r="CJ5539" t="str">
            <v xml:space="preserve">NFT-/XUTR/DEUTH02430980595X </v>
          </cell>
          <cell r="CK5539" t="str">
            <v>2024-11-04</v>
          </cell>
          <cell r="CL5539">
            <v>7706.3370000000004</v>
          </cell>
          <cell r="CP5539" t="str">
            <v xml:space="preserve">NFT-/XUTR/DEUTH024309A02A3X </v>
          </cell>
          <cell r="CQ5539" t="str">
            <v>2024-11-04</v>
          </cell>
          <cell r="CR5539">
            <v>864.779</v>
          </cell>
        </row>
        <row r="5540">
          <cell r="CJ5540" t="str">
            <v xml:space="preserve">NFT-/XUTR/DEUTH02430980595X </v>
          </cell>
          <cell r="CK5540" t="str">
            <v>2024-11-04</v>
          </cell>
          <cell r="CL5540">
            <v>7706.3379999999997</v>
          </cell>
          <cell r="CP5540" t="str">
            <v xml:space="preserve">NFT-/XUTR/DEUTH024309A02A3X </v>
          </cell>
          <cell r="CQ5540" t="str">
            <v>2024-11-04</v>
          </cell>
          <cell r="CR5540">
            <v>864.78</v>
          </cell>
        </row>
        <row r="5541">
          <cell r="CJ5541" t="str">
            <v xml:space="preserve">NFT-/XUTR/DEUTH02430980595X </v>
          </cell>
          <cell r="CK5541" t="str">
            <v>2024-11-04</v>
          </cell>
          <cell r="CL5541">
            <v>7297.2889999999998</v>
          </cell>
          <cell r="CP5541" t="str">
            <v xml:space="preserve">NFT-/XUTR/DEUTH024309A02A3X </v>
          </cell>
          <cell r="CQ5541" t="str">
            <v>2024-11-04</v>
          </cell>
          <cell r="CR5541">
            <v>1254.9480000000001</v>
          </cell>
        </row>
        <row r="5542">
          <cell r="CJ5542" t="str">
            <v xml:space="preserve">NFT-/XUTR/DEUTH02430980595X </v>
          </cell>
          <cell r="CK5542" t="str">
            <v>2024-11-04</v>
          </cell>
          <cell r="CL5542">
            <v>10788.446</v>
          </cell>
          <cell r="CP5542" t="str">
            <v xml:space="preserve">NFT-/XUTR/DEUTH024309A02A3X </v>
          </cell>
          <cell r="CQ5542" t="str">
            <v>2024-11-04</v>
          </cell>
          <cell r="CR5542">
            <v>1209.3309999999999</v>
          </cell>
        </row>
        <row r="5543">
          <cell r="CJ5543" t="str">
            <v xml:space="preserve">NFT-/XUTR/DEUTH02430980595X </v>
          </cell>
          <cell r="CK5543" t="str">
            <v>2024-11-04</v>
          </cell>
          <cell r="CL5543">
            <v>10503.51</v>
          </cell>
          <cell r="CP5543" t="str">
            <v xml:space="preserve">NFT-/XUTR/DEUTH024309A02A3X </v>
          </cell>
          <cell r="CQ5543" t="str">
            <v>2024-11-04</v>
          </cell>
          <cell r="CR5543">
            <v>1184.104</v>
          </cell>
        </row>
        <row r="5544">
          <cell r="CJ5544" t="str">
            <v xml:space="preserve">NFT-/XUTR/DEUTH02430980595X </v>
          </cell>
          <cell r="CK5544" t="str">
            <v>2024-11-04</v>
          </cell>
          <cell r="CL5544">
            <v>15763.052</v>
          </cell>
          <cell r="CP5544" t="str">
            <v xml:space="preserve">NFT-/XUTR/DEUTH024309A02A3X </v>
          </cell>
          <cell r="CQ5544" t="str">
            <v>2024-11-04</v>
          </cell>
          <cell r="CR5544">
            <v>1378.2180000000001</v>
          </cell>
        </row>
        <row r="5545">
          <cell r="CJ5545" t="str">
            <v xml:space="preserve">NFT-/XUTR/DEUTH02430980595X </v>
          </cell>
          <cell r="CK5545" t="str">
            <v>2024-11-04</v>
          </cell>
          <cell r="CL5545">
            <v>15384.554</v>
          </cell>
          <cell r="CP5545" t="str">
            <v xml:space="preserve">NFT-/XUTR/DEUTH024309A02A3X </v>
          </cell>
          <cell r="CQ5545" t="str">
            <v>2024-11-04</v>
          </cell>
          <cell r="CR5545">
            <v>1455.8620000000001</v>
          </cell>
        </row>
        <row r="5546">
          <cell r="CJ5546" t="str">
            <v xml:space="preserve">NFT-/XUTR/DEUTH02430980595X </v>
          </cell>
          <cell r="CK5546" t="str">
            <v>2024-11-04</v>
          </cell>
          <cell r="CL5546">
            <v>14538.214</v>
          </cell>
          <cell r="CP5546" t="str">
            <v xml:space="preserve">NFT-/XUTR/DEUTH024309A02A3X </v>
          </cell>
          <cell r="CQ5546" t="str">
            <v>2024-11-04</v>
          </cell>
          <cell r="CR5546">
            <v>2302.2020000000002</v>
          </cell>
        </row>
        <row r="5547">
          <cell r="CJ5547" t="str">
            <v xml:space="preserve">NFT-/XUTR/DEUTH02430980595X </v>
          </cell>
          <cell r="CK5547" t="str">
            <v>2024-11-04</v>
          </cell>
          <cell r="CL5547">
            <v>15384.554</v>
          </cell>
          <cell r="CP5547" t="str">
            <v xml:space="preserve">NFT-/XUTR/DEUTH024309A02A3X </v>
          </cell>
          <cell r="CQ5547" t="str">
            <v>2024-11-04</v>
          </cell>
          <cell r="CR5547">
            <v>1455.8620000000001</v>
          </cell>
        </row>
        <row r="5548">
          <cell r="CJ5548" t="str">
            <v xml:space="preserve">NFT-/XUTR/DEUTH02430980595X </v>
          </cell>
          <cell r="CK5548" t="str">
            <v>2024-11-04</v>
          </cell>
          <cell r="CL5548">
            <v>15365.674000000001</v>
          </cell>
          <cell r="CP5548" t="str">
            <v xml:space="preserve">NFT-/XUTR/DEUTH024309A02A3X </v>
          </cell>
          <cell r="CQ5548" t="str">
            <v>2024-11-04</v>
          </cell>
          <cell r="CR5548">
            <v>1455.8620000000001</v>
          </cell>
        </row>
        <row r="5549">
          <cell r="CJ5549" t="str">
            <v xml:space="preserve">NFT-/XUTR/DEUTH02430980595X </v>
          </cell>
          <cell r="CK5549" t="str">
            <v>2024-11-04</v>
          </cell>
          <cell r="CL5549">
            <v>78486.476999999999</v>
          </cell>
          <cell r="CP5549" t="str">
            <v xml:space="preserve">NFT-/XUTR/DEUTH024309A02A3X </v>
          </cell>
          <cell r="CQ5549" t="str">
            <v>2024-11-04</v>
          </cell>
          <cell r="CR5549">
            <v>5653.5969999999998</v>
          </cell>
        </row>
        <row r="5550">
          <cell r="CJ5550" t="str">
            <v xml:space="preserve">NFT-/XUTR/DEUTH02430980595X </v>
          </cell>
          <cell r="CK5550" t="str">
            <v>2024-11-04</v>
          </cell>
          <cell r="CL5550">
            <v>7706.3370000000004</v>
          </cell>
          <cell r="CM5550" t="str">
            <v xml:space="preserve">NFT-/XUTR/DEUTH02432540165X </v>
          </cell>
          <cell r="CN5550" t="str">
            <v>2024-11-20</v>
          </cell>
          <cell r="CO5550">
            <v>-7706.3370000000004</v>
          </cell>
          <cell r="CP5550" t="str">
            <v xml:space="preserve">NFT-/XUTR/DEUTH024309A02A3X </v>
          </cell>
          <cell r="CQ5550" t="str">
            <v>2024-11-04</v>
          </cell>
          <cell r="CR5550">
            <v>864.779</v>
          </cell>
          <cell r="CS5550" t="str">
            <v xml:space="preserve">NFT-/XUTR/DEUTH02432567146X </v>
          </cell>
          <cell r="CT5550" t="str">
            <v>2024-11-20</v>
          </cell>
          <cell r="CU5550">
            <v>-864.779</v>
          </cell>
        </row>
        <row r="5551">
          <cell r="CJ5551" t="str">
            <v xml:space="preserve">NFT-/XUTR/DEUTH02430980595X </v>
          </cell>
          <cell r="CK5551" t="str">
            <v>2024-11-04</v>
          </cell>
          <cell r="CL5551">
            <v>15384.554</v>
          </cell>
          <cell r="CP5551" t="str">
            <v xml:space="preserve">NFT-/XUTR/DEUTH024309A02A3X </v>
          </cell>
          <cell r="CQ5551" t="str">
            <v>2024-11-04</v>
          </cell>
          <cell r="CR5551">
            <v>1455.8620000000001</v>
          </cell>
        </row>
        <row r="5552">
          <cell r="CJ5552" t="str">
            <v xml:space="preserve">NFT-/XUTR/DEUTH02430980595X </v>
          </cell>
          <cell r="CK5552" t="str">
            <v>2024-11-04</v>
          </cell>
          <cell r="CL5552">
            <v>15384.554</v>
          </cell>
          <cell r="CM5552" t="str">
            <v xml:space="preserve">NFT-/XUTR/DEUTH02432045075X </v>
          </cell>
          <cell r="CN5552" t="str">
            <v>2024-11-15</v>
          </cell>
          <cell r="CO5552">
            <v>-15384.554</v>
          </cell>
          <cell r="CP5552" t="str">
            <v xml:space="preserve">NFT-/XUTR/DEUTH024309A02A3X </v>
          </cell>
          <cell r="CQ5552" t="str">
            <v>2024-11-04</v>
          </cell>
          <cell r="CR5552">
            <v>1455.8620000000001</v>
          </cell>
          <cell r="CS5552" t="str">
            <v xml:space="preserve">NFT-/XUTR/DEUTH02432059153X </v>
          </cell>
          <cell r="CT5552" t="str">
            <v>2024-11-15</v>
          </cell>
          <cell r="CU5552">
            <v>-1455.8620000000001</v>
          </cell>
        </row>
        <row r="5553">
          <cell r="CJ5553" t="str">
            <v xml:space="preserve">NFT-/XUTR/DEUTH02430980595X </v>
          </cell>
          <cell r="CK5553" t="str">
            <v>2024-11-04</v>
          </cell>
          <cell r="CL5553">
            <v>15349.614</v>
          </cell>
          <cell r="CP5553" t="str">
            <v xml:space="preserve">NFT-/XUTR/DEUTH024309A02A3X </v>
          </cell>
          <cell r="CQ5553" t="str">
            <v>2024-11-04</v>
          </cell>
          <cell r="CR5553">
            <v>1490.8019999999999</v>
          </cell>
        </row>
        <row r="5554">
          <cell r="CJ5554" t="str">
            <v xml:space="preserve">NFT-/XUTR/DEUTH02430980595X </v>
          </cell>
          <cell r="CK5554" t="str">
            <v>2024-11-04</v>
          </cell>
          <cell r="CL5554">
            <v>15686.382</v>
          </cell>
          <cell r="CP5554" t="str">
            <v xml:space="preserve">NFT-/XUTR/DEUTH024309A02A3X </v>
          </cell>
          <cell r="CQ5554" t="str">
            <v>2024-11-04</v>
          </cell>
          <cell r="CR5554">
            <v>1455.8620000000001</v>
          </cell>
        </row>
        <row r="5555">
          <cell r="CJ5555" t="str">
            <v xml:space="preserve">NFT-/XUTR/DEUTH02430980595X </v>
          </cell>
          <cell r="CK5555" t="str">
            <v>2024-11-04</v>
          </cell>
          <cell r="CL5555">
            <v>39105.406000000003</v>
          </cell>
          <cell r="CP5555" t="str">
            <v xml:space="preserve">NFT-/XUTR/DEUTH024309A02A3X </v>
          </cell>
          <cell r="CQ5555" t="str">
            <v>2024-11-04</v>
          </cell>
          <cell r="CR5555">
            <v>3154.3670000000002</v>
          </cell>
        </row>
        <row r="5556">
          <cell r="CJ5556" t="str">
            <v xml:space="preserve">NFT-/XUTR/DEUTH02430980595X </v>
          </cell>
          <cell r="CK5556" t="str">
            <v>2024-11-04</v>
          </cell>
          <cell r="CL5556">
            <v>7767.48</v>
          </cell>
          <cell r="CP5556" t="str">
            <v xml:space="preserve">NFT-/XUTR/DEUTH024309A02A3X </v>
          </cell>
          <cell r="CQ5556" t="str">
            <v>2024-11-04</v>
          </cell>
          <cell r="CR5556">
            <v>871.57899999999995</v>
          </cell>
        </row>
        <row r="5557">
          <cell r="CJ5557" t="str">
            <v xml:space="preserve">NFT-/XUTR/DEUTH02430980595X </v>
          </cell>
          <cell r="CK5557" t="str">
            <v>2024-11-04</v>
          </cell>
          <cell r="CL5557">
            <v>78607.797000000006</v>
          </cell>
          <cell r="CP5557" t="str">
            <v xml:space="preserve">NFT-/XUTR/DEUTH024309A02A3X </v>
          </cell>
          <cell r="CQ5557" t="str">
            <v>2024-11-04</v>
          </cell>
          <cell r="CR5557">
            <v>5580.8040000000001</v>
          </cell>
        </row>
        <row r="5558">
          <cell r="CJ5558" t="str">
            <v xml:space="preserve">NFT-/XUTR/DEUTH02430980595X </v>
          </cell>
          <cell r="CK5558" t="str">
            <v>2024-11-04</v>
          </cell>
          <cell r="CL5558">
            <v>7706.3379999999997</v>
          </cell>
          <cell r="CP5558" t="str">
            <v xml:space="preserve">NFT-/XUTR/DEUTH024309A02A3X </v>
          </cell>
          <cell r="CQ5558" t="str">
            <v>2024-11-04</v>
          </cell>
          <cell r="CR5558">
            <v>864.78</v>
          </cell>
        </row>
        <row r="5559">
          <cell r="CJ5559" t="str">
            <v xml:space="preserve">NFT-/XUTR/DEUTH02430980595X </v>
          </cell>
          <cell r="CK5559" t="str">
            <v>2024-11-04</v>
          </cell>
          <cell r="CL5559">
            <v>7687.4579999999996</v>
          </cell>
          <cell r="CM5559" t="str">
            <v xml:space="preserve">NFT-/XUTR/DEUTH02431649943X </v>
          </cell>
          <cell r="CN5559" t="str">
            <v>2024-11-11</v>
          </cell>
          <cell r="CO5559">
            <v>-7687.4579999999996</v>
          </cell>
          <cell r="CP5559" t="str">
            <v xml:space="preserve">NFT-/XUTR/DEUTH024309A02A3X </v>
          </cell>
          <cell r="CQ5559" t="str">
            <v>2024-11-04</v>
          </cell>
          <cell r="CR5559">
            <v>864.78</v>
          </cell>
          <cell r="CS5559" t="str">
            <v xml:space="preserve">NFT-/XUTR/DEUTH02431658955X </v>
          </cell>
          <cell r="CT5559" t="str">
            <v>2024-11-11</v>
          </cell>
          <cell r="CU5559">
            <v>-864.78</v>
          </cell>
        </row>
        <row r="5560">
          <cell r="CJ5560" t="str">
            <v xml:space="preserve">NFT-/XUTR/DEUTH02430980595X </v>
          </cell>
          <cell r="CK5560" t="str">
            <v>2024-11-04</v>
          </cell>
          <cell r="CL5560">
            <v>15365.674000000001</v>
          </cell>
          <cell r="CP5560" t="str">
            <v xml:space="preserve">NFT-/XUTR/DEUTH024309A02A3X </v>
          </cell>
          <cell r="CQ5560" t="str">
            <v>2024-11-04</v>
          </cell>
          <cell r="CR5560">
            <v>1455.8620000000001</v>
          </cell>
        </row>
        <row r="5561">
          <cell r="CJ5561" t="str">
            <v xml:space="preserve">NFT-/XUTR/DEUTH02430980595X </v>
          </cell>
          <cell r="CK5561" t="str">
            <v>2024-11-04</v>
          </cell>
          <cell r="CL5561">
            <v>7706.3379999999997</v>
          </cell>
          <cell r="CP5561" t="str">
            <v xml:space="preserve">NFT-/XUTR/DEUTH024309A02A3X </v>
          </cell>
          <cell r="CQ5561" t="str">
            <v>2024-11-04</v>
          </cell>
          <cell r="CR5561">
            <v>864.78</v>
          </cell>
        </row>
        <row r="5562">
          <cell r="CJ5562" t="str">
            <v xml:space="preserve">NFT-/XUTR/DEUTH02430980595X </v>
          </cell>
          <cell r="CK5562" t="str">
            <v>2024-11-04</v>
          </cell>
          <cell r="CL5562">
            <v>7686.4939999999997</v>
          </cell>
          <cell r="CP5562" t="str">
            <v xml:space="preserve">NFT-/XUTR/DEUTH024309A02A3X </v>
          </cell>
          <cell r="CQ5562" t="str">
            <v>2024-11-04</v>
          </cell>
          <cell r="CR5562">
            <v>865.75400000000002</v>
          </cell>
        </row>
        <row r="5563">
          <cell r="CJ5563" t="str">
            <v xml:space="preserve">NFT-/XUTR/DEUTH02430980595X </v>
          </cell>
          <cell r="CK5563" t="str">
            <v>2024-11-04</v>
          </cell>
          <cell r="CL5563">
            <v>39105.406000000003</v>
          </cell>
          <cell r="CP5563" t="str">
            <v xml:space="preserve">NFT-/XUTR/DEUTH024309A02A3X </v>
          </cell>
          <cell r="CQ5563" t="str">
            <v>2024-11-04</v>
          </cell>
          <cell r="CR5563">
            <v>3154.3670000000002</v>
          </cell>
        </row>
        <row r="5564">
          <cell r="CJ5564" t="str">
            <v xml:space="preserve">NFT-/XUTR/DEUTH02430980595X </v>
          </cell>
          <cell r="CK5564" t="str">
            <v>2024-11-04</v>
          </cell>
          <cell r="CL5564">
            <v>15365.674000000001</v>
          </cell>
          <cell r="CP5564" t="str">
            <v xml:space="preserve">NFT-/XUTR/DEUTH024309A02A3X </v>
          </cell>
          <cell r="CQ5564" t="str">
            <v>2024-11-04</v>
          </cell>
          <cell r="CR5564">
            <v>1455.8620000000001</v>
          </cell>
        </row>
        <row r="5565">
          <cell r="CJ5565" t="str">
            <v xml:space="preserve">NFT-/XUTR/DEUTH02430980595X </v>
          </cell>
          <cell r="CK5565" t="str">
            <v>2024-11-04</v>
          </cell>
          <cell r="CL5565">
            <v>15384.554</v>
          </cell>
          <cell r="CP5565" t="str">
            <v xml:space="preserve">NFT-/XUTR/DEUTH024309A02A3X </v>
          </cell>
          <cell r="CQ5565" t="str">
            <v>2024-11-04</v>
          </cell>
          <cell r="CR5565">
            <v>1455.8620000000001</v>
          </cell>
        </row>
        <row r="5566">
          <cell r="CJ5566" t="str">
            <v xml:space="preserve">NFT-/XUTR/DEUTH02430980595X </v>
          </cell>
          <cell r="CK5566" t="str">
            <v>2024-11-04</v>
          </cell>
          <cell r="CL5566">
            <v>7706.3379999999997</v>
          </cell>
          <cell r="CP5566" t="str">
            <v xml:space="preserve">NFT-/XUTR/DEUTH024309A02A3X </v>
          </cell>
          <cell r="CQ5566" t="str">
            <v>2024-11-04</v>
          </cell>
          <cell r="CR5566">
            <v>864.78</v>
          </cell>
        </row>
        <row r="5567">
          <cell r="CJ5567" t="str">
            <v xml:space="preserve">NFT-/XUTR/DEUTH02430980595X </v>
          </cell>
          <cell r="CK5567" t="str">
            <v>2024-11-04</v>
          </cell>
          <cell r="CL5567">
            <v>78607.797000000006</v>
          </cell>
          <cell r="CP5567" t="str">
            <v xml:space="preserve">NFT-/XUTR/DEUTH024309A02A3X </v>
          </cell>
          <cell r="CQ5567" t="str">
            <v>2024-11-04</v>
          </cell>
          <cell r="CR5567">
            <v>5580.8040000000001</v>
          </cell>
        </row>
        <row r="5568">
          <cell r="CJ5568" t="str">
            <v xml:space="preserve">NFT-/XUTR/DEUTH02430980595X </v>
          </cell>
          <cell r="CK5568" t="str">
            <v>2024-11-04</v>
          </cell>
          <cell r="CL5568">
            <v>15365.674000000001</v>
          </cell>
          <cell r="CP5568" t="str">
            <v xml:space="preserve">NFT-/XUTR/DEUTH024309A02A3X </v>
          </cell>
          <cell r="CQ5568" t="str">
            <v>2024-11-04</v>
          </cell>
          <cell r="CR5568">
            <v>1455.8620000000001</v>
          </cell>
        </row>
        <row r="5569">
          <cell r="CJ5569" t="str">
            <v xml:space="preserve">NFT-/XUTR/DEUTH02430980595X </v>
          </cell>
          <cell r="CK5569" t="str">
            <v>2024-11-04</v>
          </cell>
          <cell r="CL5569">
            <v>15365.674000000001</v>
          </cell>
          <cell r="CP5569" t="str">
            <v xml:space="preserve">NFT-/XUTR/DEUTH024309A02A3X </v>
          </cell>
          <cell r="CQ5569" t="str">
            <v>2024-11-04</v>
          </cell>
          <cell r="CR5569">
            <v>1455.8620000000001</v>
          </cell>
        </row>
        <row r="5570">
          <cell r="CJ5570" t="str">
            <v xml:space="preserve">NFT-/XUTR/DEUTH02430980595X </v>
          </cell>
          <cell r="CK5570" t="str">
            <v>2024-11-04</v>
          </cell>
          <cell r="CL5570">
            <v>38809.381999999998</v>
          </cell>
          <cell r="CM5570" t="str">
            <v xml:space="preserve">NFT-/XUTR/DEUTH02433037112X </v>
          </cell>
          <cell r="CN5570" t="str">
            <v>2024-11-25</v>
          </cell>
          <cell r="CO5570">
            <v>-38809.381999999998</v>
          </cell>
          <cell r="CP5570" t="str">
            <v xml:space="preserve">NFT-/XUTR/DEUTH024309A02A3X </v>
          </cell>
          <cell r="CQ5570" t="str">
            <v>2024-11-04</v>
          </cell>
          <cell r="CR5570">
            <v>3450.3910000000001</v>
          </cell>
          <cell r="CV5570" t="str">
            <v xml:space="preserve">NFT-/XUTR/DEUTH02433956210X </v>
          </cell>
          <cell r="CW5570" t="str">
            <v>2024-12-04</v>
          </cell>
          <cell r="CX5570">
            <v>-3450.3910000000001</v>
          </cell>
        </row>
        <row r="5571">
          <cell r="CJ5571" t="str">
            <v xml:space="preserve">NFT-/XUTR/DEUTH02430980595X </v>
          </cell>
          <cell r="CK5571" t="str">
            <v>2024-11-04</v>
          </cell>
          <cell r="CL5571">
            <v>7687.4579999999996</v>
          </cell>
          <cell r="CM5571" t="str">
            <v xml:space="preserve">NFT-/XUTR/DEUTH02431649943X </v>
          </cell>
          <cell r="CN5571" t="str">
            <v>2024-11-11</v>
          </cell>
          <cell r="CO5571">
            <v>-7687.4579999999996</v>
          </cell>
          <cell r="CP5571" t="str">
            <v xml:space="preserve">NFT-/XUTR/DEUTH024309A02A3X </v>
          </cell>
          <cell r="CQ5571" t="str">
            <v>2024-11-04</v>
          </cell>
          <cell r="CR5571">
            <v>864.78</v>
          </cell>
          <cell r="CS5571" t="str">
            <v xml:space="preserve">NFT-/XUTR/DEUTH02431658955X </v>
          </cell>
          <cell r="CT5571" t="str">
            <v>2024-11-11</v>
          </cell>
          <cell r="CU5571">
            <v>-864.78</v>
          </cell>
        </row>
        <row r="5572">
          <cell r="CJ5572" t="str">
            <v xml:space="preserve">NFT-/XUTR/DEUTH02430980595X </v>
          </cell>
          <cell r="CK5572" t="str">
            <v>2024-11-04</v>
          </cell>
          <cell r="CL5572">
            <v>15059.415000000001</v>
          </cell>
          <cell r="CM5572" t="str">
            <v xml:space="preserve">NFT-/XUTR/DEUTH02432540165X </v>
          </cell>
          <cell r="CN5572" t="str">
            <v>2024-11-20</v>
          </cell>
          <cell r="CO5572">
            <v>-15059.415000000001</v>
          </cell>
          <cell r="CP5572" t="str">
            <v xml:space="preserve">NFT-/XUTR/DEUTH024309A02A3X </v>
          </cell>
          <cell r="CQ5572" t="str">
            <v>2024-11-04</v>
          </cell>
          <cell r="CR5572">
            <v>1781.001</v>
          </cell>
          <cell r="CS5572" t="str">
            <v xml:space="preserve">NFT-/XUTR/DEUTH02432567146X </v>
          </cell>
          <cell r="CT5572" t="str">
            <v>2024-11-20</v>
          </cell>
          <cell r="CU5572">
            <v>-1781.001</v>
          </cell>
        </row>
        <row r="5573">
          <cell r="CJ5573" t="str">
            <v xml:space="preserve">NFT-/XUTR/DEUTH02430980595X </v>
          </cell>
          <cell r="CK5573" t="str">
            <v>2024-11-04</v>
          </cell>
          <cell r="CL5573">
            <v>10807.325999999999</v>
          </cell>
          <cell r="CP5573" t="str">
            <v xml:space="preserve">NFT-/XUTR/DEUTH024309A02A3X </v>
          </cell>
          <cell r="CQ5573" t="str">
            <v>2024-11-04</v>
          </cell>
          <cell r="CR5573">
            <v>1209.3309999999999</v>
          </cell>
        </row>
        <row r="5574">
          <cell r="CJ5574" t="str">
            <v xml:space="preserve">NFT-/XUTR/DEUTH02430980595X </v>
          </cell>
          <cell r="CK5574" t="str">
            <v>2024-11-04</v>
          </cell>
          <cell r="CL5574">
            <v>15384.554</v>
          </cell>
          <cell r="CP5574" t="str">
            <v xml:space="preserve">NFT-/XUTR/DEUTH024309A02A3X </v>
          </cell>
          <cell r="CQ5574" t="str">
            <v>2024-11-04</v>
          </cell>
          <cell r="CR5574">
            <v>1455.8620000000001</v>
          </cell>
        </row>
        <row r="5575">
          <cell r="CJ5575" t="str">
            <v xml:space="preserve">NFT-/XUTR/DEUTH02430980595X </v>
          </cell>
          <cell r="CK5575" t="str">
            <v>2024-11-04</v>
          </cell>
          <cell r="CL5575">
            <v>10159.950000000001</v>
          </cell>
          <cell r="CM5575" t="str">
            <v xml:space="preserve">NFT-/XUTR/DEUTH02431839302X </v>
          </cell>
          <cell r="CN5575" t="str">
            <v>2024-11-13</v>
          </cell>
          <cell r="CO5575">
            <v>-10159.950000000001</v>
          </cell>
          <cell r="CP5575" t="str">
            <v xml:space="preserve">NFT-/XUTR/DEUTH024309A02A3X </v>
          </cell>
          <cell r="CQ5575" t="str">
            <v>2024-11-04</v>
          </cell>
          <cell r="CR5575">
            <v>1526.7170000000001</v>
          </cell>
          <cell r="CS5575" t="str">
            <v xml:space="preserve">NFT-/XUTR/DEUTH02431843558X </v>
          </cell>
          <cell r="CT5575" t="str">
            <v>2024-11-13</v>
          </cell>
          <cell r="CU5575">
            <v>-1526.7170000000001</v>
          </cell>
        </row>
        <row r="5576">
          <cell r="CJ5576" t="str">
            <v xml:space="preserve">NFT-/XUTR/DEUTH02430980595X </v>
          </cell>
          <cell r="CK5576" t="str">
            <v>2024-11-04</v>
          </cell>
          <cell r="CL5576">
            <v>78559.269</v>
          </cell>
          <cell r="CP5576" t="str">
            <v xml:space="preserve">NFT-/XUTR/DEUTH024309A02A3X </v>
          </cell>
          <cell r="CQ5576" t="str">
            <v>2024-11-04</v>
          </cell>
          <cell r="CR5576">
            <v>5580.8050000000003</v>
          </cell>
        </row>
        <row r="5577">
          <cell r="CJ5577" t="str">
            <v xml:space="preserve">NFT-/XUTR/DEUTH02430980595X </v>
          </cell>
          <cell r="CK5577" t="str">
            <v>2024-11-04</v>
          </cell>
          <cell r="CL5577">
            <v>1418.5119999999999</v>
          </cell>
        </row>
        <row r="5578">
          <cell r="CJ5578" t="str">
            <v xml:space="preserve">NFT-/XUTR/DEUTH02430980595X </v>
          </cell>
          <cell r="CK5578" t="str">
            <v>2024-11-04</v>
          </cell>
          <cell r="CL5578">
            <v>15365.674000000001</v>
          </cell>
          <cell r="CP5578" t="str">
            <v xml:space="preserve">NFT-/XUTR/DEUTH024309A02A3X </v>
          </cell>
          <cell r="CQ5578" t="str">
            <v>2024-11-04</v>
          </cell>
          <cell r="CR5578">
            <v>1455.8620000000001</v>
          </cell>
        </row>
        <row r="5579">
          <cell r="CJ5579" t="str">
            <v xml:space="preserve">NFT-/XUTR/DEUTH02430980595X </v>
          </cell>
          <cell r="CK5579" t="str">
            <v>2024-11-04</v>
          </cell>
          <cell r="CL5579">
            <v>39105.406000000003</v>
          </cell>
          <cell r="CP5579" t="str">
            <v xml:space="preserve">NFT-/XUTR/DEUTH024309A02A3X </v>
          </cell>
          <cell r="CQ5579" t="str">
            <v>2024-11-04</v>
          </cell>
          <cell r="CR5579">
            <v>3154.3670000000002</v>
          </cell>
        </row>
        <row r="5580">
          <cell r="CJ5580" t="str">
            <v xml:space="preserve">NFT-/XUTR/DEUTH02430980595X </v>
          </cell>
          <cell r="CK5580" t="str">
            <v>2024-11-04</v>
          </cell>
          <cell r="CL5580">
            <v>10807.325999999999</v>
          </cell>
          <cell r="CM5580" t="str">
            <v xml:space="preserve">NFT-/XUTR/DEUTH02432540165X </v>
          </cell>
          <cell r="CN5580" t="str">
            <v>2024-11-20</v>
          </cell>
          <cell r="CO5580">
            <v>-10807.325999999999</v>
          </cell>
          <cell r="CP5580" t="str">
            <v xml:space="preserve">NFT-/XUTR/DEUTH024309A02A3X </v>
          </cell>
          <cell r="CQ5580" t="str">
            <v>2024-11-04</v>
          </cell>
          <cell r="CR5580">
            <v>1209.3309999999999</v>
          </cell>
          <cell r="CS5580" t="str">
            <v xml:space="preserve">NFT-/XUTR/DEUTH02432567146X </v>
          </cell>
          <cell r="CT5580" t="str">
            <v>2024-11-20</v>
          </cell>
          <cell r="CU5580">
            <v>-1209.3309999999999</v>
          </cell>
        </row>
        <row r="5581">
          <cell r="CJ5581" t="str">
            <v xml:space="preserve">NFT-/XUTR/DEUTH02430980595X </v>
          </cell>
          <cell r="CK5581" t="str">
            <v>2024-11-04</v>
          </cell>
          <cell r="CL5581">
            <v>7619.9549999999999</v>
          </cell>
          <cell r="CP5581" t="str">
            <v xml:space="preserve">NFT-/XUTR/DEUTH024309A02A3X </v>
          </cell>
          <cell r="CQ5581" t="str">
            <v>2024-11-04</v>
          </cell>
          <cell r="CR5581">
            <v>951.16099999999994</v>
          </cell>
        </row>
        <row r="5582">
          <cell r="CJ5582" t="str">
            <v xml:space="preserve">NFT-/XUTR/DEUTH02430980595X </v>
          </cell>
          <cell r="CK5582" t="str">
            <v>2024-11-04</v>
          </cell>
          <cell r="CL5582">
            <v>15384.554</v>
          </cell>
          <cell r="CP5582" t="str">
            <v xml:space="preserve">NFT-/XUTR/DEUTH024309A02A3X </v>
          </cell>
          <cell r="CQ5582" t="str">
            <v>2024-11-04</v>
          </cell>
          <cell r="CR5582">
            <v>1455.8620000000001</v>
          </cell>
        </row>
        <row r="5583">
          <cell r="CJ5583" t="str">
            <v xml:space="preserve">NFT-/XUTR/DEUTH02430980595X </v>
          </cell>
          <cell r="CK5583" t="str">
            <v>2024-11-04</v>
          </cell>
          <cell r="CL5583">
            <v>39105.404999999999</v>
          </cell>
          <cell r="CP5583" t="str">
            <v xml:space="preserve">NFT-/XUTR/DEUTH024309A02A3X </v>
          </cell>
          <cell r="CQ5583" t="str">
            <v>2024-11-04</v>
          </cell>
          <cell r="CR5583">
            <v>3154.3679999999999</v>
          </cell>
        </row>
        <row r="5584">
          <cell r="CJ5584" t="str">
            <v xml:space="preserve">NFT-/XUTR/DEUTH02430980595X </v>
          </cell>
          <cell r="CK5584" t="str">
            <v>2024-11-04</v>
          </cell>
          <cell r="CL5584">
            <v>7687.4579999999996</v>
          </cell>
          <cell r="CP5584" t="str">
            <v xml:space="preserve">NFT-/XUTR/DEUTH024309A02A3X </v>
          </cell>
          <cell r="CQ5584" t="str">
            <v>2024-11-04</v>
          </cell>
          <cell r="CR5584">
            <v>864.78</v>
          </cell>
        </row>
        <row r="5585">
          <cell r="CJ5585" t="str">
            <v xml:space="preserve">NFT-/XUTR/DEUTH02430980595X </v>
          </cell>
          <cell r="CK5585" t="str">
            <v>2024-11-04</v>
          </cell>
          <cell r="CL5585">
            <v>15384.554</v>
          </cell>
          <cell r="CP5585" t="str">
            <v xml:space="preserve">NFT-/XUTR/DEUTH024309A02A3X </v>
          </cell>
          <cell r="CQ5585" t="str">
            <v>2024-11-04</v>
          </cell>
          <cell r="CR5585">
            <v>1455.8620000000001</v>
          </cell>
        </row>
        <row r="5586">
          <cell r="CJ5586" t="str">
            <v xml:space="preserve">NFT-/XUTR/DEUTH02430980595X </v>
          </cell>
          <cell r="CK5586" t="str">
            <v>2024-11-04</v>
          </cell>
          <cell r="CL5586">
            <v>15365.674000000001</v>
          </cell>
          <cell r="CP5586" t="str">
            <v xml:space="preserve">NFT-/XUTR/DEUTH024309A02A3X </v>
          </cell>
          <cell r="CQ5586" t="str">
            <v>2024-11-04</v>
          </cell>
          <cell r="CR5586">
            <v>1455.8620000000001</v>
          </cell>
        </row>
        <row r="5587">
          <cell r="CJ5587" t="str">
            <v xml:space="preserve">NFT-/XUTR/DEUTH02430980595X </v>
          </cell>
          <cell r="CK5587" t="str">
            <v>2024-11-04</v>
          </cell>
          <cell r="CL5587">
            <v>15365.674000000001</v>
          </cell>
          <cell r="CP5587" t="str">
            <v xml:space="preserve">NFT-/XUTR/DEUTH024309A02A3X </v>
          </cell>
          <cell r="CQ5587" t="str">
            <v>2024-11-04</v>
          </cell>
          <cell r="CR5587">
            <v>1455.8620000000001</v>
          </cell>
        </row>
        <row r="5588">
          <cell r="CJ5588" t="str">
            <v xml:space="preserve">NFT-/XUTR/DEUTH02430980595X </v>
          </cell>
          <cell r="CK5588" t="str">
            <v>2024-11-04</v>
          </cell>
          <cell r="CL5588">
            <v>15365.674000000001</v>
          </cell>
          <cell r="CP5588" t="str">
            <v xml:space="preserve">NFT-/XUTR/DEUTH024309A02A3X </v>
          </cell>
          <cell r="CQ5588" t="str">
            <v>2024-11-04</v>
          </cell>
          <cell r="CR5588">
            <v>1455.8620000000001</v>
          </cell>
        </row>
        <row r="5589">
          <cell r="CJ5589" t="str">
            <v xml:space="preserve">NFT-/XUTR/DEUTH02430980595X </v>
          </cell>
          <cell r="CK5589" t="str">
            <v>2024-11-04</v>
          </cell>
          <cell r="CL5589">
            <v>7687.4579999999996</v>
          </cell>
          <cell r="CP5589" t="str">
            <v xml:space="preserve">NFT-/XUTR/DEUTH024309A02A3X </v>
          </cell>
          <cell r="CQ5589" t="str">
            <v>2024-11-04</v>
          </cell>
          <cell r="CR5589">
            <v>864.78</v>
          </cell>
        </row>
        <row r="5590">
          <cell r="CJ5590" t="str">
            <v xml:space="preserve">NFT-/XUTR/DEUTH02430980595X </v>
          </cell>
          <cell r="CK5590" t="str">
            <v>2024-11-04</v>
          </cell>
          <cell r="CL5590">
            <v>39105.404999999999</v>
          </cell>
          <cell r="CP5590" t="str">
            <v xml:space="preserve">NFT-/XUTR/DEUTH024309A02A3X </v>
          </cell>
          <cell r="CQ5590" t="str">
            <v>2024-11-04</v>
          </cell>
          <cell r="CR5590">
            <v>3154.3679999999999</v>
          </cell>
        </row>
        <row r="5591">
          <cell r="CJ5591" t="str">
            <v xml:space="preserve">NFT-/XUTR/DEUTH02430980595X </v>
          </cell>
          <cell r="CK5591" t="str">
            <v>2024-11-04</v>
          </cell>
          <cell r="CL5591">
            <v>7706.3379999999997</v>
          </cell>
          <cell r="CP5591" t="str">
            <v xml:space="preserve">NFT-/XUTR/DEUTH024309A02A3X </v>
          </cell>
          <cell r="CQ5591" t="str">
            <v>2024-11-04</v>
          </cell>
          <cell r="CR5591">
            <v>864.78</v>
          </cell>
        </row>
        <row r="5592">
          <cell r="CJ5592" t="str">
            <v xml:space="preserve">NFT-/XUTR/DEUTH02430980595X </v>
          </cell>
          <cell r="CK5592" t="str">
            <v>2024-11-04</v>
          </cell>
          <cell r="CL5592">
            <v>38484.233</v>
          </cell>
          <cell r="CP5592" t="str">
            <v xml:space="preserve">NFT-/XUTR/DEUTH024309A02A3X </v>
          </cell>
          <cell r="CQ5592" t="str">
            <v>2024-11-04</v>
          </cell>
          <cell r="CR5592">
            <v>3775.54</v>
          </cell>
        </row>
        <row r="5593">
          <cell r="CJ5593" t="str">
            <v xml:space="preserve">NFT-/XUTR/DEUTH02430980595X </v>
          </cell>
          <cell r="CK5593" t="str">
            <v>2024-11-04</v>
          </cell>
          <cell r="CL5593">
            <v>62535.072999999997</v>
          </cell>
          <cell r="CP5593" t="str">
            <v xml:space="preserve">NFT-/XUTR/DEUTH024309A02A3X </v>
          </cell>
          <cell r="CQ5593" t="str">
            <v>2024-11-04</v>
          </cell>
          <cell r="CR5593">
            <v>4949.9309999999996</v>
          </cell>
        </row>
        <row r="5594">
          <cell r="CJ5594" t="str">
            <v xml:space="preserve">NFT-/XUTR/DEUTH02430980595X </v>
          </cell>
          <cell r="CK5594" t="str">
            <v>2024-11-04</v>
          </cell>
          <cell r="CL5594">
            <v>7940.2430000000004</v>
          </cell>
          <cell r="CP5594" t="str">
            <v xml:space="preserve">NFT-/XUTR/DEUTH024309A02A3X </v>
          </cell>
          <cell r="CQ5594" t="str">
            <v>2024-11-04</v>
          </cell>
          <cell r="CR5594">
            <v>630.87300000000005</v>
          </cell>
        </row>
        <row r="5595">
          <cell r="CJ5595" t="str">
            <v xml:space="preserve">NFT-/XUTR/DEUTH02430980595X </v>
          </cell>
          <cell r="CK5595" t="str">
            <v>2024-11-04</v>
          </cell>
          <cell r="CL5595">
            <v>7706.3379999999997</v>
          </cell>
          <cell r="CP5595" t="str">
            <v xml:space="preserve">NFT-/XUTR/DEUTH024309A02A3X </v>
          </cell>
          <cell r="CQ5595" t="str">
            <v>2024-11-04</v>
          </cell>
          <cell r="CR5595">
            <v>864.78</v>
          </cell>
        </row>
        <row r="5596">
          <cell r="CJ5596" t="str">
            <v xml:space="preserve">NFT-/XUTR/DEUTH02430980595X </v>
          </cell>
          <cell r="CK5596" t="str">
            <v>2024-11-04</v>
          </cell>
          <cell r="CL5596">
            <v>39105.404999999999</v>
          </cell>
          <cell r="CP5596" t="str">
            <v xml:space="preserve">NFT-/XUTR/DEUTH024309A02A3X </v>
          </cell>
          <cell r="CQ5596" t="str">
            <v>2024-11-04</v>
          </cell>
          <cell r="CR5596">
            <v>3154.3679999999999</v>
          </cell>
        </row>
        <row r="5597">
          <cell r="CJ5597" t="str">
            <v xml:space="preserve">NFT-/XUTR/DEUTH02430980595X </v>
          </cell>
          <cell r="CK5597" t="str">
            <v>2024-11-04</v>
          </cell>
          <cell r="CL5597">
            <v>7706.3379999999997</v>
          </cell>
          <cell r="CP5597" t="str">
            <v xml:space="preserve">NFT-/XUTR/DEUTH024309A02A3X </v>
          </cell>
          <cell r="CQ5597" t="str">
            <v>2024-11-04</v>
          </cell>
          <cell r="CR5597">
            <v>864.78</v>
          </cell>
        </row>
        <row r="5598">
          <cell r="CJ5598" t="str">
            <v xml:space="preserve">NFT-/XUTR/DEUTH02430980595X </v>
          </cell>
          <cell r="CK5598" t="str">
            <v>2024-11-04</v>
          </cell>
          <cell r="CL5598">
            <v>78540.388999999996</v>
          </cell>
          <cell r="CP5598" t="str">
            <v xml:space="preserve">NFT-/XUTR/DEUTH024309A02A3X </v>
          </cell>
          <cell r="CQ5598" t="str">
            <v>2024-11-04</v>
          </cell>
          <cell r="CR5598">
            <v>5580.8050000000003</v>
          </cell>
        </row>
        <row r="5599">
          <cell r="CJ5599" t="str">
            <v xml:space="preserve">NFT-/XUTR/DEUTH02430980595X </v>
          </cell>
          <cell r="CK5599" t="str">
            <v>2024-11-04</v>
          </cell>
          <cell r="CL5599">
            <v>7444.2809999999999</v>
          </cell>
          <cell r="CP5599" t="str">
            <v xml:space="preserve">NFT-/XUTR/DEUTH024309A02A3X </v>
          </cell>
          <cell r="CQ5599" t="str">
            <v>2024-11-04</v>
          </cell>
          <cell r="CR5599">
            <v>1126.837</v>
          </cell>
        </row>
        <row r="5600">
          <cell r="CJ5600" t="str">
            <v xml:space="preserve">NFT-/XUTR/DEUTH02430980595X </v>
          </cell>
          <cell r="CK5600" t="str">
            <v>2024-11-04</v>
          </cell>
          <cell r="CL5600">
            <v>15384.554</v>
          </cell>
          <cell r="CP5600" t="str">
            <v xml:space="preserve">NFT-/XUTR/DEUTH024309A02A3X </v>
          </cell>
          <cell r="CQ5600" t="str">
            <v>2024-11-04</v>
          </cell>
          <cell r="CR5600">
            <v>1455.8620000000001</v>
          </cell>
        </row>
        <row r="5601">
          <cell r="CJ5601" t="str">
            <v xml:space="preserve">NFT-/XUTR/DEUTH02430980595X </v>
          </cell>
          <cell r="CK5601" t="str">
            <v>2024-11-04</v>
          </cell>
          <cell r="CL5601">
            <v>7706.3379999999997</v>
          </cell>
          <cell r="CP5601" t="str">
            <v xml:space="preserve">NFT-/XUTR/DEUTH024309A02A3X </v>
          </cell>
          <cell r="CQ5601" t="str">
            <v>2024-11-04</v>
          </cell>
          <cell r="CR5601">
            <v>864.78</v>
          </cell>
        </row>
        <row r="5602">
          <cell r="CJ5602" t="str">
            <v xml:space="preserve">NFT-/XUTR/DEUTH02430980595X </v>
          </cell>
          <cell r="CK5602" t="str">
            <v>2024-11-04</v>
          </cell>
          <cell r="CL5602">
            <v>15365.674000000001</v>
          </cell>
          <cell r="CM5602" t="str">
            <v xml:space="preserve">NFT-/XUTR/DEUTH02431649943X </v>
          </cell>
          <cell r="CN5602" t="str">
            <v>2024-11-11</v>
          </cell>
          <cell r="CO5602">
            <v>-15365.674000000001</v>
          </cell>
          <cell r="CP5602" t="str">
            <v xml:space="preserve">NFT-/XUTR/DEUTH024309A02A3X </v>
          </cell>
          <cell r="CQ5602" t="str">
            <v>2024-11-04</v>
          </cell>
          <cell r="CR5602">
            <v>1455.8620000000001</v>
          </cell>
          <cell r="CS5602" t="str">
            <v xml:space="preserve">NFT-/XUTR/DEUTH02431658955X </v>
          </cell>
          <cell r="CT5602" t="str">
            <v>2024-11-11</v>
          </cell>
          <cell r="CU5602">
            <v>-1455.8620000000001</v>
          </cell>
        </row>
        <row r="5603">
          <cell r="CJ5603" t="str">
            <v xml:space="preserve">NFT-/XUTR/DEUTH02430980595X </v>
          </cell>
          <cell r="CK5603" t="str">
            <v>2024-11-04</v>
          </cell>
          <cell r="CL5603">
            <v>39105.404999999999</v>
          </cell>
          <cell r="CM5603" t="str">
            <v xml:space="preserve">NFT-/XUTR/DEUTH02431152062X </v>
          </cell>
          <cell r="CN5603" t="str">
            <v>2024-11-06</v>
          </cell>
          <cell r="CO5603">
            <v>-39105.404999999999</v>
          </cell>
          <cell r="CP5603" t="str">
            <v xml:space="preserve">NFT-/XUTR/DEUTH024309A02A3X </v>
          </cell>
          <cell r="CQ5603" t="str">
            <v>2024-11-04</v>
          </cell>
          <cell r="CR5603">
            <v>3154.3679999999999</v>
          </cell>
          <cell r="CS5603" t="str">
            <v xml:space="preserve">NFT-/XUTR/DEUTH02431162755X </v>
          </cell>
          <cell r="CT5603" t="str">
            <v>2024-11-06</v>
          </cell>
          <cell r="CU5603">
            <v>-3154.3679999999999</v>
          </cell>
        </row>
        <row r="5604">
          <cell r="CJ5604" t="str">
            <v xml:space="preserve">NFT-/XUTR/DEUTH02430980595X </v>
          </cell>
          <cell r="CK5604" t="str">
            <v>2024-11-04</v>
          </cell>
          <cell r="CL5604">
            <v>14916.3</v>
          </cell>
          <cell r="CP5604" t="str">
            <v xml:space="preserve">NFT-/XUTR/DEUTH024309A02A3X </v>
          </cell>
          <cell r="CQ5604" t="str">
            <v>2024-11-04</v>
          </cell>
          <cell r="CR5604">
            <v>1905.2360000000001</v>
          </cell>
        </row>
        <row r="5605">
          <cell r="CJ5605" t="str">
            <v xml:space="preserve">NFT-/XUTR/DEUTH02430980595X </v>
          </cell>
          <cell r="CK5605" t="str">
            <v>2024-11-04</v>
          </cell>
          <cell r="CL5605">
            <v>10510.329</v>
          </cell>
          <cell r="CP5605" t="str">
            <v xml:space="preserve">NFT-/XUTR/DEUTH024309A02A3X </v>
          </cell>
          <cell r="CQ5605" t="str">
            <v>2024-11-04</v>
          </cell>
          <cell r="CR5605">
            <v>1176.3399999999999</v>
          </cell>
        </row>
        <row r="5606">
          <cell r="CJ5606" t="str">
            <v xml:space="preserve">NFT-/XUTR/DEUTH02430980595X </v>
          </cell>
          <cell r="CK5606" t="str">
            <v>2024-11-04</v>
          </cell>
          <cell r="CL5606">
            <v>15384.554</v>
          </cell>
          <cell r="CP5606" t="str">
            <v xml:space="preserve">NFT-/XUTR/DEUTH024309A02A3X </v>
          </cell>
          <cell r="CQ5606" t="str">
            <v>2024-11-04</v>
          </cell>
          <cell r="CR5606">
            <v>1455.8620000000001</v>
          </cell>
        </row>
        <row r="5607">
          <cell r="CJ5607" t="str">
            <v xml:space="preserve">NFT-/XUTR/DEUTH02430980595X </v>
          </cell>
          <cell r="CK5607" t="str">
            <v>2024-11-04</v>
          </cell>
          <cell r="CL5607">
            <v>15365.674000000001</v>
          </cell>
          <cell r="CP5607" t="str">
            <v xml:space="preserve">NFT-/XUTR/DEUTH024309A02A3X </v>
          </cell>
          <cell r="CQ5607" t="str">
            <v>2024-11-04</v>
          </cell>
          <cell r="CR5607">
            <v>1455.8620000000001</v>
          </cell>
        </row>
        <row r="5608">
          <cell r="CJ5608" t="str">
            <v xml:space="preserve">NFT-/XUTR/DEUTH02430980595X </v>
          </cell>
          <cell r="CK5608" t="str">
            <v>2024-11-04</v>
          </cell>
          <cell r="CL5608">
            <v>15365.674000000001</v>
          </cell>
          <cell r="CP5608" t="str">
            <v xml:space="preserve">NFT-/XUTR/DEUTH024309A02A3X </v>
          </cell>
          <cell r="CQ5608" t="str">
            <v>2024-11-04</v>
          </cell>
          <cell r="CR5608">
            <v>1455.8620000000001</v>
          </cell>
        </row>
        <row r="5609">
          <cell r="CJ5609" t="str">
            <v xml:space="preserve">NFT-/XUTR/DEUTH02430980595X </v>
          </cell>
          <cell r="CK5609" t="str">
            <v>2024-11-04</v>
          </cell>
          <cell r="CL5609">
            <v>15520.438</v>
          </cell>
          <cell r="CM5609" t="str">
            <v xml:space="preserve">NFT-/XUTR/DEUTH02432540165X </v>
          </cell>
          <cell r="CN5609" t="str">
            <v>2024-11-20</v>
          </cell>
          <cell r="CO5609">
            <v>-15520.438</v>
          </cell>
          <cell r="CP5609" t="str">
            <v xml:space="preserve">NFT-/XUTR/DEUTH024309A02A3X </v>
          </cell>
          <cell r="CQ5609" t="str">
            <v>2024-11-04</v>
          </cell>
          <cell r="CR5609">
            <v>1455.8620000000001</v>
          </cell>
          <cell r="CS5609" t="str">
            <v xml:space="preserve">NFT-/XUTR/DEUTH02432567146X </v>
          </cell>
          <cell r="CT5609" t="str">
            <v>2024-11-20</v>
          </cell>
          <cell r="CU5609">
            <v>-1455.8620000000001</v>
          </cell>
        </row>
        <row r="5610">
          <cell r="CJ5610" t="str">
            <v xml:space="preserve">NFT-/XUTR/DEUTH02430980595X </v>
          </cell>
          <cell r="CK5610" t="str">
            <v>2024-11-04</v>
          </cell>
          <cell r="CL5610">
            <v>7706.3379999999997</v>
          </cell>
          <cell r="CP5610" t="str">
            <v xml:space="preserve">NFT-/XUTR/DEUTH024309A02A3X </v>
          </cell>
          <cell r="CQ5610" t="str">
            <v>2024-11-04</v>
          </cell>
          <cell r="CR5610">
            <v>864.78</v>
          </cell>
        </row>
        <row r="5611">
          <cell r="CJ5611" t="str">
            <v xml:space="preserve">NFT-/XUTR/DEUTH02430980595X </v>
          </cell>
          <cell r="CK5611" t="str">
            <v>2024-11-04</v>
          </cell>
          <cell r="CL5611">
            <v>78540.388999999996</v>
          </cell>
          <cell r="CP5611" t="str">
            <v xml:space="preserve">NFT-/XUTR/DEUTH024309A02A3X </v>
          </cell>
          <cell r="CQ5611" t="str">
            <v>2024-11-04</v>
          </cell>
          <cell r="CR5611">
            <v>5580.8050000000003</v>
          </cell>
        </row>
        <row r="5612">
          <cell r="CJ5612" t="str">
            <v xml:space="preserve">NFT-/XUTR/DEUTH02430980595X </v>
          </cell>
          <cell r="CK5612" t="str">
            <v>2024-11-04</v>
          </cell>
          <cell r="CL5612">
            <v>39114.142</v>
          </cell>
          <cell r="CM5612" t="str">
            <v xml:space="preserve">NFT-/XUTR/DEUTH02432756454X </v>
          </cell>
          <cell r="CN5612" t="str">
            <v>2024-11-22</v>
          </cell>
          <cell r="CO5612">
            <v>-39114.142</v>
          </cell>
          <cell r="CP5612" t="str">
            <v xml:space="preserve">NFT-/XUTR/DEUTH024309A02A3X </v>
          </cell>
          <cell r="CQ5612" t="str">
            <v>2024-11-04</v>
          </cell>
          <cell r="CR5612">
            <v>3145.6309999999999</v>
          </cell>
          <cell r="CV5612" t="str">
            <v xml:space="preserve">NFT-/XUTR/DEUTH02433956210X </v>
          </cell>
          <cell r="CW5612" t="str">
            <v>2024-12-04</v>
          </cell>
          <cell r="CX5612">
            <v>-3145.6309999999999</v>
          </cell>
        </row>
        <row r="5613">
          <cell r="CJ5613" t="str">
            <v xml:space="preserve">NFT-/XUTR/DEUTH02430980595X </v>
          </cell>
          <cell r="CK5613" t="str">
            <v>2024-11-04</v>
          </cell>
          <cell r="CL5613">
            <v>30236.263999999999</v>
          </cell>
          <cell r="CM5613" t="str">
            <v xml:space="preserve">NFT-/XUTR/DEUTH02432756454X </v>
          </cell>
          <cell r="CN5613" t="str">
            <v>2024-11-22</v>
          </cell>
          <cell r="CO5613">
            <v>-30236.263999999999</v>
          </cell>
          <cell r="CP5613" t="str">
            <v xml:space="preserve">NFT-/XUTR/DEUTH024309A02A3X </v>
          </cell>
          <cell r="CQ5613" t="str">
            <v>2024-11-04</v>
          </cell>
          <cell r="CR5613">
            <v>3441.6660000000002</v>
          </cell>
          <cell r="CV5613" t="str">
            <v xml:space="preserve">NFT-/XUTR/DEUTH02433956210X </v>
          </cell>
          <cell r="CW5613" t="str">
            <v>2024-12-04</v>
          </cell>
          <cell r="CX5613">
            <v>-3441.6660000000002</v>
          </cell>
        </row>
        <row r="5614">
          <cell r="CJ5614" t="str">
            <v xml:space="preserve">NFT-/XUTR/DEUTH02430980595X </v>
          </cell>
          <cell r="CK5614" t="str">
            <v>2024-11-04</v>
          </cell>
          <cell r="CL5614">
            <v>7687.4579999999996</v>
          </cell>
          <cell r="CP5614" t="str">
            <v xml:space="preserve">NFT-/XUTR/DEUTH024309A02A3X </v>
          </cell>
          <cell r="CQ5614" t="str">
            <v>2024-11-04</v>
          </cell>
          <cell r="CR5614">
            <v>864.78</v>
          </cell>
        </row>
        <row r="5615">
          <cell r="CJ5615" t="str">
            <v xml:space="preserve">NFT-/XUTR/DEUTH02430980595X </v>
          </cell>
          <cell r="CK5615" t="str">
            <v>2024-11-04</v>
          </cell>
          <cell r="CL5615">
            <v>15365.674000000001</v>
          </cell>
          <cell r="CM5615" t="str">
            <v xml:space="preserve">NFT-/XUTR/DEUTH02432045075X </v>
          </cell>
          <cell r="CN5615" t="str">
            <v>2024-11-15</v>
          </cell>
          <cell r="CO5615">
            <v>-15365.674000000001</v>
          </cell>
          <cell r="CP5615" t="str">
            <v xml:space="preserve">NFT-/XUTR/DEUTH024309A02A3X </v>
          </cell>
          <cell r="CQ5615" t="str">
            <v>2024-11-04</v>
          </cell>
          <cell r="CR5615">
            <v>1455.8620000000001</v>
          </cell>
          <cell r="CS5615" t="str">
            <v xml:space="preserve">NFT-/XUTR/DEUTH02432059153X </v>
          </cell>
          <cell r="CT5615" t="str">
            <v>2024-11-15</v>
          </cell>
          <cell r="CU5615">
            <v>-1455.8620000000001</v>
          </cell>
        </row>
        <row r="5616">
          <cell r="CJ5616" t="str">
            <v xml:space="preserve">NFT-/XUTR/DEUTH02430980595X </v>
          </cell>
          <cell r="CK5616" t="str">
            <v>2024-11-04</v>
          </cell>
          <cell r="CL5616">
            <v>14519.334000000001</v>
          </cell>
          <cell r="CP5616" t="str">
            <v xml:space="preserve">NFT-/XUTR/DEUTH024309A02A3X </v>
          </cell>
          <cell r="CQ5616" t="str">
            <v>2024-11-04</v>
          </cell>
          <cell r="CR5616">
            <v>2302.2020000000002</v>
          </cell>
        </row>
        <row r="5617">
          <cell r="CJ5617" t="str">
            <v xml:space="preserve">NFT-/XUTR/DEUTH02430980595X </v>
          </cell>
          <cell r="CK5617" t="str">
            <v>2024-11-04</v>
          </cell>
          <cell r="CL5617">
            <v>79996.25</v>
          </cell>
          <cell r="CM5617" t="str">
            <v xml:space="preserve">NFT-/XUTR/DEUTH02431649943X </v>
          </cell>
          <cell r="CN5617" t="str">
            <v>2024-11-11</v>
          </cell>
          <cell r="CO5617">
            <v>-79996.25</v>
          </cell>
          <cell r="CP5617" t="str">
            <v xml:space="preserve">NFT-/XUTR/DEUTH024309A02A3X </v>
          </cell>
          <cell r="CQ5617" t="str">
            <v>2024-11-04</v>
          </cell>
          <cell r="CR5617">
            <v>4124.9430000000002</v>
          </cell>
          <cell r="CS5617" t="str">
            <v xml:space="preserve">NFT-/XUTR/DEUTH02431658955X </v>
          </cell>
          <cell r="CT5617" t="str">
            <v>2024-11-11</v>
          </cell>
          <cell r="CU5617">
            <v>-4124.9430000000002</v>
          </cell>
        </row>
        <row r="5618">
          <cell r="CJ5618" t="str">
            <v xml:space="preserve">NFT-/XUTR/DEUTH02430980595X </v>
          </cell>
          <cell r="CK5618" t="str">
            <v>2024-11-04</v>
          </cell>
          <cell r="CL5618">
            <v>7923.7420000000002</v>
          </cell>
          <cell r="CP5618" t="str">
            <v xml:space="preserve">NFT-/XUTR/DEUTH024309A02A3X </v>
          </cell>
          <cell r="CQ5618" t="str">
            <v>2024-11-04</v>
          </cell>
          <cell r="CR5618">
            <v>647.37300000000005</v>
          </cell>
        </row>
        <row r="5619">
          <cell r="CJ5619" t="str">
            <v xml:space="preserve">NFT-/XUTR/DEUTH02430980595X </v>
          </cell>
          <cell r="CK5619" t="str">
            <v>2024-11-04</v>
          </cell>
          <cell r="CL5619">
            <v>15365.674000000001</v>
          </cell>
          <cell r="CP5619" t="str">
            <v xml:space="preserve">NFT-/XUTR/DEUTH024309A02A3X </v>
          </cell>
          <cell r="CQ5619" t="str">
            <v>2024-11-04</v>
          </cell>
          <cell r="CR5619">
            <v>1455.8620000000001</v>
          </cell>
        </row>
        <row r="5620">
          <cell r="CJ5620" t="str">
            <v xml:space="preserve">NFT-/XUTR/DEUTH02430980595X </v>
          </cell>
          <cell r="CK5620" t="str">
            <v>2024-11-04</v>
          </cell>
          <cell r="CL5620">
            <v>15365.674000000001</v>
          </cell>
          <cell r="CP5620" t="str">
            <v xml:space="preserve">NFT-/XUTR/DEUTH024309A02A3X </v>
          </cell>
          <cell r="CQ5620" t="str">
            <v>2024-11-04</v>
          </cell>
          <cell r="CR5620">
            <v>1455.8620000000001</v>
          </cell>
        </row>
        <row r="5621">
          <cell r="CJ5621" t="str">
            <v xml:space="preserve">NFT-/XUTR/DEUTH02430980595X </v>
          </cell>
          <cell r="CK5621" t="str">
            <v>2024-11-04</v>
          </cell>
          <cell r="CL5621">
            <v>15384.554</v>
          </cell>
          <cell r="CP5621" t="str">
            <v xml:space="preserve">NFT-/XUTR/DEUTH024309A02A3X </v>
          </cell>
          <cell r="CQ5621" t="str">
            <v>2024-11-04</v>
          </cell>
          <cell r="CR5621">
            <v>1455.8620000000001</v>
          </cell>
        </row>
        <row r="5622">
          <cell r="CJ5622" t="str">
            <v xml:space="preserve">NFT-/XUTR/DEUTH02430980595X </v>
          </cell>
          <cell r="CK5622" t="str">
            <v>2024-11-04</v>
          </cell>
          <cell r="CL5622">
            <v>15384.554</v>
          </cell>
          <cell r="CM5622" t="str">
            <v xml:space="preserve">NFT-/XUTR/DEUTH02432540165X </v>
          </cell>
          <cell r="CN5622" t="str">
            <v>2024-11-20</v>
          </cell>
          <cell r="CO5622">
            <v>-15384.554</v>
          </cell>
          <cell r="CP5622" t="str">
            <v xml:space="preserve">NFT-/XUTR/DEUTH024309A02A3X </v>
          </cell>
          <cell r="CQ5622" t="str">
            <v>2024-11-04</v>
          </cell>
          <cell r="CR5622">
            <v>1455.8620000000001</v>
          </cell>
          <cell r="CS5622" t="str">
            <v xml:space="preserve">NFT-/XUTR/DEUTH02432567146X </v>
          </cell>
          <cell r="CT5622" t="str">
            <v>2024-11-20</v>
          </cell>
          <cell r="CU5622">
            <v>-1455.8620000000001</v>
          </cell>
        </row>
        <row r="5623">
          <cell r="CJ5623" t="str">
            <v xml:space="preserve">NFT-/XUTR/DEUTH02430980595X </v>
          </cell>
          <cell r="CK5623" t="str">
            <v>2024-11-04</v>
          </cell>
          <cell r="CL5623">
            <v>10243.953</v>
          </cell>
          <cell r="CP5623" t="str">
            <v xml:space="preserve">NFT-/XUTR/DEUTH024309A02A3X </v>
          </cell>
          <cell r="CQ5623" t="str">
            <v>2024-11-04</v>
          </cell>
          <cell r="CR5623">
            <v>1753.8330000000001</v>
          </cell>
        </row>
        <row r="5624">
          <cell r="CJ5624" t="str">
            <v xml:space="preserve">NFT-/XUTR/DEUTH02430980595X </v>
          </cell>
          <cell r="CK5624" t="str">
            <v>2024-11-04</v>
          </cell>
          <cell r="CL5624">
            <v>15384.554</v>
          </cell>
          <cell r="CP5624" t="str">
            <v xml:space="preserve">NFT-/XUTR/DEUTH024309A02A3X </v>
          </cell>
          <cell r="CQ5624" t="str">
            <v>2024-11-04</v>
          </cell>
          <cell r="CR5624">
            <v>1455.8620000000001</v>
          </cell>
        </row>
        <row r="5625">
          <cell r="CJ5625" t="str">
            <v xml:space="preserve">NFT-/XUTR/DEUTH02430980595X </v>
          </cell>
          <cell r="CK5625" t="str">
            <v>2024-11-04</v>
          </cell>
          <cell r="CL5625">
            <v>15391.352999999999</v>
          </cell>
          <cell r="CM5625" t="str">
            <v xml:space="preserve">NFT-/XUTR/DEUTH02432540165X </v>
          </cell>
          <cell r="CN5625" t="str">
            <v>2024-11-20</v>
          </cell>
          <cell r="CO5625">
            <v>-15391.352999999999</v>
          </cell>
          <cell r="CP5625" t="str">
            <v xml:space="preserve">NFT-/XUTR/DEUTH024309A02A3X </v>
          </cell>
          <cell r="CQ5625" t="str">
            <v>2024-11-04</v>
          </cell>
          <cell r="CR5625">
            <v>1449.0619999999999</v>
          </cell>
          <cell r="CS5625" t="str">
            <v xml:space="preserve">NFT-/XUTR/DEUTH02432567146X </v>
          </cell>
          <cell r="CT5625" t="str">
            <v>2024-11-20</v>
          </cell>
          <cell r="CU5625">
            <v>-1449.0619999999999</v>
          </cell>
        </row>
        <row r="5626">
          <cell r="CJ5626" t="str">
            <v xml:space="preserve">NFT-/XUTR/DEUTH02430980595X </v>
          </cell>
          <cell r="CK5626" t="str">
            <v>2024-11-04</v>
          </cell>
          <cell r="CL5626">
            <v>15384.554</v>
          </cell>
          <cell r="CP5626" t="str">
            <v xml:space="preserve">NFT-/XUTR/DEUTH024309A02A3X </v>
          </cell>
          <cell r="CQ5626" t="str">
            <v>2024-11-04</v>
          </cell>
          <cell r="CR5626">
            <v>1455.8620000000001</v>
          </cell>
        </row>
        <row r="5627">
          <cell r="CJ5627" t="str">
            <v xml:space="preserve">NFT-/XUTR/DEUTH02430980595X </v>
          </cell>
          <cell r="CK5627" t="str">
            <v>2024-11-04</v>
          </cell>
          <cell r="CL5627">
            <v>15291.916999999999</v>
          </cell>
          <cell r="CP5627" t="str">
            <v xml:space="preserve">NFT-/XUTR/DEUTH024309A02A3X </v>
          </cell>
          <cell r="CQ5627" t="str">
            <v>2024-11-04</v>
          </cell>
          <cell r="CR5627">
            <v>1529.6289999999999</v>
          </cell>
        </row>
        <row r="5628">
          <cell r="CJ5628" t="str">
            <v xml:space="preserve">NFT-/XUTR/DEUTH02430980595X </v>
          </cell>
          <cell r="CK5628" t="str">
            <v>2024-11-04</v>
          </cell>
          <cell r="CL5628">
            <v>15365.674000000001</v>
          </cell>
          <cell r="CP5628" t="str">
            <v xml:space="preserve">NFT-/XUTR/DEUTH024309A02A3X </v>
          </cell>
          <cell r="CQ5628" t="str">
            <v>2024-11-04</v>
          </cell>
          <cell r="CR5628">
            <v>1455.8620000000001</v>
          </cell>
        </row>
        <row r="5629">
          <cell r="CJ5629" t="str">
            <v xml:space="preserve">NFT-/XUTR/DEUTH02430980595X </v>
          </cell>
          <cell r="CK5629" t="str">
            <v>2024-11-04</v>
          </cell>
          <cell r="CL5629">
            <v>33462.824999999997</v>
          </cell>
          <cell r="CP5629" t="str">
            <v xml:space="preserve">NFT-/XUTR/DEUTH024309A02A3X </v>
          </cell>
          <cell r="CQ5629" t="str">
            <v>2024-11-04</v>
          </cell>
          <cell r="CR5629">
            <v>2568.1460000000002</v>
          </cell>
        </row>
        <row r="5630">
          <cell r="CJ5630" t="str">
            <v xml:space="preserve">NFT-/XUTR/DEUTH02430980595X </v>
          </cell>
          <cell r="CK5630" t="str">
            <v>2024-11-04</v>
          </cell>
          <cell r="CL5630">
            <v>39247.235000000001</v>
          </cell>
          <cell r="CP5630" t="str">
            <v xml:space="preserve">NFT-/XUTR/DEUTH024309A02A3X </v>
          </cell>
          <cell r="CQ5630" t="str">
            <v>2024-11-04</v>
          </cell>
          <cell r="CR5630">
            <v>3007.808</v>
          </cell>
        </row>
        <row r="5631">
          <cell r="CJ5631" t="str">
            <v xml:space="preserve">NFT-/XUTR/DEUTH02430980595X </v>
          </cell>
          <cell r="CK5631" t="str">
            <v>2024-11-04</v>
          </cell>
          <cell r="CL5631">
            <v>39105.404999999999</v>
          </cell>
          <cell r="CP5631" t="str">
            <v xml:space="preserve">NFT-/XUTR/DEUTH024309A02A3X </v>
          </cell>
          <cell r="CQ5631" t="str">
            <v>2024-11-04</v>
          </cell>
          <cell r="CR5631">
            <v>3154.3679999999999</v>
          </cell>
        </row>
        <row r="5632">
          <cell r="CJ5632" t="str">
            <v xml:space="preserve">NFT-/XUTR/DEUTH02430980595X </v>
          </cell>
          <cell r="CK5632" t="str">
            <v>2024-11-04</v>
          </cell>
          <cell r="CL5632">
            <v>78559.27</v>
          </cell>
          <cell r="CP5632" t="str">
            <v xml:space="preserve">NFT-/XUTR/DEUTH024309A02A3X </v>
          </cell>
          <cell r="CQ5632" t="str">
            <v>2024-11-04</v>
          </cell>
          <cell r="CR5632">
            <v>5580.8040000000001</v>
          </cell>
        </row>
        <row r="5633">
          <cell r="CJ5633" t="str">
            <v xml:space="preserve">NFT-/XUTR/DEUTH02430980595X </v>
          </cell>
          <cell r="CK5633" t="str">
            <v>2024-11-04</v>
          </cell>
          <cell r="CL5633">
            <v>15384.554</v>
          </cell>
          <cell r="CP5633" t="str">
            <v xml:space="preserve">NFT-/XUTR/DEUTH024309A02A3X </v>
          </cell>
          <cell r="CQ5633" t="str">
            <v>2024-11-04</v>
          </cell>
          <cell r="CR5633">
            <v>1455.8620000000001</v>
          </cell>
        </row>
        <row r="5634">
          <cell r="CJ5634" t="str">
            <v xml:space="preserve">NFT-/XUTR/DEUTH02430980595X </v>
          </cell>
          <cell r="CK5634" t="str">
            <v>2024-11-04</v>
          </cell>
          <cell r="CL5634">
            <v>15384.554</v>
          </cell>
          <cell r="CP5634" t="str">
            <v xml:space="preserve">NFT-/XUTR/DEUTH024309A02A3X </v>
          </cell>
          <cell r="CQ5634" t="str">
            <v>2024-11-04</v>
          </cell>
          <cell r="CR5634">
            <v>1455.8620000000001</v>
          </cell>
        </row>
        <row r="5635">
          <cell r="CJ5635" t="str">
            <v xml:space="preserve">NFT-/XUTR/DEUTH02430980595X </v>
          </cell>
          <cell r="CK5635" t="str">
            <v>2024-11-04</v>
          </cell>
          <cell r="CL5635">
            <v>39086.525000000001</v>
          </cell>
          <cell r="CP5635" t="str">
            <v xml:space="preserve">NFT-/XUTR/DEUTH024309A02A3X </v>
          </cell>
          <cell r="CQ5635" t="str">
            <v>2024-11-04</v>
          </cell>
          <cell r="CR5635">
            <v>3154.3679999999999</v>
          </cell>
        </row>
        <row r="5636">
          <cell r="CJ5636" t="str">
            <v xml:space="preserve">NFT-/XUTR/DEUTH02430980595X </v>
          </cell>
          <cell r="CK5636" t="str">
            <v>2024-11-04</v>
          </cell>
          <cell r="CL5636">
            <v>7748.6</v>
          </cell>
          <cell r="CP5636" t="str">
            <v xml:space="preserve">NFT-/XUTR/DEUTH024309A02A3X </v>
          </cell>
          <cell r="CQ5636" t="str">
            <v>2024-11-04</v>
          </cell>
          <cell r="CR5636">
            <v>871.57899999999995</v>
          </cell>
        </row>
        <row r="5637">
          <cell r="CJ5637" t="str">
            <v xml:space="preserve">NFT-/XUTR/DEUTH02430980595X </v>
          </cell>
          <cell r="CK5637" t="str">
            <v>2024-11-04</v>
          </cell>
          <cell r="CL5637">
            <v>14798.856</v>
          </cell>
          <cell r="CP5637" t="str">
            <v xml:space="preserve">NFT-/XUTR/DEUTH024309A02A3X </v>
          </cell>
          <cell r="CQ5637" t="str">
            <v>2024-11-04</v>
          </cell>
          <cell r="CR5637">
            <v>2022.68</v>
          </cell>
        </row>
        <row r="5638">
          <cell r="CJ5638" t="str">
            <v xml:space="preserve">NFT-/XUTR/DEUTH02430980595X </v>
          </cell>
          <cell r="CK5638" t="str">
            <v>2024-11-04</v>
          </cell>
          <cell r="CL5638">
            <v>15384.554</v>
          </cell>
          <cell r="CP5638" t="str">
            <v xml:space="preserve">NFT-/XUTR/DEUTH024309A02A3X </v>
          </cell>
          <cell r="CQ5638" t="str">
            <v>2024-11-04</v>
          </cell>
          <cell r="CR5638">
            <v>1455.8620000000001</v>
          </cell>
        </row>
        <row r="5639">
          <cell r="CJ5639" t="str">
            <v xml:space="preserve">NFT-/XUTR/DEUTH02430980595X </v>
          </cell>
          <cell r="CK5639" t="str">
            <v>2024-11-04</v>
          </cell>
          <cell r="CL5639">
            <v>7706.3370000000004</v>
          </cell>
          <cell r="CP5639" t="str">
            <v xml:space="preserve">NFT-/XUTR/DEUTH024309A02A3X </v>
          </cell>
          <cell r="CQ5639" t="str">
            <v>2024-11-04</v>
          </cell>
          <cell r="CR5639">
            <v>864.779</v>
          </cell>
        </row>
        <row r="5640">
          <cell r="CJ5640" t="str">
            <v xml:space="preserve">NFT-/XUTR/DEUTH02430980595X </v>
          </cell>
          <cell r="CK5640" t="str">
            <v>2024-11-04</v>
          </cell>
          <cell r="CL5640">
            <v>39086.525000000001</v>
          </cell>
          <cell r="CP5640" t="str">
            <v xml:space="preserve">NFT-/XUTR/DEUTH024309A02A3X </v>
          </cell>
          <cell r="CQ5640" t="str">
            <v>2024-11-04</v>
          </cell>
          <cell r="CR5640">
            <v>3154.3679999999999</v>
          </cell>
        </row>
        <row r="5641">
          <cell r="CJ5641" t="str">
            <v xml:space="preserve">NFT-/XUTR/DEUTH02430980595X </v>
          </cell>
          <cell r="CK5641" t="str">
            <v>2024-11-04</v>
          </cell>
          <cell r="CL5641">
            <v>15365.674000000001</v>
          </cell>
          <cell r="CP5641" t="str">
            <v xml:space="preserve">NFT-/XUTR/DEUTH024309A02A3X </v>
          </cell>
          <cell r="CQ5641" t="str">
            <v>2024-11-04</v>
          </cell>
          <cell r="CR5641">
            <v>1455.8620000000001</v>
          </cell>
        </row>
        <row r="5642">
          <cell r="CJ5642" t="str">
            <v xml:space="preserve">NFT-/XUTR/DEUTH02430980595X </v>
          </cell>
          <cell r="CK5642" t="str">
            <v>2024-11-04</v>
          </cell>
          <cell r="CL5642">
            <v>14990.498</v>
          </cell>
          <cell r="CP5642" t="str">
            <v xml:space="preserve">NFT-/XUTR/DEUTH024309A02A3X </v>
          </cell>
          <cell r="CQ5642" t="str">
            <v>2024-11-04</v>
          </cell>
          <cell r="CR5642">
            <v>1849.9179999999999</v>
          </cell>
        </row>
        <row r="5643">
          <cell r="CJ5643" t="str">
            <v xml:space="preserve">NFT-/XUTR/DEUTH02430980595X </v>
          </cell>
          <cell r="CK5643" t="str">
            <v>2024-11-04</v>
          </cell>
          <cell r="CL5643">
            <v>14973.034</v>
          </cell>
          <cell r="CP5643" t="str">
            <v xml:space="preserve">NFT-/XUTR/DEUTH024309A02A3X </v>
          </cell>
          <cell r="CQ5643" t="str">
            <v>2024-11-04</v>
          </cell>
          <cell r="CR5643">
            <v>1867.3820000000001</v>
          </cell>
        </row>
        <row r="5644">
          <cell r="CJ5644" t="str">
            <v xml:space="preserve">NFT-/XUTR/DEUTH02430980595X </v>
          </cell>
          <cell r="CK5644" t="str">
            <v>2024-11-04</v>
          </cell>
          <cell r="CL5644">
            <v>15384.554</v>
          </cell>
          <cell r="CP5644" t="str">
            <v xml:space="preserve">NFT-/XUTR/DEUTH024309A02A3X </v>
          </cell>
          <cell r="CQ5644" t="str">
            <v>2024-11-04</v>
          </cell>
          <cell r="CR5644">
            <v>1455.8620000000001</v>
          </cell>
        </row>
        <row r="5645">
          <cell r="CJ5645" t="str">
            <v xml:space="preserve">NFT-/XUTR/DEUTH02430980595X </v>
          </cell>
          <cell r="CK5645" t="str">
            <v>2024-11-04</v>
          </cell>
          <cell r="CL5645">
            <v>7706.3379999999997</v>
          </cell>
          <cell r="CP5645" t="str">
            <v xml:space="preserve">NFT-/XUTR/DEUTH024309A02A3X </v>
          </cell>
          <cell r="CQ5645" t="str">
            <v>2024-11-04</v>
          </cell>
          <cell r="CR5645">
            <v>864.78</v>
          </cell>
        </row>
        <row r="5646">
          <cell r="CJ5646" t="str">
            <v xml:space="preserve">NFT-/XUTR/DEUTH02430980595X </v>
          </cell>
          <cell r="CK5646" t="str">
            <v>2024-11-04</v>
          </cell>
          <cell r="CL5646">
            <v>15667.502</v>
          </cell>
          <cell r="CP5646" t="str">
            <v xml:space="preserve">NFT-/XUTR/DEUTH024309A02A3X </v>
          </cell>
          <cell r="CQ5646" t="str">
            <v>2024-11-04</v>
          </cell>
          <cell r="CR5646">
            <v>1455.8620000000001</v>
          </cell>
        </row>
        <row r="5647">
          <cell r="CJ5647" t="str">
            <v xml:space="preserve">NFT-/XUTR/DEUTH02430980595X </v>
          </cell>
          <cell r="CK5647" t="str">
            <v>2024-11-04</v>
          </cell>
          <cell r="CL5647">
            <v>15384.554</v>
          </cell>
          <cell r="CP5647" t="str">
            <v xml:space="preserve">NFT-/XUTR/DEUTH024309A02A3X </v>
          </cell>
          <cell r="CQ5647" t="str">
            <v>2024-11-04</v>
          </cell>
          <cell r="CR5647">
            <v>1455.8620000000001</v>
          </cell>
        </row>
        <row r="5648">
          <cell r="CJ5648" t="str">
            <v xml:space="preserve">NFT-/XUTR/DEUTH02430980595X </v>
          </cell>
          <cell r="CK5648" t="str">
            <v>2024-11-04</v>
          </cell>
          <cell r="CL5648">
            <v>16119.285</v>
          </cell>
          <cell r="CP5648" t="str">
            <v xml:space="preserve">NFT-/XUTR/DEUTH024309A02A3X </v>
          </cell>
          <cell r="CQ5648" t="str">
            <v>2024-11-04</v>
          </cell>
          <cell r="CR5648">
            <v>721.13300000000004</v>
          </cell>
        </row>
        <row r="5649">
          <cell r="CJ5649" t="str">
            <v xml:space="preserve">NFT-/XUTR/DEUTH02430980595X </v>
          </cell>
          <cell r="CK5649" t="str">
            <v>2024-11-04</v>
          </cell>
          <cell r="CL5649">
            <v>78607.797000000006</v>
          </cell>
          <cell r="CP5649" t="str">
            <v xml:space="preserve">NFT-/XUTR/DEUTH024309A02A3X </v>
          </cell>
          <cell r="CQ5649" t="str">
            <v>2024-11-04</v>
          </cell>
          <cell r="CR5649">
            <v>5580.8040000000001</v>
          </cell>
        </row>
        <row r="5650">
          <cell r="CJ5650" t="str">
            <v xml:space="preserve">NFT-/XUTR/DEUTH02430980595X </v>
          </cell>
          <cell r="CK5650" t="str">
            <v>2024-11-04</v>
          </cell>
          <cell r="CL5650">
            <v>78540.388999999996</v>
          </cell>
          <cell r="CP5650" t="str">
            <v xml:space="preserve">NFT-/XUTR/DEUTH024309A02A3X </v>
          </cell>
          <cell r="CQ5650" t="str">
            <v>2024-11-04</v>
          </cell>
          <cell r="CR5650">
            <v>5580.8050000000003</v>
          </cell>
        </row>
        <row r="5651">
          <cell r="CJ5651" t="str">
            <v xml:space="preserve">NFT-/XUTR/DEUTH02430980595X </v>
          </cell>
          <cell r="CK5651" t="str">
            <v>2024-11-04</v>
          </cell>
          <cell r="CL5651">
            <v>15384.554</v>
          </cell>
          <cell r="CP5651" t="str">
            <v xml:space="preserve">NFT-/XUTR/DEUTH024309A02A3X </v>
          </cell>
          <cell r="CQ5651" t="str">
            <v>2024-11-04</v>
          </cell>
          <cell r="CR5651">
            <v>1455.8620000000001</v>
          </cell>
        </row>
        <row r="5652">
          <cell r="CJ5652" t="str">
            <v xml:space="preserve">NFT-/XUTR/DEUTH02430980595X </v>
          </cell>
          <cell r="CK5652" t="str">
            <v>2024-11-04</v>
          </cell>
          <cell r="CL5652">
            <v>15384.554</v>
          </cell>
          <cell r="CP5652" t="str">
            <v xml:space="preserve">NFT-/XUTR/DEUTH024309A02A3X </v>
          </cell>
          <cell r="CQ5652" t="str">
            <v>2024-11-04</v>
          </cell>
          <cell r="CR5652">
            <v>1455.8620000000001</v>
          </cell>
        </row>
        <row r="5653">
          <cell r="CJ5653" t="str">
            <v xml:space="preserve">NFT-/XUTR/DEUTH02430980595X </v>
          </cell>
          <cell r="CK5653" t="str">
            <v>2024-11-04</v>
          </cell>
          <cell r="CL5653">
            <v>15384.554</v>
          </cell>
          <cell r="CP5653" t="str">
            <v xml:space="preserve">NFT-/XUTR/DEUTH024309A02A3X </v>
          </cell>
          <cell r="CQ5653" t="str">
            <v>2024-11-04</v>
          </cell>
          <cell r="CR5653">
            <v>1455.8620000000001</v>
          </cell>
        </row>
        <row r="5654">
          <cell r="CJ5654" t="str">
            <v xml:space="preserve">NFT-/XUTR/DEUTH02430980595X </v>
          </cell>
          <cell r="CK5654" t="str">
            <v>2024-11-04</v>
          </cell>
          <cell r="CL5654">
            <v>15384.554</v>
          </cell>
          <cell r="CP5654" t="str">
            <v xml:space="preserve">NFT-/XUTR/DEUTH024309A02A3X </v>
          </cell>
          <cell r="CQ5654" t="str">
            <v>2024-11-04</v>
          </cell>
          <cell r="CR5654">
            <v>1455.8620000000001</v>
          </cell>
        </row>
        <row r="5655">
          <cell r="CJ5655" t="str">
            <v xml:space="preserve">NFT-/XUTR/DEUTH02430980595X </v>
          </cell>
          <cell r="CK5655" t="str">
            <v>2024-11-04</v>
          </cell>
          <cell r="CL5655">
            <v>79996.25</v>
          </cell>
          <cell r="CP5655" t="str">
            <v xml:space="preserve">NFT-/XUTR/DEUTH024309A02A3X </v>
          </cell>
          <cell r="CQ5655" t="str">
            <v>2024-11-04</v>
          </cell>
          <cell r="CR5655">
            <v>4124.9430000000002</v>
          </cell>
        </row>
        <row r="5656">
          <cell r="CJ5656" t="str">
            <v xml:space="preserve">NFT-/XUTR/DEUTH02430980595X </v>
          </cell>
          <cell r="CK5656" t="str">
            <v>2024-11-04</v>
          </cell>
          <cell r="CL5656">
            <v>5232.88</v>
          </cell>
          <cell r="CP5656" t="str">
            <v xml:space="preserve">NFT-/XUTR/DEUTH024309A02A3X </v>
          </cell>
          <cell r="CQ5656" t="str">
            <v>2024-11-04</v>
          </cell>
          <cell r="CR5656">
            <v>592.04700000000003</v>
          </cell>
        </row>
        <row r="5657">
          <cell r="CJ5657" t="str">
            <v xml:space="preserve">NFT-/XUTR/DEUTH02430980595X </v>
          </cell>
          <cell r="CK5657" t="str">
            <v>2024-11-04</v>
          </cell>
          <cell r="CL5657">
            <v>15365.674000000001</v>
          </cell>
          <cell r="CP5657" t="str">
            <v xml:space="preserve">NFT-/XUTR/DEUTH024309A02A3X </v>
          </cell>
          <cell r="CQ5657" t="str">
            <v>2024-11-04</v>
          </cell>
          <cell r="CR5657">
            <v>1455.8620000000001</v>
          </cell>
        </row>
        <row r="5658">
          <cell r="CJ5658" t="str">
            <v xml:space="preserve">NFT-/XUTR/DEUTH02430980595X </v>
          </cell>
          <cell r="CK5658" t="str">
            <v>2024-11-04</v>
          </cell>
          <cell r="CL5658">
            <v>79209.554999999993</v>
          </cell>
          <cell r="CP5658" t="str">
            <v xml:space="preserve">NFT-/XUTR/DEUTH024309A02A3X </v>
          </cell>
          <cell r="CQ5658" t="str">
            <v>2024-11-04</v>
          </cell>
          <cell r="CR5658">
            <v>5580.8040000000001</v>
          </cell>
        </row>
        <row r="5659">
          <cell r="CJ5659" t="str">
            <v xml:space="preserve">NFT-/XUTR/DEUTH02430980595X </v>
          </cell>
          <cell r="CK5659" t="str">
            <v>2024-11-04</v>
          </cell>
          <cell r="CL5659">
            <v>15384.554</v>
          </cell>
          <cell r="CP5659" t="str">
            <v xml:space="preserve">NFT-/XUTR/DEUTH024309A02A3X </v>
          </cell>
          <cell r="CQ5659" t="str">
            <v>2024-11-04</v>
          </cell>
          <cell r="CR5659">
            <v>1455.8620000000001</v>
          </cell>
        </row>
        <row r="5660">
          <cell r="CJ5660" t="str">
            <v xml:space="preserve">NFT-/XUTR/DEUTH02430980595X </v>
          </cell>
          <cell r="CK5660" t="str">
            <v>2024-11-04</v>
          </cell>
          <cell r="CL5660">
            <v>15384.554</v>
          </cell>
          <cell r="CP5660" t="str">
            <v xml:space="preserve">NFT-/XUTR/DEUTH024309A02A3X </v>
          </cell>
          <cell r="CQ5660" t="str">
            <v>2024-11-04</v>
          </cell>
          <cell r="CR5660">
            <v>1455.8620000000001</v>
          </cell>
        </row>
        <row r="5661">
          <cell r="CJ5661" t="str">
            <v xml:space="preserve">NFT-/XUTR/DEUTH02430980595X </v>
          </cell>
          <cell r="CK5661" t="str">
            <v>2024-11-04</v>
          </cell>
          <cell r="CL5661">
            <v>15384.554</v>
          </cell>
          <cell r="CP5661" t="str">
            <v xml:space="preserve">NFT-/XUTR/DEUTH024309A02A3X </v>
          </cell>
          <cell r="CQ5661" t="str">
            <v>2024-11-04</v>
          </cell>
          <cell r="CR5661">
            <v>1455.8620000000001</v>
          </cell>
        </row>
        <row r="5662">
          <cell r="CJ5662" t="str">
            <v xml:space="preserve">NFT-/XUTR/DEUTH02430980595X </v>
          </cell>
          <cell r="CK5662" t="str">
            <v>2024-11-04</v>
          </cell>
          <cell r="CL5662">
            <v>78607.797000000006</v>
          </cell>
          <cell r="CP5662" t="str">
            <v xml:space="preserve">NFT-/XUTR/DEUTH024309A02A3X </v>
          </cell>
          <cell r="CQ5662" t="str">
            <v>2024-11-04</v>
          </cell>
          <cell r="CR5662">
            <v>5580.8040000000001</v>
          </cell>
        </row>
        <row r="5663">
          <cell r="CJ5663" t="str">
            <v xml:space="preserve">NFT-/XUTR/DEUTH02431152062X </v>
          </cell>
          <cell r="CK5663" t="str">
            <v>2024-11-06</v>
          </cell>
          <cell r="CL5663">
            <v>15384.554</v>
          </cell>
          <cell r="CM5663" t="str">
            <v xml:space="preserve">NFT-/XUTR/DEUTH02431162755X </v>
          </cell>
          <cell r="CN5663" t="str">
            <v>2024-11-06</v>
          </cell>
          <cell r="CO5663">
            <v>1455.8620000000001</v>
          </cell>
        </row>
        <row r="5664">
          <cell r="CJ5664" t="str">
            <v xml:space="preserve">NFT-/XUTR/DEUTH02431152062X </v>
          </cell>
          <cell r="CK5664" t="str">
            <v>2024-11-06</v>
          </cell>
          <cell r="CL5664">
            <v>15365.674000000001</v>
          </cell>
          <cell r="CM5664" t="str">
            <v xml:space="preserve">NFT-/XUTR/DEUTH02431162755X </v>
          </cell>
          <cell r="CN5664" t="str">
            <v>2024-11-06</v>
          </cell>
          <cell r="CO5664">
            <v>1455.8620000000001</v>
          </cell>
        </row>
        <row r="5665">
          <cell r="CJ5665" t="str">
            <v xml:space="preserve">NFT-/XUTR/DEUTH02431152062X </v>
          </cell>
          <cell r="CK5665" t="str">
            <v>2024-11-06</v>
          </cell>
          <cell r="CL5665">
            <v>15365.674000000001</v>
          </cell>
          <cell r="CM5665" t="str">
            <v xml:space="preserve">NFT-/XUTR/DEUTH02431162755X </v>
          </cell>
          <cell r="CN5665" t="str">
            <v>2024-11-06</v>
          </cell>
          <cell r="CO5665">
            <v>1455.8620000000001</v>
          </cell>
          <cell r="CP5665" t="str">
            <v xml:space="preserve">NFT-/XUTR/DEUTH02431839302X </v>
          </cell>
          <cell r="CQ5665" t="str">
            <v>2024-11-13</v>
          </cell>
          <cell r="CR5665">
            <v>-15365.674000000001</v>
          </cell>
          <cell r="CS5665" t="str">
            <v xml:space="preserve">NFT-/XUTR/DEUTH02431843558X </v>
          </cell>
          <cell r="CT5665" t="str">
            <v>2024-11-13</v>
          </cell>
          <cell r="CU5665">
            <v>-1455.8620000000001</v>
          </cell>
        </row>
        <row r="5666">
          <cell r="CJ5666" t="str">
            <v xml:space="preserve">NFT-/XUTR/DEUTH02431152062X </v>
          </cell>
          <cell r="CK5666" t="str">
            <v>2024-11-06</v>
          </cell>
          <cell r="CL5666">
            <v>15262.790999999999</v>
          </cell>
          <cell r="CM5666" t="str">
            <v xml:space="preserve">NFT-/XUTR/DEUTH02431162755X </v>
          </cell>
          <cell r="CN5666" t="str">
            <v>2024-11-06</v>
          </cell>
          <cell r="CO5666">
            <v>1558.7439999999999</v>
          </cell>
        </row>
        <row r="5667">
          <cell r="CJ5667" t="str">
            <v xml:space="preserve">NFT-/XUTR/DEUTH02431152062X </v>
          </cell>
          <cell r="CK5667" t="str">
            <v>2024-11-06</v>
          </cell>
          <cell r="CL5667">
            <v>41124.197999999997</v>
          </cell>
          <cell r="CM5667" t="str">
            <v xml:space="preserve">NFT-/XUTR/DEUTH02431162755X </v>
          </cell>
          <cell r="CN5667" t="str">
            <v>2024-11-06</v>
          </cell>
          <cell r="CO5667">
            <v>1455.8620000000001</v>
          </cell>
        </row>
        <row r="5668">
          <cell r="CJ5668" t="str">
            <v xml:space="preserve">NFT-/XUTR/DEUTH02431152062X </v>
          </cell>
          <cell r="CK5668" t="str">
            <v>2024-11-06</v>
          </cell>
          <cell r="CL5668">
            <v>15263.232</v>
          </cell>
          <cell r="CM5668" t="str">
            <v xml:space="preserve">NFT-/XUTR/DEUTH02431162755X </v>
          </cell>
          <cell r="CN5668" t="str">
            <v>2024-11-06</v>
          </cell>
          <cell r="CO5668">
            <v>1577.184</v>
          </cell>
        </row>
        <row r="5669">
          <cell r="CJ5669" t="str">
            <v xml:space="preserve">NFT-/XUTR/DEUTH02431152062X </v>
          </cell>
          <cell r="CK5669" t="str">
            <v>2024-11-06</v>
          </cell>
          <cell r="CL5669">
            <v>15365.674000000001</v>
          </cell>
          <cell r="CM5669" t="str">
            <v xml:space="preserve">NFT-/XUTR/DEUTH02431162755X </v>
          </cell>
          <cell r="CN5669" t="str">
            <v>2024-11-06</v>
          </cell>
          <cell r="CO5669">
            <v>1455.8620000000001</v>
          </cell>
        </row>
        <row r="5670">
          <cell r="CJ5670" t="str">
            <v xml:space="preserve">NFT-/XUTR/DEUTH02431152062X </v>
          </cell>
          <cell r="CK5670" t="str">
            <v>2024-11-06</v>
          </cell>
          <cell r="CL5670">
            <v>53504.542000000001</v>
          </cell>
          <cell r="CM5670" t="str">
            <v xml:space="preserve">NFT-/XUTR/DEUTH02431162755X </v>
          </cell>
          <cell r="CN5670" t="str">
            <v>2024-11-06</v>
          </cell>
          <cell r="CO5670">
            <v>3154.3679999999999</v>
          </cell>
        </row>
        <row r="5671">
          <cell r="CJ5671" t="str">
            <v xml:space="preserve">NFT-/XUTR/DEUTH02431152062X </v>
          </cell>
          <cell r="CK5671" t="str">
            <v>2024-11-06</v>
          </cell>
          <cell r="CL5671">
            <v>7706.3370000000004</v>
          </cell>
          <cell r="CM5671" t="str">
            <v xml:space="preserve">NFT-/XUTR/DEUTH02431162755X </v>
          </cell>
          <cell r="CN5671" t="str">
            <v>2024-11-06</v>
          </cell>
          <cell r="CO5671">
            <v>864.779</v>
          </cell>
        </row>
        <row r="5672">
          <cell r="CJ5672" t="str">
            <v xml:space="preserve">NFT-/XUTR/DEUTH02431152062X </v>
          </cell>
          <cell r="CK5672" t="str">
            <v>2024-11-06</v>
          </cell>
          <cell r="CL5672">
            <v>15365.674000000001</v>
          </cell>
          <cell r="CM5672" t="str">
            <v xml:space="preserve">NFT-/XUTR/DEUTH02431162755X </v>
          </cell>
          <cell r="CN5672" t="str">
            <v>2024-11-06</v>
          </cell>
          <cell r="CO5672">
            <v>1455.8620000000001</v>
          </cell>
        </row>
        <row r="5673">
          <cell r="CJ5673" t="str">
            <v xml:space="preserve">NFT-/XUTR/DEUTH02431152062X </v>
          </cell>
          <cell r="CK5673" t="str">
            <v>2024-11-06</v>
          </cell>
          <cell r="CL5673">
            <v>15384.554</v>
          </cell>
          <cell r="CM5673" t="str">
            <v xml:space="preserve">NFT-/XUTR/DEUTH02431162755X </v>
          </cell>
          <cell r="CN5673" t="str">
            <v>2024-11-06</v>
          </cell>
          <cell r="CO5673">
            <v>1455.8620000000001</v>
          </cell>
        </row>
        <row r="5674">
          <cell r="CJ5674" t="str">
            <v xml:space="preserve">NFT-/XUTR/DEUTH02431152062X </v>
          </cell>
          <cell r="CK5674" t="str">
            <v>2024-11-06</v>
          </cell>
          <cell r="CL5674">
            <v>84790.361000000004</v>
          </cell>
          <cell r="CM5674" t="str">
            <v xml:space="preserve">NFT-/XUTR/DEUTH02431839302X </v>
          </cell>
          <cell r="CN5674" t="str">
            <v>2024-11-13</v>
          </cell>
          <cell r="CO5674">
            <v>-84790.361000000004</v>
          </cell>
        </row>
        <row r="5675">
          <cell r="CJ5675" t="str">
            <v xml:space="preserve">NFT-/XUTR/DEUTH02431152062X </v>
          </cell>
          <cell r="CK5675" t="str">
            <v>2024-11-06</v>
          </cell>
          <cell r="CL5675">
            <v>10510.329</v>
          </cell>
          <cell r="CM5675" t="str">
            <v xml:space="preserve">NFT-/XUTR/DEUTH02431162755X </v>
          </cell>
          <cell r="CN5675" t="str">
            <v>2024-11-06</v>
          </cell>
          <cell r="CO5675">
            <v>1176.3399999999999</v>
          </cell>
        </row>
        <row r="5676">
          <cell r="CJ5676" t="str">
            <v xml:space="preserve">NFT-/XUTR/DEUTH02431152062X </v>
          </cell>
          <cell r="CK5676" t="str">
            <v>2024-11-06</v>
          </cell>
          <cell r="CL5676">
            <v>15384.554</v>
          </cell>
          <cell r="CM5676" t="str">
            <v xml:space="preserve">NFT-/XUTR/DEUTH02431162755X </v>
          </cell>
          <cell r="CN5676" t="str">
            <v>2024-11-06</v>
          </cell>
          <cell r="CO5676">
            <v>1455.8620000000001</v>
          </cell>
        </row>
        <row r="5677">
          <cell r="CJ5677" t="str">
            <v xml:space="preserve">NFT-/XUTR/DEUTH02431152062X </v>
          </cell>
          <cell r="CK5677" t="str">
            <v>2024-11-06</v>
          </cell>
          <cell r="CL5677">
            <v>15365.674000000001</v>
          </cell>
          <cell r="CM5677" t="str">
            <v xml:space="preserve">NFT-/XUTR/DEUTH02431162755X </v>
          </cell>
          <cell r="CN5677" t="str">
            <v>2024-11-06</v>
          </cell>
          <cell r="CO5677">
            <v>1455.8620000000001</v>
          </cell>
        </row>
        <row r="5678">
          <cell r="CJ5678" t="str">
            <v xml:space="preserve">NFT-/XUTR/DEUTH02431152062X </v>
          </cell>
          <cell r="CK5678" t="str">
            <v>2024-11-06</v>
          </cell>
          <cell r="CL5678">
            <v>7706.3379999999997</v>
          </cell>
          <cell r="CM5678" t="str">
            <v xml:space="preserve">NFT-/XUTR/DEUTH02431162755X </v>
          </cell>
          <cell r="CN5678" t="str">
            <v>2024-11-06</v>
          </cell>
          <cell r="CO5678">
            <v>864.78</v>
          </cell>
        </row>
        <row r="5679">
          <cell r="CJ5679" t="str">
            <v xml:space="preserve">NFT-/XUTR/DEUTH02431152062X </v>
          </cell>
          <cell r="CK5679" t="str">
            <v>2024-11-06</v>
          </cell>
          <cell r="CL5679">
            <v>15384.554</v>
          </cell>
          <cell r="CM5679" t="str">
            <v xml:space="preserve">NFT-/XUTR/DEUTH02431162755X </v>
          </cell>
          <cell r="CN5679" t="str">
            <v>2024-11-06</v>
          </cell>
          <cell r="CO5679">
            <v>1455.8620000000001</v>
          </cell>
        </row>
        <row r="5680">
          <cell r="CJ5680" t="str">
            <v xml:space="preserve">NFT-/XUTR/DEUTH02431152062X </v>
          </cell>
          <cell r="CK5680" t="str">
            <v>2024-11-06</v>
          </cell>
          <cell r="CL5680">
            <v>15365.674000000001</v>
          </cell>
          <cell r="CM5680" t="str">
            <v xml:space="preserve">NFT-/XUTR/DEUTH02431162755X </v>
          </cell>
          <cell r="CN5680" t="str">
            <v>2024-11-06</v>
          </cell>
          <cell r="CO5680">
            <v>1455.8620000000001</v>
          </cell>
        </row>
        <row r="5681">
          <cell r="CJ5681" t="str">
            <v xml:space="preserve">NFT-/XUTR/DEUTH02431152062X </v>
          </cell>
          <cell r="CK5681" t="str">
            <v>2024-11-06</v>
          </cell>
          <cell r="CL5681">
            <v>15384.554</v>
          </cell>
          <cell r="CM5681" t="str">
            <v xml:space="preserve">NFT-/XUTR/DEUTH02431162755X </v>
          </cell>
          <cell r="CN5681" t="str">
            <v>2024-11-06</v>
          </cell>
          <cell r="CO5681">
            <v>1455.8620000000001</v>
          </cell>
        </row>
        <row r="5682">
          <cell r="CJ5682" t="str">
            <v xml:space="preserve">NFT-/XUTR/DEUTH02431152062X </v>
          </cell>
          <cell r="CK5682" t="str">
            <v>2024-11-06</v>
          </cell>
          <cell r="CL5682">
            <v>5106.174</v>
          </cell>
          <cell r="CM5682" t="str">
            <v xml:space="preserve">NFT-/XUTR/DEUTH02431162755X </v>
          </cell>
          <cell r="CN5682" t="str">
            <v>2024-11-06</v>
          </cell>
          <cell r="CO5682">
            <v>737.63199999999995</v>
          </cell>
        </row>
        <row r="5683">
          <cell r="CJ5683" t="str">
            <v xml:space="preserve">NFT-/XUTR/DEUTH02431152062X </v>
          </cell>
          <cell r="CK5683" t="str">
            <v>2024-11-06</v>
          </cell>
          <cell r="CL5683">
            <v>15365.674000000001</v>
          </cell>
          <cell r="CM5683" t="str">
            <v xml:space="preserve">NFT-/XUTR/DEUTH02431162755X </v>
          </cell>
          <cell r="CN5683" t="str">
            <v>2024-11-06</v>
          </cell>
          <cell r="CO5683">
            <v>1455.8620000000001</v>
          </cell>
        </row>
        <row r="5684">
          <cell r="CJ5684" t="str">
            <v xml:space="preserve">NFT-/XUTR/DEUTH02431152062X </v>
          </cell>
          <cell r="CK5684" t="str">
            <v>2024-11-06</v>
          </cell>
          <cell r="CL5684">
            <v>79996.25</v>
          </cell>
          <cell r="CM5684" t="str">
            <v xml:space="preserve">NFT-/XUTR/DEUTH02431162755X </v>
          </cell>
          <cell r="CN5684" t="str">
            <v>2024-11-06</v>
          </cell>
          <cell r="CO5684">
            <v>4124.9430000000002</v>
          </cell>
        </row>
        <row r="5685">
          <cell r="CJ5685" t="str">
            <v xml:space="preserve">NFT-/XUTR/DEUTH02431152062X </v>
          </cell>
          <cell r="CK5685" t="str">
            <v>2024-11-06</v>
          </cell>
          <cell r="CL5685">
            <v>7706.3379999999997</v>
          </cell>
          <cell r="CM5685" t="str">
            <v xml:space="preserve">NFT-/XUTR/DEUTH02431162755X </v>
          </cell>
          <cell r="CN5685" t="str">
            <v>2024-11-06</v>
          </cell>
          <cell r="CO5685">
            <v>864.78</v>
          </cell>
        </row>
        <row r="5686">
          <cell r="CJ5686" t="str">
            <v xml:space="preserve">NFT-/XUTR/DEUTH02431152062X </v>
          </cell>
          <cell r="CK5686" t="str">
            <v>2024-11-06</v>
          </cell>
          <cell r="CL5686">
            <v>38134.830999999998</v>
          </cell>
          <cell r="CM5686" t="str">
            <v xml:space="preserve">NFT-/XUTR/DEUTH02431162755X </v>
          </cell>
          <cell r="CN5686" t="str">
            <v>2024-11-06</v>
          </cell>
          <cell r="CO5686">
            <v>4124.942</v>
          </cell>
        </row>
        <row r="5687">
          <cell r="CJ5687" t="str">
            <v xml:space="preserve">NFT-/XUTR/DEUTH02431152062X </v>
          </cell>
          <cell r="CK5687" t="str">
            <v>2024-11-06</v>
          </cell>
          <cell r="CL5687">
            <v>78559.27</v>
          </cell>
          <cell r="CM5687" t="str">
            <v xml:space="preserve">NFT-/XUTR/DEUTH02431162755X </v>
          </cell>
          <cell r="CN5687" t="str">
            <v>2024-11-06</v>
          </cell>
          <cell r="CO5687">
            <v>5580.8040000000001</v>
          </cell>
        </row>
        <row r="5688">
          <cell r="CJ5688" t="str">
            <v xml:space="preserve">NFT-/XUTR/DEUTH02431152062X </v>
          </cell>
          <cell r="CK5688" t="str">
            <v>2024-11-06</v>
          </cell>
          <cell r="CL5688">
            <v>15900.904</v>
          </cell>
          <cell r="CM5688" t="str">
            <v xml:space="preserve">NFT-/XUTR/DEUTH02431162755X </v>
          </cell>
          <cell r="CN5688" t="str">
            <v>2024-11-06</v>
          </cell>
          <cell r="CO5688">
            <v>939.52099999999996</v>
          </cell>
        </row>
        <row r="5689">
          <cell r="CJ5689" t="str">
            <v xml:space="preserve">NFT-/XUTR/DEUTH02431152062X </v>
          </cell>
          <cell r="CK5689" t="str">
            <v>2024-11-06</v>
          </cell>
          <cell r="CL5689">
            <v>15384.554</v>
          </cell>
          <cell r="CM5689" t="str">
            <v xml:space="preserve">NFT-/XUTR/DEUTH02431162755X </v>
          </cell>
          <cell r="CN5689" t="str">
            <v>2024-11-06</v>
          </cell>
          <cell r="CO5689">
            <v>1455.8620000000001</v>
          </cell>
          <cell r="CP5689" t="str">
            <v xml:space="preserve">NFT-/XUTR/DEUTH02433037112X </v>
          </cell>
          <cell r="CQ5689" t="str">
            <v>2024-11-25</v>
          </cell>
          <cell r="CR5689">
            <v>-15384.554</v>
          </cell>
          <cell r="CV5689" t="str">
            <v xml:space="preserve">NFT-/XUTR/DEUTH02433956210X </v>
          </cell>
          <cell r="CW5689" t="str">
            <v>2024-12-04</v>
          </cell>
          <cell r="CX5689">
            <v>-1455.8620000000001</v>
          </cell>
        </row>
        <row r="5690">
          <cell r="CJ5690" t="str">
            <v xml:space="preserve">NFT-/XUTR/DEUTH02431152062X </v>
          </cell>
          <cell r="CK5690" t="str">
            <v>2024-11-06</v>
          </cell>
          <cell r="CL5690">
            <v>15384.554</v>
          </cell>
          <cell r="CM5690" t="str">
            <v xml:space="preserve">NFT-/XUTR/DEUTH02431162755X </v>
          </cell>
          <cell r="CN5690" t="str">
            <v>2024-11-06</v>
          </cell>
          <cell r="CO5690">
            <v>1455.8620000000001</v>
          </cell>
        </row>
        <row r="5691">
          <cell r="CJ5691" t="str">
            <v xml:space="preserve">NFT-/XUTR/DEUTH02431152062X </v>
          </cell>
          <cell r="CK5691" t="str">
            <v>2024-11-06</v>
          </cell>
          <cell r="CL5691">
            <v>7706.3370000000004</v>
          </cell>
          <cell r="CM5691" t="str">
            <v xml:space="preserve">NFT-/XUTR/DEUTH02431162755X </v>
          </cell>
          <cell r="CN5691" t="str">
            <v>2024-11-06</v>
          </cell>
          <cell r="CO5691">
            <v>864.779</v>
          </cell>
          <cell r="CP5691" t="str">
            <v xml:space="preserve">NFT-/XUTR/DEUTH02432045075X </v>
          </cell>
          <cell r="CQ5691" t="str">
            <v>2024-11-15</v>
          </cell>
          <cell r="CR5691">
            <v>-7706.3370000000004</v>
          </cell>
          <cell r="CS5691" t="str">
            <v xml:space="preserve">NFT-/XUTR/DEUTH02432059153X </v>
          </cell>
          <cell r="CT5691" t="str">
            <v>2024-11-15</v>
          </cell>
          <cell r="CU5691">
            <v>-864.779</v>
          </cell>
        </row>
        <row r="5692">
          <cell r="CJ5692" t="str">
            <v xml:space="preserve">NFT-/XUTR/DEUTH02431152062X </v>
          </cell>
          <cell r="CK5692" t="str">
            <v>2024-11-06</v>
          </cell>
          <cell r="CL5692">
            <v>39105.404999999999</v>
          </cell>
          <cell r="CM5692" t="str">
            <v xml:space="preserve">NFT-/XUTR/DEUTH02431162755X </v>
          </cell>
          <cell r="CN5692" t="str">
            <v>2024-11-06</v>
          </cell>
          <cell r="CO5692">
            <v>3154.3679999999999</v>
          </cell>
        </row>
        <row r="5693">
          <cell r="CJ5693" t="str">
            <v xml:space="preserve">NFT-/XUTR/DEUTH02431152062X </v>
          </cell>
          <cell r="CK5693" t="str">
            <v>2024-11-06</v>
          </cell>
          <cell r="CL5693">
            <v>15365.674000000001</v>
          </cell>
          <cell r="CM5693" t="str">
            <v xml:space="preserve">NFT-/XUTR/DEUTH02431162755X </v>
          </cell>
          <cell r="CN5693" t="str">
            <v>2024-11-06</v>
          </cell>
          <cell r="CO5693">
            <v>1455.8620000000001</v>
          </cell>
        </row>
        <row r="5694">
          <cell r="CJ5694" t="str">
            <v xml:space="preserve">NFT-/XUTR/DEUTH02431152062X </v>
          </cell>
          <cell r="CK5694" t="str">
            <v>2024-11-06</v>
          </cell>
          <cell r="CL5694">
            <v>10510.328</v>
          </cell>
          <cell r="CM5694" t="str">
            <v xml:space="preserve">NFT-/XUTR/DEUTH02431162755X </v>
          </cell>
          <cell r="CN5694" t="str">
            <v>2024-11-06</v>
          </cell>
          <cell r="CO5694">
            <v>1176.3389999999999</v>
          </cell>
        </row>
        <row r="5695">
          <cell r="CJ5695" t="str">
            <v xml:space="preserve">NFT-/XUTR/DEUTH02431152062X </v>
          </cell>
          <cell r="CK5695" t="str">
            <v>2024-11-06</v>
          </cell>
          <cell r="CL5695">
            <v>15384.554</v>
          </cell>
          <cell r="CM5695" t="str">
            <v xml:space="preserve">NFT-/XUTR/DEUTH02431162755X </v>
          </cell>
          <cell r="CN5695" t="str">
            <v>2024-11-06</v>
          </cell>
          <cell r="CO5695">
            <v>1455.8620000000001</v>
          </cell>
        </row>
        <row r="5696">
          <cell r="CJ5696" t="str">
            <v xml:space="preserve">NFT-/XUTR/DEUTH02431152062X </v>
          </cell>
          <cell r="CK5696" t="str">
            <v>2024-11-06</v>
          </cell>
          <cell r="CL5696">
            <v>15365.674000000001</v>
          </cell>
          <cell r="CM5696" t="str">
            <v xml:space="preserve">NFT-/XUTR/DEUTH02431162755X </v>
          </cell>
          <cell r="CN5696" t="str">
            <v>2024-11-06</v>
          </cell>
          <cell r="CO5696">
            <v>1455.8620000000001</v>
          </cell>
        </row>
        <row r="5697">
          <cell r="CJ5697" t="str">
            <v xml:space="preserve">NFT-/XUTR/DEUTH02431152062X </v>
          </cell>
          <cell r="CK5697" t="str">
            <v>2024-11-06</v>
          </cell>
          <cell r="CL5697">
            <v>78559.269</v>
          </cell>
          <cell r="CM5697" t="str">
            <v xml:space="preserve">NFT-/XUTR/DEUTH02431162755X </v>
          </cell>
          <cell r="CN5697" t="str">
            <v>2024-11-06</v>
          </cell>
          <cell r="CO5697">
            <v>5580.8050000000003</v>
          </cell>
        </row>
        <row r="5698">
          <cell r="CJ5698" t="str">
            <v xml:space="preserve">NFT-/XUTR/DEUTH02431152062X </v>
          </cell>
          <cell r="CK5698" t="str">
            <v>2024-11-06</v>
          </cell>
          <cell r="CL5698">
            <v>15686.382</v>
          </cell>
          <cell r="CM5698" t="str">
            <v xml:space="preserve">NFT-/XUTR/DEUTH02431162755X </v>
          </cell>
          <cell r="CN5698" t="str">
            <v>2024-11-06</v>
          </cell>
          <cell r="CO5698">
            <v>1455.8620000000001</v>
          </cell>
        </row>
        <row r="5699">
          <cell r="CJ5699" t="str">
            <v xml:space="preserve">NFT-/XUTR/DEUTH02431152062X </v>
          </cell>
          <cell r="CK5699" t="str">
            <v>2024-11-06</v>
          </cell>
          <cell r="CL5699">
            <v>79161.027000000002</v>
          </cell>
          <cell r="CM5699" t="str">
            <v xml:space="preserve">NFT-/XUTR/DEUTH02431162755X </v>
          </cell>
          <cell r="CN5699" t="str">
            <v>2024-11-06</v>
          </cell>
          <cell r="CO5699">
            <v>5629.3329999999996</v>
          </cell>
        </row>
        <row r="5700">
          <cell r="CJ5700" t="str">
            <v xml:space="preserve">NFT-/XUTR/DEUTH02431152062X </v>
          </cell>
          <cell r="CK5700" t="str">
            <v>2024-11-06</v>
          </cell>
          <cell r="CL5700">
            <v>15384.554</v>
          </cell>
          <cell r="CM5700" t="str">
            <v xml:space="preserve">NFT-/XUTR/DEUTH02431162755X </v>
          </cell>
          <cell r="CN5700" t="str">
            <v>2024-11-06</v>
          </cell>
          <cell r="CO5700">
            <v>1455.8620000000001</v>
          </cell>
        </row>
        <row r="5701">
          <cell r="CJ5701" t="str">
            <v xml:space="preserve">NFT-/XUTR/DEUTH02431152062X </v>
          </cell>
          <cell r="CK5701" t="str">
            <v>2024-11-06</v>
          </cell>
          <cell r="CL5701">
            <v>15048.74</v>
          </cell>
          <cell r="CM5701" t="str">
            <v xml:space="preserve">NFT-/XUTR/DEUTH02431162755X </v>
          </cell>
          <cell r="CN5701" t="str">
            <v>2024-11-06</v>
          </cell>
          <cell r="CO5701">
            <v>1791.6759999999999</v>
          </cell>
        </row>
        <row r="5702">
          <cell r="CJ5702" t="str">
            <v xml:space="preserve">NFT-/XUTR/DEUTH02431152062X </v>
          </cell>
          <cell r="CK5702" t="str">
            <v>2024-11-06</v>
          </cell>
          <cell r="CL5702">
            <v>7766.5159999999996</v>
          </cell>
          <cell r="CM5702" t="str">
            <v xml:space="preserve">NFT-/XUTR/DEUTH02431162755X </v>
          </cell>
          <cell r="CN5702" t="str">
            <v>2024-11-06</v>
          </cell>
          <cell r="CO5702">
            <v>872.54300000000001</v>
          </cell>
          <cell r="CP5702" t="str">
            <v xml:space="preserve">NFT-/XUTR/DEUTH02432540165X </v>
          </cell>
          <cell r="CQ5702" t="str">
            <v>2024-11-20</v>
          </cell>
          <cell r="CR5702">
            <v>-7766.5159999999996</v>
          </cell>
          <cell r="CS5702" t="str">
            <v xml:space="preserve">NFT-/XUTR/DEUTH02432567146X </v>
          </cell>
          <cell r="CT5702" t="str">
            <v>2024-11-20</v>
          </cell>
          <cell r="CU5702">
            <v>-872.54300000000001</v>
          </cell>
        </row>
        <row r="5703">
          <cell r="CJ5703" t="str">
            <v xml:space="preserve">NFT-/XUTR/DEUTH02431152062X </v>
          </cell>
          <cell r="CK5703" t="str">
            <v>2024-11-06</v>
          </cell>
          <cell r="CL5703">
            <v>41124.197999999997</v>
          </cell>
          <cell r="CM5703" t="str">
            <v xml:space="preserve">NFT-/XUTR/DEUTH02431162755X </v>
          </cell>
          <cell r="CN5703" t="str">
            <v>2024-11-06</v>
          </cell>
          <cell r="CO5703">
            <v>1455.8620000000001</v>
          </cell>
        </row>
        <row r="5704">
          <cell r="CJ5704" t="str">
            <v xml:space="preserve">NFT-/XUTR/DEUTH02431152062X </v>
          </cell>
          <cell r="CK5704" t="str">
            <v>2024-11-06</v>
          </cell>
          <cell r="CL5704">
            <v>15384.554</v>
          </cell>
          <cell r="CM5704" t="str">
            <v xml:space="preserve">NFT-/XUTR/DEUTH02431162755X </v>
          </cell>
          <cell r="CN5704" t="str">
            <v>2024-11-06</v>
          </cell>
          <cell r="CO5704">
            <v>1455.8620000000001</v>
          </cell>
        </row>
        <row r="5705">
          <cell r="CJ5705" t="str">
            <v xml:space="preserve">NFT-/XUTR/DEUTH02431152062X </v>
          </cell>
          <cell r="CK5705" t="str">
            <v>2024-11-06</v>
          </cell>
          <cell r="CL5705">
            <v>7980.0450000000001</v>
          </cell>
          <cell r="CM5705" t="str">
            <v xml:space="preserve">NFT-/XUTR/DEUTH02431162755X </v>
          </cell>
          <cell r="CN5705" t="str">
            <v>2024-11-06</v>
          </cell>
          <cell r="CO5705">
            <v>591.08299999999997</v>
          </cell>
        </row>
        <row r="5706">
          <cell r="CJ5706" t="str">
            <v xml:space="preserve">NFT-/XUTR/DEUTH02431152062X </v>
          </cell>
          <cell r="CK5706" t="str">
            <v>2024-11-06</v>
          </cell>
          <cell r="CL5706">
            <v>39406.811999999998</v>
          </cell>
          <cell r="CM5706" t="str">
            <v xml:space="preserve">NFT-/XUTR/DEUTH02431162755X </v>
          </cell>
          <cell r="CN5706" t="str">
            <v>2024-11-06</v>
          </cell>
          <cell r="CO5706">
            <v>3154.3679999999999</v>
          </cell>
        </row>
        <row r="5707">
          <cell r="CJ5707" t="str">
            <v xml:space="preserve">NFT-/XUTR/DEUTH02431152062X </v>
          </cell>
          <cell r="CK5707" t="str">
            <v>2024-11-06</v>
          </cell>
          <cell r="CL5707">
            <v>4984.8509999999997</v>
          </cell>
          <cell r="CM5707" t="str">
            <v xml:space="preserve">NFT-/XUTR/DEUTH02431162755X </v>
          </cell>
          <cell r="CN5707" t="str">
            <v>2024-11-06</v>
          </cell>
          <cell r="CO5707">
            <v>858.95399999999995</v>
          </cell>
          <cell r="CP5707" t="str">
            <v xml:space="preserve">NFT-/XUTR/DEUTH02432045075X </v>
          </cell>
          <cell r="CQ5707" t="str">
            <v>2024-11-15</v>
          </cell>
          <cell r="CR5707">
            <v>-4984.8509999999997</v>
          </cell>
          <cell r="CS5707" t="str">
            <v xml:space="preserve">NFT-/XUTR/DEUTH02432059153X </v>
          </cell>
          <cell r="CT5707" t="str">
            <v>2024-11-15</v>
          </cell>
          <cell r="CU5707">
            <v>-858.95399999999995</v>
          </cell>
        </row>
        <row r="5708">
          <cell r="CJ5708" t="str">
            <v xml:space="preserve">NFT-/XUTR/DEUTH02431152062X </v>
          </cell>
          <cell r="CK5708" t="str">
            <v>2024-11-06</v>
          </cell>
          <cell r="CL5708">
            <v>78216.626000000004</v>
          </cell>
          <cell r="CM5708" t="str">
            <v xml:space="preserve">NFT-/XUTR/DEUTH02431162755X </v>
          </cell>
          <cell r="CN5708" t="str">
            <v>2024-11-06</v>
          </cell>
          <cell r="CO5708">
            <v>6302.9080000000004</v>
          </cell>
        </row>
        <row r="5709">
          <cell r="CJ5709" t="str">
            <v xml:space="preserve">NFT-/XUTR/DEUTH02431152062X </v>
          </cell>
          <cell r="CK5709" t="str">
            <v>2024-11-06</v>
          </cell>
          <cell r="CL5709">
            <v>39086.525000000001</v>
          </cell>
          <cell r="CM5709" t="str">
            <v xml:space="preserve">NFT-/XUTR/DEUTH02431162755X </v>
          </cell>
          <cell r="CN5709" t="str">
            <v>2024-11-06</v>
          </cell>
          <cell r="CO5709">
            <v>3154.3679999999999</v>
          </cell>
        </row>
        <row r="5710">
          <cell r="CJ5710" t="str">
            <v xml:space="preserve">NFT-/XUTR/DEUTH02431152062X </v>
          </cell>
          <cell r="CK5710" t="str">
            <v>2024-11-06</v>
          </cell>
          <cell r="CL5710">
            <v>78559.269</v>
          </cell>
          <cell r="CM5710" t="str">
            <v xml:space="preserve">NFT-/XUTR/DEUTH02431162755X </v>
          </cell>
          <cell r="CN5710" t="str">
            <v>2024-11-06</v>
          </cell>
          <cell r="CO5710">
            <v>5580.8050000000003</v>
          </cell>
          <cell r="CP5710" t="str">
            <v xml:space="preserve">NFT-/XUTR/DEUTH02432756454X </v>
          </cell>
          <cell r="CQ5710" t="str">
            <v>2024-11-22</v>
          </cell>
          <cell r="CR5710">
            <v>-78559.269</v>
          </cell>
          <cell r="CV5710" t="str">
            <v xml:space="preserve">NFT-/XUTR/DEUTH02433956210X </v>
          </cell>
          <cell r="CW5710" t="str">
            <v>2024-12-04</v>
          </cell>
          <cell r="CX5710">
            <v>-5580.8050000000003</v>
          </cell>
        </row>
        <row r="5711">
          <cell r="CJ5711" t="str">
            <v xml:space="preserve">NFT-/XUTR/DEUTH02431649943X </v>
          </cell>
          <cell r="CK5711" t="str">
            <v>2024-11-11</v>
          </cell>
          <cell r="CL5711">
            <v>7706.3379999999997</v>
          </cell>
          <cell r="CM5711" t="str">
            <v xml:space="preserve">NFT-/XUTR/DEUTH02431658955X </v>
          </cell>
          <cell r="CN5711" t="str">
            <v>2024-11-11</v>
          </cell>
          <cell r="CO5711">
            <v>864.78</v>
          </cell>
        </row>
        <row r="5712">
          <cell r="CJ5712" t="str">
            <v xml:space="preserve">NFT-/XUTR/DEUTH02431649943X </v>
          </cell>
          <cell r="CK5712" t="str">
            <v>2024-11-11</v>
          </cell>
          <cell r="CL5712">
            <v>1437.9259999999999</v>
          </cell>
          <cell r="CM5712" t="str">
            <v xml:space="preserve">NFT-/XUTR/DEUTH02431839302X </v>
          </cell>
          <cell r="CN5712" t="str">
            <v>2024-11-13</v>
          </cell>
          <cell r="CO5712">
            <v>-1437.9259999999999</v>
          </cell>
        </row>
        <row r="5713">
          <cell r="CJ5713" t="str">
            <v xml:space="preserve">NFT-/XUTR/DEUTH02431649943X </v>
          </cell>
          <cell r="CK5713" t="str">
            <v>2024-11-11</v>
          </cell>
          <cell r="CL5713">
            <v>15501.558000000001</v>
          </cell>
          <cell r="CM5713" t="str">
            <v xml:space="preserve">NFT-/XUTR/DEUTH02431658955X </v>
          </cell>
          <cell r="CN5713" t="str">
            <v>2024-11-11</v>
          </cell>
          <cell r="CO5713">
            <v>1455.8620000000001</v>
          </cell>
        </row>
        <row r="5714">
          <cell r="CJ5714" t="str">
            <v xml:space="preserve">NFT-/XUTR/DEUTH02431649943X </v>
          </cell>
          <cell r="CK5714" t="str">
            <v>2024-11-11</v>
          </cell>
          <cell r="CL5714">
            <v>10643.27</v>
          </cell>
          <cell r="CM5714" t="str">
            <v xml:space="preserve">NFT-/XUTR/DEUTH02431658955X </v>
          </cell>
          <cell r="CN5714" t="str">
            <v>2024-11-11</v>
          </cell>
          <cell r="CO5714">
            <v>1199.6300000000001</v>
          </cell>
        </row>
        <row r="5715">
          <cell r="CJ5715" t="str">
            <v xml:space="preserve">NFT-/XUTR/DEUTH02431649943X </v>
          </cell>
          <cell r="CK5715" t="str">
            <v>2024-11-11</v>
          </cell>
          <cell r="CL5715">
            <v>7706.3379999999997</v>
          </cell>
          <cell r="CM5715" t="str">
            <v xml:space="preserve">NFT-/XUTR/DEUTH02431658955X </v>
          </cell>
          <cell r="CN5715" t="str">
            <v>2024-11-11</v>
          </cell>
          <cell r="CO5715">
            <v>864.78</v>
          </cell>
        </row>
        <row r="5716">
          <cell r="CJ5716" t="str">
            <v xml:space="preserve">NFT-/XUTR/DEUTH02431649943X </v>
          </cell>
          <cell r="CK5716" t="str">
            <v>2024-11-11</v>
          </cell>
          <cell r="CL5716">
            <v>7706.3370000000004</v>
          </cell>
          <cell r="CM5716" t="str">
            <v xml:space="preserve">NFT-/XUTR/DEUTH02431658955X </v>
          </cell>
          <cell r="CN5716" t="str">
            <v>2024-11-11</v>
          </cell>
          <cell r="CO5716">
            <v>864.779</v>
          </cell>
        </row>
        <row r="5717">
          <cell r="CJ5717" t="str">
            <v xml:space="preserve">NFT-/XUTR/DEUTH02431649943X </v>
          </cell>
          <cell r="CK5717" t="str">
            <v>2024-11-11</v>
          </cell>
          <cell r="CL5717">
            <v>7980.0450000000001</v>
          </cell>
          <cell r="CM5717" t="str">
            <v xml:space="preserve">NFT-/XUTR/DEUTH02431658955X </v>
          </cell>
          <cell r="CN5717" t="str">
            <v>2024-11-11</v>
          </cell>
          <cell r="CO5717">
            <v>591.08299999999997</v>
          </cell>
        </row>
        <row r="5718">
          <cell r="CJ5718" t="str">
            <v xml:space="preserve">NFT-/XUTR/DEUTH02431649943X </v>
          </cell>
          <cell r="CK5718" t="str">
            <v>2024-11-11</v>
          </cell>
          <cell r="CL5718">
            <v>10503.51</v>
          </cell>
          <cell r="CM5718" t="str">
            <v xml:space="preserve">NFT-/XUTR/DEUTH02431658955X </v>
          </cell>
          <cell r="CN5718" t="str">
            <v>2024-11-11</v>
          </cell>
          <cell r="CO5718">
            <v>1184.1020000000001</v>
          </cell>
        </row>
        <row r="5719">
          <cell r="CJ5719" t="str">
            <v xml:space="preserve">NFT-/XUTR/DEUTH02431649943X </v>
          </cell>
          <cell r="CK5719" t="str">
            <v>2024-11-11</v>
          </cell>
          <cell r="CL5719">
            <v>56322.324999999997</v>
          </cell>
          <cell r="CM5719" t="str">
            <v xml:space="preserve">NFT-/XUTR/DEUTH02431658955X </v>
          </cell>
          <cell r="CN5719" t="str">
            <v>2024-11-11</v>
          </cell>
          <cell r="CO5719">
            <v>2984.5149999999999</v>
          </cell>
        </row>
        <row r="5720">
          <cell r="CJ5720" t="str">
            <v xml:space="preserve">NFT-/XUTR/DEUTH02431649943X </v>
          </cell>
          <cell r="CK5720" t="str">
            <v>2024-11-11</v>
          </cell>
          <cell r="CL5720">
            <v>7748.6</v>
          </cell>
          <cell r="CM5720" t="str">
            <v xml:space="preserve">NFT-/XUTR/DEUTH02431658955X </v>
          </cell>
          <cell r="CN5720" t="str">
            <v>2024-11-11</v>
          </cell>
          <cell r="CO5720">
            <v>871.57899999999995</v>
          </cell>
          <cell r="CP5720" t="str">
            <v xml:space="preserve">NFT-/XUTR/DEUTH02432540165X </v>
          </cell>
          <cell r="CQ5720" t="str">
            <v>2024-11-20</v>
          </cell>
          <cell r="CR5720">
            <v>-7748.6</v>
          </cell>
          <cell r="CS5720" t="str">
            <v xml:space="preserve">NFT-/XUTR/DEUTH02432567146X </v>
          </cell>
          <cell r="CT5720" t="str">
            <v>2024-11-20</v>
          </cell>
          <cell r="CU5720">
            <v>-871.57899999999995</v>
          </cell>
        </row>
        <row r="5721">
          <cell r="CJ5721" t="str">
            <v xml:space="preserve">NFT-/XUTR/DEUTH02431649943X </v>
          </cell>
          <cell r="CK5721" t="str">
            <v>2024-11-11</v>
          </cell>
          <cell r="CL5721">
            <v>5321.64</v>
          </cell>
          <cell r="CM5721" t="str">
            <v xml:space="preserve">NFT-/XUTR/DEUTH02431658955X </v>
          </cell>
          <cell r="CN5721" t="str">
            <v>2024-11-11</v>
          </cell>
          <cell r="CO5721">
            <v>599.82000000000005</v>
          </cell>
        </row>
        <row r="5722">
          <cell r="CJ5722" t="str">
            <v xml:space="preserve">NFT-/XUTR/DEUTH02431649943X </v>
          </cell>
          <cell r="CK5722" t="str">
            <v>2024-11-11</v>
          </cell>
          <cell r="CL5722">
            <v>5338.6639999999998</v>
          </cell>
          <cell r="CM5722" t="str">
            <v xml:space="preserve">NFT-/XUTR/DEUTH02431658955X </v>
          </cell>
          <cell r="CN5722" t="str">
            <v>2024-11-11</v>
          </cell>
          <cell r="CO5722">
            <v>923.02099999999996</v>
          </cell>
          <cell r="CP5722" t="str">
            <v xml:space="preserve">NFT-/XUTR/DEUTH02432045075X </v>
          </cell>
          <cell r="CQ5722" t="str">
            <v>2024-11-15</v>
          </cell>
          <cell r="CR5722">
            <v>-5338.6639999999998</v>
          </cell>
          <cell r="CS5722" t="str">
            <v xml:space="preserve">NFT-/XUTR/DEUTH02432059153X </v>
          </cell>
          <cell r="CT5722" t="str">
            <v>2024-11-15</v>
          </cell>
          <cell r="CU5722">
            <v>-923.02099999999996</v>
          </cell>
        </row>
        <row r="5723">
          <cell r="CJ5723" t="str">
            <v xml:space="preserve">NFT-/XUTR/DEUTH02431649943X </v>
          </cell>
          <cell r="CK5723" t="str">
            <v>2024-11-11</v>
          </cell>
          <cell r="CL5723">
            <v>7748.6</v>
          </cell>
          <cell r="CM5723" t="str">
            <v xml:space="preserve">NFT-/XUTR/DEUTH02431658955X </v>
          </cell>
          <cell r="CN5723" t="str">
            <v>2024-11-11</v>
          </cell>
          <cell r="CO5723">
            <v>871.57899999999995</v>
          </cell>
        </row>
        <row r="5724">
          <cell r="CJ5724" t="str">
            <v xml:space="preserve">NFT-/XUTR/DEUTH02431649943X </v>
          </cell>
          <cell r="CK5724" t="str">
            <v>2024-11-11</v>
          </cell>
          <cell r="CL5724">
            <v>7980.0450000000001</v>
          </cell>
          <cell r="CM5724" t="str">
            <v xml:space="preserve">NFT-/XUTR/DEUTH02431658955X </v>
          </cell>
          <cell r="CN5724" t="str">
            <v>2024-11-11</v>
          </cell>
          <cell r="CO5724">
            <v>591.08299999999997</v>
          </cell>
        </row>
        <row r="5725">
          <cell r="CJ5725" t="str">
            <v xml:space="preserve">NFT-/XUTR/DEUTH02431649943X </v>
          </cell>
          <cell r="CK5725" t="str">
            <v>2024-11-11</v>
          </cell>
          <cell r="CL5725">
            <v>39406.811999999998</v>
          </cell>
          <cell r="CM5725" t="str">
            <v xml:space="preserve">NFT-/XUTR/DEUTH02431658955X </v>
          </cell>
          <cell r="CN5725" t="str">
            <v>2024-11-11</v>
          </cell>
          <cell r="CO5725">
            <v>3154.3679999999999</v>
          </cell>
        </row>
        <row r="5726">
          <cell r="CJ5726" t="str">
            <v xml:space="preserve">NFT-/XUTR/DEUTH02431649943X </v>
          </cell>
          <cell r="CK5726" t="str">
            <v>2024-11-11</v>
          </cell>
          <cell r="CL5726">
            <v>39425.692000000003</v>
          </cell>
          <cell r="CM5726" t="str">
            <v xml:space="preserve">NFT-/XUTR/DEUTH02431658955X </v>
          </cell>
          <cell r="CN5726" t="str">
            <v>2024-11-11</v>
          </cell>
          <cell r="CO5726">
            <v>3154.3679999999999</v>
          </cell>
        </row>
        <row r="5727">
          <cell r="CJ5727" t="str">
            <v xml:space="preserve">NFT-/XUTR/DEUTH02431649943X </v>
          </cell>
          <cell r="CK5727" t="str">
            <v>2024-11-11</v>
          </cell>
          <cell r="CL5727">
            <v>79209.555999999997</v>
          </cell>
          <cell r="CM5727" t="str">
            <v xml:space="preserve">NFT-/XUTR/DEUTH02431658955X </v>
          </cell>
          <cell r="CN5727" t="str">
            <v>2024-11-11</v>
          </cell>
          <cell r="CO5727">
            <v>5580.8050000000003</v>
          </cell>
        </row>
        <row r="5728">
          <cell r="CJ5728" t="str">
            <v xml:space="preserve">NFT-/XUTR/DEUTH02431649943X </v>
          </cell>
          <cell r="CK5728" t="str">
            <v>2024-11-11</v>
          </cell>
          <cell r="CL5728">
            <v>39086.525000000001</v>
          </cell>
          <cell r="CM5728" t="str">
            <v xml:space="preserve">NFT-/XUTR/DEUTH02431658955X </v>
          </cell>
          <cell r="CN5728" t="str">
            <v>2024-11-11</v>
          </cell>
          <cell r="CO5728">
            <v>3154.3679999999999</v>
          </cell>
          <cell r="CP5728" t="str">
            <v xml:space="preserve">NFT-/XUTR/DEUTH02432045075X </v>
          </cell>
          <cell r="CQ5728" t="str">
            <v>2024-11-15</v>
          </cell>
          <cell r="CR5728">
            <v>-39086.525000000001</v>
          </cell>
          <cell r="CS5728" t="str">
            <v xml:space="preserve">NFT-/XUTR/DEUTH02432059153X </v>
          </cell>
          <cell r="CT5728" t="str">
            <v>2024-11-15</v>
          </cell>
          <cell r="CU5728">
            <v>-3154.3679999999999</v>
          </cell>
        </row>
        <row r="5729">
          <cell r="CJ5729" t="str">
            <v xml:space="preserve">NFT-/XUTR/DEUTH02431649943X </v>
          </cell>
          <cell r="CK5729" t="str">
            <v>2024-11-11</v>
          </cell>
          <cell r="CL5729">
            <v>79209.555999999997</v>
          </cell>
          <cell r="CM5729" t="str">
            <v xml:space="preserve">NFT-/XUTR/DEUTH02431658955X </v>
          </cell>
          <cell r="CN5729" t="str">
            <v>2024-11-11</v>
          </cell>
          <cell r="CO5729">
            <v>5580.8050000000003</v>
          </cell>
        </row>
        <row r="5730">
          <cell r="CJ5730" t="str">
            <v xml:space="preserve">NFT-/XUTR/DEUTH02431649943X </v>
          </cell>
          <cell r="CK5730" t="str">
            <v>2024-11-11</v>
          </cell>
          <cell r="CL5730">
            <v>7374.4009999999998</v>
          </cell>
          <cell r="CM5730" t="str">
            <v xml:space="preserve">NFT-/XUTR/DEUTH02431658955X </v>
          </cell>
          <cell r="CN5730" t="str">
            <v>2024-11-11</v>
          </cell>
          <cell r="CO5730">
            <v>1264.6590000000001</v>
          </cell>
        </row>
        <row r="5731">
          <cell r="CJ5731" t="str">
            <v xml:space="preserve">NFT-/XUTR/DEUTH02431649943X </v>
          </cell>
          <cell r="CK5731" t="str">
            <v>2024-11-11</v>
          </cell>
          <cell r="CL5731">
            <v>7748.6</v>
          </cell>
          <cell r="CM5731" t="str">
            <v xml:space="preserve">NFT-/XUTR/DEUTH02431658955X </v>
          </cell>
          <cell r="CN5731" t="str">
            <v>2024-11-11</v>
          </cell>
          <cell r="CO5731">
            <v>871.57899999999995</v>
          </cell>
        </row>
        <row r="5732">
          <cell r="CJ5732" t="str">
            <v xml:space="preserve">NFT-/XUTR/DEUTH02431649943X </v>
          </cell>
          <cell r="CK5732" t="str">
            <v>2024-11-11</v>
          </cell>
          <cell r="CL5732">
            <v>15384.554</v>
          </cell>
          <cell r="CM5732" t="str">
            <v xml:space="preserve">NFT-/XUTR/DEUTH02431658955X </v>
          </cell>
          <cell r="CN5732" t="str">
            <v>2024-11-11</v>
          </cell>
          <cell r="CO5732">
            <v>1455.8620000000001</v>
          </cell>
        </row>
        <row r="5733">
          <cell r="CJ5733" t="str">
            <v xml:space="preserve">NFT-/XUTR/DEUTH02431649943X </v>
          </cell>
          <cell r="CK5733" t="str">
            <v>2024-11-11</v>
          </cell>
          <cell r="CL5733">
            <v>38455.118000000002</v>
          </cell>
          <cell r="CM5733" t="str">
            <v xml:space="preserve">NFT-/XUTR/DEUTH02431658955X </v>
          </cell>
          <cell r="CN5733" t="str">
            <v>2024-11-11</v>
          </cell>
          <cell r="CO5733">
            <v>4124.9430000000002</v>
          </cell>
          <cell r="CP5733" t="str">
            <v xml:space="preserve">NFT-/XUTR/DEUTH02432756454X </v>
          </cell>
          <cell r="CQ5733" t="str">
            <v>2024-11-22</v>
          </cell>
          <cell r="CR5733">
            <v>-38455.118000000002</v>
          </cell>
          <cell r="CV5733" t="str">
            <v xml:space="preserve">NFT-/XUTR/DEUTH02433956210X </v>
          </cell>
          <cell r="CW5733" t="str">
            <v>2024-12-04</v>
          </cell>
          <cell r="CX5733">
            <v>-4124.9430000000002</v>
          </cell>
        </row>
        <row r="5734">
          <cell r="CJ5734" t="str">
            <v xml:space="preserve">NFT-/XUTR/DEUTH02431649943X </v>
          </cell>
          <cell r="CK5734" t="str">
            <v>2024-11-11</v>
          </cell>
          <cell r="CL5734">
            <v>15501.558000000001</v>
          </cell>
          <cell r="CM5734" t="str">
            <v xml:space="preserve">NFT-/XUTR/DEUTH02431658955X </v>
          </cell>
          <cell r="CN5734" t="str">
            <v>2024-11-11</v>
          </cell>
          <cell r="CO5734">
            <v>1455.8620000000001</v>
          </cell>
        </row>
        <row r="5735">
          <cell r="CJ5735" t="str">
            <v xml:space="preserve">NFT-/XUTR/DEUTH02431649943X </v>
          </cell>
          <cell r="CK5735" t="str">
            <v>2024-11-11</v>
          </cell>
          <cell r="CL5735">
            <v>39425.692999999999</v>
          </cell>
          <cell r="CM5735" t="str">
            <v xml:space="preserve">NFT-/XUTR/DEUTH02431658955X </v>
          </cell>
          <cell r="CN5735" t="str">
            <v>2024-11-11</v>
          </cell>
          <cell r="CO5735">
            <v>3154.3670000000002</v>
          </cell>
        </row>
        <row r="5736">
          <cell r="CJ5736" t="str">
            <v xml:space="preserve">NFT-/XUTR/DEUTH02431649943X </v>
          </cell>
          <cell r="CK5736" t="str">
            <v>2024-11-11</v>
          </cell>
          <cell r="CL5736">
            <v>79209.554999999993</v>
          </cell>
          <cell r="CM5736" t="str">
            <v xml:space="preserve">NFT-/XUTR/DEUTH02431658955X </v>
          </cell>
          <cell r="CN5736" t="str">
            <v>2024-11-11</v>
          </cell>
          <cell r="CO5736">
            <v>5580.8040000000001</v>
          </cell>
        </row>
        <row r="5737">
          <cell r="CJ5737" t="str">
            <v xml:space="preserve">NFT-/XUTR/DEUTH02431649943X </v>
          </cell>
          <cell r="CK5737" t="str">
            <v>2024-11-11</v>
          </cell>
          <cell r="CL5737">
            <v>7767.48</v>
          </cell>
          <cell r="CM5737" t="str">
            <v xml:space="preserve">NFT-/XUTR/DEUTH02431658955X </v>
          </cell>
          <cell r="CN5737" t="str">
            <v>2024-11-11</v>
          </cell>
          <cell r="CO5737">
            <v>871.57899999999995</v>
          </cell>
          <cell r="CP5737" t="str">
            <v xml:space="preserve">NFT-/XUTR/DEUTH02432756454X </v>
          </cell>
          <cell r="CQ5737" t="str">
            <v>2024-11-22</v>
          </cell>
          <cell r="CR5737">
            <v>-7767.48</v>
          </cell>
          <cell r="CV5737" t="str">
            <v xml:space="preserve">NFT-/XUTR/DEUTH02433956210X </v>
          </cell>
          <cell r="CW5737" t="str">
            <v>2024-12-04</v>
          </cell>
          <cell r="CX5737">
            <v>-871.57899999999995</v>
          </cell>
        </row>
        <row r="5738">
          <cell r="CJ5738" t="str">
            <v xml:space="preserve">NFT-/XUTR/DEUTH02431649943X </v>
          </cell>
          <cell r="CK5738" t="str">
            <v>2024-11-11</v>
          </cell>
          <cell r="CL5738">
            <v>1218.049</v>
          </cell>
          <cell r="CM5738" t="str">
            <v xml:space="preserve">NFT-/XUTR/DEUTH02431658955X </v>
          </cell>
          <cell r="CN5738" t="str">
            <v>2024-11-11</v>
          </cell>
          <cell r="CO5738">
            <v>219.35300000000001</v>
          </cell>
        </row>
        <row r="5739">
          <cell r="CJ5739" t="str">
            <v xml:space="preserve">NFT-/XUTR/DEUTH02431649943X </v>
          </cell>
          <cell r="CK5739" t="str">
            <v>2024-11-11</v>
          </cell>
          <cell r="CL5739">
            <v>7748.6</v>
          </cell>
          <cell r="CM5739" t="str">
            <v xml:space="preserve">NFT-/XUTR/DEUTH02431658955X </v>
          </cell>
          <cell r="CN5739" t="str">
            <v>2024-11-11</v>
          </cell>
          <cell r="CO5739">
            <v>871.57899999999995</v>
          </cell>
        </row>
        <row r="5740">
          <cell r="CJ5740" t="str">
            <v xml:space="preserve">NFT-/XUTR/DEUTH02431649943X </v>
          </cell>
          <cell r="CK5740" t="str">
            <v>2024-11-11</v>
          </cell>
          <cell r="CL5740">
            <v>63887.09</v>
          </cell>
          <cell r="CM5740" t="str">
            <v xml:space="preserve">NFT-/XUTR/DEUTH02431658955X </v>
          </cell>
          <cell r="CN5740" t="str">
            <v>2024-11-11</v>
          </cell>
          <cell r="CO5740">
            <v>4122.03</v>
          </cell>
        </row>
        <row r="5741">
          <cell r="CJ5741" t="str">
            <v xml:space="preserve">NFT-/XUTR/DEUTH02431649943X </v>
          </cell>
          <cell r="CK5741" t="str">
            <v>2024-11-11</v>
          </cell>
          <cell r="CL5741">
            <v>15962.048000000001</v>
          </cell>
          <cell r="CM5741" t="str">
            <v xml:space="preserve">NFT-/XUTR/DEUTH02431658955X </v>
          </cell>
          <cell r="CN5741" t="str">
            <v>2024-11-11</v>
          </cell>
          <cell r="CO5741">
            <v>1014.253</v>
          </cell>
        </row>
        <row r="5742">
          <cell r="CJ5742" t="str">
            <v xml:space="preserve">NFT-/XUTR/DEUTH02431649943X </v>
          </cell>
          <cell r="CK5742" t="str">
            <v>2024-11-11</v>
          </cell>
          <cell r="CL5742">
            <v>8121.7439999999997</v>
          </cell>
          <cell r="CM5742" t="str">
            <v xml:space="preserve">NFT-/XUTR/DEUTH02431658955X </v>
          </cell>
          <cell r="CN5742" t="str">
            <v>2024-11-11</v>
          </cell>
          <cell r="CO5742">
            <v>517.31500000000005</v>
          </cell>
        </row>
        <row r="5743">
          <cell r="CJ5743" t="str">
            <v xml:space="preserve">NFT-/XUTR/DEUTH02431649943X </v>
          </cell>
          <cell r="CK5743" t="str">
            <v>2024-11-11</v>
          </cell>
          <cell r="CL5743">
            <v>39406.811999999998</v>
          </cell>
          <cell r="CM5743" t="str">
            <v xml:space="preserve">NFT-/XUTR/DEUTH02431658955X </v>
          </cell>
          <cell r="CN5743" t="str">
            <v>2024-11-11</v>
          </cell>
          <cell r="CO5743">
            <v>3154.3679999999999</v>
          </cell>
          <cell r="CP5743" t="str">
            <v xml:space="preserve">NFT-/XUTR/DEUTH02432045075X </v>
          </cell>
          <cell r="CQ5743" t="str">
            <v>2024-11-15</v>
          </cell>
          <cell r="CR5743">
            <v>-39406.811999999998</v>
          </cell>
          <cell r="CS5743" t="str">
            <v xml:space="preserve">NFT-/XUTR/DEUTH02432059153X </v>
          </cell>
          <cell r="CT5743" t="str">
            <v>2024-11-15</v>
          </cell>
          <cell r="CU5743">
            <v>-3154.3679999999999</v>
          </cell>
        </row>
        <row r="5744">
          <cell r="CJ5744" t="str">
            <v xml:space="preserve">NFT-/XUTR/DEUTH02431649943X </v>
          </cell>
          <cell r="CK5744" t="str">
            <v>2024-11-11</v>
          </cell>
          <cell r="CL5744">
            <v>7706.3379999999997</v>
          </cell>
          <cell r="CM5744" t="str">
            <v xml:space="preserve">NFT-/XUTR/DEUTH02431658955X </v>
          </cell>
          <cell r="CN5744" t="str">
            <v>2024-11-11</v>
          </cell>
          <cell r="CO5744">
            <v>864.78</v>
          </cell>
        </row>
        <row r="5745">
          <cell r="CJ5745" t="str">
            <v xml:space="preserve">NFT-/XUTR/DEUTH02431649943X </v>
          </cell>
          <cell r="CK5745" t="str">
            <v>2024-11-11</v>
          </cell>
          <cell r="CL5745">
            <v>10648.683999999999</v>
          </cell>
          <cell r="CM5745" t="str">
            <v xml:space="preserve">NFT-/XUTR/DEUTH02431658955X </v>
          </cell>
          <cell r="CN5745" t="str">
            <v>2024-11-11</v>
          </cell>
          <cell r="CO5745">
            <v>1193.8050000000001</v>
          </cell>
        </row>
        <row r="5746">
          <cell r="CJ5746" t="str">
            <v xml:space="preserve">NFT-/XUTR/DEUTH02431649943X </v>
          </cell>
          <cell r="CK5746" t="str">
            <v>2024-11-11</v>
          </cell>
          <cell r="CL5746">
            <v>10503.51</v>
          </cell>
          <cell r="CM5746" t="str">
            <v xml:space="preserve">NFT-/XUTR/DEUTH02431658955X </v>
          </cell>
          <cell r="CN5746" t="str">
            <v>2024-11-11</v>
          </cell>
          <cell r="CO5746">
            <v>1184.1020000000001</v>
          </cell>
        </row>
        <row r="5747">
          <cell r="CJ5747" t="str">
            <v xml:space="preserve">NFT-/XUTR/DEUTH02431649943X </v>
          </cell>
          <cell r="CK5747" t="str">
            <v>2024-11-11</v>
          </cell>
          <cell r="CL5747">
            <v>7706.3379999999997</v>
          </cell>
          <cell r="CM5747" t="str">
            <v xml:space="preserve">NFT-/XUTR/DEUTH02431658955X </v>
          </cell>
          <cell r="CN5747" t="str">
            <v>2024-11-11</v>
          </cell>
          <cell r="CO5747">
            <v>864.78</v>
          </cell>
        </row>
        <row r="5748">
          <cell r="CJ5748" t="str">
            <v xml:space="preserve">NFT-/XUTR/DEUTH02431649943X </v>
          </cell>
          <cell r="CK5748" t="str">
            <v>2024-11-11</v>
          </cell>
          <cell r="CL5748">
            <v>79190.676000000007</v>
          </cell>
          <cell r="CM5748" t="str">
            <v xml:space="preserve">NFT-/XUTR/DEUTH02431658955X </v>
          </cell>
          <cell r="CN5748" t="str">
            <v>2024-11-11</v>
          </cell>
          <cell r="CO5748">
            <v>5580.8050000000003</v>
          </cell>
          <cell r="CP5748" t="str">
            <v xml:space="preserve">NFT-/XUTR/DEUTH02432540165X </v>
          </cell>
          <cell r="CQ5748" t="str">
            <v>2024-11-20</v>
          </cell>
          <cell r="CR5748">
            <v>-79190.676000000007</v>
          </cell>
          <cell r="CS5748" t="str">
            <v xml:space="preserve">NFT-/XUTR/DEUTH02432567146X </v>
          </cell>
          <cell r="CT5748" t="str">
            <v>2024-11-20</v>
          </cell>
          <cell r="CU5748">
            <v>-5580.8050000000003</v>
          </cell>
        </row>
        <row r="5749">
          <cell r="CJ5749" t="str">
            <v xml:space="preserve">NFT-/XUTR/DEUTH02431649943X </v>
          </cell>
          <cell r="CK5749" t="str">
            <v>2024-11-11</v>
          </cell>
          <cell r="CL5749">
            <v>10667.564</v>
          </cell>
          <cell r="CM5749" t="str">
            <v xml:space="preserve">NFT-/XUTR/DEUTH02431658955X </v>
          </cell>
          <cell r="CN5749" t="str">
            <v>2024-11-11</v>
          </cell>
          <cell r="CO5749">
            <v>1193.806</v>
          </cell>
        </row>
        <row r="5750">
          <cell r="CJ5750" t="str">
            <v xml:space="preserve">NFT-/XUTR/DEUTH02431649943X </v>
          </cell>
          <cell r="CK5750" t="str">
            <v>2024-11-11</v>
          </cell>
          <cell r="CL5750">
            <v>64854.750999999997</v>
          </cell>
          <cell r="CM5750" t="str">
            <v xml:space="preserve">NFT-/XUTR/DEUTH02431658955X </v>
          </cell>
          <cell r="CN5750" t="str">
            <v>2024-11-11</v>
          </cell>
          <cell r="CO5750">
            <v>3154.3670000000002</v>
          </cell>
        </row>
        <row r="5751">
          <cell r="CJ5751" t="str">
            <v xml:space="preserve">NFT-/XUTR/DEUTH02431649943X </v>
          </cell>
          <cell r="CK5751" t="str">
            <v>2024-11-11</v>
          </cell>
          <cell r="CL5751">
            <v>39425.692000000003</v>
          </cell>
          <cell r="CM5751" t="str">
            <v xml:space="preserve">NFT-/XUTR/DEUTH02431658955X </v>
          </cell>
          <cell r="CN5751" t="str">
            <v>2024-11-11</v>
          </cell>
          <cell r="CO5751">
            <v>3154.3679999999999</v>
          </cell>
          <cell r="CP5751" t="str">
            <v xml:space="preserve">NFT-/XUTR/DEUTH02432540165X </v>
          </cell>
          <cell r="CQ5751" t="str">
            <v>2024-11-20</v>
          </cell>
          <cell r="CR5751">
            <v>-39425.692000000003</v>
          </cell>
          <cell r="CS5751" t="str">
            <v xml:space="preserve">NFT-/XUTR/DEUTH02432567146X </v>
          </cell>
          <cell r="CT5751" t="str">
            <v>2024-11-20</v>
          </cell>
          <cell r="CU5751">
            <v>-3154.3679999999999</v>
          </cell>
        </row>
        <row r="5752">
          <cell r="CJ5752" t="str">
            <v xml:space="preserve">NFT-/XUTR/DEUTH02431649943X </v>
          </cell>
          <cell r="CK5752" t="str">
            <v>2024-11-11</v>
          </cell>
          <cell r="CL5752">
            <v>11262.522999999999</v>
          </cell>
          <cell r="CM5752" t="str">
            <v xml:space="preserve">NFT-/XUTR/DEUTH02431658955X </v>
          </cell>
          <cell r="CN5752" t="str">
            <v>2024-11-11</v>
          </cell>
          <cell r="CO5752">
            <v>598.846</v>
          </cell>
        </row>
        <row r="5753">
          <cell r="CJ5753" t="str">
            <v xml:space="preserve">NFT-/XUTR/DEUTH02431649943X </v>
          </cell>
          <cell r="CK5753" t="str">
            <v>2024-11-11</v>
          </cell>
          <cell r="CL5753">
            <v>79209.555999999997</v>
          </cell>
          <cell r="CM5753" t="str">
            <v xml:space="preserve">NFT-/XUTR/DEUTH02431658955X </v>
          </cell>
          <cell r="CN5753" t="str">
            <v>2024-11-11</v>
          </cell>
          <cell r="CO5753">
            <v>5580.8050000000003</v>
          </cell>
        </row>
        <row r="5754">
          <cell r="CJ5754" t="str">
            <v xml:space="preserve">NFT-/XUTR/DEUTH02431649943X </v>
          </cell>
          <cell r="CK5754" t="str">
            <v>2024-11-11</v>
          </cell>
          <cell r="CL5754">
            <v>8026.625</v>
          </cell>
          <cell r="CM5754" t="str">
            <v xml:space="preserve">NFT-/XUTR/DEUTH02431658955X </v>
          </cell>
          <cell r="CN5754" t="str">
            <v>2024-11-11</v>
          </cell>
          <cell r="CO5754">
            <v>612.43399999999997</v>
          </cell>
        </row>
        <row r="5755">
          <cell r="CJ5755" t="str">
            <v xml:space="preserve">NFT-/XUTR/DEUTH02431649943X </v>
          </cell>
          <cell r="CK5755" t="str">
            <v>2024-11-11</v>
          </cell>
          <cell r="CL5755">
            <v>7418.0770000000002</v>
          </cell>
          <cell r="CM5755" t="str">
            <v xml:space="preserve">NFT-/XUTR/DEUTH02431658955X </v>
          </cell>
          <cell r="CN5755" t="str">
            <v>2024-11-11</v>
          </cell>
          <cell r="CO5755">
            <v>1220.981</v>
          </cell>
        </row>
        <row r="5756">
          <cell r="CJ5756" t="str">
            <v xml:space="preserve">NFT-/XUTR/DEUTH02431649943X </v>
          </cell>
          <cell r="CK5756" t="str">
            <v>2024-11-11</v>
          </cell>
          <cell r="CL5756">
            <v>5321.64</v>
          </cell>
          <cell r="CM5756" t="str">
            <v xml:space="preserve">NFT-/XUTR/DEUTH02431658955X </v>
          </cell>
          <cell r="CN5756" t="str">
            <v>2024-11-11</v>
          </cell>
          <cell r="CO5756">
            <v>599.82000000000005</v>
          </cell>
        </row>
        <row r="5757">
          <cell r="CJ5757" t="str">
            <v xml:space="preserve">NFT-/XUTR/DEUTH02431649943X </v>
          </cell>
          <cell r="CK5757" t="str">
            <v>2024-11-11</v>
          </cell>
          <cell r="CL5757">
            <v>15367.089</v>
          </cell>
          <cell r="CM5757" t="str">
            <v xml:space="preserve">NFT-/XUTR/DEUTH02431658955X </v>
          </cell>
          <cell r="CN5757" t="str">
            <v>2024-11-11</v>
          </cell>
          <cell r="CO5757">
            <v>1609.213</v>
          </cell>
        </row>
        <row r="5758">
          <cell r="CJ5758" t="str">
            <v xml:space="preserve">NFT-/XUTR/DEUTH02431649943X </v>
          </cell>
          <cell r="CK5758" t="str">
            <v>2024-11-11</v>
          </cell>
          <cell r="CL5758">
            <v>10667.564</v>
          </cell>
          <cell r="CM5758" t="str">
            <v xml:space="preserve">NFT-/XUTR/DEUTH02431658955X </v>
          </cell>
          <cell r="CN5758" t="str">
            <v>2024-11-11</v>
          </cell>
          <cell r="CO5758">
            <v>1193.8050000000001</v>
          </cell>
          <cell r="CP5758" t="str">
            <v xml:space="preserve">NFT-/XUTR/DEUTH02434452068X </v>
          </cell>
          <cell r="CQ5758" t="str">
            <v>2024-12-09</v>
          </cell>
          <cell r="CR5758">
            <v>-10667.564</v>
          </cell>
          <cell r="CS5758" t="str">
            <v xml:space="preserve">NFT-/XUTR/DEUTH02434465268X </v>
          </cell>
          <cell r="CT5758" t="str">
            <v>2024-12-09</v>
          </cell>
          <cell r="CU5758">
            <v>-1193.8050000000001</v>
          </cell>
        </row>
        <row r="5759">
          <cell r="CJ5759" t="str">
            <v xml:space="preserve">NFT-/XUTR/DEUTH02431649943X </v>
          </cell>
          <cell r="CK5759" t="str">
            <v>2024-11-11</v>
          </cell>
          <cell r="CL5759">
            <v>7767.48</v>
          </cell>
          <cell r="CM5759" t="str">
            <v xml:space="preserve">NFT-/XUTR/DEUTH02431658955X </v>
          </cell>
          <cell r="CN5759" t="str">
            <v>2024-11-11</v>
          </cell>
          <cell r="CO5759">
            <v>871.57899999999995</v>
          </cell>
        </row>
        <row r="5760">
          <cell r="CJ5760" t="str">
            <v xml:space="preserve">NFT-/XUTR/DEUTH02431649943X </v>
          </cell>
          <cell r="CK5760" t="str">
            <v>2024-11-11</v>
          </cell>
          <cell r="CL5760">
            <v>7767.48</v>
          </cell>
          <cell r="CM5760" t="str">
            <v xml:space="preserve">NFT-/XUTR/DEUTH02431658955X </v>
          </cell>
          <cell r="CN5760" t="str">
            <v>2024-11-11</v>
          </cell>
          <cell r="CO5760">
            <v>871.57899999999995</v>
          </cell>
        </row>
        <row r="5761">
          <cell r="CJ5761" t="str">
            <v xml:space="preserve">NFT-/XUTR/DEUTH02431649943X </v>
          </cell>
          <cell r="CK5761" t="str">
            <v>2024-11-11</v>
          </cell>
          <cell r="CL5761">
            <v>79519.168000000005</v>
          </cell>
          <cell r="CM5761" t="str">
            <v xml:space="preserve">NFT-/XUTR/DEUTH02431658955X </v>
          </cell>
          <cell r="CN5761" t="str">
            <v>2024-11-11</v>
          </cell>
          <cell r="CO5761">
            <v>4620.9070000000002</v>
          </cell>
          <cell r="CP5761" t="str">
            <v xml:space="preserve">NFT-/XUTR/DEUTH02432756454X </v>
          </cell>
          <cell r="CQ5761" t="str">
            <v>2024-11-22</v>
          </cell>
          <cell r="CR5761">
            <v>-79519.168000000005</v>
          </cell>
          <cell r="CV5761" t="str">
            <v xml:space="preserve">NFT-/XUTR/DEUTH02433956210X </v>
          </cell>
          <cell r="CW5761" t="str">
            <v>2024-12-04</v>
          </cell>
          <cell r="CX5761">
            <v>-4620.9070000000002</v>
          </cell>
        </row>
        <row r="5762">
          <cell r="CJ5762" t="str">
            <v xml:space="preserve">NFT-/XUTR/DEUTH02431649943X </v>
          </cell>
          <cell r="CK5762" t="str">
            <v>2024-11-11</v>
          </cell>
          <cell r="CL5762">
            <v>5321.64</v>
          </cell>
          <cell r="CM5762" t="str">
            <v xml:space="preserve">NFT-/XUTR/DEUTH02431658955X </v>
          </cell>
          <cell r="CN5762" t="str">
            <v>2024-11-11</v>
          </cell>
          <cell r="CO5762">
            <v>599.82000000000005</v>
          </cell>
        </row>
        <row r="5763">
          <cell r="CJ5763" t="str">
            <v xml:space="preserve">NFT-/XUTR/DEUTH02431649943X </v>
          </cell>
          <cell r="CK5763" t="str">
            <v>2024-11-11</v>
          </cell>
          <cell r="CL5763">
            <v>39479.606</v>
          </cell>
          <cell r="CM5763" t="str">
            <v xml:space="preserve">NFT-/XUTR/DEUTH02431658955X </v>
          </cell>
          <cell r="CN5763" t="str">
            <v>2024-11-11</v>
          </cell>
          <cell r="CO5763">
            <v>3081.576</v>
          </cell>
        </row>
        <row r="5764">
          <cell r="CJ5764" t="str">
            <v xml:space="preserve">NFT-/XUTR/DEUTH02431649943X </v>
          </cell>
          <cell r="CK5764" t="str">
            <v>2024-11-11</v>
          </cell>
          <cell r="CL5764">
            <v>10643.27</v>
          </cell>
          <cell r="CM5764" t="str">
            <v xml:space="preserve">NFT-/XUTR/DEUTH02431658955X </v>
          </cell>
          <cell r="CN5764" t="str">
            <v>2024-11-11</v>
          </cell>
          <cell r="CO5764">
            <v>1199.6300000000001</v>
          </cell>
        </row>
        <row r="5765">
          <cell r="CJ5765" t="str">
            <v xml:space="preserve">NFT-/XUTR/DEUTH02431649943X </v>
          </cell>
          <cell r="CK5765" t="str">
            <v>2024-11-11</v>
          </cell>
          <cell r="CL5765">
            <v>15384.554</v>
          </cell>
          <cell r="CM5765" t="str">
            <v xml:space="preserve">NFT-/XUTR/DEUTH02431658955X </v>
          </cell>
          <cell r="CN5765" t="str">
            <v>2024-11-11</v>
          </cell>
          <cell r="CO5765">
            <v>1455.8620000000001</v>
          </cell>
        </row>
        <row r="5766">
          <cell r="CJ5766" t="str">
            <v xml:space="preserve">NFT-/XUTR/DEUTH02431649943X </v>
          </cell>
          <cell r="CK5766" t="str">
            <v>2024-11-11</v>
          </cell>
          <cell r="CL5766">
            <v>15365.674000000001</v>
          </cell>
          <cell r="CM5766" t="str">
            <v xml:space="preserve">NFT-/XUTR/DEUTH02431658955X </v>
          </cell>
          <cell r="CN5766" t="str">
            <v>2024-11-11</v>
          </cell>
          <cell r="CO5766">
            <v>1455.8620000000001</v>
          </cell>
        </row>
        <row r="5767">
          <cell r="CJ5767" t="str">
            <v xml:space="preserve">NFT-/XUTR/DEUTH02431649943X </v>
          </cell>
          <cell r="CK5767" t="str">
            <v>2024-11-11</v>
          </cell>
          <cell r="CL5767">
            <v>7609.28</v>
          </cell>
          <cell r="CM5767" t="str">
            <v xml:space="preserve">NFT-/XUTR/DEUTH02431658955X </v>
          </cell>
          <cell r="CN5767" t="str">
            <v>2024-11-11</v>
          </cell>
          <cell r="CO5767">
            <v>961.83699999999999</v>
          </cell>
        </row>
        <row r="5768">
          <cell r="CJ5768" t="str">
            <v xml:space="preserve">NFT-/XUTR/DEUTH02431649943X </v>
          </cell>
          <cell r="CK5768" t="str">
            <v>2024-11-11</v>
          </cell>
          <cell r="CL5768">
            <v>39425.692000000003</v>
          </cell>
          <cell r="CM5768" t="str">
            <v xml:space="preserve">NFT-/XUTR/DEUTH02431658955X </v>
          </cell>
          <cell r="CN5768" t="str">
            <v>2024-11-11</v>
          </cell>
          <cell r="CO5768">
            <v>3154.3679999999999</v>
          </cell>
        </row>
        <row r="5769">
          <cell r="CJ5769" t="str">
            <v xml:space="preserve">NFT-/XUTR/DEUTH02431649943X </v>
          </cell>
          <cell r="CK5769" t="str">
            <v>2024-11-11</v>
          </cell>
          <cell r="CL5769">
            <v>15520.438</v>
          </cell>
          <cell r="CM5769" t="str">
            <v xml:space="preserve">NFT-/XUTR/DEUTH02431658955X </v>
          </cell>
          <cell r="CN5769" t="str">
            <v>2024-11-11</v>
          </cell>
          <cell r="CO5769">
            <v>1455.8620000000001</v>
          </cell>
        </row>
        <row r="5770">
          <cell r="CJ5770" t="str">
            <v xml:space="preserve">NFT-/XUTR/DEUTH02431649943X </v>
          </cell>
          <cell r="CK5770" t="str">
            <v>2024-11-11</v>
          </cell>
          <cell r="CL5770">
            <v>39406.811999999998</v>
          </cell>
          <cell r="CM5770" t="str">
            <v xml:space="preserve">NFT-/XUTR/DEUTH02431658955X </v>
          </cell>
          <cell r="CN5770" t="str">
            <v>2024-11-11</v>
          </cell>
          <cell r="CO5770">
            <v>3154.3679999999999</v>
          </cell>
        </row>
        <row r="5771">
          <cell r="CJ5771" t="str">
            <v xml:space="preserve">NFT-/XUTR/DEUTH02431649943X </v>
          </cell>
          <cell r="CK5771" t="str">
            <v>2024-11-11</v>
          </cell>
          <cell r="CL5771">
            <v>7767.4790000000003</v>
          </cell>
          <cell r="CM5771" t="str">
            <v xml:space="preserve">NFT-/XUTR/DEUTH02431658955X </v>
          </cell>
          <cell r="CN5771" t="str">
            <v>2024-11-11</v>
          </cell>
          <cell r="CO5771">
            <v>871.57799999999997</v>
          </cell>
        </row>
        <row r="5772">
          <cell r="CJ5772" t="str">
            <v xml:space="preserve">NFT-/XUTR/DEUTH02431649943X </v>
          </cell>
          <cell r="CK5772" t="str">
            <v>2024-11-11</v>
          </cell>
          <cell r="CL5772">
            <v>7767.48</v>
          </cell>
          <cell r="CM5772" t="str">
            <v xml:space="preserve">NFT-/XUTR/DEUTH02431658955X </v>
          </cell>
          <cell r="CN5772" t="str">
            <v>2024-11-11</v>
          </cell>
          <cell r="CO5772">
            <v>871.57899999999995</v>
          </cell>
        </row>
        <row r="5773">
          <cell r="CJ5773" t="str">
            <v xml:space="preserve">NFT-/XUTR/DEUTH02431649943X </v>
          </cell>
          <cell r="CK5773" t="str">
            <v>2024-11-11</v>
          </cell>
          <cell r="CL5773">
            <v>15365.674000000001</v>
          </cell>
          <cell r="CM5773" t="str">
            <v xml:space="preserve">NFT-/XUTR/DEUTH02431658955X </v>
          </cell>
          <cell r="CN5773" t="str">
            <v>2024-11-11</v>
          </cell>
          <cell r="CO5773">
            <v>1455.8620000000001</v>
          </cell>
          <cell r="CP5773" t="str">
            <v xml:space="preserve">NFT-/XUTR/DEUTH02432540165X </v>
          </cell>
          <cell r="CQ5773" t="str">
            <v>2024-11-20</v>
          </cell>
          <cell r="CR5773">
            <v>-15365.674000000001</v>
          </cell>
          <cell r="CS5773" t="str">
            <v xml:space="preserve">NFT-/XUTR/DEUTH02432567146X </v>
          </cell>
          <cell r="CT5773" t="str">
            <v>2024-11-20</v>
          </cell>
          <cell r="CU5773">
            <v>-1455.8620000000001</v>
          </cell>
        </row>
        <row r="5774">
          <cell r="CJ5774" t="str">
            <v xml:space="preserve">NFT-/XUTR/DEUTH02431649943X </v>
          </cell>
          <cell r="CK5774" t="str">
            <v>2024-11-11</v>
          </cell>
          <cell r="CL5774">
            <v>7748.6</v>
          </cell>
          <cell r="CM5774" t="str">
            <v xml:space="preserve">NFT-/XUTR/DEUTH02431658955X </v>
          </cell>
          <cell r="CN5774" t="str">
            <v>2024-11-11</v>
          </cell>
          <cell r="CO5774">
            <v>871.57899999999995</v>
          </cell>
        </row>
        <row r="5775">
          <cell r="CJ5775" t="str">
            <v xml:space="preserve">NFT-/XUTR/DEUTH02431649943X </v>
          </cell>
          <cell r="CK5775" t="str">
            <v>2024-11-11</v>
          </cell>
          <cell r="CL5775">
            <v>10955.824000000001</v>
          </cell>
          <cell r="CM5775" t="str">
            <v xml:space="preserve">NFT-/XUTR/DEUTH02431658955X </v>
          </cell>
          <cell r="CN5775" t="str">
            <v>2024-11-11</v>
          </cell>
          <cell r="CO5775">
            <v>1225.8330000000001</v>
          </cell>
          <cell r="CP5775" t="str">
            <v xml:space="preserve">NFT-/XUTR/DEUTH02432540165X </v>
          </cell>
          <cell r="CQ5775" t="str">
            <v>2024-11-20</v>
          </cell>
          <cell r="CR5775">
            <v>-10955.824000000001</v>
          </cell>
          <cell r="CS5775" t="str">
            <v xml:space="preserve">NFT-/XUTR/DEUTH02432567146X </v>
          </cell>
          <cell r="CT5775" t="str">
            <v>2024-11-20</v>
          </cell>
          <cell r="CU5775">
            <v>-1225.8330000000001</v>
          </cell>
        </row>
        <row r="5776">
          <cell r="CJ5776" t="str">
            <v xml:space="preserve">NFT-/XUTR/DEUTH02431649943X </v>
          </cell>
          <cell r="CK5776" t="str">
            <v>2024-11-11</v>
          </cell>
          <cell r="CL5776">
            <v>15365.674000000001</v>
          </cell>
          <cell r="CM5776" t="str">
            <v xml:space="preserve">NFT-/XUTR/DEUTH02431658955X </v>
          </cell>
          <cell r="CN5776" t="str">
            <v>2024-11-11</v>
          </cell>
          <cell r="CO5776">
            <v>1455.8620000000001</v>
          </cell>
        </row>
        <row r="5777">
          <cell r="CJ5777" t="str">
            <v xml:space="preserve">NFT-/XUTR/DEUTH02431649943X </v>
          </cell>
          <cell r="CK5777" t="str">
            <v>2024-11-11</v>
          </cell>
          <cell r="CL5777">
            <v>15501.558000000001</v>
          </cell>
          <cell r="CM5777" t="str">
            <v xml:space="preserve">NFT-/XUTR/DEUTH02431658955X </v>
          </cell>
          <cell r="CN5777" t="str">
            <v>2024-11-11</v>
          </cell>
          <cell r="CO5777">
            <v>1455.8620000000001</v>
          </cell>
        </row>
        <row r="5778">
          <cell r="CJ5778" t="str">
            <v xml:space="preserve">NFT-/XUTR/DEUTH02431649943X </v>
          </cell>
          <cell r="CK5778" t="str">
            <v>2024-11-11</v>
          </cell>
          <cell r="CL5778">
            <v>39425.692000000003</v>
          </cell>
          <cell r="CM5778" t="str">
            <v xml:space="preserve">NFT-/XUTR/DEUTH02431658955X </v>
          </cell>
          <cell r="CN5778" t="str">
            <v>2024-11-11</v>
          </cell>
          <cell r="CO5778">
            <v>3154.3679999999999</v>
          </cell>
        </row>
        <row r="5779">
          <cell r="CJ5779" t="str">
            <v xml:space="preserve">NFT-/XUTR/DEUTH02431649943X </v>
          </cell>
          <cell r="CK5779" t="str">
            <v>2024-11-11</v>
          </cell>
          <cell r="CL5779">
            <v>79190.676000000007</v>
          </cell>
          <cell r="CM5779" t="str">
            <v xml:space="preserve">NFT-/XUTR/DEUTH02431658955X </v>
          </cell>
          <cell r="CN5779" t="str">
            <v>2024-11-11</v>
          </cell>
          <cell r="CO5779">
            <v>5580.8050000000003</v>
          </cell>
        </row>
        <row r="5780">
          <cell r="CJ5780" t="str">
            <v xml:space="preserve">NFT-/XUTR/DEUTH02431649943X </v>
          </cell>
          <cell r="CK5780" t="str">
            <v>2024-11-11</v>
          </cell>
          <cell r="CL5780">
            <v>15501.558000000001</v>
          </cell>
          <cell r="CM5780" t="str">
            <v xml:space="preserve">NFT-/XUTR/DEUTH02431658955X </v>
          </cell>
          <cell r="CN5780" t="str">
            <v>2024-11-11</v>
          </cell>
          <cell r="CO5780">
            <v>1455.8620000000001</v>
          </cell>
        </row>
        <row r="5781">
          <cell r="CJ5781" t="str">
            <v xml:space="preserve">NFT-/XUTR/DEUTH02431649943X </v>
          </cell>
          <cell r="CK5781" t="str">
            <v>2024-11-11</v>
          </cell>
          <cell r="CL5781">
            <v>7748.6</v>
          </cell>
          <cell r="CM5781" t="str">
            <v xml:space="preserve">NFT-/XUTR/DEUTH02431658955X </v>
          </cell>
          <cell r="CN5781" t="str">
            <v>2024-11-11</v>
          </cell>
          <cell r="CO5781">
            <v>871.57899999999995</v>
          </cell>
        </row>
        <row r="5782">
          <cell r="CJ5782" t="str">
            <v xml:space="preserve">NFT-/XUTR/DEUTH02431649943X </v>
          </cell>
          <cell r="CK5782" t="str">
            <v>2024-11-11</v>
          </cell>
          <cell r="CL5782">
            <v>5321.64</v>
          </cell>
          <cell r="CM5782" t="str">
            <v xml:space="preserve">NFT-/XUTR/DEUTH02431658955X </v>
          </cell>
          <cell r="CN5782" t="str">
            <v>2024-11-11</v>
          </cell>
          <cell r="CO5782">
            <v>599.82000000000005</v>
          </cell>
        </row>
        <row r="5783">
          <cell r="CJ5783" t="str">
            <v xml:space="preserve">NFT-/XUTR/DEUTH02431649943X </v>
          </cell>
          <cell r="CK5783" t="str">
            <v>2024-11-11</v>
          </cell>
          <cell r="CL5783">
            <v>7767.48</v>
          </cell>
          <cell r="CM5783" t="str">
            <v xml:space="preserve">NFT-/XUTR/DEUTH02431658955X </v>
          </cell>
          <cell r="CN5783" t="str">
            <v>2024-11-11</v>
          </cell>
          <cell r="CO5783">
            <v>871.57899999999995</v>
          </cell>
        </row>
        <row r="5784">
          <cell r="CJ5784" t="str">
            <v xml:space="preserve">NFT-/XUTR/DEUTH02431649943X </v>
          </cell>
          <cell r="CK5784" t="str">
            <v>2024-11-11</v>
          </cell>
          <cell r="CL5784">
            <v>7801.99</v>
          </cell>
          <cell r="CM5784" t="str">
            <v xml:space="preserve">NFT-/XUTR/DEUTH02431658955X </v>
          </cell>
          <cell r="CN5784" t="str">
            <v>2024-11-11</v>
          </cell>
          <cell r="CO5784">
            <v>818.19</v>
          </cell>
        </row>
        <row r="5785">
          <cell r="CJ5785" t="str">
            <v xml:space="preserve">NFT-/XUTR/DEUTH02431649943X </v>
          </cell>
          <cell r="CK5785" t="str">
            <v>2024-11-11</v>
          </cell>
          <cell r="CL5785">
            <v>7767.48</v>
          </cell>
          <cell r="CM5785" t="str">
            <v xml:space="preserve">NFT-/XUTR/DEUTH02431658955X </v>
          </cell>
          <cell r="CN5785" t="str">
            <v>2024-11-11</v>
          </cell>
          <cell r="CO5785">
            <v>871.57899999999995</v>
          </cell>
        </row>
        <row r="5786">
          <cell r="CJ5786" t="str">
            <v xml:space="preserve">NFT-/XUTR/DEUTH02431649943X </v>
          </cell>
          <cell r="CK5786" t="str">
            <v>2024-11-11</v>
          </cell>
          <cell r="CL5786">
            <v>7767.48</v>
          </cell>
          <cell r="CM5786" t="str">
            <v xml:space="preserve">NFT-/XUTR/DEUTH02431658955X </v>
          </cell>
          <cell r="CN5786" t="str">
            <v>2024-11-11</v>
          </cell>
          <cell r="CO5786">
            <v>871.57899999999995</v>
          </cell>
        </row>
        <row r="5787">
          <cell r="CJ5787" t="str">
            <v xml:space="preserve">NFT-/XUTR/DEUTH02431649943X </v>
          </cell>
          <cell r="CK5787" t="str">
            <v>2024-11-11</v>
          </cell>
          <cell r="CL5787">
            <v>15093.915000000001</v>
          </cell>
          <cell r="CM5787" t="str">
            <v xml:space="preserve">NFT-/XUTR/DEUTH02431658955X </v>
          </cell>
          <cell r="CN5787" t="str">
            <v>2024-11-11</v>
          </cell>
          <cell r="CO5787">
            <v>1863.5050000000001</v>
          </cell>
        </row>
        <row r="5788">
          <cell r="CJ5788" t="str">
            <v xml:space="preserve">NFT-/XUTR/DEUTH02431649943X </v>
          </cell>
          <cell r="CK5788" t="str">
            <v>2024-11-11</v>
          </cell>
          <cell r="CL5788">
            <v>4984.8509999999997</v>
          </cell>
          <cell r="CM5788" t="str">
            <v xml:space="preserve">NFT-/XUTR/DEUTH02431658955X </v>
          </cell>
          <cell r="CN5788" t="str">
            <v>2024-11-11</v>
          </cell>
          <cell r="CO5788">
            <v>858.95399999999995</v>
          </cell>
        </row>
        <row r="5789">
          <cell r="CJ5789" t="str">
            <v xml:space="preserve">NFT-/XUTR/DEUTH02431649943X </v>
          </cell>
          <cell r="CK5789" t="str">
            <v>2024-11-11</v>
          </cell>
          <cell r="CL5789">
            <v>15384.554</v>
          </cell>
          <cell r="CM5789" t="str">
            <v xml:space="preserve">NFT-/XUTR/DEUTH02431658955X </v>
          </cell>
          <cell r="CN5789" t="str">
            <v>2024-11-11</v>
          </cell>
          <cell r="CO5789">
            <v>1455.8620000000001</v>
          </cell>
        </row>
        <row r="5790">
          <cell r="CJ5790" t="str">
            <v xml:space="preserve">NFT-/XUTR/DEUTH02431649943X </v>
          </cell>
          <cell r="CK5790" t="str">
            <v>2024-11-11</v>
          </cell>
          <cell r="CL5790">
            <v>5921.45</v>
          </cell>
        </row>
        <row r="5791">
          <cell r="CJ5791" t="str">
            <v xml:space="preserve">NFT-/XUTR/DEUTH02431649943X </v>
          </cell>
          <cell r="CK5791" t="str">
            <v>2024-11-11</v>
          </cell>
          <cell r="CL5791">
            <v>7706.3379999999997</v>
          </cell>
          <cell r="CM5791" t="str">
            <v xml:space="preserve">NFT-/XUTR/DEUTH02431658955X </v>
          </cell>
          <cell r="CN5791" t="str">
            <v>2024-11-11</v>
          </cell>
          <cell r="CO5791">
            <v>864.78</v>
          </cell>
        </row>
        <row r="5792">
          <cell r="CJ5792" t="str">
            <v xml:space="preserve">NFT-/XUTR/DEUTH02431649943X </v>
          </cell>
          <cell r="CK5792" t="str">
            <v>2024-11-11</v>
          </cell>
          <cell r="CL5792">
            <v>7748.6</v>
          </cell>
          <cell r="CM5792" t="str">
            <v xml:space="preserve">NFT-/XUTR/DEUTH02431658955X </v>
          </cell>
          <cell r="CN5792" t="str">
            <v>2024-11-11</v>
          </cell>
          <cell r="CO5792">
            <v>871.57899999999995</v>
          </cell>
        </row>
        <row r="5793">
          <cell r="CJ5793" t="str">
            <v xml:space="preserve">NFT-/XUTR/DEUTH02431649943X </v>
          </cell>
          <cell r="CK5793" t="str">
            <v>2024-11-11</v>
          </cell>
          <cell r="CL5793">
            <v>80367.445999999996</v>
          </cell>
          <cell r="CM5793" t="str">
            <v xml:space="preserve">NFT-/XUTR/DEUTH02431658955X </v>
          </cell>
          <cell r="CN5793" t="str">
            <v>2024-11-11</v>
          </cell>
          <cell r="CO5793">
            <v>4422.915</v>
          </cell>
        </row>
        <row r="5794">
          <cell r="CJ5794" t="str">
            <v xml:space="preserve">NFT-/XUTR/DEUTH02431649943X </v>
          </cell>
          <cell r="CK5794" t="str">
            <v>2024-11-11</v>
          </cell>
          <cell r="CL5794">
            <v>39406.811999999998</v>
          </cell>
          <cell r="CM5794" t="str">
            <v xml:space="preserve">NFT-/XUTR/DEUTH02431658955X </v>
          </cell>
          <cell r="CN5794" t="str">
            <v>2024-11-11</v>
          </cell>
          <cell r="CO5794">
            <v>3154.3679999999999</v>
          </cell>
        </row>
        <row r="5795">
          <cell r="CJ5795" t="str">
            <v xml:space="preserve">NFT-/XUTR/DEUTH02431649943X </v>
          </cell>
          <cell r="CK5795" t="str">
            <v>2024-11-11</v>
          </cell>
          <cell r="CL5795">
            <v>15365.674000000001</v>
          </cell>
          <cell r="CM5795" t="str">
            <v xml:space="preserve">NFT-/XUTR/DEUTH02431658955X </v>
          </cell>
          <cell r="CN5795" t="str">
            <v>2024-11-11</v>
          </cell>
          <cell r="CO5795">
            <v>1455.8620000000001</v>
          </cell>
          <cell r="CP5795" t="str">
            <v xml:space="preserve">NFT-/XUTR/DEUTH02431839302X </v>
          </cell>
          <cell r="CQ5795" t="str">
            <v>2024-11-13</v>
          </cell>
          <cell r="CR5795">
            <v>-15365.674000000001</v>
          </cell>
          <cell r="CS5795" t="str">
            <v xml:space="preserve">NFT-/XUTR/DEUTH02431843558X </v>
          </cell>
          <cell r="CT5795" t="str">
            <v>2024-11-13</v>
          </cell>
          <cell r="CU5795">
            <v>-1455.8620000000001</v>
          </cell>
        </row>
        <row r="5796">
          <cell r="CJ5796" t="str">
            <v xml:space="preserve">NFT-/XUTR/DEUTH02431649943X </v>
          </cell>
          <cell r="CK5796" t="str">
            <v>2024-11-11</v>
          </cell>
          <cell r="CL5796">
            <v>39425.692000000003</v>
          </cell>
          <cell r="CM5796" t="str">
            <v xml:space="preserve">NFT-/XUTR/DEUTH02431658955X </v>
          </cell>
          <cell r="CN5796" t="str">
            <v>2024-11-11</v>
          </cell>
          <cell r="CO5796">
            <v>3154.3679999999999</v>
          </cell>
        </row>
        <row r="5797">
          <cell r="CJ5797" t="str">
            <v xml:space="preserve">NFT-/XUTR/DEUTH02431649943X </v>
          </cell>
          <cell r="CK5797" t="str">
            <v>2024-11-11</v>
          </cell>
          <cell r="CL5797">
            <v>39425.692999999999</v>
          </cell>
          <cell r="CM5797" t="str">
            <v xml:space="preserve">NFT-/XUTR/DEUTH02431658955X </v>
          </cell>
          <cell r="CN5797" t="str">
            <v>2024-11-11</v>
          </cell>
          <cell r="CO5797">
            <v>3154.3670000000002</v>
          </cell>
        </row>
        <row r="5798">
          <cell r="CJ5798" t="str">
            <v xml:space="preserve">NFT-/XUTR/DEUTH02431649943X </v>
          </cell>
          <cell r="CK5798" t="str">
            <v>2024-11-11</v>
          </cell>
          <cell r="CL5798">
            <v>14728.011</v>
          </cell>
          <cell r="CM5798" t="str">
            <v xml:space="preserve">NFT-/XUTR/DEUTH02431658955X </v>
          </cell>
          <cell r="CN5798" t="str">
            <v>2024-11-11</v>
          </cell>
          <cell r="CO5798">
            <v>2093.5250000000001</v>
          </cell>
        </row>
        <row r="5799">
          <cell r="CJ5799" t="str">
            <v xml:space="preserve">NFT-/XUTR/DEUTH02431649943X </v>
          </cell>
          <cell r="CK5799" t="str">
            <v>2024-11-11</v>
          </cell>
          <cell r="CL5799">
            <v>15520.438</v>
          </cell>
          <cell r="CM5799" t="str">
            <v xml:space="preserve">NFT-/XUTR/DEUTH02431658955X </v>
          </cell>
          <cell r="CN5799" t="str">
            <v>2024-11-11</v>
          </cell>
          <cell r="CO5799">
            <v>1455.8620000000001</v>
          </cell>
        </row>
        <row r="5800">
          <cell r="CJ5800" t="str">
            <v xml:space="preserve">NFT-/XUTR/DEUTH02431649943X </v>
          </cell>
          <cell r="CK5800" t="str">
            <v>2024-11-11</v>
          </cell>
          <cell r="CL5800">
            <v>10936.944</v>
          </cell>
          <cell r="CM5800" t="str">
            <v xml:space="preserve">NFT-/XUTR/DEUTH02431658955X </v>
          </cell>
          <cell r="CN5800" t="str">
            <v>2024-11-11</v>
          </cell>
          <cell r="CO5800">
            <v>1225.8330000000001</v>
          </cell>
        </row>
        <row r="5801">
          <cell r="CJ5801" t="str">
            <v xml:space="preserve">NFT-/XUTR/DEUTH02431649943X </v>
          </cell>
          <cell r="CK5801" t="str">
            <v>2024-11-11</v>
          </cell>
          <cell r="CL5801">
            <v>15520.438</v>
          </cell>
          <cell r="CM5801" t="str">
            <v xml:space="preserve">NFT-/XUTR/DEUTH02431658955X </v>
          </cell>
          <cell r="CN5801" t="str">
            <v>2024-11-11</v>
          </cell>
          <cell r="CO5801">
            <v>1455.8620000000001</v>
          </cell>
        </row>
        <row r="5802">
          <cell r="CJ5802" t="str">
            <v xml:space="preserve">NFT-/XUTR/DEUTH02431649943X </v>
          </cell>
          <cell r="CK5802" t="str">
            <v>2024-11-11</v>
          </cell>
          <cell r="CL5802">
            <v>15520.438</v>
          </cell>
          <cell r="CM5802" t="str">
            <v xml:space="preserve">NFT-/XUTR/DEUTH02431658955X </v>
          </cell>
          <cell r="CN5802" t="str">
            <v>2024-11-11</v>
          </cell>
          <cell r="CO5802">
            <v>1455.8620000000001</v>
          </cell>
        </row>
        <row r="5803">
          <cell r="CJ5803" t="str">
            <v xml:space="preserve">NFT-/XUTR/DEUTH02431649943X </v>
          </cell>
          <cell r="CK5803" t="str">
            <v>2024-11-11</v>
          </cell>
          <cell r="CL5803">
            <v>8035.8959999999997</v>
          </cell>
          <cell r="CM5803" t="str">
            <v xml:space="preserve">NFT-/XUTR/DEUTH02431658955X </v>
          </cell>
          <cell r="CN5803" t="str">
            <v>2024-11-11</v>
          </cell>
          <cell r="CO5803">
            <v>584.28399999999999</v>
          </cell>
        </row>
        <row r="5804">
          <cell r="CJ5804" t="str">
            <v xml:space="preserve">NFT-/XUTR/DEUTH02431649943X </v>
          </cell>
          <cell r="CK5804" t="str">
            <v>2024-11-11</v>
          </cell>
          <cell r="CL5804">
            <v>15501.558000000001</v>
          </cell>
          <cell r="CM5804" t="str">
            <v xml:space="preserve">NFT-/XUTR/DEUTH02431658955X </v>
          </cell>
          <cell r="CN5804" t="str">
            <v>2024-11-11</v>
          </cell>
          <cell r="CO5804">
            <v>1455.8620000000001</v>
          </cell>
        </row>
        <row r="5805">
          <cell r="CJ5805" t="str">
            <v xml:space="preserve">NFT-/XUTR/DEUTH02431649943X </v>
          </cell>
          <cell r="CK5805" t="str">
            <v>2024-11-11</v>
          </cell>
          <cell r="CL5805">
            <v>15365.674000000001</v>
          </cell>
          <cell r="CM5805" t="str">
            <v xml:space="preserve">NFT-/XUTR/DEUTH02431658955X </v>
          </cell>
          <cell r="CN5805" t="str">
            <v>2024-11-11</v>
          </cell>
          <cell r="CO5805">
            <v>1455.8620000000001</v>
          </cell>
        </row>
        <row r="5806">
          <cell r="CJ5806" t="str">
            <v xml:space="preserve">NFT-/XUTR/DEUTH02431649943X </v>
          </cell>
          <cell r="CK5806" t="str">
            <v>2024-11-11</v>
          </cell>
          <cell r="CL5806">
            <v>79258.085000000006</v>
          </cell>
          <cell r="CM5806" t="str">
            <v xml:space="preserve">NFT-/XUTR/DEUTH02431658955X </v>
          </cell>
          <cell r="CN5806" t="str">
            <v>2024-11-11</v>
          </cell>
          <cell r="CO5806">
            <v>5580.8040000000001</v>
          </cell>
        </row>
        <row r="5807">
          <cell r="CJ5807" t="str">
            <v xml:space="preserve">NFT-/XUTR/DEUTH02431649943X </v>
          </cell>
          <cell r="CK5807" t="str">
            <v>2024-11-11</v>
          </cell>
          <cell r="CL5807">
            <v>15520.438</v>
          </cell>
          <cell r="CM5807" t="str">
            <v xml:space="preserve">NFT-/XUTR/DEUTH02431658955X </v>
          </cell>
          <cell r="CN5807" t="str">
            <v>2024-11-11</v>
          </cell>
          <cell r="CO5807">
            <v>1455.8620000000001</v>
          </cell>
        </row>
        <row r="5808">
          <cell r="CJ5808" t="str">
            <v xml:space="preserve">NFT-/XUTR/DEUTH02431649943X </v>
          </cell>
          <cell r="CK5808" t="str">
            <v>2024-11-11</v>
          </cell>
          <cell r="CL5808">
            <v>15501.558000000001</v>
          </cell>
          <cell r="CM5808" t="str">
            <v xml:space="preserve">NFT-/XUTR/DEUTH02431658955X </v>
          </cell>
          <cell r="CN5808" t="str">
            <v>2024-11-11</v>
          </cell>
          <cell r="CO5808">
            <v>1455.8620000000001</v>
          </cell>
        </row>
        <row r="5809">
          <cell r="CJ5809" t="str">
            <v xml:space="preserve">NFT-/XUTR/DEUTH02431649943X </v>
          </cell>
          <cell r="CK5809" t="str">
            <v>2024-11-11</v>
          </cell>
          <cell r="CL5809">
            <v>15384.554</v>
          </cell>
          <cell r="CM5809" t="str">
            <v xml:space="preserve">NFT-/XUTR/DEUTH02431658955X </v>
          </cell>
          <cell r="CN5809" t="str">
            <v>2024-11-11</v>
          </cell>
          <cell r="CO5809">
            <v>1455.8620000000001</v>
          </cell>
        </row>
        <row r="5810">
          <cell r="CJ5810" t="str">
            <v xml:space="preserve">NFT-/XUTR/DEUTH02431649943X </v>
          </cell>
          <cell r="CK5810" t="str">
            <v>2024-11-11</v>
          </cell>
          <cell r="CL5810">
            <v>78559.269</v>
          </cell>
          <cell r="CM5810" t="str">
            <v xml:space="preserve">NFT-/XUTR/DEUTH02431658955X </v>
          </cell>
          <cell r="CN5810" t="str">
            <v>2024-11-11</v>
          </cell>
          <cell r="CO5810">
            <v>5580.8050000000003</v>
          </cell>
          <cell r="CP5810" t="str">
            <v xml:space="preserve">NFT-/XUTR/DEUTH02432756454X </v>
          </cell>
          <cell r="CQ5810" t="str">
            <v>2024-11-22</v>
          </cell>
          <cell r="CR5810">
            <v>-78559.269</v>
          </cell>
          <cell r="CV5810" t="str">
            <v xml:space="preserve">NFT-/XUTR/DEUTH02433956210X </v>
          </cell>
          <cell r="CW5810" t="str">
            <v>2024-12-04</v>
          </cell>
          <cell r="CX5810">
            <v>-5580.8050000000003</v>
          </cell>
        </row>
        <row r="5811">
          <cell r="CJ5811" t="str">
            <v xml:space="preserve">NFT-/XUTR/DEUTH02431649943X </v>
          </cell>
          <cell r="CK5811" t="str">
            <v>2024-11-11</v>
          </cell>
          <cell r="CL5811">
            <v>14962.358</v>
          </cell>
          <cell r="CM5811" t="str">
            <v xml:space="preserve">NFT-/XUTR/DEUTH02431658955X </v>
          </cell>
          <cell r="CN5811" t="str">
            <v>2024-11-11</v>
          </cell>
          <cell r="CO5811">
            <v>1878.058</v>
          </cell>
        </row>
        <row r="5812">
          <cell r="CJ5812" t="str">
            <v xml:space="preserve">NFT-/XUTR/DEUTH02431649943X </v>
          </cell>
          <cell r="CK5812" t="str">
            <v>2024-11-11</v>
          </cell>
          <cell r="CL5812">
            <v>14538.213</v>
          </cell>
          <cell r="CM5812" t="str">
            <v xml:space="preserve">NFT-/XUTR/DEUTH02431658955X </v>
          </cell>
          <cell r="CN5812" t="str">
            <v>2024-11-11</v>
          </cell>
          <cell r="CO5812">
            <v>2302.201</v>
          </cell>
        </row>
        <row r="5813">
          <cell r="CJ5813" t="str">
            <v xml:space="preserve">NFT-/XUTR/DEUTH02431649943X </v>
          </cell>
          <cell r="CK5813" t="str">
            <v>2024-11-11</v>
          </cell>
          <cell r="CL5813">
            <v>15384.554</v>
          </cell>
          <cell r="CM5813" t="str">
            <v xml:space="preserve">NFT-/XUTR/DEUTH02431658955X </v>
          </cell>
          <cell r="CN5813" t="str">
            <v>2024-11-11</v>
          </cell>
          <cell r="CO5813">
            <v>1455.8620000000001</v>
          </cell>
        </row>
        <row r="5814">
          <cell r="CJ5814" t="str">
            <v xml:space="preserve">NFT-/XUTR/DEUTH02431649943X </v>
          </cell>
          <cell r="CK5814" t="str">
            <v>2024-11-11</v>
          </cell>
          <cell r="CL5814">
            <v>15520.438</v>
          </cell>
          <cell r="CM5814" t="str">
            <v xml:space="preserve">NFT-/XUTR/DEUTH02431658955X </v>
          </cell>
          <cell r="CN5814" t="str">
            <v>2024-11-11</v>
          </cell>
          <cell r="CO5814">
            <v>1455.8620000000001</v>
          </cell>
        </row>
        <row r="5815">
          <cell r="CJ5815" t="str">
            <v xml:space="preserve">NFT-/XUTR/DEUTH02431649943X </v>
          </cell>
          <cell r="CK5815" t="str">
            <v>2024-11-11</v>
          </cell>
          <cell r="CL5815">
            <v>15274.882</v>
          </cell>
          <cell r="CM5815" t="str">
            <v xml:space="preserve">NFT-/XUTR/DEUTH02431658955X </v>
          </cell>
          <cell r="CN5815" t="str">
            <v>2024-11-11</v>
          </cell>
          <cell r="CO5815">
            <v>1565.5340000000001</v>
          </cell>
        </row>
        <row r="5816">
          <cell r="CJ5816" t="str">
            <v xml:space="preserve">NFT-/XUTR/DEUTH02431649943X </v>
          </cell>
          <cell r="CK5816" t="str">
            <v>2024-11-11</v>
          </cell>
          <cell r="CL5816">
            <v>15384.554</v>
          </cell>
          <cell r="CM5816" t="str">
            <v xml:space="preserve">NFT-/XUTR/DEUTH02431658955X </v>
          </cell>
          <cell r="CN5816" t="str">
            <v>2024-11-11</v>
          </cell>
          <cell r="CO5816">
            <v>1455.8620000000001</v>
          </cell>
        </row>
        <row r="5817">
          <cell r="CJ5817" t="str">
            <v xml:space="preserve">NFT-/XUTR/DEUTH02431649943X </v>
          </cell>
          <cell r="CK5817" t="str">
            <v>2024-11-11</v>
          </cell>
          <cell r="CL5817">
            <v>15501.558000000001</v>
          </cell>
          <cell r="CM5817" t="str">
            <v xml:space="preserve">NFT-/XUTR/DEUTH02431658955X </v>
          </cell>
          <cell r="CN5817" t="str">
            <v>2024-11-11</v>
          </cell>
          <cell r="CO5817">
            <v>1455.8620000000001</v>
          </cell>
        </row>
        <row r="5818">
          <cell r="CJ5818" t="str">
            <v xml:space="preserve">NFT-/XUTR/DEUTH02431649943X </v>
          </cell>
          <cell r="CK5818" t="str">
            <v>2024-11-11</v>
          </cell>
          <cell r="CL5818">
            <v>15520.438</v>
          </cell>
          <cell r="CM5818" t="str">
            <v xml:space="preserve">NFT-/XUTR/DEUTH02431658955X </v>
          </cell>
          <cell r="CN5818" t="str">
            <v>2024-11-11</v>
          </cell>
          <cell r="CO5818">
            <v>1455.8620000000001</v>
          </cell>
        </row>
        <row r="5819">
          <cell r="CJ5819" t="str">
            <v xml:space="preserve">NFT-/XUTR/DEUTH02431649943X </v>
          </cell>
          <cell r="CK5819" t="str">
            <v>2024-11-11</v>
          </cell>
          <cell r="CL5819">
            <v>15365.674000000001</v>
          </cell>
          <cell r="CM5819" t="str">
            <v xml:space="preserve">NFT-/XUTR/DEUTH02431658955X </v>
          </cell>
          <cell r="CN5819" t="str">
            <v>2024-11-11</v>
          </cell>
          <cell r="CO5819">
            <v>1455.8620000000001</v>
          </cell>
          <cell r="CP5819" t="str">
            <v xml:space="preserve">NFT-/XUTR/DEUTH02431839302X </v>
          </cell>
          <cell r="CQ5819" t="str">
            <v>2024-11-13</v>
          </cell>
          <cell r="CR5819">
            <v>-15365.674000000001</v>
          </cell>
          <cell r="CS5819" t="str">
            <v xml:space="preserve">NFT-/XUTR/DEUTH02431843558X </v>
          </cell>
          <cell r="CT5819" t="str">
            <v>2024-11-13</v>
          </cell>
          <cell r="CU5819">
            <v>-1455.8620000000001</v>
          </cell>
        </row>
        <row r="5820">
          <cell r="CJ5820" t="str">
            <v xml:space="preserve">NFT-/XUTR/DEUTH02431649943X </v>
          </cell>
          <cell r="CK5820" t="str">
            <v>2024-11-11</v>
          </cell>
          <cell r="CL5820">
            <v>15520.438</v>
          </cell>
          <cell r="CM5820" t="str">
            <v xml:space="preserve">NFT-/XUTR/DEUTH02431658955X </v>
          </cell>
          <cell r="CN5820" t="str">
            <v>2024-11-11</v>
          </cell>
          <cell r="CO5820">
            <v>1455.8620000000001</v>
          </cell>
          <cell r="CP5820" t="str">
            <v xml:space="preserve">NFT-/XUTR/DEUTH02432540165X </v>
          </cell>
          <cell r="CQ5820" t="str">
            <v>2024-11-20</v>
          </cell>
          <cell r="CR5820">
            <v>-15520.438</v>
          </cell>
          <cell r="CS5820" t="str">
            <v xml:space="preserve">NFT-/XUTR/DEUTH02432567146X </v>
          </cell>
          <cell r="CT5820" t="str">
            <v>2024-11-20</v>
          </cell>
          <cell r="CU5820">
            <v>-1455.8620000000001</v>
          </cell>
        </row>
        <row r="5821">
          <cell r="CJ5821" t="str">
            <v xml:space="preserve">NFT-/XUTR/DEUTH02431649943X </v>
          </cell>
          <cell r="CK5821" t="str">
            <v>2024-11-11</v>
          </cell>
          <cell r="CL5821">
            <v>15384.554</v>
          </cell>
          <cell r="CM5821" t="str">
            <v xml:space="preserve">NFT-/XUTR/DEUTH02431658955X </v>
          </cell>
          <cell r="CN5821" t="str">
            <v>2024-11-11</v>
          </cell>
          <cell r="CO5821">
            <v>1455.8620000000001</v>
          </cell>
        </row>
        <row r="5822">
          <cell r="CJ5822" t="str">
            <v xml:space="preserve">NFT-/XUTR/DEUTH02431649943X </v>
          </cell>
          <cell r="CK5822" t="str">
            <v>2024-11-11</v>
          </cell>
          <cell r="CL5822">
            <v>15384.554</v>
          </cell>
          <cell r="CM5822" t="str">
            <v xml:space="preserve">NFT-/XUTR/DEUTH02431658955X </v>
          </cell>
          <cell r="CN5822" t="str">
            <v>2024-11-11</v>
          </cell>
          <cell r="CO5822">
            <v>1455.8620000000001</v>
          </cell>
        </row>
        <row r="5823">
          <cell r="CJ5823" t="str">
            <v xml:space="preserve">NFT-/XUTR/DEUTH02431649943X </v>
          </cell>
          <cell r="CK5823" t="str">
            <v>2024-11-11</v>
          </cell>
          <cell r="CL5823">
            <v>15501.558000000001</v>
          </cell>
          <cell r="CM5823" t="str">
            <v xml:space="preserve">NFT-/XUTR/DEUTH02431658955X </v>
          </cell>
          <cell r="CN5823" t="str">
            <v>2024-11-11</v>
          </cell>
          <cell r="CO5823">
            <v>1455.8620000000001</v>
          </cell>
        </row>
        <row r="5824">
          <cell r="CJ5824" t="str">
            <v xml:space="preserve">NFT-/XUTR/DEUTH02431649943X </v>
          </cell>
          <cell r="CK5824" t="str">
            <v>2024-11-11</v>
          </cell>
          <cell r="CL5824">
            <v>15501.558000000001</v>
          </cell>
          <cell r="CM5824" t="str">
            <v xml:space="preserve">NFT-/XUTR/DEUTH02431658955X </v>
          </cell>
          <cell r="CN5824" t="str">
            <v>2024-11-11</v>
          </cell>
          <cell r="CO5824">
            <v>1455.8620000000001</v>
          </cell>
        </row>
        <row r="5825">
          <cell r="CJ5825" t="str">
            <v xml:space="preserve">NFT-/XUTR/DEUTH02431649943X </v>
          </cell>
          <cell r="CK5825" t="str">
            <v>2024-11-11</v>
          </cell>
          <cell r="CL5825">
            <v>7767.48</v>
          </cell>
          <cell r="CM5825" t="str">
            <v xml:space="preserve">NFT-/XUTR/DEUTH02431658955X </v>
          </cell>
          <cell r="CN5825" t="str">
            <v>2024-11-11</v>
          </cell>
          <cell r="CO5825">
            <v>871.57899999999995</v>
          </cell>
        </row>
        <row r="5826">
          <cell r="CJ5826" t="str">
            <v xml:space="preserve">NFT-/XUTR/DEUTH02431649943X </v>
          </cell>
          <cell r="CK5826" t="str">
            <v>2024-11-11</v>
          </cell>
          <cell r="CL5826">
            <v>15501.558000000001</v>
          </cell>
          <cell r="CM5826" t="str">
            <v xml:space="preserve">NFT-/XUTR/DEUTH02431658955X </v>
          </cell>
          <cell r="CN5826" t="str">
            <v>2024-11-11</v>
          </cell>
          <cell r="CO5826">
            <v>1455.8620000000001</v>
          </cell>
        </row>
        <row r="5827">
          <cell r="CJ5827" t="str">
            <v xml:space="preserve">NFT-/XUTR/DEUTH02431649943X </v>
          </cell>
          <cell r="CK5827" t="str">
            <v>2024-11-11</v>
          </cell>
          <cell r="CL5827">
            <v>15501.558000000001</v>
          </cell>
          <cell r="CM5827" t="str">
            <v xml:space="preserve">NFT-/XUTR/DEUTH02431658955X </v>
          </cell>
          <cell r="CN5827" t="str">
            <v>2024-11-11</v>
          </cell>
          <cell r="CO5827">
            <v>1455.8620000000001</v>
          </cell>
        </row>
        <row r="5828">
          <cell r="CJ5828" t="str">
            <v xml:space="preserve">NFT-/XUTR/DEUTH02431649943X </v>
          </cell>
          <cell r="CK5828" t="str">
            <v>2024-11-11</v>
          </cell>
          <cell r="CL5828">
            <v>15520.438</v>
          </cell>
          <cell r="CM5828" t="str">
            <v xml:space="preserve">NFT-/XUTR/DEUTH02431658955X </v>
          </cell>
          <cell r="CN5828" t="str">
            <v>2024-11-11</v>
          </cell>
          <cell r="CO5828">
            <v>1455.8620000000001</v>
          </cell>
        </row>
        <row r="5829">
          <cell r="CJ5829" t="str">
            <v xml:space="preserve">NFT-/XUTR/DEUTH02431649943X </v>
          </cell>
          <cell r="CK5829" t="str">
            <v>2024-11-11</v>
          </cell>
          <cell r="CL5829">
            <v>15384.554</v>
          </cell>
          <cell r="CM5829" t="str">
            <v xml:space="preserve">NFT-/XUTR/DEUTH02431658955X </v>
          </cell>
          <cell r="CN5829" t="str">
            <v>2024-11-11</v>
          </cell>
          <cell r="CO5829">
            <v>1455.8620000000001</v>
          </cell>
        </row>
        <row r="5830">
          <cell r="CJ5830" t="str">
            <v xml:space="preserve">NFT-/XUTR/DEUTH02431649943X </v>
          </cell>
          <cell r="CK5830" t="str">
            <v>2024-11-11</v>
          </cell>
          <cell r="CL5830">
            <v>15384.554</v>
          </cell>
          <cell r="CM5830" t="str">
            <v xml:space="preserve">NFT-/XUTR/DEUTH02431658955X </v>
          </cell>
          <cell r="CN5830" t="str">
            <v>2024-11-11</v>
          </cell>
          <cell r="CO5830">
            <v>1455.8620000000001</v>
          </cell>
        </row>
        <row r="5831">
          <cell r="CJ5831" t="str">
            <v xml:space="preserve">NFT-/XUTR/DEUTH02431649943X </v>
          </cell>
          <cell r="CK5831" t="str">
            <v>2024-11-11</v>
          </cell>
          <cell r="CL5831">
            <v>15384.554</v>
          </cell>
          <cell r="CM5831" t="str">
            <v xml:space="preserve">NFT-/XUTR/DEUTH02431658955X </v>
          </cell>
          <cell r="CN5831" t="str">
            <v>2024-11-11</v>
          </cell>
          <cell r="CO5831">
            <v>1455.8620000000001</v>
          </cell>
        </row>
        <row r="5832">
          <cell r="CJ5832" t="str">
            <v xml:space="preserve">NFT-/XUTR/DEUTH02431649943X </v>
          </cell>
          <cell r="CK5832" t="str">
            <v>2024-11-11</v>
          </cell>
          <cell r="CL5832">
            <v>15501.558000000001</v>
          </cell>
          <cell r="CM5832" t="str">
            <v xml:space="preserve">NFT-/XUTR/DEUTH02431658955X </v>
          </cell>
          <cell r="CN5832" t="str">
            <v>2024-11-11</v>
          </cell>
          <cell r="CO5832">
            <v>1455.8620000000001</v>
          </cell>
        </row>
        <row r="5833">
          <cell r="CJ5833" t="str">
            <v xml:space="preserve">NFT-/XUTR/DEUTH02431649943X </v>
          </cell>
          <cell r="CK5833" t="str">
            <v>2024-11-11</v>
          </cell>
          <cell r="CL5833">
            <v>79209.554999999993</v>
          </cell>
          <cell r="CM5833" t="str">
            <v xml:space="preserve">NFT-/XUTR/DEUTH02431658955X </v>
          </cell>
          <cell r="CN5833" t="str">
            <v>2024-11-11</v>
          </cell>
          <cell r="CO5833">
            <v>5580.8040000000001</v>
          </cell>
        </row>
        <row r="5834">
          <cell r="CJ5834" t="str">
            <v xml:space="preserve">NFT-/XUTR/DEUTH02431649943X </v>
          </cell>
          <cell r="CK5834" t="str">
            <v>2024-11-11</v>
          </cell>
          <cell r="CL5834">
            <v>15659.225</v>
          </cell>
          <cell r="CM5834" t="str">
            <v xml:space="preserve">NFT-/XUTR/DEUTH02431658955X </v>
          </cell>
          <cell r="CN5834" t="str">
            <v>2024-11-11</v>
          </cell>
          <cell r="CO5834">
            <v>1317.075</v>
          </cell>
          <cell r="CP5834" t="str">
            <v xml:space="preserve">NFT-/XUTR/DEUTH02432540165X </v>
          </cell>
          <cell r="CQ5834" t="str">
            <v>2024-11-20</v>
          </cell>
          <cell r="CR5834">
            <v>-15659.225</v>
          </cell>
          <cell r="CS5834" t="str">
            <v xml:space="preserve">NFT-/XUTR/DEUTH02432567146X </v>
          </cell>
          <cell r="CT5834" t="str">
            <v>2024-11-20</v>
          </cell>
          <cell r="CU5834">
            <v>-1317.075</v>
          </cell>
        </row>
        <row r="5835">
          <cell r="CJ5835" t="str">
            <v xml:space="preserve">NFT-/XUTR/DEUTH02431649943X </v>
          </cell>
          <cell r="CK5835" t="str">
            <v>2024-11-11</v>
          </cell>
          <cell r="CL5835">
            <v>15365.674000000001</v>
          </cell>
          <cell r="CM5835" t="str">
            <v xml:space="preserve">NFT-/XUTR/DEUTH02431658955X </v>
          </cell>
          <cell r="CN5835" t="str">
            <v>2024-11-11</v>
          </cell>
          <cell r="CO5835">
            <v>1455.8620000000001</v>
          </cell>
        </row>
        <row r="5836">
          <cell r="CJ5836" t="str">
            <v xml:space="preserve">NFT-/XUTR/DEUTH02431649943X </v>
          </cell>
          <cell r="CK5836" t="str">
            <v>2024-11-11</v>
          </cell>
          <cell r="CL5836">
            <v>15520.438</v>
          </cell>
          <cell r="CM5836" t="str">
            <v xml:space="preserve">NFT-/XUTR/DEUTH02431658955X </v>
          </cell>
          <cell r="CN5836" t="str">
            <v>2024-11-11</v>
          </cell>
          <cell r="CO5836">
            <v>1455.8620000000001</v>
          </cell>
        </row>
        <row r="5837">
          <cell r="CJ5837" t="str">
            <v xml:space="preserve">NFT-/XUTR/DEUTH02431649943X </v>
          </cell>
          <cell r="CK5837" t="str">
            <v>2024-11-11</v>
          </cell>
          <cell r="CL5837">
            <v>7748.6</v>
          </cell>
          <cell r="CM5837" t="str">
            <v xml:space="preserve">NFT-/XUTR/DEUTH02431658955X </v>
          </cell>
          <cell r="CN5837" t="str">
            <v>2024-11-11</v>
          </cell>
          <cell r="CO5837">
            <v>871.57899999999995</v>
          </cell>
        </row>
        <row r="5838">
          <cell r="CJ5838" t="str">
            <v xml:space="preserve">NFT-/XUTR/DEUTH02431649943X </v>
          </cell>
          <cell r="CK5838" t="str">
            <v>2024-11-11</v>
          </cell>
          <cell r="CL5838">
            <v>79209.554999999993</v>
          </cell>
          <cell r="CM5838" t="str">
            <v xml:space="preserve">NFT-/XUTR/DEUTH02431658955X </v>
          </cell>
          <cell r="CN5838" t="str">
            <v>2024-11-11</v>
          </cell>
          <cell r="CO5838">
            <v>5580.8040000000001</v>
          </cell>
        </row>
        <row r="5839">
          <cell r="CJ5839" t="str">
            <v xml:space="preserve">NFT-/XUTR/DEUTH02431649943X </v>
          </cell>
          <cell r="CK5839" t="str">
            <v>2024-11-11</v>
          </cell>
          <cell r="CL5839">
            <v>15365.674000000001</v>
          </cell>
          <cell r="CM5839" t="str">
            <v xml:space="preserve">NFT-/XUTR/DEUTH02431658955X </v>
          </cell>
          <cell r="CN5839" t="str">
            <v>2024-11-11</v>
          </cell>
          <cell r="CO5839">
            <v>1455.8620000000001</v>
          </cell>
        </row>
        <row r="5840">
          <cell r="CJ5840" t="str">
            <v xml:space="preserve">NFT-/XUTR/DEUTH02431649943X </v>
          </cell>
          <cell r="CK5840" t="str">
            <v>2024-11-11</v>
          </cell>
          <cell r="CL5840">
            <v>15262.790999999999</v>
          </cell>
          <cell r="CM5840" t="str">
            <v xml:space="preserve">NFT-/XUTR/DEUTH02431658955X </v>
          </cell>
          <cell r="CN5840" t="str">
            <v>2024-11-11</v>
          </cell>
          <cell r="CO5840">
            <v>1694.6189999999999</v>
          </cell>
        </row>
        <row r="5841">
          <cell r="CJ5841" t="str">
            <v xml:space="preserve">NFT-/XUTR/DEUTH02431649943X </v>
          </cell>
          <cell r="CK5841" t="str">
            <v>2024-11-11</v>
          </cell>
          <cell r="CL5841">
            <v>15229.264999999999</v>
          </cell>
          <cell r="CM5841" t="str">
            <v xml:space="preserve">NFT-/XUTR/DEUTH02431658955X </v>
          </cell>
          <cell r="CN5841" t="str">
            <v>2024-11-11</v>
          </cell>
          <cell r="CO5841">
            <v>1747.0350000000001</v>
          </cell>
        </row>
        <row r="5842">
          <cell r="CJ5842" t="str">
            <v xml:space="preserve">NFT-/XUTR/DEUTH02431649943X </v>
          </cell>
          <cell r="CK5842" t="str">
            <v>2024-11-11</v>
          </cell>
          <cell r="CL5842">
            <v>15365.674000000001</v>
          </cell>
          <cell r="CM5842" t="str">
            <v xml:space="preserve">NFT-/XUTR/DEUTH02431658955X </v>
          </cell>
          <cell r="CN5842" t="str">
            <v>2024-11-11</v>
          </cell>
          <cell r="CO5842">
            <v>1455.8620000000001</v>
          </cell>
        </row>
        <row r="5843">
          <cell r="CJ5843" t="str">
            <v xml:space="preserve">NFT-/XUTR/DEUTH02431649943X </v>
          </cell>
          <cell r="CK5843" t="str">
            <v>2024-11-11</v>
          </cell>
          <cell r="CL5843">
            <v>7767.48</v>
          </cell>
          <cell r="CM5843" t="str">
            <v xml:space="preserve">NFT-/XUTR/DEUTH02431658955X </v>
          </cell>
          <cell r="CN5843" t="str">
            <v>2024-11-11</v>
          </cell>
          <cell r="CO5843">
            <v>871.57899999999995</v>
          </cell>
        </row>
        <row r="5844">
          <cell r="CJ5844" t="str">
            <v xml:space="preserve">NFT-/XUTR/DEUTH02431649943X </v>
          </cell>
          <cell r="CK5844" t="str">
            <v>2024-11-11</v>
          </cell>
          <cell r="CL5844">
            <v>7706.3379999999997</v>
          </cell>
          <cell r="CM5844" t="str">
            <v xml:space="preserve">NFT-/XUTR/DEUTH02431658955X </v>
          </cell>
          <cell r="CN5844" t="str">
            <v>2024-11-11</v>
          </cell>
          <cell r="CO5844">
            <v>864.78</v>
          </cell>
        </row>
        <row r="5845">
          <cell r="CJ5845" t="str">
            <v xml:space="preserve">NFT-/XUTR/DEUTH02431649943X </v>
          </cell>
          <cell r="CK5845" t="str">
            <v>2024-11-11</v>
          </cell>
          <cell r="CL5845">
            <v>15520.438</v>
          </cell>
          <cell r="CM5845" t="str">
            <v xml:space="preserve">NFT-/XUTR/DEUTH02431658955X </v>
          </cell>
          <cell r="CN5845" t="str">
            <v>2024-11-11</v>
          </cell>
          <cell r="CO5845">
            <v>1455.8620000000001</v>
          </cell>
        </row>
        <row r="5846">
          <cell r="CJ5846" t="str">
            <v xml:space="preserve">NFT-/XUTR/DEUTH02431649943X </v>
          </cell>
          <cell r="CK5846" t="str">
            <v>2024-11-11</v>
          </cell>
          <cell r="CL5846">
            <v>15435.554</v>
          </cell>
          <cell r="CM5846" t="str">
            <v xml:space="preserve">NFT-/XUTR/DEUTH02431658955X </v>
          </cell>
          <cell r="CN5846" t="str">
            <v>2024-11-11</v>
          </cell>
          <cell r="CO5846">
            <v>1521.856</v>
          </cell>
          <cell r="CP5846" t="str">
            <v xml:space="preserve">NFT-/XUTR/DEUTH02432045075X </v>
          </cell>
          <cell r="CQ5846" t="str">
            <v>2024-11-15</v>
          </cell>
          <cell r="CR5846">
            <v>-15435.554</v>
          </cell>
          <cell r="CS5846" t="str">
            <v xml:space="preserve">NFT-/XUTR/DEUTH02432059153X </v>
          </cell>
          <cell r="CT5846" t="str">
            <v>2024-11-15</v>
          </cell>
          <cell r="CU5846">
            <v>-1521.856</v>
          </cell>
        </row>
        <row r="5847">
          <cell r="CJ5847" t="str">
            <v xml:space="preserve">NFT-/XUTR/DEUTH02431649943X </v>
          </cell>
          <cell r="CK5847" t="str">
            <v>2024-11-11</v>
          </cell>
          <cell r="CL5847">
            <v>15365.674000000001</v>
          </cell>
          <cell r="CM5847" t="str">
            <v xml:space="preserve">NFT-/XUTR/DEUTH02431658955X </v>
          </cell>
          <cell r="CN5847" t="str">
            <v>2024-11-11</v>
          </cell>
          <cell r="CO5847">
            <v>1455.8620000000001</v>
          </cell>
        </row>
        <row r="5848">
          <cell r="CJ5848" t="str">
            <v xml:space="preserve">NFT-/XUTR/DEUTH02431649943X </v>
          </cell>
          <cell r="CK5848" t="str">
            <v>2024-11-11</v>
          </cell>
          <cell r="CL5848">
            <v>79190.676000000007</v>
          </cell>
          <cell r="CM5848" t="str">
            <v xml:space="preserve">NFT-/XUTR/DEUTH02431658955X </v>
          </cell>
          <cell r="CN5848" t="str">
            <v>2024-11-11</v>
          </cell>
          <cell r="CO5848">
            <v>5580.8050000000003</v>
          </cell>
        </row>
        <row r="5849">
          <cell r="CJ5849" t="str">
            <v xml:space="preserve">NFT-/XUTR/DEUTH02431649943X </v>
          </cell>
          <cell r="CK5849" t="str">
            <v>2024-11-11</v>
          </cell>
          <cell r="CL5849">
            <v>15501.558000000001</v>
          </cell>
          <cell r="CM5849" t="str">
            <v xml:space="preserve">NFT-/XUTR/DEUTH02431658955X </v>
          </cell>
          <cell r="CN5849" t="str">
            <v>2024-11-11</v>
          </cell>
          <cell r="CO5849">
            <v>1455.8620000000001</v>
          </cell>
        </row>
        <row r="5850">
          <cell r="CJ5850" t="str">
            <v xml:space="preserve">NFT-/XUTR/DEUTH02431649943X </v>
          </cell>
          <cell r="CK5850" t="str">
            <v>2024-11-11</v>
          </cell>
          <cell r="CL5850">
            <v>7706.3379999999997</v>
          </cell>
          <cell r="CM5850" t="str">
            <v xml:space="preserve">NFT-/XUTR/DEUTH02431658955X </v>
          </cell>
          <cell r="CN5850" t="str">
            <v>2024-11-11</v>
          </cell>
          <cell r="CO5850">
            <v>864.78</v>
          </cell>
        </row>
        <row r="5851">
          <cell r="CJ5851" t="str">
            <v xml:space="preserve">NFT-/XUTR/DEUTH02431649943X </v>
          </cell>
          <cell r="CK5851" t="str">
            <v>2024-11-11</v>
          </cell>
          <cell r="CL5851">
            <v>7767.48</v>
          </cell>
          <cell r="CM5851" t="str">
            <v xml:space="preserve">NFT-/XUTR/DEUTH02431658955X </v>
          </cell>
          <cell r="CN5851" t="str">
            <v>2024-11-11</v>
          </cell>
          <cell r="CO5851">
            <v>871.57899999999995</v>
          </cell>
        </row>
        <row r="5852">
          <cell r="CJ5852" t="str">
            <v xml:space="preserve">NFT-/XUTR/DEUTH02431649943X </v>
          </cell>
          <cell r="CK5852" t="str">
            <v>2024-11-11</v>
          </cell>
          <cell r="CL5852">
            <v>15365.674000000001</v>
          </cell>
          <cell r="CM5852" t="str">
            <v xml:space="preserve">NFT-/XUTR/DEUTH02431658955X </v>
          </cell>
          <cell r="CN5852" t="str">
            <v>2024-11-11</v>
          </cell>
          <cell r="CO5852">
            <v>1455.8620000000001</v>
          </cell>
        </row>
        <row r="5853">
          <cell r="CJ5853" t="str">
            <v xml:space="preserve">NFT-/XUTR/DEUTH02431649943X </v>
          </cell>
          <cell r="CK5853" t="str">
            <v>2024-11-11</v>
          </cell>
          <cell r="CL5853">
            <v>15384.554</v>
          </cell>
          <cell r="CM5853" t="str">
            <v xml:space="preserve">NFT-/XUTR/DEUTH02431658955X </v>
          </cell>
          <cell r="CN5853" t="str">
            <v>2024-11-11</v>
          </cell>
          <cell r="CO5853">
            <v>1455.8620000000001</v>
          </cell>
        </row>
        <row r="5854">
          <cell r="CJ5854" t="str">
            <v xml:space="preserve">NFT-/XUTR/DEUTH02431649943X </v>
          </cell>
          <cell r="CK5854" t="str">
            <v>2024-11-11</v>
          </cell>
          <cell r="CL5854">
            <v>15365.674000000001</v>
          </cell>
          <cell r="CM5854" t="str">
            <v xml:space="preserve">NFT-/XUTR/DEUTH02431658955X </v>
          </cell>
          <cell r="CN5854" t="str">
            <v>2024-11-11</v>
          </cell>
          <cell r="CO5854">
            <v>1455.8620000000001</v>
          </cell>
        </row>
        <row r="5855">
          <cell r="CJ5855" t="str">
            <v xml:space="preserve">NFT-/XUTR/DEUTH02431649943X </v>
          </cell>
          <cell r="CK5855" t="str">
            <v>2024-11-11</v>
          </cell>
          <cell r="CL5855">
            <v>15501.558000000001</v>
          </cell>
          <cell r="CM5855" t="str">
            <v xml:space="preserve">NFT-/XUTR/DEUTH02431658955X </v>
          </cell>
          <cell r="CN5855" t="str">
            <v>2024-11-11</v>
          </cell>
          <cell r="CO5855">
            <v>1455.8620000000001</v>
          </cell>
        </row>
        <row r="5856">
          <cell r="CJ5856" t="str">
            <v xml:space="preserve">NFT-/XUTR/DEUTH02431649943X </v>
          </cell>
          <cell r="CK5856" t="str">
            <v>2024-11-11</v>
          </cell>
          <cell r="CL5856">
            <v>7706.3379999999997</v>
          </cell>
          <cell r="CM5856" t="str">
            <v xml:space="preserve">NFT-/XUTR/DEUTH02431658955X </v>
          </cell>
          <cell r="CN5856" t="str">
            <v>2024-11-11</v>
          </cell>
          <cell r="CO5856">
            <v>864.78</v>
          </cell>
        </row>
        <row r="5857">
          <cell r="CJ5857" t="str">
            <v xml:space="preserve">NFT-/XUTR/DEUTH02431649943X </v>
          </cell>
          <cell r="CK5857" t="str">
            <v>2024-11-11</v>
          </cell>
          <cell r="CL5857">
            <v>15520.438</v>
          </cell>
          <cell r="CM5857" t="str">
            <v xml:space="preserve">NFT-/XUTR/DEUTH02431658955X </v>
          </cell>
          <cell r="CN5857" t="str">
            <v>2024-11-11</v>
          </cell>
          <cell r="CO5857">
            <v>1455.8620000000001</v>
          </cell>
          <cell r="CP5857" t="str">
            <v xml:space="preserve">NFT-/XUTR/DEUTH02432540165X </v>
          </cell>
          <cell r="CQ5857" t="str">
            <v>2024-11-20</v>
          </cell>
          <cell r="CR5857">
            <v>-15520.438</v>
          </cell>
          <cell r="CS5857" t="str">
            <v xml:space="preserve">NFT-/XUTR/DEUTH02432567146X </v>
          </cell>
          <cell r="CT5857" t="str">
            <v>2024-11-20</v>
          </cell>
          <cell r="CU5857">
            <v>-1455.8620000000001</v>
          </cell>
        </row>
        <row r="5858">
          <cell r="CJ5858" t="str">
            <v xml:space="preserve">NFT-/XUTR/DEUTH02431649943X </v>
          </cell>
          <cell r="CK5858" t="str">
            <v>2024-11-11</v>
          </cell>
          <cell r="CL5858">
            <v>15384.554</v>
          </cell>
          <cell r="CM5858" t="str">
            <v xml:space="preserve">NFT-/XUTR/DEUTH02431658955X </v>
          </cell>
          <cell r="CN5858" t="str">
            <v>2024-11-11</v>
          </cell>
          <cell r="CO5858">
            <v>1455.8620000000001</v>
          </cell>
        </row>
        <row r="5859">
          <cell r="CJ5859" t="str">
            <v xml:space="preserve">NFT-/XUTR/DEUTH02431649943X </v>
          </cell>
          <cell r="CK5859" t="str">
            <v>2024-11-11</v>
          </cell>
          <cell r="CL5859">
            <v>14795.42</v>
          </cell>
          <cell r="CM5859" t="str">
            <v xml:space="preserve">NFT-/XUTR/DEUTH02431658955X </v>
          </cell>
          <cell r="CN5859" t="str">
            <v>2024-11-11</v>
          </cell>
          <cell r="CO5859">
            <v>2180.8809999999999</v>
          </cell>
        </row>
        <row r="5860">
          <cell r="CJ5860" t="str">
            <v xml:space="preserve">NFT-/XUTR/DEUTH02431649943X </v>
          </cell>
          <cell r="CK5860" t="str">
            <v>2024-11-11</v>
          </cell>
          <cell r="CL5860">
            <v>15501.558000000001</v>
          </cell>
          <cell r="CM5860" t="str">
            <v xml:space="preserve">NFT-/XUTR/DEUTH02431658955X </v>
          </cell>
          <cell r="CN5860" t="str">
            <v>2024-11-11</v>
          </cell>
          <cell r="CO5860">
            <v>1455.8620000000001</v>
          </cell>
        </row>
        <row r="5861">
          <cell r="CJ5861" t="str">
            <v xml:space="preserve">NFT-/XUTR/DEUTH02431649943X </v>
          </cell>
          <cell r="CK5861" t="str">
            <v>2024-11-11</v>
          </cell>
          <cell r="CL5861">
            <v>15384.554</v>
          </cell>
          <cell r="CM5861" t="str">
            <v xml:space="preserve">NFT-/XUTR/DEUTH02431658955X </v>
          </cell>
          <cell r="CN5861" t="str">
            <v>2024-11-11</v>
          </cell>
          <cell r="CO5861">
            <v>1455.8620000000001</v>
          </cell>
          <cell r="CP5861" t="str">
            <v xml:space="preserve">NFT-/XUTR/DEUTH02432756454X </v>
          </cell>
          <cell r="CQ5861" t="str">
            <v>2024-11-22</v>
          </cell>
          <cell r="CR5861">
            <v>-15384.554</v>
          </cell>
          <cell r="CV5861" t="str">
            <v xml:space="preserve">NFT-/XUTR/DEUTH02433956210X </v>
          </cell>
          <cell r="CW5861" t="str">
            <v>2024-12-04</v>
          </cell>
          <cell r="CX5861">
            <v>-1455.8620000000001</v>
          </cell>
        </row>
        <row r="5862">
          <cell r="CJ5862" t="str">
            <v xml:space="preserve">NFT-/XUTR/DEUTH02431649943X </v>
          </cell>
          <cell r="CK5862" t="str">
            <v>2024-11-11</v>
          </cell>
          <cell r="CL5862">
            <v>15365.674000000001</v>
          </cell>
          <cell r="CM5862" t="str">
            <v xml:space="preserve">NFT-/XUTR/DEUTH02431658955X </v>
          </cell>
          <cell r="CN5862" t="str">
            <v>2024-11-11</v>
          </cell>
          <cell r="CO5862">
            <v>1455.8620000000001</v>
          </cell>
        </row>
        <row r="5863">
          <cell r="CJ5863" t="str">
            <v xml:space="preserve">NFT-/XUTR/DEUTH02431649943X </v>
          </cell>
          <cell r="CK5863" t="str">
            <v>2024-11-11</v>
          </cell>
          <cell r="CL5863">
            <v>15520.438</v>
          </cell>
          <cell r="CM5863" t="str">
            <v xml:space="preserve">NFT-/XUTR/DEUTH02431658955X </v>
          </cell>
          <cell r="CN5863" t="str">
            <v>2024-11-11</v>
          </cell>
          <cell r="CO5863">
            <v>1455.8620000000001</v>
          </cell>
          <cell r="CP5863" t="str">
            <v xml:space="preserve">NFT-/XUTR/DEUTH02432756454X </v>
          </cell>
          <cell r="CQ5863" t="str">
            <v>2024-11-22</v>
          </cell>
          <cell r="CR5863">
            <v>-15520.438</v>
          </cell>
          <cell r="CV5863" t="str">
            <v xml:space="preserve">NFT-/XUTR/DEUTH02433956210X </v>
          </cell>
          <cell r="CW5863" t="str">
            <v>2024-12-04</v>
          </cell>
          <cell r="CX5863">
            <v>-1455.8620000000001</v>
          </cell>
        </row>
        <row r="5864">
          <cell r="CJ5864" t="str">
            <v xml:space="preserve">NFT-/XUTR/DEUTH02431649943X </v>
          </cell>
          <cell r="CK5864" t="str">
            <v>2024-11-11</v>
          </cell>
          <cell r="CL5864">
            <v>7767.4790000000003</v>
          </cell>
          <cell r="CM5864" t="str">
            <v xml:space="preserve">NFT-/XUTR/DEUTH02431658955X </v>
          </cell>
          <cell r="CN5864" t="str">
            <v>2024-11-11</v>
          </cell>
          <cell r="CO5864">
            <v>871.57799999999997</v>
          </cell>
        </row>
        <row r="5865">
          <cell r="CJ5865" t="str">
            <v xml:space="preserve">NFT-/XUTR/DEUTH02431649943X </v>
          </cell>
          <cell r="CK5865" t="str">
            <v>2024-11-11</v>
          </cell>
          <cell r="CL5865">
            <v>15365.674000000001</v>
          </cell>
          <cell r="CM5865" t="str">
            <v xml:space="preserve">NFT-/XUTR/DEUTH02431658955X </v>
          </cell>
          <cell r="CN5865" t="str">
            <v>2024-11-11</v>
          </cell>
          <cell r="CO5865">
            <v>1455.8620000000001</v>
          </cell>
        </row>
        <row r="5866">
          <cell r="CJ5866" t="str">
            <v xml:space="preserve">NFT-/XUTR/DEUTH02431649943X </v>
          </cell>
          <cell r="CK5866" t="str">
            <v>2024-11-11</v>
          </cell>
          <cell r="CL5866">
            <v>15520.438</v>
          </cell>
          <cell r="CM5866" t="str">
            <v xml:space="preserve">NFT-/XUTR/DEUTH02431658955X </v>
          </cell>
          <cell r="CN5866" t="str">
            <v>2024-11-11</v>
          </cell>
          <cell r="CO5866">
            <v>1455.8620000000001</v>
          </cell>
          <cell r="CP5866" t="str">
            <v xml:space="preserve">NFT-/XUTR/DEUTH02432540165X </v>
          </cell>
          <cell r="CQ5866" t="str">
            <v>2024-11-20</v>
          </cell>
          <cell r="CR5866">
            <v>-15520.438</v>
          </cell>
          <cell r="CS5866" t="str">
            <v xml:space="preserve">NFT-/XUTR/DEUTH02432567146X </v>
          </cell>
          <cell r="CT5866" t="str">
            <v>2024-11-20</v>
          </cell>
          <cell r="CU5866">
            <v>-1455.8620000000001</v>
          </cell>
        </row>
        <row r="5867">
          <cell r="CJ5867" t="str">
            <v xml:space="preserve">NFT-/XUTR/DEUTH02431649943X </v>
          </cell>
          <cell r="CK5867" t="str">
            <v>2024-11-11</v>
          </cell>
          <cell r="CL5867">
            <v>15384.554</v>
          </cell>
          <cell r="CM5867" t="str">
            <v xml:space="preserve">NFT-/XUTR/DEUTH02431658955X </v>
          </cell>
          <cell r="CN5867" t="str">
            <v>2024-11-11</v>
          </cell>
          <cell r="CO5867">
            <v>1455.8620000000001</v>
          </cell>
        </row>
        <row r="5868">
          <cell r="CJ5868" t="str">
            <v xml:space="preserve">NFT-/XUTR/DEUTH02431649943X </v>
          </cell>
          <cell r="CK5868" t="str">
            <v>2024-11-11</v>
          </cell>
          <cell r="CL5868">
            <v>15328.262000000001</v>
          </cell>
          <cell r="CM5868" t="str">
            <v xml:space="preserve">NFT-/XUTR/DEUTH02431658955X </v>
          </cell>
          <cell r="CN5868" t="str">
            <v>2024-11-11</v>
          </cell>
          <cell r="CO5868">
            <v>1648.038</v>
          </cell>
        </row>
        <row r="5869">
          <cell r="CJ5869" t="str">
            <v xml:space="preserve">NFT-/XUTR/DEUTH02431649943X </v>
          </cell>
          <cell r="CK5869" t="str">
            <v>2024-11-11</v>
          </cell>
          <cell r="CL5869">
            <v>7767.4790000000003</v>
          </cell>
          <cell r="CM5869" t="str">
            <v xml:space="preserve">NFT-/XUTR/DEUTH02431658955X </v>
          </cell>
          <cell r="CN5869" t="str">
            <v>2024-11-11</v>
          </cell>
          <cell r="CO5869">
            <v>871.57799999999997</v>
          </cell>
        </row>
        <row r="5870">
          <cell r="CJ5870" t="str">
            <v xml:space="preserve">NFT-/XUTR/DEUTH02431649943X </v>
          </cell>
          <cell r="CK5870" t="str">
            <v>2024-11-11</v>
          </cell>
          <cell r="CL5870">
            <v>15520.438</v>
          </cell>
          <cell r="CM5870" t="str">
            <v xml:space="preserve">NFT-/XUTR/DEUTH02431658955X </v>
          </cell>
          <cell r="CN5870" t="str">
            <v>2024-11-11</v>
          </cell>
          <cell r="CO5870">
            <v>1455.8620000000001</v>
          </cell>
        </row>
        <row r="5871">
          <cell r="CJ5871" t="str">
            <v xml:space="preserve">NFT-/XUTR/DEUTH02431649943X </v>
          </cell>
          <cell r="CK5871" t="str">
            <v>2024-11-11</v>
          </cell>
          <cell r="CL5871">
            <v>15501.558000000001</v>
          </cell>
          <cell r="CM5871" t="str">
            <v xml:space="preserve">NFT-/XUTR/DEUTH02431658955X </v>
          </cell>
          <cell r="CN5871" t="str">
            <v>2024-11-11</v>
          </cell>
          <cell r="CO5871">
            <v>1455.8620000000001</v>
          </cell>
        </row>
        <row r="5872">
          <cell r="CJ5872" t="str">
            <v xml:space="preserve">NFT-/XUTR/DEUTH02431649943X </v>
          </cell>
          <cell r="CK5872" t="str">
            <v>2024-11-11</v>
          </cell>
          <cell r="CL5872">
            <v>15384.554</v>
          </cell>
          <cell r="CM5872" t="str">
            <v xml:space="preserve">NFT-/XUTR/DEUTH02431658955X </v>
          </cell>
          <cell r="CN5872" t="str">
            <v>2024-11-11</v>
          </cell>
          <cell r="CO5872">
            <v>1455.8620000000001</v>
          </cell>
        </row>
        <row r="5873">
          <cell r="CJ5873" t="str">
            <v xml:space="preserve">NFT-/XUTR/DEUTH02431649943X </v>
          </cell>
          <cell r="CK5873" t="str">
            <v>2024-11-11</v>
          </cell>
          <cell r="CL5873">
            <v>15501.558000000001</v>
          </cell>
          <cell r="CM5873" t="str">
            <v xml:space="preserve">NFT-/XUTR/DEUTH02431658955X </v>
          </cell>
          <cell r="CN5873" t="str">
            <v>2024-11-11</v>
          </cell>
          <cell r="CO5873">
            <v>1455.8620000000001</v>
          </cell>
        </row>
        <row r="5874">
          <cell r="CJ5874" t="str">
            <v xml:space="preserve">NFT-/XUTR/DEUTH02431649943X </v>
          </cell>
          <cell r="CK5874" t="str">
            <v>2024-11-11</v>
          </cell>
          <cell r="CL5874">
            <v>14667.299000000001</v>
          </cell>
          <cell r="CM5874" t="str">
            <v xml:space="preserve">NFT-/XUTR/DEUTH02431658955X </v>
          </cell>
          <cell r="CN5874" t="str">
            <v>2024-11-11</v>
          </cell>
          <cell r="CO5874">
            <v>2309.0030000000002</v>
          </cell>
        </row>
        <row r="5875">
          <cell r="CJ5875" t="str">
            <v xml:space="preserve">NFT-/XUTR/DEUTH02431649943X </v>
          </cell>
          <cell r="CK5875" t="str">
            <v>2024-11-11</v>
          </cell>
          <cell r="CL5875">
            <v>7374.4009999999998</v>
          </cell>
          <cell r="CM5875" t="str">
            <v xml:space="preserve">NFT-/XUTR/DEUTH02431658955X </v>
          </cell>
          <cell r="CN5875" t="str">
            <v>2024-11-11</v>
          </cell>
          <cell r="CO5875">
            <v>1264.6590000000001</v>
          </cell>
          <cell r="CP5875" t="str">
            <v xml:space="preserve">NFT-/XUTR/DEUTH02432045075X </v>
          </cell>
          <cell r="CQ5875" t="str">
            <v>2024-11-15</v>
          </cell>
          <cell r="CR5875">
            <v>-7374.4009999999998</v>
          </cell>
          <cell r="CS5875" t="str">
            <v xml:space="preserve">NFT-/XUTR/DEUTH02432059153X </v>
          </cell>
          <cell r="CT5875" t="str">
            <v>2024-11-15</v>
          </cell>
          <cell r="CU5875">
            <v>-1264.6590000000001</v>
          </cell>
        </row>
        <row r="5876">
          <cell r="CJ5876" t="str">
            <v xml:space="preserve">NFT-/XUTR/DEUTH02431649943X </v>
          </cell>
          <cell r="CK5876" t="str">
            <v>2024-11-11</v>
          </cell>
          <cell r="CL5876">
            <v>15501.558000000001</v>
          </cell>
          <cell r="CM5876" t="str">
            <v xml:space="preserve">NFT-/XUTR/DEUTH02431658955X </v>
          </cell>
          <cell r="CN5876" t="str">
            <v>2024-11-11</v>
          </cell>
          <cell r="CO5876">
            <v>1455.8620000000001</v>
          </cell>
          <cell r="CP5876" t="str">
            <v xml:space="preserve">NFT-/XUTR/DEUTH02432045075X </v>
          </cell>
          <cell r="CQ5876" t="str">
            <v>2024-11-15</v>
          </cell>
          <cell r="CR5876">
            <v>-15501.558000000001</v>
          </cell>
          <cell r="CS5876" t="str">
            <v xml:space="preserve">NFT-/XUTR/DEUTH02432059153X </v>
          </cell>
          <cell r="CT5876" t="str">
            <v>2024-11-15</v>
          </cell>
          <cell r="CU5876">
            <v>-1455.8620000000001</v>
          </cell>
        </row>
        <row r="5877">
          <cell r="CJ5877" t="str">
            <v xml:space="preserve">NFT-/XUTR/DEUTH02431649943X </v>
          </cell>
          <cell r="CK5877" t="str">
            <v>2024-11-11</v>
          </cell>
          <cell r="CL5877">
            <v>15501.558000000001</v>
          </cell>
          <cell r="CM5877" t="str">
            <v xml:space="preserve">NFT-/XUTR/DEUTH02431658955X </v>
          </cell>
          <cell r="CN5877" t="str">
            <v>2024-11-11</v>
          </cell>
          <cell r="CO5877">
            <v>1455.8620000000001</v>
          </cell>
        </row>
        <row r="5878">
          <cell r="CJ5878" t="str">
            <v xml:space="preserve">NFT-/XUTR/DEUTH02431649943X </v>
          </cell>
          <cell r="CK5878" t="str">
            <v>2024-11-11</v>
          </cell>
          <cell r="CL5878">
            <v>15384.554</v>
          </cell>
          <cell r="CM5878" t="str">
            <v xml:space="preserve">NFT-/XUTR/DEUTH02431658955X </v>
          </cell>
          <cell r="CN5878" t="str">
            <v>2024-11-11</v>
          </cell>
          <cell r="CO5878">
            <v>1455.8620000000001</v>
          </cell>
        </row>
        <row r="5879">
          <cell r="CJ5879" t="str">
            <v xml:space="preserve">NFT-/XUTR/DEUTH02431649943X </v>
          </cell>
          <cell r="CK5879" t="str">
            <v>2024-11-11</v>
          </cell>
          <cell r="CL5879">
            <v>14648.418</v>
          </cell>
          <cell r="CM5879" t="str">
            <v xml:space="preserve">NFT-/XUTR/DEUTH02431658955X </v>
          </cell>
          <cell r="CN5879" t="str">
            <v>2024-11-11</v>
          </cell>
          <cell r="CO5879">
            <v>2309.002</v>
          </cell>
        </row>
        <row r="5880">
          <cell r="CJ5880" t="str">
            <v xml:space="preserve">NFT-/XUTR/DEUTH02431649943X </v>
          </cell>
          <cell r="CK5880" t="str">
            <v>2024-11-11</v>
          </cell>
          <cell r="CL5880">
            <v>14648.418</v>
          </cell>
          <cell r="CM5880" t="str">
            <v xml:space="preserve">NFT-/XUTR/DEUTH02431658955X </v>
          </cell>
          <cell r="CN5880" t="str">
            <v>2024-11-11</v>
          </cell>
          <cell r="CO5880">
            <v>2309.002</v>
          </cell>
        </row>
        <row r="5881">
          <cell r="CJ5881" t="str">
            <v xml:space="preserve">NFT-/XUTR/DEUTH02431649943X </v>
          </cell>
          <cell r="CK5881" t="str">
            <v>2024-11-11</v>
          </cell>
          <cell r="CL5881">
            <v>15501.558000000001</v>
          </cell>
          <cell r="CM5881" t="str">
            <v xml:space="preserve">NFT-/XUTR/DEUTH02431658955X </v>
          </cell>
          <cell r="CN5881" t="str">
            <v>2024-11-11</v>
          </cell>
          <cell r="CO5881">
            <v>1455.8620000000001</v>
          </cell>
        </row>
        <row r="5882">
          <cell r="CJ5882" t="str">
            <v xml:space="preserve">NFT-/XUTR/DEUTH02431649943X </v>
          </cell>
          <cell r="CK5882" t="str">
            <v>2024-11-11</v>
          </cell>
          <cell r="CL5882">
            <v>15520.438</v>
          </cell>
          <cell r="CM5882" t="str">
            <v xml:space="preserve">NFT-/XUTR/DEUTH02431658955X </v>
          </cell>
          <cell r="CN5882" t="str">
            <v>2024-11-11</v>
          </cell>
          <cell r="CO5882">
            <v>1455.8620000000001</v>
          </cell>
        </row>
        <row r="5883">
          <cell r="CJ5883" t="str">
            <v xml:space="preserve">NFT-/XUTR/DEUTH02431649943X </v>
          </cell>
          <cell r="CK5883" t="str">
            <v>2024-11-11</v>
          </cell>
          <cell r="CL5883">
            <v>15365.674000000001</v>
          </cell>
          <cell r="CM5883" t="str">
            <v xml:space="preserve">NFT-/XUTR/DEUTH02431658955X </v>
          </cell>
          <cell r="CN5883" t="str">
            <v>2024-11-11</v>
          </cell>
          <cell r="CO5883">
            <v>1455.8620000000001</v>
          </cell>
          <cell r="CP5883" t="str">
            <v xml:space="preserve">NFT-/XUTR/DEUTH02431839302X </v>
          </cell>
          <cell r="CQ5883" t="str">
            <v>2024-11-13</v>
          </cell>
          <cell r="CR5883">
            <v>-15365.674000000001</v>
          </cell>
          <cell r="CS5883" t="str">
            <v xml:space="preserve">NFT-/XUTR/DEUTH02431843558X </v>
          </cell>
          <cell r="CT5883" t="str">
            <v>2024-11-13</v>
          </cell>
          <cell r="CU5883">
            <v>-1455.8620000000001</v>
          </cell>
        </row>
        <row r="5884">
          <cell r="CJ5884" t="str">
            <v xml:space="preserve">NFT-/XUTR/DEUTH02431649943X </v>
          </cell>
          <cell r="CK5884" t="str">
            <v>2024-11-11</v>
          </cell>
          <cell r="CL5884">
            <v>16119.284</v>
          </cell>
          <cell r="CM5884" t="str">
            <v xml:space="preserve">NFT-/XUTR/DEUTH02431658955X </v>
          </cell>
          <cell r="CN5884" t="str">
            <v>2024-11-11</v>
          </cell>
          <cell r="CO5884">
            <v>857.01700000000005</v>
          </cell>
        </row>
        <row r="5885">
          <cell r="CJ5885" t="str">
            <v xml:space="preserve">NFT-/XUTR/DEUTH02431649943X </v>
          </cell>
          <cell r="CK5885" t="str">
            <v>2024-11-11</v>
          </cell>
          <cell r="CL5885">
            <v>7316.1689999999999</v>
          </cell>
          <cell r="CM5885" t="str">
            <v xml:space="preserve">NFT-/XUTR/DEUTH02431658955X </v>
          </cell>
          <cell r="CN5885" t="str">
            <v>2024-11-11</v>
          </cell>
          <cell r="CO5885">
            <v>1254.9480000000001</v>
          </cell>
        </row>
        <row r="5886">
          <cell r="CJ5886" t="str">
            <v xml:space="preserve">NFT-/XUTR/DEUTH02431649943X </v>
          </cell>
          <cell r="CK5886" t="str">
            <v>2024-11-11</v>
          </cell>
          <cell r="CL5886">
            <v>15822.258</v>
          </cell>
          <cell r="CM5886" t="str">
            <v xml:space="preserve">NFT-/XUTR/DEUTH02431658955X </v>
          </cell>
          <cell r="CN5886" t="str">
            <v>2024-11-11</v>
          </cell>
          <cell r="CO5886">
            <v>1455.8620000000001</v>
          </cell>
        </row>
        <row r="5887">
          <cell r="CJ5887" t="str">
            <v xml:space="preserve">NFT-/XUTR/DEUTH02431649943X </v>
          </cell>
          <cell r="CK5887" t="str">
            <v>2024-11-11</v>
          </cell>
          <cell r="CL5887">
            <v>7767.48</v>
          </cell>
          <cell r="CM5887" t="str">
            <v xml:space="preserve">NFT-/XUTR/DEUTH02431658955X </v>
          </cell>
          <cell r="CN5887" t="str">
            <v>2024-11-11</v>
          </cell>
          <cell r="CO5887">
            <v>871.57899999999995</v>
          </cell>
        </row>
        <row r="5888">
          <cell r="CJ5888" t="str">
            <v xml:space="preserve">NFT-/XUTR/DEUTH02431649943X </v>
          </cell>
          <cell r="CK5888" t="str">
            <v>2024-11-11</v>
          </cell>
          <cell r="CL5888">
            <v>7767.4790000000003</v>
          </cell>
          <cell r="CM5888" t="str">
            <v xml:space="preserve">NFT-/XUTR/DEUTH02431658955X </v>
          </cell>
          <cell r="CN5888" t="str">
            <v>2024-11-11</v>
          </cell>
          <cell r="CO5888">
            <v>871.57799999999997</v>
          </cell>
          <cell r="CP5888" t="str">
            <v xml:space="preserve">NFT-/XUTR/DEUTH02432756454X </v>
          </cell>
          <cell r="CQ5888" t="str">
            <v>2024-11-22</v>
          </cell>
          <cell r="CR5888">
            <v>-7767.4790000000003</v>
          </cell>
          <cell r="CV5888" t="str">
            <v xml:space="preserve">NFT-/XUTR/DEUTH02433956210X </v>
          </cell>
          <cell r="CW5888" t="str">
            <v>2024-12-04</v>
          </cell>
          <cell r="CX5888">
            <v>-871.57799999999997</v>
          </cell>
        </row>
        <row r="5889">
          <cell r="CJ5889" t="str">
            <v xml:space="preserve">NFT-/XUTR/DEUTH02431649943X </v>
          </cell>
          <cell r="CK5889" t="str">
            <v>2024-11-11</v>
          </cell>
          <cell r="CL5889">
            <v>10955.824000000001</v>
          </cell>
          <cell r="CM5889" t="str">
            <v xml:space="preserve">NFT-/XUTR/DEUTH02431658955X </v>
          </cell>
          <cell r="CN5889" t="str">
            <v>2024-11-11</v>
          </cell>
          <cell r="CO5889">
            <v>1225.8330000000001</v>
          </cell>
        </row>
        <row r="5890">
          <cell r="CJ5890" t="str">
            <v xml:space="preserve">NFT-/XUTR/DEUTH02431649943X </v>
          </cell>
          <cell r="CK5890" t="str">
            <v>2024-11-11</v>
          </cell>
          <cell r="CL5890">
            <v>42561.18</v>
          </cell>
        </row>
        <row r="5891">
          <cell r="CJ5891" t="str">
            <v xml:space="preserve">NFT-/XUTR/DEUTH02431649943X </v>
          </cell>
          <cell r="CK5891" t="str">
            <v>2024-11-11</v>
          </cell>
          <cell r="CL5891">
            <v>15520.438</v>
          </cell>
          <cell r="CM5891" t="str">
            <v xml:space="preserve">NFT-/XUTR/DEUTH02431658955X </v>
          </cell>
          <cell r="CN5891" t="str">
            <v>2024-11-11</v>
          </cell>
          <cell r="CO5891">
            <v>1455.8620000000001</v>
          </cell>
        </row>
        <row r="5892">
          <cell r="CJ5892" t="str">
            <v xml:space="preserve">NFT-/XUTR/DEUTH02431649943X </v>
          </cell>
          <cell r="CK5892" t="str">
            <v>2024-11-11</v>
          </cell>
          <cell r="CL5892">
            <v>7374.4</v>
          </cell>
          <cell r="CM5892" t="str">
            <v xml:space="preserve">NFT-/XUTR/DEUTH02431658955X </v>
          </cell>
          <cell r="CN5892" t="str">
            <v>2024-11-11</v>
          </cell>
          <cell r="CO5892">
            <v>1264.6590000000001</v>
          </cell>
        </row>
        <row r="5893">
          <cell r="CJ5893" t="str">
            <v xml:space="preserve">NFT-/XUTR/DEUTH02431649943X </v>
          </cell>
          <cell r="CK5893" t="str">
            <v>2024-11-11</v>
          </cell>
          <cell r="CL5893">
            <v>15520.438</v>
          </cell>
          <cell r="CM5893" t="str">
            <v xml:space="preserve">NFT-/XUTR/DEUTH02431658955X </v>
          </cell>
          <cell r="CN5893" t="str">
            <v>2024-11-11</v>
          </cell>
          <cell r="CO5893">
            <v>1455.8620000000001</v>
          </cell>
        </row>
        <row r="5894">
          <cell r="CJ5894" t="str">
            <v xml:space="preserve">NFT-/XUTR/DEUTH02431649943X </v>
          </cell>
          <cell r="CK5894" t="str">
            <v>2024-11-11</v>
          </cell>
          <cell r="CL5894">
            <v>1303.4559999999999</v>
          </cell>
          <cell r="CM5894" t="str">
            <v xml:space="preserve">NFT-/XUTR/DEUTH02431658955X </v>
          </cell>
          <cell r="CN5894" t="str">
            <v>2024-11-11</v>
          </cell>
          <cell r="CO5894">
            <v>153.35</v>
          </cell>
        </row>
        <row r="5895">
          <cell r="CJ5895" t="str">
            <v xml:space="preserve">NFT-/XUTR/DEUTH02431649943X </v>
          </cell>
          <cell r="CK5895" t="str">
            <v>2024-11-11</v>
          </cell>
          <cell r="CL5895">
            <v>7767.48</v>
          </cell>
          <cell r="CM5895" t="str">
            <v xml:space="preserve">NFT-/XUTR/DEUTH02431658955X </v>
          </cell>
          <cell r="CN5895" t="str">
            <v>2024-11-11</v>
          </cell>
          <cell r="CO5895">
            <v>871.57899999999995</v>
          </cell>
        </row>
        <row r="5896">
          <cell r="CJ5896" t="str">
            <v xml:space="preserve">NFT-/XUTR/DEUTH02431649943X </v>
          </cell>
          <cell r="CK5896" t="str">
            <v>2024-11-11</v>
          </cell>
          <cell r="CL5896">
            <v>7748.6</v>
          </cell>
          <cell r="CM5896" t="str">
            <v xml:space="preserve">NFT-/XUTR/DEUTH02431658955X </v>
          </cell>
          <cell r="CN5896" t="str">
            <v>2024-11-11</v>
          </cell>
          <cell r="CO5896">
            <v>871.57899999999995</v>
          </cell>
        </row>
        <row r="5897">
          <cell r="CJ5897" t="str">
            <v xml:space="preserve">NFT-/XUTR/DEUTH02431649943X </v>
          </cell>
          <cell r="CK5897" t="str">
            <v>2024-11-11</v>
          </cell>
          <cell r="CL5897">
            <v>7767.48</v>
          </cell>
          <cell r="CM5897" t="str">
            <v xml:space="preserve">NFT-/XUTR/DEUTH02431658955X </v>
          </cell>
          <cell r="CN5897" t="str">
            <v>2024-11-11</v>
          </cell>
          <cell r="CO5897">
            <v>871.57899999999995</v>
          </cell>
        </row>
        <row r="5898">
          <cell r="CJ5898" t="str">
            <v xml:space="preserve">NFT-/XUTR/DEUTH02431649943X </v>
          </cell>
          <cell r="CK5898" t="str">
            <v>2024-11-11</v>
          </cell>
          <cell r="CL5898">
            <v>15520.438</v>
          </cell>
          <cell r="CM5898" t="str">
            <v xml:space="preserve">NFT-/XUTR/DEUTH02431658955X </v>
          </cell>
          <cell r="CN5898" t="str">
            <v>2024-11-11</v>
          </cell>
          <cell r="CO5898">
            <v>1455.8620000000001</v>
          </cell>
        </row>
        <row r="5899">
          <cell r="CJ5899" t="str">
            <v xml:space="preserve">NFT-/XUTR/DEUTH02431649943X </v>
          </cell>
          <cell r="CK5899" t="str">
            <v>2024-11-11</v>
          </cell>
          <cell r="CL5899">
            <v>15501.558000000001</v>
          </cell>
          <cell r="CM5899" t="str">
            <v xml:space="preserve">NFT-/XUTR/DEUTH02431658955X </v>
          </cell>
          <cell r="CN5899" t="str">
            <v>2024-11-11</v>
          </cell>
          <cell r="CO5899">
            <v>1455.8620000000001</v>
          </cell>
        </row>
        <row r="5900">
          <cell r="CJ5900" t="str">
            <v xml:space="preserve">NFT-/XUTR/DEUTH02431649943X </v>
          </cell>
          <cell r="CK5900" t="str">
            <v>2024-11-11</v>
          </cell>
          <cell r="CL5900">
            <v>7767.48</v>
          </cell>
          <cell r="CM5900" t="str">
            <v xml:space="preserve">NFT-/XUTR/DEUTH02431658955X </v>
          </cell>
          <cell r="CN5900" t="str">
            <v>2024-11-11</v>
          </cell>
          <cell r="CO5900">
            <v>871.57899999999995</v>
          </cell>
        </row>
        <row r="5901">
          <cell r="CJ5901" t="str">
            <v xml:space="preserve">NFT-/XUTR/DEUTH02431649943X </v>
          </cell>
          <cell r="CK5901" t="str">
            <v>2024-11-11</v>
          </cell>
          <cell r="CL5901">
            <v>7748.6</v>
          </cell>
          <cell r="CM5901" t="str">
            <v xml:space="preserve">NFT-/XUTR/DEUTH02431658955X </v>
          </cell>
          <cell r="CN5901" t="str">
            <v>2024-11-11</v>
          </cell>
          <cell r="CO5901">
            <v>871.57899999999995</v>
          </cell>
        </row>
        <row r="5902">
          <cell r="CJ5902" t="str">
            <v xml:space="preserve">NFT-/XUTR/DEUTH02431649943X </v>
          </cell>
          <cell r="CK5902" t="str">
            <v>2024-11-11</v>
          </cell>
          <cell r="CL5902">
            <v>15501.558000000001</v>
          </cell>
          <cell r="CM5902" t="str">
            <v xml:space="preserve">NFT-/XUTR/DEUTH02431658955X </v>
          </cell>
          <cell r="CN5902" t="str">
            <v>2024-11-11</v>
          </cell>
          <cell r="CO5902">
            <v>1455.8620000000001</v>
          </cell>
        </row>
        <row r="5903">
          <cell r="CJ5903" t="str">
            <v xml:space="preserve">NFT-/XUTR/DEUTH02431649943X </v>
          </cell>
          <cell r="CK5903" t="str">
            <v>2024-11-11</v>
          </cell>
          <cell r="CL5903">
            <v>11861.369000000001</v>
          </cell>
        </row>
        <row r="5904">
          <cell r="CJ5904" t="str">
            <v xml:space="preserve">NFT-/XUTR/DEUTH02431649943X </v>
          </cell>
          <cell r="CK5904" t="str">
            <v>2024-11-11</v>
          </cell>
          <cell r="CL5904">
            <v>15501.558000000001</v>
          </cell>
          <cell r="CM5904" t="str">
            <v xml:space="preserve">NFT-/XUTR/DEUTH02431658955X </v>
          </cell>
          <cell r="CN5904" t="str">
            <v>2024-11-11</v>
          </cell>
          <cell r="CO5904">
            <v>1455.8620000000001</v>
          </cell>
        </row>
        <row r="5905">
          <cell r="CJ5905" t="str">
            <v xml:space="preserve">NFT-/XUTR/DEUTH02431649943X </v>
          </cell>
          <cell r="CK5905" t="str">
            <v>2024-11-11</v>
          </cell>
          <cell r="CL5905">
            <v>15520.438</v>
          </cell>
          <cell r="CM5905" t="str">
            <v xml:space="preserve">NFT-/XUTR/DEUTH02431658955X </v>
          </cell>
          <cell r="CN5905" t="str">
            <v>2024-11-11</v>
          </cell>
          <cell r="CO5905">
            <v>1455.8620000000001</v>
          </cell>
        </row>
        <row r="5906">
          <cell r="CJ5906" t="str">
            <v xml:space="preserve">NFT-/XUTR/DEUTH02431649943X </v>
          </cell>
          <cell r="CK5906" t="str">
            <v>2024-11-11</v>
          </cell>
          <cell r="CL5906">
            <v>15803.378000000001</v>
          </cell>
          <cell r="CM5906" t="str">
            <v xml:space="preserve">NFT-/XUTR/DEUTH02431658955X </v>
          </cell>
          <cell r="CN5906" t="str">
            <v>2024-11-11</v>
          </cell>
          <cell r="CO5906">
            <v>1455.8620000000001</v>
          </cell>
        </row>
        <row r="5907">
          <cell r="CJ5907" t="str">
            <v xml:space="preserve">NFT-/XUTR/DEUTH02431649943X </v>
          </cell>
          <cell r="CK5907" t="str">
            <v>2024-11-11</v>
          </cell>
          <cell r="CL5907">
            <v>15501.558000000001</v>
          </cell>
          <cell r="CM5907" t="str">
            <v xml:space="preserve">NFT-/XUTR/DEUTH02431658955X </v>
          </cell>
          <cell r="CN5907" t="str">
            <v>2024-11-11</v>
          </cell>
          <cell r="CO5907">
            <v>1455.8620000000001</v>
          </cell>
        </row>
        <row r="5908">
          <cell r="CJ5908" t="str">
            <v xml:space="preserve">NFT-/XUTR/DEUTH02431649943X </v>
          </cell>
          <cell r="CK5908" t="str">
            <v>2024-11-11</v>
          </cell>
          <cell r="CL5908">
            <v>15803.378000000001</v>
          </cell>
          <cell r="CM5908" t="str">
            <v xml:space="preserve">NFT-/XUTR/DEUTH02431658955X </v>
          </cell>
          <cell r="CN5908" t="str">
            <v>2024-11-11</v>
          </cell>
          <cell r="CO5908">
            <v>1455.8620000000001</v>
          </cell>
        </row>
        <row r="5909">
          <cell r="CJ5909" t="str">
            <v xml:space="preserve">NFT-/XUTR/DEUTH02431649943X </v>
          </cell>
          <cell r="CK5909" t="str">
            <v>2024-11-11</v>
          </cell>
          <cell r="CL5909">
            <v>10955.824000000001</v>
          </cell>
          <cell r="CM5909" t="str">
            <v xml:space="preserve">NFT-/XUTR/DEUTH02431658955X </v>
          </cell>
          <cell r="CN5909" t="str">
            <v>2024-11-11</v>
          </cell>
          <cell r="CO5909">
            <v>1225.8320000000001</v>
          </cell>
        </row>
        <row r="5910">
          <cell r="CJ5910" t="str">
            <v xml:space="preserve">NFT-/XUTR/DEUTH02431649943X </v>
          </cell>
          <cell r="CK5910" t="str">
            <v>2024-11-11</v>
          </cell>
          <cell r="CL5910">
            <v>15520.438</v>
          </cell>
          <cell r="CM5910" t="str">
            <v xml:space="preserve">NFT-/XUTR/DEUTH02431658955X </v>
          </cell>
          <cell r="CN5910" t="str">
            <v>2024-11-11</v>
          </cell>
          <cell r="CO5910">
            <v>1455.8620000000001</v>
          </cell>
        </row>
        <row r="5911">
          <cell r="CJ5911" t="str">
            <v xml:space="preserve">NFT-/XUTR/DEUTH02431649943X </v>
          </cell>
          <cell r="CK5911" t="str">
            <v>2024-11-11</v>
          </cell>
          <cell r="CL5911">
            <v>38872.463000000003</v>
          </cell>
          <cell r="CM5911" t="str">
            <v xml:space="preserve">NFT-/XUTR/DEUTH02431658955X </v>
          </cell>
          <cell r="CN5911" t="str">
            <v>2024-11-11</v>
          </cell>
          <cell r="CO5911">
            <v>3707.598</v>
          </cell>
        </row>
        <row r="5912">
          <cell r="CJ5912" t="str">
            <v xml:space="preserve">NFT-/XUTR/DEUTH02431649943X </v>
          </cell>
          <cell r="CK5912" t="str">
            <v>2024-11-11</v>
          </cell>
          <cell r="CL5912">
            <v>7748.6</v>
          </cell>
          <cell r="CM5912" t="str">
            <v xml:space="preserve">NFT-/XUTR/DEUTH02431658955X </v>
          </cell>
          <cell r="CN5912" t="str">
            <v>2024-11-11</v>
          </cell>
          <cell r="CO5912">
            <v>871.57899999999995</v>
          </cell>
        </row>
        <row r="5913">
          <cell r="CJ5913" t="str">
            <v xml:space="preserve">NFT-/XUTR/DEUTH02431649943X </v>
          </cell>
          <cell r="CK5913" t="str">
            <v>2024-11-11</v>
          </cell>
          <cell r="CL5913">
            <v>7767.48</v>
          </cell>
          <cell r="CM5913" t="str">
            <v xml:space="preserve">NFT-/XUTR/DEUTH02431658955X </v>
          </cell>
          <cell r="CN5913" t="str">
            <v>2024-11-11</v>
          </cell>
          <cell r="CO5913">
            <v>871.57899999999995</v>
          </cell>
        </row>
        <row r="5914">
          <cell r="CJ5914" t="str">
            <v xml:space="preserve">NFT-/XUTR/DEUTH02431649943X </v>
          </cell>
          <cell r="CK5914" t="str">
            <v>2024-11-11</v>
          </cell>
          <cell r="CL5914">
            <v>5921.45</v>
          </cell>
        </row>
        <row r="5915">
          <cell r="CJ5915" t="str">
            <v xml:space="preserve">NFT-/XUTR/DEUTH02431649943X </v>
          </cell>
          <cell r="CK5915" t="str">
            <v>2024-11-11</v>
          </cell>
          <cell r="CL5915">
            <v>8639.06</v>
          </cell>
        </row>
        <row r="5916">
          <cell r="CJ5916" t="str">
            <v xml:space="preserve">NFT-/XUTR/DEUTH02431649943X </v>
          </cell>
          <cell r="CK5916" t="str">
            <v>2024-11-11</v>
          </cell>
          <cell r="CL5916">
            <v>10648.683999999999</v>
          </cell>
          <cell r="CM5916" t="str">
            <v xml:space="preserve">NFT-/XUTR/DEUTH02431658955X </v>
          </cell>
          <cell r="CN5916" t="str">
            <v>2024-11-11</v>
          </cell>
          <cell r="CO5916">
            <v>1193.8050000000001</v>
          </cell>
        </row>
        <row r="5917">
          <cell r="CJ5917" t="str">
            <v xml:space="preserve">NFT-/XUTR/DEUTH02431649943X </v>
          </cell>
          <cell r="CK5917" t="str">
            <v>2024-11-11</v>
          </cell>
          <cell r="CL5917">
            <v>15203.587</v>
          </cell>
          <cell r="CM5917" t="str">
            <v xml:space="preserve">NFT-/XUTR/DEUTH02431658955X </v>
          </cell>
          <cell r="CN5917" t="str">
            <v>2024-11-11</v>
          </cell>
          <cell r="CO5917">
            <v>1753.8240000000001</v>
          </cell>
        </row>
        <row r="5918">
          <cell r="CJ5918" t="str">
            <v xml:space="preserve">NFT-/XUTR/DEUTH02431649943X </v>
          </cell>
          <cell r="CK5918" t="str">
            <v>2024-11-11</v>
          </cell>
          <cell r="CL5918">
            <v>15520.438</v>
          </cell>
          <cell r="CM5918" t="str">
            <v xml:space="preserve">NFT-/XUTR/DEUTH02431658955X </v>
          </cell>
          <cell r="CN5918" t="str">
            <v>2024-11-11</v>
          </cell>
          <cell r="CO5918">
            <v>1455.8620000000001</v>
          </cell>
        </row>
        <row r="5919">
          <cell r="CJ5919" t="str">
            <v xml:space="preserve">NFT-/XUTR/DEUTH02431649943X </v>
          </cell>
          <cell r="CK5919" t="str">
            <v>2024-11-11</v>
          </cell>
          <cell r="CL5919">
            <v>15501.558000000001</v>
          </cell>
          <cell r="CM5919" t="str">
            <v xml:space="preserve">NFT-/XUTR/DEUTH02431658955X </v>
          </cell>
          <cell r="CN5919" t="str">
            <v>2024-11-11</v>
          </cell>
          <cell r="CO5919">
            <v>1455.8620000000001</v>
          </cell>
        </row>
        <row r="5920">
          <cell r="CJ5920" t="str">
            <v xml:space="preserve">NFT-/XUTR/DEUTH02431649943X </v>
          </cell>
          <cell r="CK5920" t="str">
            <v>2024-11-11</v>
          </cell>
          <cell r="CL5920">
            <v>68009.119000000006</v>
          </cell>
        </row>
        <row r="5921">
          <cell r="CJ5921" t="str">
            <v xml:space="preserve">NFT-/XUTR/DEUTH02431649943X </v>
          </cell>
          <cell r="CK5921" t="str">
            <v>2024-11-11</v>
          </cell>
          <cell r="CL5921">
            <v>5321.64</v>
          </cell>
          <cell r="CM5921" t="str">
            <v xml:space="preserve">NFT-/XUTR/DEUTH02431658955X </v>
          </cell>
          <cell r="CN5921" t="str">
            <v>2024-11-11</v>
          </cell>
          <cell r="CO5921">
            <v>599.82000000000005</v>
          </cell>
          <cell r="CP5921" t="str">
            <v xml:space="preserve">NFT-/XUTR/DEUTH02432540165X </v>
          </cell>
          <cell r="CQ5921" t="str">
            <v>2024-11-20</v>
          </cell>
          <cell r="CR5921">
            <v>-5321.64</v>
          </cell>
          <cell r="CS5921" t="str">
            <v xml:space="preserve">NFT-/XUTR/DEUTH02432567146X </v>
          </cell>
          <cell r="CT5921" t="str">
            <v>2024-11-20</v>
          </cell>
          <cell r="CU5921">
            <v>-599.82000000000005</v>
          </cell>
        </row>
        <row r="5922">
          <cell r="CJ5922" t="str">
            <v xml:space="preserve">NFT-/XUTR/DEUTH02431649943X </v>
          </cell>
          <cell r="CK5922" t="str">
            <v>2024-11-11</v>
          </cell>
          <cell r="CL5922">
            <v>15501.558000000001</v>
          </cell>
          <cell r="CM5922" t="str">
            <v xml:space="preserve">NFT-/XUTR/DEUTH02431658955X </v>
          </cell>
          <cell r="CN5922" t="str">
            <v>2024-11-11</v>
          </cell>
          <cell r="CO5922">
            <v>1455.8620000000001</v>
          </cell>
        </row>
        <row r="5923">
          <cell r="CJ5923" t="str">
            <v xml:space="preserve">NFT-/XUTR/DEUTH02431649943X </v>
          </cell>
          <cell r="CK5923" t="str">
            <v>2024-11-11</v>
          </cell>
          <cell r="CL5923">
            <v>7767.48</v>
          </cell>
          <cell r="CM5923" t="str">
            <v xml:space="preserve">NFT-/XUTR/DEUTH02431658955X </v>
          </cell>
          <cell r="CN5923" t="str">
            <v>2024-11-11</v>
          </cell>
          <cell r="CO5923">
            <v>871.57899999999995</v>
          </cell>
        </row>
        <row r="5924">
          <cell r="CJ5924" t="str">
            <v xml:space="preserve">NFT-/XUTR/DEUTH02431649943X </v>
          </cell>
          <cell r="CK5924" t="str">
            <v>2024-11-11</v>
          </cell>
          <cell r="CL5924">
            <v>16976.300999999999</v>
          </cell>
        </row>
        <row r="5925">
          <cell r="CJ5925" t="str">
            <v xml:space="preserve">NFT-/XUTR/DEUTH02431649943X </v>
          </cell>
          <cell r="CK5925" t="str">
            <v>2024-11-11</v>
          </cell>
          <cell r="CL5925">
            <v>15520.438</v>
          </cell>
          <cell r="CM5925" t="str">
            <v xml:space="preserve">NFT-/XUTR/DEUTH02431658955X </v>
          </cell>
          <cell r="CN5925" t="str">
            <v>2024-11-11</v>
          </cell>
          <cell r="CO5925">
            <v>1455.8620000000001</v>
          </cell>
        </row>
        <row r="5926">
          <cell r="CJ5926" t="str">
            <v xml:space="preserve">NFT-/XUTR/DEUTH02431649943X </v>
          </cell>
          <cell r="CK5926" t="str">
            <v>2024-11-11</v>
          </cell>
          <cell r="CL5926">
            <v>5321.64</v>
          </cell>
          <cell r="CM5926" t="str">
            <v xml:space="preserve">NFT-/XUTR/DEUTH02431658955X </v>
          </cell>
          <cell r="CN5926" t="str">
            <v>2024-11-11</v>
          </cell>
          <cell r="CO5926">
            <v>599.82000000000005</v>
          </cell>
        </row>
        <row r="5927">
          <cell r="CJ5927" t="str">
            <v xml:space="preserve">NFT-/XUTR/DEUTH02431649943X </v>
          </cell>
          <cell r="CK5927" t="str">
            <v>2024-11-11</v>
          </cell>
          <cell r="CL5927">
            <v>15520.438</v>
          </cell>
          <cell r="CM5927" t="str">
            <v xml:space="preserve">NFT-/XUTR/DEUTH02431658955X </v>
          </cell>
          <cell r="CN5927" t="str">
            <v>2024-11-11</v>
          </cell>
          <cell r="CO5927">
            <v>1455.8620000000001</v>
          </cell>
        </row>
        <row r="5928">
          <cell r="CJ5928" t="str">
            <v xml:space="preserve">NFT-/XUTR/DEUTH02431649943X </v>
          </cell>
          <cell r="CK5928" t="str">
            <v>2024-11-11</v>
          </cell>
          <cell r="CL5928">
            <v>41105.317999999999</v>
          </cell>
          <cell r="CM5928" t="str">
            <v xml:space="preserve">NFT-/XUTR/DEUTH02431658955X </v>
          </cell>
          <cell r="CN5928" t="str">
            <v>2024-11-11</v>
          </cell>
          <cell r="CO5928">
            <v>1455.8620000000001</v>
          </cell>
        </row>
        <row r="5929">
          <cell r="CJ5929" t="str">
            <v xml:space="preserve">NFT-/XUTR/DEUTH02431649943X </v>
          </cell>
          <cell r="CK5929" t="str">
            <v>2024-11-11</v>
          </cell>
          <cell r="CL5929">
            <v>15501.558000000001</v>
          </cell>
          <cell r="CM5929" t="str">
            <v xml:space="preserve">NFT-/XUTR/DEUTH02431658955X </v>
          </cell>
          <cell r="CN5929" t="str">
            <v>2024-11-11</v>
          </cell>
          <cell r="CO5929">
            <v>1455.8620000000001</v>
          </cell>
        </row>
        <row r="5930">
          <cell r="CJ5930" t="str">
            <v xml:space="preserve">NFT-/XUTR/DEUTH02431649943X </v>
          </cell>
          <cell r="CK5930" t="str">
            <v>2024-11-11</v>
          </cell>
          <cell r="CL5930">
            <v>7748.6</v>
          </cell>
          <cell r="CM5930" t="str">
            <v xml:space="preserve">NFT-/XUTR/DEUTH02431658955X </v>
          </cell>
          <cell r="CN5930" t="str">
            <v>2024-11-11</v>
          </cell>
          <cell r="CO5930">
            <v>871.57899999999995</v>
          </cell>
        </row>
        <row r="5931">
          <cell r="CJ5931" t="str">
            <v xml:space="preserve">NFT-/XUTR/DEUTH02431649943X </v>
          </cell>
          <cell r="CK5931" t="str">
            <v>2024-11-11</v>
          </cell>
          <cell r="CL5931">
            <v>8007.7449999999999</v>
          </cell>
          <cell r="CM5931" t="str">
            <v xml:space="preserve">NFT-/XUTR/DEUTH02431658955X </v>
          </cell>
          <cell r="CN5931" t="str">
            <v>2024-11-11</v>
          </cell>
          <cell r="CO5931">
            <v>612.43399999999997</v>
          </cell>
        </row>
        <row r="5932">
          <cell r="CJ5932" t="str">
            <v xml:space="preserve">NFT-/XUTR/DEUTH02431649943X </v>
          </cell>
          <cell r="CK5932" t="str">
            <v>2024-11-11</v>
          </cell>
          <cell r="CL5932">
            <v>15520.438</v>
          </cell>
          <cell r="CM5932" t="str">
            <v xml:space="preserve">NFT-/XUTR/DEUTH02431658955X </v>
          </cell>
          <cell r="CN5932" t="str">
            <v>2024-11-11</v>
          </cell>
          <cell r="CO5932">
            <v>1455.8620000000001</v>
          </cell>
        </row>
        <row r="5933">
          <cell r="CJ5933" t="str">
            <v xml:space="preserve">NFT-/XUTR/DEUTH02431649943X </v>
          </cell>
          <cell r="CK5933" t="str">
            <v>2024-11-11</v>
          </cell>
          <cell r="CL5933">
            <v>15043.888999999999</v>
          </cell>
          <cell r="CM5933" t="str">
            <v xml:space="preserve">NFT-/XUTR/DEUTH02431658955X </v>
          </cell>
          <cell r="CN5933" t="str">
            <v>2024-11-11</v>
          </cell>
          <cell r="CO5933">
            <v>1932.4110000000001</v>
          </cell>
        </row>
        <row r="5934">
          <cell r="CJ5934" t="str">
            <v xml:space="preserve">NFT-/XUTR/DEUTH02431649943X </v>
          </cell>
          <cell r="CK5934" t="str">
            <v>2024-11-11</v>
          </cell>
          <cell r="CL5934">
            <v>15520.438</v>
          </cell>
          <cell r="CM5934" t="str">
            <v xml:space="preserve">NFT-/XUTR/DEUTH02431658955X </v>
          </cell>
          <cell r="CN5934" t="str">
            <v>2024-11-11</v>
          </cell>
          <cell r="CO5934">
            <v>1455.8620000000001</v>
          </cell>
        </row>
        <row r="5935">
          <cell r="CJ5935" t="str">
            <v xml:space="preserve">NFT-/XUTR/DEUTH02431649943X </v>
          </cell>
          <cell r="CK5935" t="str">
            <v>2024-11-11</v>
          </cell>
          <cell r="CL5935">
            <v>15501.558000000001</v>
          </cell>
          <cell r="CM5935" t="str">
            <v xml:space="preserve">NFT-/XUTR/DEUTH02431658955X </v>
          </cell>
          <cell r="CN5935" t="str">
            <v>2024-11-11</v>
          </cell>
          <cell r="CO5935">
            <v>1455.8620000000001</v>
          </cell>
        </row>
        <row r="5936">
          <cell r="CJ5936" t="str">
            <v xml:space="preserve">NFT-/XUTR/DEUTH02431649943X </v>
          </cell>
          <cell r="CK5936" t="str">
            <v>2024-11-11</v>
          </cell>
          <cell r="CL5936">
            <v>12162.777</v>
          </cell>
          <cell r="CM5936" t="str">
            <v xml:space="preserve">NFT-/XUTR/DEUTH02432045075X </v>
          </cell>
          <cell r="CN5936" t="str">
            <v>2024-11-15</v>
          </cell>
          <cell r="CO5936">
            <v>-12162.777</v>
          </cell>
        </row>
        <row r="5937">
          <cell r="CJ5937" t="str">
            <v xml:space="preserve">NFT-/XUTR/DEUTH02431649943X </v>
          </cell>
          <cell r="CK5937" t="str">
            <v>2024-11-11</v>
          </cell>
          <cell r="CL5937">
            <v>41124.197999999997</v>
          </cell>
          <cell r="CM5937" t="str">
            <v xml:space="preserve">NFT-/XUTR/DEUTH02431658955X </v>
          </cell>
          <cell r="CN5937" t="str">
            <v>2024-11-11</v>
          </cell>
          <cell r="CO5937">
            <v>1455.8620000000001</v>
          </cell>
        </row>
        <row r="5938">
          <cell r="CJ5938" t="str">
            <v xml:space="preserve">NFT-/XUTR/DEUTH02431649943X </v>
          </cell>
          <cell r="CK5938" t="str">
            <v>2024-11-11</v>
          </cell>
          <cell r="CL5938">
            <v>1437.9259999999999</v>
          </cell>
        </row>
        <row r="5939">
          <cell r="CJ5939" t="str">
            <v xml:space="preserve">NFT-/XUTR/DEUTH02431649943X </v>
          </cell>
          <cell r="CK5939" t="str">
            <v>2024-11-11</v>
          </cell>
          <cell r="CL5939">
            <v>15520.438</v>
          </cell>
          <cell r="CM5939" t="str">
            <v xml:space="preserve">NFT-/XUTR/DEUTH02431658955X </v>
          </cell>
          <cell r="CN5939" t="str">
            <v>2024-11-11</v>
          </cell>
          <cell r="CO5939">
            <v>1455.8620000000001</v>
          </cell>
        </row>
        <row r="5940">
          <cell r="CJ5940" t="str">
            <v xml:space="preserve">NFT-/XUTR/DEUTH02431649943X </v>
          </cell>
          <cell r="CK5940" t="str">
            <v>2024-11-11</v>
          </cell>
          <cell r="CL5940">
            <v>11289.682000000001</v>
          </cell>
          <cell r="CM5940" t="str">
            <v xml:space="preserve">NFT-/XUTR/DEUTH02431658955X </v>
          </cell>
          <cell r="CN5940" t="str">
            <v>2024-11-11</v>
          </cell>
          <cell r="CO5940">
            <v>1271.4480000000001</v>
          </cell>
        </row>
        <row r="5941">
          <cell r="CJ5941" t="str">
            <v xml:space="preserve">NFT-/XUTR/DEUTH02431649943X </v>
          </cell>
          <cell r="CK5941" t="str">
            <v>2024-11-11</v>
          </cell>
          <cell r="CL5941">
            <v>7767.4790000000003</v>
          </cell>
          <cell r="CM5941" t="str">
            <v xml:space="preserve">NFT-/XUTR/DEUTH02431658955X </v>
          </cell>
          <cell r="CN5941" t="str">
            <v>2024-11-11</v>
          </cell>
          <cell r="CO5941">
            <v>871.57799999999997</v>
          </cell>
        </row>
        <row r="5942">
          <cell r="CJ5942" t="str">
            <v xml:space="preserve">NFT-/XUTR/DEUTH02431649943X </v>
          </cell>
          <cell r="CK5942" t="str">
            <v>2024-11-11</v>
          </cell>
          <cell r="CL5942">
            <v>15520.438</v>
          </cell>
          <cell r="CM5942" t="str">
            <v xml:space="preserve">NFT-/XUTR/DEUTH02431658955X </v>
          </cell>
          <cell r="CN5942" t="str">
            <v>2024-11-11</v>
          </cell>
          <cell r="CO5942">
            <v>1455.8620000000001</v>
          </cell>
        </row>
        <row r="5943">
          <cell r="CJ5943" t="str">
            <v xml:space="preserve">NFT-/XUTR/DEUTH02431649943X </v>
          </cell>
          <cell r="CK5943" t="str">
            <v>2024-11-11</v>
          </cell>
          <cell r="CL5943">
            <v>7374.4009999999998</v>
          </cell>
          <cell r="CM5943" t="str">
            <v xml:space="preserve">NFT-/XUTR/DEUTH02431658955X </v>
          </cell>
          <cell r="CN5943" t="str">
            <v>2024-11-11</v>
          </cell>
          <cell r="CO5943">
            <v>1264.6590000000001</v>
          </cell>
        </row>
        <row r="5944">
          <cell r="CJ5944" t="str">
            <v xml:space="preserve">NFT-/XUTR/DEUTH02431649943X </v>
          </cell>
          <cell r="CK5944" t="str">
            <v>2024-11-11</v>
          </cell>
          <cell r="CL5944">
            <v>1437.9259999999999</v>
          </cell>
        </row>
        <row r="5945">
          <cell r="CJ5945" t="str">
            <v xml:space="preserve">NFT-/XUTR/DEUTH02431649943X </v>
          </cell>
          <cell r="CK5945" t="str">
            <v>2024-11-11</v>
          </cell>
          <cell r="CL5945">
            <v>15520.438</v>
          </cell>
          <cell r="CM5945" t="str">
            <v xml:space="preserve">NFT-/XUTR/DEUTH02431658955X </v>
          </cell>
          <cell r="CN5945" t="str">
            <v>2024-11-11</v>
          </cell>
          <cell r="CO5945">
            <v>1455.8620000000001</v>
          </cell>
        </row>
        <row r="5946">
          <cell r="CJ5946" t="str">
            <v xml:space="preserve">NFT-/XUTR/DEUTH02431649943X </v>
          </cell>
          <cell r="CK5946" t="str">
            <v>2024-11-11</v>
          </cell>
          <cell r="CL5946">
            <v>15803.378000000001</v>
          </cell>
          <cell r="CM5946" t="str">
            <v xml:space="preserve">NFT-/XUTR/DEUTH02431658955X </v>
          </cell>
          <cell r="CN5946" t="str">
            <v>2024-11-11</v>
          </cell>
          <cell r="CO5946">
            <v>1455.8620000000001</v>
          </cell>
        </row>
        <row r="5947">
          <cell r="CJ5947" t="str">
            <v xml:space="preserve">NFT-/XUTR/DEUTH02431649943X </v>
          </cell>
          <cell r="CK5947" t="str">
            <v>2024-11-11</v>
          </cell>
          <cell r="CL5947">
            <v>7767.48</v>
          </cell>
          <cell r="CM5947" t="str">
            <v xml:space="preserve">NFT-/XUTR/DEUTH02431658955X </v>
          </cell>
          <cell r="CN5947" t="str">
            <v>2024-11-11</v>
          </cell>
          <cell r="CO5947">
            <v>871.57899999999995</v>
          </cell>
        </row>
        <row r="5948">
          <cell r="CJ5948" t="str">
            <v xml:space="preserve">NFT-/XUTR/DEUTH02431649943X </v>
          </cell>
          <cell r="CK5948" t="str">
            <v>2024-11-11</v>
          </cell>
          <cell r="CL5948">
            <v>15520.438</v>
          </cell>
          <cell r="CM5948" t="str">
            <v xml:space="preserve">NFT-/XUTR/DEUTH02431658955X </v>
          </cell>
          <cell r="CN5948" t="str">
            <v>2024-11-11</v>
          </cell>
          <cell r="CO5948">
            <v>1455.8620000000001</v>
          </cell>
        </row>
        <row r="5949">
          <cell r="CJ5949" t="str">
            <v xml:space="preserve">NFT-/XUTR/DEUTH02431649943X </v>
          </cell>
          <cell r="CK5949" t="str">
            <v>2024-11-11</v>
          </cell>
          <cell r="CL5949">
            <v>7767.48</v>
          </cell>
          <cell r="CM5949" t="str">
            <v xml:space="preserve">NFT-/XUTR/DEUTH02431658955X </v>
          </cell>
          <cell r="CN5949" t="str">
            <v>2024-11-11</v>
          </cell>
          <cell r="CO5949">
            <v>871.57899999999995</v>
          </cell>
          <cell r="CP5949" t="str">
            <v xml:space="preserve">NFT-/XUTR/DEUTH02433037112X </v>
          </cell>
          <cell r="CQ5949" t="str">
            <v>2024-11-25</v>
          </cell>
          <cell r="CR5949">
            <v>-7767.48</v>
          </cell>
          <cell r="CV5949" t="str">
            <v xml:space="preserve">NFT-/XUTR/DEUTH02433956210X </v>
          </cell>
          <cell r="CW5949" t="str">
            <v>2024-12-04</v>
          </cell>
          <cell r="CX5949">
            <v>-871.57899999999995</v>
          </cell>
        </row>
        <row r="5950">
          <cell r="CJ5950" t="str">
            <v xml:space="preserve">NFT-/XUTR/DEUTH02431649943X </v>
          </cell>
          <cell r="CK5950" t="str">
            <v>2024-11-11</v>
          </cell>
          <cell r="CL5950">
            <v>16976.300999999999</v>
          </cell>
        </row>
        <row r="5951">
          <cell r="CJ5951" t="str">
            <v xml:space="preserve">NFT-/XUTR/DEUTH02431649943X </v>
          </cell>
          <cell r="CK5951" t="str">
            <v>2024-11-11</v>
          </cell>
          <cell r="CL5951">
            <v>15520.438</v>
          </cell>
          <cell r="CM5951" t="str">
            <v xml:space="preserve">NFT-/XUTR/DEUTH02431658955X </v>
          </cell>
          <cell r="CN5951" t="str">
            <v>2024-11-11</v>
          </cell>
          <cell r="CO5951">
            <v>1455.8620000000001</v>
          </cell>
        </row>
        <row r="5952">
          <cell r="CJ5952" t="str">
            <v xml:space="preserve">NFT-/XUTR/DEUTH02431649943X </v>
          </cell>
          <cell r="CK5952" t="str">
            <v>2024-11-11</v>
          </cell>
          <cell r="CL5952">
            <v>15501.558000000001</v>
          </cell>
          <cell r="CM5952" t="str">
            <v xml:space="preserve">NFT-/XUTR/DEUTH02431658955X </v>
          </cell>
          <cell r="CN5952" t="str">
            <v>2024-11-11</v>
          </cell>
          <cell r="CO5952">
            <v>1455.8620000000001</v>
          </cell>
        </row>
        <row r="5953">
          <cell r="CJ5953" t="str">
            <v xml:space="preserve">NFT-/XUTR/DEUTH02431649943X </v>
          </cell>
          <cell r="CK5953" t="str">
            <v>2024-11-11</v>
          </cell>
          <cell r="CL5953">
            <v>7748.6</v>
          </cell>
          <cell r="CM5953" t="str">
            <v xml:space="preserve">NFT-/XUTR/DEUTH02431658955X </v>
          </cell>
          <cell r="CN5953" t="str">
            <v>2024-11-11</v>
          </cell>
          <cell r="CO5953">
            <v>871.57899999999995</v>
          </cell>
        </row>
        <row r="5954">
          <cell r="CJ5954" t="str">
            <v xml:space="preserve">NFT-/XUTR/DEUTH02431649943X </v>
          </cell>
          <cell r="CK5954" t="str">
            <v>2024-11-11</v>
          </cell>
          <cell r="CL5954">
            <v>7767.4790000000003</v>
          </cell>
          <cell r="CM5954" t="str">
            <v xml:space="preserve">NFT-/XUTR/DEUTH02431658955X </v>
          </cell>
          <cell r="CN5954" t="str">
            <v>2024-11-11</v>
          </cell>
          <cell r="CO5954">
            <v>871.57799999999997</v>
          </cell>
        </row>
        <row r="5955">
          <cell r="CJ5955" t="str">
            <v xml:space="preserve">NFT-/XUTR/DEUTH02431649943X </v>
          </cell>
          <cell r="CK5955" t="str">
            <v>2024-11-11</v>
          </cell>
          <cell r="CL5955">
            <v>7757.3379999999997</v>
          </cell>
          <cell r="CM5955" t="str">
            <v xml:space="preserve">NFT-/XUTR/DEUTH02431658955X </v>
          </cell>
          <cell r="CN5955" t="str">
            <v>2024-11-11</v>
          </cell>
          <cell r="CO5955">
            <v>862.84100000000001</v>
          </cell>
        </row>
        <row r="5956">
          <cell r="CJ5956" t="str">
            <v xml:space="preserve">NFT-/XUTR/DEUTH02431649943X </v>
          </cell>
          <cell r="CK5956" t="str">
            <v>2024-11-11</v>
          </cell>
          <cell r="CL5956">
            <v>5309.549</v>
          </cell>
          <cell r="CM5956" t="str">
            <v xml:space="preserve">NFT-/XUTR/DEUTH02431658955X </v>
          </cell>
          <cell r="CN5956" t="str">
            <v>2024-11-11</v>
          </cell>
          <cell r="CO5956">
            <v>593.02099999999996</v>
          </cell>
        </row>
        <row r="5957">
          <cell r="CJ5957" t="str">
            <v xml:space="preserve">NFT-/XUTR/DEUTH02431649943X </v>
          </cell>
          <cell r="CK5957" t="str">
            <v>2024-11-11</v>
          </cell>
          <cell r="CL5957">
            <v>79209.554999999993</v>
          </cell>
          <cell r="CM5957" t="str">
            <v xml:space="preserve">NFT-/XUTR/DEUTH02431658955X </v>
          </cell>
          <cell r="CN5957" t="str">
            <v>2024-11-11</v>
          </cell>
          <cell r="CO5957">
            <v>5580.8040000000001</v>
          </cell>
          <cell r="CP5957" t="str">
            <v xml:space="preserve">NFT-/XUTR/DEUTH02432045075X </v>
          </cell>
          <cell r="CQ5957" t="str">
            <v>2024-11-15</v>
          </cell>
          <cell r="CR5957">
            <v>-79209.554999999993</v>
          </cell>
          <cell r="CS5957" t="str">
            <v xml:space="preserve">NFT-/XUTR/DEUTH02432059153X </v>
          </cell>
          <cell r="CT5957" t="str">
            <v>2024-11-15</v>
          </cell>
          <cell r="CU5957">
            <v>-5580.8040000000001</v>
          </cell>
        </row>
        <row r="5958">
          <cell r="CJ5958" t="str">
            <v xml:space="preserve">NFT-/XUTR/DEUTH02431649943X </v>
          </cell>
          <cell r="CK5958" t="str">
            <v>2024-11-11</v>
          </cell>
          <cell r="CL5958">
            <v>7767.48</v>
          </cell>
          <cell r="CM5958" t="str">
            <v xml:space="preserve">NFT-/XUTR/DEUTH02431658955X </v>
          </cell>
          <cell r="CN5958" t="str">
            <v>2024-11-11</v>
          </cell>
          <cell r="CO5958">
            <v>871.57899999999995</v>
          </cell>
          <cell r="CP5958" t="str">
            <v xml:space="preserve">NFT-/XUTR/DEUTH02432540165X </v>
          </cell>
          <cell r="CQ5958" t="str">
            <v>2024-11-20</v>
          </cell>
          <cell r="CR5958">
            <v>-7767.48</v>
          </cell>
          <cell r="CS5958" t="str">
            <v xml:space="preserve">NFT-/XUTR/DEUTH02432567146X </v>
          </cell>
          <cell r="CT5958" t="str">
            <v>2024-11-20</v>
          </cell>
          <cell r="CU5958">
            <v>-871.57899999999995</v>
          </cell>
        </row>
        <row r="5960">
          <cell r="CJ5960" t="str">
            <v xml:space="preserve">NFT-/XUTR/DEUTH02431649943X </v>
          </cell>
          <cell r="CK5960" t="str">
            <v>2024-11-11</v>
          </cell>
          <cell r="CL5960">
            <v>15520.438</v>
          </cell>
          <cell r="CM5960" t="str">
            <v xml:space="preserve">NFT-/XUTR/DEUTH02431658955X </v>
          </cell>
          <cell r="CN5960" t="str">
            <v>2024-11-11</v>
          </cell>
          <cell r="CO5960">
            <v>1455.8620000000001</v>
          </cell>
        </row>
        <row r="5961">
          <cell r="CJ5961" t="str">
            <v xml:space="preserve">NFT-/XUTR/DEUTH02431649943X </v>
          </cell>
          <cell r="CK5961" t="str">
            <v>2024-11-11</v>
          </cell>
          <cell r="CL5961">
            <v>8639.06</v>
          </cell>
        </row>
        <row r="5962">
          <cell r="CJ5962" t="str">
            <v xml:space="preserve">NFT-/XUTR/DEUTH02431649943X </v>
          </cell>
          <cell r="CK5962" t="str">
            <v>2024-11-11</v>
          </cell>
          <cell r="CL5962">
            <v>7748.6</v>
          </cell>
          <cell r="CM5962" t="str">
            <v xml:space="preserve">NFT-/XUTR/DEUTH02431658955X </v>
          </cell>
          <cell r="CN5962" t="str">
            <v>2024-11-11</v>
          </cell>
          <cell r="CO5962">
            <v>871.57899999999995</v>
          </cell>
        </row>
        <row r="5963">
          <cell r="CJ5963" t="str">
            <v xml:space="preserve">NFT-/XUTR/DEUTH02431649943X </v>
          </cell>
          <cell r="CK5963" t="str">
            <v>2024-11-11</v>
          </cell>
          <cell r="CL5963">
            <v>15501.558000000001</v>
          </cell>
          <cell r="CM5963" t="str">
            <v xml:space="preserve">NFT-/XUTR/DEUTH02431658955X </v>
          </cell>
          <cell r="CN5963" t="str">
            <v>2024-11-11</v>
          </cell>
          <cell r="CO5963">
            <v>1455.8620000000001</v>
          </cell>
        </row>
        <row r="5964">
          <cell r="CJ5964" t="str">
            <v xml:space="preserve">NFT-/XUTR/DEUTH02431649943X </v>
          </cell>
          <cell r="CK5964" t="str">
            <v>2024-11-11</v>
          </cell>
          <cell r="CL5964">
            <v>15520.438</v>
          </cell>
          <cell r="CM5964" t="str">
            <v xml:space="preserve">NFT-/XUTR/DEUTH02431658955X </v>
          </cell>
          <cell r="CN5964" t="str">
            <v>2024-11-11</v>
          </cell>
          <cell r="CO5964">
            <v>1455.8620000000001</v>
          </cell>
        </row>
        <row r="5965">
          <cell r="CJ5965" t="str">
            <v xml:space="preserve">NFT-/XUTR/DEUTH02431649943X </v>
          </cell>
          <cell r="CK5965" t="str">
            <v>2024-11-11</v>
          </cell>
          <cell r="CL5965">
            <v>42561.18</v>
          </cell>
        </row>
        <row r="5966">
          <cell r="CJ5966" t="str">
            <v xml:space="preserve">NFT-/XUTR/DEUTH02431649943X </v>
          </cell>
          <cell r="CK5966" t="str">
            <v>2024-11-11</v>
          </cell>
          <cell r="CL5966">
            <v>15803.378000000001</v>
          </cell>
          <cell r="CM5966" t="str">
            <v xml:space="preserve">NFT-/XUTR/DEUTH02431658955X </v>
          </cell>
          <cell r="CN5966" t="str">
            <v>2024-11-11</v>
          </cell>
          <cell r="CO5966">
            <v>1455.8620000000001</v>
          </cell>
        </row>
        <row r="5967">
          <cell r="CJ5967" t="str">
            <v xml:space="preserve">NFT-/XUTR/DEUTH02431649943X </v>
          </cell>
          <cell r="CK5967" t="str">
            <v>2024-11-11</v>
          </cell>
          <cell r="CL5967">
            <v>7355.52</v>
          </cell>
          <cell r="CM5967" t="str">
            <v xml:space="preserve">NFT-/XUTR/DEUTH02431658955X </v>
          </cell>
          <cell r="CN5967" t="str">
            <v>2024-11-11</v>
          </cell>
          <cell r="CO5967">
            <v>1264.6590000000001</v>
          </cell>
        </row>
        <row r="5968">
          <cell r="CJ5968" t="str">
            <v xml:space="preserve">NFT-/XUTR/DEUTH02431649943X </v>
          </cell>
          <cell r="CK5968" t="str">
            <v>2024-11-11</v>
          </cell>
          <cell r="CL5968">
            <v>15520.438</v>
          </cell>
          <cell r="CM5968" t="str">
            <v xml:space="preserve">NFT-/XUTR/DEUTH02431658955X </v>
          </cell>
          <cell r="CN5968" t="str">
            <v>2024-11-11</v>
          </cell>
          <cell r="CO5968">
            <v>1455.8620000000001</v>
          </cell>
        </row>
        <row r="5969">
          <cell r="CJ5969" t="str">
            <v xml:space="preserve">NFT-/XUTR/DEUTH02431649943X </v>
          </cell>
          <cell r="CK5969" t="str">
            <v>2024-11-11</v>
          </cell>
          <cell r="CL5969">
            <v>15520.438</v>
          </cell>
          <cell r="CM5969" t="str">
            <v xml:space="preserve">NFT-/XUTR/DEUTH02431658955X </v>
          </cell>
          <cell r="CN5969" t="str">
            <v>2024-11-11</v>
          </cell>
          <cell r="CO5969">
            <v>1455.8620000000001</v>
          </cell>
        </row>
        <row r="5970">
          <cell r="CJ5970" t="str">
            <v xml:space="preserve">NFT-/XUTR/DEUTH02431649943X </v>
          </cell>
          <cell r="CK5970" t="str">
            <v>2024-11-11</v>
          </cell>
          <cell r="CL5970">
            <v>15822.258</v>
          </cell>
          <cell r="CM5970" t="str">
            <v xml:space="preserve">NFT-/XUTR/DEUTH02431658955X </v>
          </cell>
          <cell r="CN5970" t="str">
            <v>2024-11-11</v>
          </cell>
          <cell r="CO5970">
            <v>1455.8620000000001</v>
          </cell>
        </row>
        <row r="5971">
          <cell r="CJ5971" t="str">
            <v xml:space="preserve">NFT-/XUTR/DEUTH02431649943X </v>
          </cell>
          <cell r="CK5971" t="str">
            <v>2024-11-11</v>
          </cell>
          <cell r="CL5971">
            <v>15501.558000000001</v>
          </cell>
          <cell r="CM5971" t="str">
            <v xml:space="preserve">NFT-/XUTR/DEUTH02431658955X </v>
          </cell>
          <cell r="CN5971" t="str">
            <v>2024-11-11</v>
          </cell>
          <cell r="CO5971">
            <v>1455.8620000000001</v>
          </cell>
        </row>
        <row r="5972">
          <cell r="CJ5972" t="str">
            <v xml:space="preserve">NFT-/XUTR/DEUTH02431649943X </v>
          </cell>
          <cell r="CK5972" t="str">
            <v>2024-11-11</v>
          </cell>
          <cell r="CL5972">
            <v>10955.824000000001</v>
          </cell>
          <cell r="CM5972" t="str">
            <v xml:space="preserve">NFT-/XUTR/DEUTH02431658955X </v>
          </cell>
          <cell r="CN5972" t="str">
            <v>2024-11-11</v>
          </cell>
          <cell r="CO5972">
            <v>1225.8330000000001</v>
          </cell>
        </row>
        <row r="5973">
          <cell r="CJ5973" t="str">
            <v xml:space="preserve">NFT-/XUTR/DEUTH02431649943X </v>
          </cell>
          <cell r="CK5973" t="str">
            <v>2024-11-11</v>
          </cell>
          <cell r="CL5973">
            <v>7748.6</v>
          </cell>
          <cell r="CM5973" t="str">
            <v xml:space="preserve">NFT-/XUTR/DEUTH02431658955X </v>
          </cell>
          <cell r="CN5973" t="str">
            <v>2024-11-11</v>
          </cell>
          <cell r="CO5973">
            <v>871.57899999999995</v>
          </cell>
        </row>
        <row r="5974">
          <cell r="CJ5974" t="str">
            <v xml:space="preserve">NFT-/XUTR/DEUTH02431649943X </v>
          </cell>
          <cell r="CK5974" t="str">
            <v>2024-11-11</v>
          </cell>
          <cell r="CL5974">
            <v>15637.433000000001</v>
          </cell>
          <cell r="CM5974" t="str">
            <v xml:space="preserve">NFT-/XUTR/DEUTH02431658955X </v>
          </cell>
          <cell r="CN5974" t="str">
            <v>2024-11-11</v>
          </cell>
          <cell r="CO5974">
            <v>1455.8620000000001</v>
          </cell>
        </row>
        <row r="5975">
          <cell r="CJ5975" t="str">
            <v xml:space="preserve">NFT-/XUTR/DEUTH02431649943X </v>
          </cell>
          <cell r="CK5975" t="str">
            <v>2024-11-11</v>
          </cell>
          <cell r="CL5975">
            <v>15637.433000000001</v>
          </cell>
          <cell r="CM5975" t="str">
            <v xml:space="preserve">NFT-/XUTR/DEUTH02431658955X </v>
          </cell>
          <cell r="CN5975" t="str">
            <v>2024-11-11</v>
          </cell>
          <cell r="CO5975">
            <v>1455.8620000000001</v>
          </cell>
        </row>
        <row r="5976">
          <cell r="CJ5976" t="str">
            <v xml:space="preserve">NFT-/XUTR/DEUTH02431649943X </v>
          </cell>
          <cell r="CK5976" t="str">
            <v>2024-11-11</v>
          </cell>
          <cell r="CL5976">
            <v>11754.61</v>
          </cell>
        </row>
        <row r="5978">
          <cell r="CJ5978" t="str">
            <v xml:space="preserve">NFT-/XUTR/DEUTH02431839302X </v>
          </cell>
          <cell r="CK5978" t="str">
            <v>2024-11-13</v>
          </cell>
          <cell r="CL5978">
            <v>15501.558000000001</v>
          </cell>
          <cell r="CM5978" t="str">
            <v xml:space="preserve">NFT-/XUTR/DEUTH02431843558X </v>
          </cell>
          <cell r="CN5978" t="str">
            <v>2024-11-13</v>
          </cell>
          <cell r="CO5978">
            <v>1455.8620000000001</v>
          </cell>
        </row>
        <row r="5979">
          <cell r="CJ5979" t="str">
            <v xml:space="preserve">NFT-/XUTR/DEUTH02431839302X </v>
          </cell>
          <cell r="CK5979" t="str">
            <v>2024-11-13</v>
          </cell>
          <cell r="CL5979">
            <v>84528.838000000003</v>
          </cell>
          <cell r="CM5979" t="str">
            <v xml:space="preserve">NFT-/XUTR/DEUTH02431843558X </v>
          </cell>
          <cell r="CN5979" t="str">
            <v>2024-11-13</v>
          </cell>
          <cell r="CO5979">
            <v>291.173</v>
          </cell>
        </row>
        <row r="5980">
          <cell r="CJ5980" t="str">
            <v xml:space="preserve">NFT-/XUTR/DEUTH02431839302X </v>
          </cell>
          <cell r="CK5980" t="str">
            <v>2024-11-13</v>
          </cell>
          <cell r="CL5980">
            <v>15501.558000000001</v>
          </cell>
          <cell r="CM5980" t="str">
            <v xml:space="preserve">NFT-/XUTR/DEUTH02431843558X </v>
          </cell>
          <cell r="CN5980" t="str">
            <v>2024-11-13</v>
          </cell>
          <cell r="CO5980">
            <v>1455.8620000000001</v>
          </cell>
        </row>
        <row r="5981">
          <cell r="CJ5981" t="str">
            <v xml:space="preserve">NFT-/XUTR/DEUTH02431839302X </v>
          </cell>
          <cell r="CK5981" t="str">
            <v>2024-11-13</v>
          </cell>
          <cell r="CL5981">
            <v>16976.3</v>
          </cell>
        </row>
        <row r="5982">
          <cell r="CJ5982" t="str">
            <v xml:space="preserve">NFT-/XUTR/DEUTH02431839302X </v>
          </cell>
          <cell r="CK5982" t="str">
            <v>2024-11-13</v>
          </cell>
          <cell r="CL5982">
            <v>15520.438</v>
          </cell>
          <cell r="CM5982" t="str">
            <v xml:space="preserve">NFT-/XUTR/DEUTH02431843558X </v>
          </cell>
          <cell r="CN5982" t="str">
            <v>2024-11-13</v>
          </cell>
          <cell r="CO5982">
            <v>1455.8620000000001</v>
          </cell>
        </row>
        <row r="5983">
          <cell r="CJ5983" t="str">
            <v xml:space="preserve">NFT-/XUTR/DEUTH02431839302X </v>
          </cell>
          <cell r="CK5983" t="str">
            <v>2024-11-13</v>
          </cell>
          <cell r="CL5983">
            <v>15291.383</v>
          </cell>
          <cell r="CM5983" t="str">
            <v xml:space="preserve">NFT-/XUTR/DEUTH02431843558X </v>
          </cell>
          <cell r="CN5983" t="str">
            <v>2024-11-13</v>
          </cell>
          <cell r="CO5983">
            <v>1684.9169999999999</v>
          </cell>
          <cell r="CP5983" t="str">
            <v xml:space="preserve">NFT-/XUTR/DEUTH02432540165X </v>
          </cell>
          <cell r="CQ5983" t="str">
            <v>2024-11-20</v>
          </cell>
          <cell r="CR5983">
            <v>-15291.383</v>
          </cell>
          <cell r="CS5983" t="str">
            <v xml:space="preserve">NFT-/XUTR/DEUTH02432567146X </v>
          </cell>
          <cell r="CT5983" t="str">
            <v>2024-11-20</v>
          </cell>
          <cell r="CU5983">
            <v>-1684.9169999999999</v>
          </cell>
        </row>
        <row r="5984">
          <cell r="CJ5984" t="str">
            <v xml:space="preserve">NFT-/XUTR/DEUTH02431839302X </v>
          </cell>
          <cell r="CK5984" t="str">
            <v>2024-11-13</v>
          </cell>
          <cell r="CL5984">
            <v>15520.438</v>
          </cell>
          <cell r="CM5984" t="str">
            <v xml:space="preserve">NFT-/XUTR/DEUTH02431843558X </v>
          </cell>
          <cell r="CN5984" t="str">
            <v>2024-11-13</v>
          </cell>
          <cell r="CO5984">
            <v>1455.8620000000001</v>
          </cell>
        </row>
        <row r="5985">
          <cell r="CJ5985" t="str">
            <v xml:space="preserve">NFT-/XUTR/DEUTH02431839302X </v>
          </cell>
          <cell r="CK5985" t="str">
            <v>2024-11-13</v>
          </cell>
          <cell r="CL5985">
            <v>15501.558000000001</v>
          </cell>
          <cell r="CM5985" t="str">
            <v xml:space="preserve">NFT-/XUTR/DEUTH02431843558X </v>
          </cell>
          <cell r="CN5985" t="str">
            <v>2024-11-13</v>
          </cell>
          <cell r="CO5985">
            <v>1455.8620000000001</v>
          </cell>
        </row>
        <row r="5986">
          <cell r="CJ5986" t="str">
            <v xml:space="preserve">NFT-/XUTR/DEUTH02431839302X </v>
          </cell>
          <cell r="CK5986" t="str">
            <v>2024-11-13</v>
          </cell>
          <cell r="CL5986">
            <v>15501.558000000001</v>
          </cell>
          <cell r="CM5986" t="str">
            <v xml:space="preserve">NFT-/XUTR/DEUTH02431843558X </v>
          </cell>
          <cell r="CN5986" t="str">
            <v>2024-11-13</v>
          </cell>
          <cell r="CO5986">
            <v>1455.8620000000001</v>
          </cell>
        </row>
        <row r="5987">
          <cell r="CJ5987" t="str">
            <v xml:space="preserve">NFT-/XUTR/DEUTH02431839302X </v>
          </cell>
          <cell r="CK5987" t="str">
            <v>2024-11-13</v>
          </cell>
          <cell r="CL5987">
            <v>2403.116</v>
          </cell>
          <cell r="CM5987" t="str">
            <v xml:space="preserve">NFT-/XUTR/DEUTH02431843558X </v>
          </cell>
          <cell r="CN5987" t="str">
            <v>2024-11-13</v>
          </cell>
          <cell r="CO5987">
            <v>276.61</v>
          </cell>
        </row>
        <row r="5988">
          <cell r="CJ5988" t="str">
            <v xml:space="preserve">NFT-/XUTR/DEUTH02431839302X </v>
          </cell>
          <cell r="CK5988" t="str">
            <v>2024-11-13</v>
          </cell>
          <cell r="CL5988">
            <v>15520.438</v>
          </cell>
          <cell r="CM5988" t="str">
            <v xml:space="preserve">NFT-/XUTR/DEUTH02431843558X </v>
          </cell>
          <cell r="CN5988" t="str">
            <v>2024-11-13</v>
          </cell>
          <cell r="CO5988">
            <v>1455.8620000000001</v>
          </cell>
        </row>
        <row r="5989">
          <cell r="CJ5989" t="str">
            <v xml:space="preserve">NFT-/XUTR/DEUTH02431839302X </v>
          </cell>
          <cell r="CK5989" t="str">
            <v>2024-11-13</v>
          </cell>
          <cell r="CL5989">
            <v>15520.438</v>
          </cell>
          <cell r="CM5989" t="str">
            <v xml:space="preserve">NFT-/XUTR/DEUTH02431843558X </v>
          </cell>
          <cell r="CN5989" t="str">
            <v>2024-11-13</v>
          </cell>
          <cell r="CO5989">
            <v>1455.8620000000001</v>
          </cell>
        </row>
        <row r="5990">
          <cell r="CJ5990" t="str">
            <v xml:space="preserve">NFT-/XUTR/DEUTH02431839302X </v>
          </cell>
          <cell r="CK5990" t="str">
            <v>2024-11-13</v>
          </cell>
          <cell r="CL5990">
            <v>15501.558000000001</v>
          </cell>
          <cell r="CM5990" t="str">
            <v xml:space="preserve">NFT-/XUTR/DEUTH02431843558X </v>
          </cell>
          <cell r="CN5990" t="str">
            <v>2024-11-13</v>
          </cell>
          <cell r="CO5990">
            <v>1455.8620000000001</v>
          </cell>
        </row>
        <row r="5991">
          <cell r="CJ5991" t="str">
            <v xml:space="preserve">NFT-/XUTR/DEUTH02431839302X </v>
          </cell>
          <cell r="CK5991" t="str">
            <v>2024-11-13</v>
          </cell>
          <cell r="CL5991">
            <v>15520.438</v>
          </cell>
          <cell r="CM5991" t="str">
            <v xml:space="preserve">NFT-/XUTR/DEUTH02431843558X </v>
          </cell>
          <cell r="CN5991" t="str">
            <v>2024-11-13</v>
          </cell>
          <cell r="CO5991">
            <v>1455.8620000000001</v>
          </cell>
        </row>
        <row r="5992">
          <cell r="CJ5992" t="str">
            <v xml:space="preserve">NFT-/XUTR/DEUTH02431839302X </v>
          </cell>
          <cell r="CK5992" t="str">
            <v>2024-11-13</v>
          </cell>
          <cell r="CL5992">
            <v>15520.438</v>
          </cell>
          <cell r="CM5992" t="str">
            <v xml:space="preserve">NFT-/XUTR/DEUTH02431843558X </v>
          </cell>
          <cell r="CN5992" t="str">
            <v>2024-11-13</v>
          </cell>
          <cell r="CO5992">
            <v>1455.8620000000001</v>
          </cell>
        </row>
        <row r="5993">
          <cell r="CJ5993" t="str">
            <v xml:space="preserve">NFT-/XUTR/DEUTH02431839302X </v>
          </cell>
          <cell r="CK5993" t="str">
            <v>2024-11-13</v>
          </cell>
          <cell r="CL5993">
            <v>15520.438</v>
          </cell>
          <cell r="CM5993" t="str">
            <v xml:space="preserve">NFT-/XUTR/DEUTH02431843558X </v>
          </cell>
          <cell r="CN5993" t="str">
            <v>2024-11-13</v>
          </cell>
          <cell r="CO5993">
            <v>1455.8620000000001</v>
          </cell>
        </row>
        <row r="5994">
          <cell r="CJ5994" t="str">
            <v xml:space="preserve">NFT-/XUTR/DEUTH02431839302X </v>
          </cell>
          <cell r="CK5994" t="str">
            <v>2024-11-13</v>
          </cell>
          <cell r="CL5994">
            <v>7767.48</v>
          </cell>
          <cell r="CM5994" t="str">
            <v xml:space="preserve">NFT-/XUTR/DEUTH02431843558X </v>
          </cell>
          <cell r="CN5994" t="str">
            <v>2024-11-13</v>
          </cell>
          <cell r="CO5994">
            <v>871.57899999999995</v>
          </cell>
        </row>
        <row r="5995">
          <cell r="CJ5995" t="str">
            <v xml:space="preserve">NFT-/XUTR/DEUTH02431839302X </v>
          </cell>
          <cell r="CK5995" t="str">
            <v>2024-11-13</v>
          </cell>
          <cell r="CL5995">
            <v>15520.438</v>
          </cell>
          <cell r="CM5995" t="str">
            <v xml:space="preserve">NFT-/XUTR/DEUTH02431843558X </v>
          </cell>
          <cell r="CN5995" t="str">
            <v>2024-11-13</v>
          </cell>
          <cell r="CO5995">
            <v>1455.8620000000001</v>
          </cell>
        </row>
        <row r="5996">
          <cell r="CJ5996" t="str">
            <v xml:space="preserve">NFT-/XUTR/DEUTH02431839302X </v>
          </cell>
          <cell r="CK5996" t="str">
            <v>2024-11-13</v>
          </cell>
          <cell r="CL5996">
            <v>15520.438</v>
          </cell>
          <cell r="CM5996" t="str">
            <v xml:space="preserve">NFT-/XUTR/DEUTH02431843558X </v>
          </cell>
          <cell r="CN5996" t="str">
            <v>2024-11-13</v>
          </cell>
          <cell r="CO5996">
            <v>1455.8620000000001</v>
          </cell>
        </row>
        <row r="5997">
          <cell r="CJ5997" t="str">
            <v xml:space="preserve">NFT-/XUTR/DEUTH02431839302X </v>
          </cell>
          <cell r="CK5997" t="str">
            <v>2024-11-13</v>
          </cell>
          <cell r="CL5997">
            <v>15501.558000000001</v>
          </cell>
          <cell r="CM5997" t="str">
            <v xml:space="preserve">NFT-/XUTR/DEUTH02431843558X </v>
          </cell>
          <cell r="CN5997" t="str">
            <v>2024-11-13</v>
          </cell>
          <cell r="CO5997">
            <v>1455.8620000000001</v>
          </cell>
        </row>
        <row r="5998">
          <cell r="CJ5998" t="str">
            <v xml:space="preserve">NFT-/XUTR/DEUTH02431839302X </v>
          </cell>
          <cell r="CK5998" t="str">
            <v>2024-11-13</v>
          </cell>
          <cell r="CL5998">
            <v>16957.420999999998</v>
          </cell>
        </row>
        <row r="5999">
          <cell r="CJ5999" t="str">
            <v xml:space="preserve">NFT-/XUTR/DEUTH02431839302X </v>
          </cell>
          <cell r="CK5999" t="str">
            <v>2024-11-13</v>
          </cell>
          <cell r="CL5999">
            <v>15501.558000000001</v>
          </cell>
          <cell r="CM5999" t="str">
            <v xml:space="preserve">NFT-/XUTR/DEUTH02431843558X </v>
          </cell>
          <cell r="CN5999" t="str">
            <v>2024-11-13</v>
          </cell>
          <cell r="CO5999">
            <v>1455.8620000000001</v>
          </cell>
        </row>
        <row r="6000">
          <cell r="CJ6000" t="str">
            <v xml:space="preserve">NFT-/XUTR/DEUTH02431839302X </v>
          </cell>
          <cell r="CK6000" t="str">
            <v>2024-11-13</v>
          </cell>
          <cell r="CL6000">
            <v>16957.420999999998</v>
          </cell>
        </row>
        <row r="6001">
          <cell r="CJ6001" t="str">
            <v xml:space="preserve">NFT-/XUTR/DEUTH02431839302X </v>
          </cell>
          <cell r="CK6001" t="str">
            <v>2024-11-13</v>
          </cell>
          <cell r="CL6001">
            <v>15520.438</v>
          </cell>
          <cell r="CM6001" t="str">
            <v xml:space="preserve">NFT-/XUTR/DEUTH02431843558X </v>
          </cell>
          <cell r="CN6001" t="str">
            <v>2024-11-13</v>
          </cell>
          <cell r="CO6001">
            <v>1455.8620000000001</v>
          </cell>
        </row>
        <row r="6002">
          <cell r="CJ6002" t="str">
            <v xml:space="preserve">NFT-/XUTR/DEUTH02431839302X </v>
          </cell>
          <cell r="CK6002" t="str">
            <v>2024-11-13</v>
          </cell>
          <cell r="CL6002">
            <v>15520.438</v>
          </cell>
          <cell r="CM6002" t="str">
            <v xml:space="preserve">NFT-/XUTR/DEUTH02431843558X </v>
          </cell>
          <cell r="CN6002" t="str">
            <v>2024-11-13</v>
          </cell>
          <cell r="CO6002">
            <v>1455.8620000000001</v>
          </cell>
        </row>
        <row r="6003">
          <cell r="CJ6003" t="str">
            <v xml:space="preserve">NFT-/XUTR/DEUTH02431839302X </v>
          </cell>
          <cell r="CK6003" t="str">
            <v>2024-11-13</v>
          </cell>
          <cell r="CL6003">
            <v>15520.438</v>
          </cell>
          <cell r="CM6003" t="str">
            <v xml:space="preserve">NFT-/XUTR/DEUTH02431843558X </v>
          </cell>
          <cell r="CN6003" t="str">
            <v>2024-11-13</v>
          </cell>
          <cell r="CO6003">
            <v>1455.8620000000001</v>
          </cell>
        </row>
        <row r="6004">
          <cell r="CJ6004" t="str">
            <v xml:space="preserve">NFT-/XUTR/DEUTH02431839302X </v>
          </cell>
          <cell r="CK6004" t="str">
            <v>2024-11-13</v>
          </cell>
          <cell r="CL6004">
            <v>15520.438</v>
          </cell>
          <cell r="CM6004" t="str">
            <v xml:space="preserve">NFT-/XUTR/DEUTH02431843558X </v>
          </cell>
          <cell r="CN6004" t="str">
            <v>2024-11-13</v>
          </cell>
          <cell r="CO6004">
            <v>1455.8620000000001</v>
          </cell>
        </row>
        <row r="6005">
          <cell r="CJ6005" t="str">
            <v xml:space="preserve">NFT-/XUTR/DEUTH02431839302X </v>
          </cell>
          <cell r="CK6005" t="str">
            <v>2024-11-13</v>
          </cell>
          <cell r="CL6005">
            <v>15520.438</v>
          </cell>
          <cell r="CM6005" t="str">
            <v xml:space="preserve">NFT-/XUTR/DEUTH02431843558X </v>
          </cell>
          <cell r="CN6005" t="str">
            <v>2024-11-13</v>
          </cell>
          <cell r="CO6005">
            <v>1455.8620000000001</v>
          </cell>
          <cell r="CP6005" t="str">
            <v xml:space="preserve">NFT-/XUTR/DEUTH02433037112X </v>
          </cell>
          <cell r="CQ6005" t="str">
            <v>2024-11-25</v>
          </cell>
          <cell r="CR6005">
            <v>-15520.438</v>
          </cell>
          <cell r="CV6005" t="str">
            <v xml:space="preserve">NFT-/XUTR/DEUTH02433956210X </v>
          </cell>
          <cell r="CW6005" t="str">
            <v>2024-12-04</v>
          </cell>
          <cell r="CX6005">
            <v>-1455.8620000000001</v>
          </cell>
        </row>
        <row r="6006">
          <cell r="CJ6006" t="str">
            <v xml:space="preserve">NFT-/XUTR/DEUTH02431839302X </v>
          </cell>
          <cell r="CK6006" t="str">
            <v>2024-11-13</v>
          </cell>
          <cell r="CL6006">
            <v>15520.438</v>
          </cell>
          <cell r="CM6006" t="str">
            <v xml:space="preserve">NFT-/XUTR/DEUTH02431843558X </v>
          </cell>
          <cell r="CN6006" t="str">
            <v>2024-11-13</v>
          </cell>
          <cell r="CO6006">
            <v>1455.8620000000001</v>
          </cell>
        </row>
        <row r="6007">
          <cell r="CJ6007" t="str">
            <v xml:space="preserve">NFT-/XUTR/DEUTH02431839302X </v>
          </cell>
          <cell r="CK6007" t="str">
            <v>2024-11-13</v>
          </cell>
          <cell r="CL6007">
            <v>83334.498999999996</v>
          </cell>
          <cell r="CM6007" t="str">
            <v xml:space="preserve">NFT-/XUTR/DEUTH02431843558X </v>
          </cell>
          <cell r="CN6007" t="str">
            <v>2024-11-13</v>
          </cell>
          <cell r="CO6007">
            <v>1455.8620000000001</v>
          </cell>
        </row>
        <row r="6008">
          <cell r="CJ6008" t="str">
            <v xml:space="preserve">NFT-/XUTR/DEUTH02431839302X </v>
          </cell>
          <cell r="CK6008" t="str">
            <v>2024-11-13</v>
          </cell>
          <cell r="CL6008">
            <v>15501.558000000001</v>
          </cell>
          <cell r="CM6008" t="str">
            <v xml:space="preserve">NFT-/XUTR/DEUTH02431843558X </v>
          </cell>
          <cell r="CN6008" t="str">
            <v>2024-11-13</v>
          </cell>
          <cell r="CO6008">
            <v>1455.8620000000001</v>
          </cell>
        </row>
        <row r="6009">
          <cell r="CJ6009" t="str">
            <v xml:space="preserve">NFT-/XUTR/DEUTH02431839302X </v>
          </cell>
          <cell r="CK6009" t="str">
            <v>2024-11-13</v>
          </cell>
          <cell r="CL6009">
            <v>15501.558000000001</v>
          </cell>
          <cell r="CM6009" t="str">
            <v xml:space="preserve">NFT-/XUTR/DEUTH02431843558X </v>
          </cell>
          <cell r="CN6009" t="str">
            <v>2024-11-13</v>
          </cell>
          <cell r="CO6009">
            <v>1455.8620000000001</v>
          </cell>
        </row>
        <row r="6010">
          <cell r="CJ6010" t="str">
            <v xml:space="preserve">NFT-/XUTR/DEUTH02431839302X </v>
          </cell>
          <cell r="CK6010" t="str">
            <v>2024-11-13</v>
          </cell>
          <cell r="CL6010">
            <v>15501.558000000001</v>
          </cell>
          <cell r="CM6010" t="str">
            <v xml:space="preserve">NFT-/XUTR/DEUTH02431843558X </v>
          </cell>
          <cell r="CN6010" t="str">
            <v>2024-11-13</v>
          </cell>
          <cell r="CO6010">
            <v>1455.8620000000001</v>
          </cell>
        </row>
        <row r="6011">
          <cell r="CJ6011" t="str">
            <v xml:space="preserve">NFT-/XUTR/DEUTH02431839302X </v>
          </cell>
          <cell r="CK6011" t="str">
            <v>2024-11-13</v>
          </cell>
          <cell r="CL6011">
            <v>2490.7330000000002</v>
          </cell>
          <cell r="CM6011" t="str">
            <v xml:space="preserve">NFT-/XUTR/DEUTH02431843558X </v>
          </cell>
          <cell r="CN6011" t="str">
            <v>2024-11-13</v>
          </cell>
          <cell r="CO6011">
            <v>285.34800000000001</v>
          </cell>
        </row>
        <row r="6012">
          <cell r="CJ6012" t="str">
            <v xml:space="preserve">NFT-/XUTR/DEUTH02431839302X </v>
          </cell>
          <cell r="CK6012" t="str">
            <v>2024-11-13</v>
          </cell>
          <cell r="CL6012">
            <v>10568.83</v>
          </cell>
          <cell r="CM6012" t="str">
            <v xml:space="preserve">NFT-/XUTR/DEUTH02431843558X </v>
          </cell>
          <cell r="CN6012" t="str">
            <v>2024-11-13</v>
          </cell>
          <cell r="CO6012">
            <v>1253.009</v>
          </cell>
        </row>
        <row r="6013">
          <cell r="CJ6013" t="str">
            <v xml:space="preserve">NFT-/XUTR/DEUTH02431839302X </v>
          </cell>
          <cell r="CK6013" t="str">
            <v>2024-11-13</v>
          </cell>
          <cell r="CL6013">
            <v>15520.438</v>
          </cell>
          <cell r="CM6013" t="str">
            <v xml:space="preserve">NFT-/XUTR/DEUTH02431843558X </v>
          </cell>
          <cell r="CN6013" t="str">
            <v>2024-11-13</v>
          </cell>
          <cell r="CO6013">
            <v>1455.8620000000001</v>
          </cell>
        </row>
        <row r="6014">
          <cell r="CJ6014" t="str">
            <v xml:space="preserve">NFT-/XUTR/DEUTH02431839302X </v>
          </cell>
          <cell r="CK6014" t="str">
            <v>2024-11-13</v>
          </cell>
          <cell r="CL6014">
            <v>15520.438</v>
          </cell>
          <cell r="CM6014" t="str">
            <v xml:space="preserve">NFT-/XUTR/DEUTH02431843558X </v>
          </cell>
          <cell r="CN6014" t="str">
            <v>2024-11-13</v>
          </cell>
          <cell r="CO6014">
            <v>1455.8620000000001</v>
          </cell>
        </row>
        <row r="6015">
          <cell r="CJ6015" t="str">
            <v xml:space="preserve">NFT-/XUTR/DEUTH02431839302X </v>
          </cell>
          <cell r="CK6015" t="str">
            <v>2024-11-13</v>
          </cell>
          <cell r="CL6015">
            <v>15520.438</v>
          </cell>
          <cell r="CM6015" t="str">
            <v xml:space="preserve">NFT-/XUTR/DEUTH02431843558X </v>
          </cell>
          <cell r="CN6015" t="str">
            <v>2024-11-13</v>
          </cell>
          <cell r="CO6015">
            <v>1455.8620000000001</v>
          </cell>
        </row>
        <row r="6016">
          <cell r="CJ6016" t="str">
            <v xml:space="preserve">NFT-/XUTR/DEUTH02431839302X </v>
          </cell>
          <cell r="CK6016" t="str">
            <v>2024-11-13</v>
          </cell>
          <cell r="CL6016">
            <v>41105.317999999999</v>
          </cell>
          <cell r="CM6016" t="str">
            <v xml:space="preserve">NFT-/XUTR/DEUTH02431843558X </v>
          </cell>
          <cell r="CN6016" t="str">
            <v>2024-11-13</v>
          </cell>
          <cell r="CO6016">
            <v>1455.8620000000001</v>
          </cell>
        </row>
        <row r="6017">
          <cell r="CJ6017" t="str">
            <v xml:space="preserve">NFT-/XUTR/DEUTH02431839302X </v>
          </cell>
          <cell r="CK6017" t="str">
            <v>2024-11-13</v>
          </cell>
          <cell r="CL6017">
            <v>15520.438</v>
          </cell>
          <cell r="CM6017" t="str">
            <v xml:space="preserve">NFT-/XUTR/DEUTH02431843558X </v>
          </cell>
          <cell r="CN6017" t="str">
            <v>2024-11-13</v>
          </cell>
          <cell r="CO6017">
            <v>1455.8620000000001</v>
          </cell>
          <cell r="CP6017" t="str">
            <v xml:space="preserve">NFT-/XUTR/DEUTH02432756454X </v>
          </cell>
          <cell r="CQ6017" t="str">
            <v>2024-11-22</v>
          </cell>
          <cell r="CR6017">
            <v>-15520.438</v>
          </cell>
          <cell r="CV6017" t="str">
            <v xml:space="preserve">NFT-/XUTR/DEUTH02433956210X </v>
          </cell>
          <cell r="CW6017" t="str">
            <v>2024-12-04</v>
          </cell>
          <cell r="CX6017">
            <v>-1455.8620000000001</v>
          </cell>
        </row>
        <row r="6018">
          <cell r="CJ6018" t="str">
            <v xml:space="preserve">NFT-/XUTR/DEUTH02431839302X </v>
          </cell>
          <cell r="CK6018" t="str">
            <v>2024-11-13</v>
          </cell>
          <cell r="CL6018">
            <v>15501.558000000001</v>
          </cell>
          <cell r="CM6018" t="str">
            <v xml:space="preserve">NFT-/XUTR/DEUTH02431843558X </v>
          </cell>
          <cell r="CN6018" t="str">
            <v>2024-11-13</v>
          </cell>
          <cell r="CO6018">
            <v>1455.8620000000001</v>
          </cell>
        </row>
        <row r="6019">
          <cell r="CJ6019" t="str">
            <v xml:space="preserve">NFT-/XUTR/DEUTH02431839302X </v>
          </cell>
          <cell r="CK6019" t="str">
            <v>2024-11-13</v>
          </cell>
          <cell r="CL6019">
            <v>15520.438</v>
          </cell>
          <cell r="CM6019" t="str">
            <v xml:space="preserve">NFT-/XUTR/DEUTH02431843558X </v>
          </cell>
          <cell r="CN6019" t="str">
            <v>2024-11-13</v>
          </cell>
          <cell r="CO6019">
            <v>1455.8620000000001</v>
          </cell>
          <cell r="CP6019" t="str">
            <v xml:space="preserve">NFT-/XUTR/DEUTH02432540165X </v>
          </cell>
          <cell r="CQ6019" t="str">
            <v>2024-11-20</v>
          </cell>
          <cell r="CR6019">
            <v>-15520.438</v>
          </cell>
          <cell r="CS6019" t="str">
            <v xml:space="preserve">NFT-/XUTR/DEUTH02432567146X </v>
          </cell>
          <cell r="CT6019" t="str">
            <v>2024-11-20</v>
          </cell>
          <cell r="CU6019">
            <v>-1455.8620000000001</v>
          </cell>
        </row>
        <row r="6020">
          <cell r="CJ6020" t="str">
            <v xml:space="preserve">NFT-/XUTR/DEUTH02431839302X </v>
          </cell>
          <cell r="CK6020" t="str">
            <v>2024-11-13</v>
          </cell>
          <cell r="CL6020">
            <v>16957.420999999998</v>
          </cell>
        </row>
        <row r="6021">
          <cell r="CJ6021" t="str">
            <v xml:space="preserve">NFT-/XUTR/DEUTH02431839302X </v>
          </cell>
          <cell r="CK6021" t="str">
            <v>2024-11-13</v>
          </cell>
          <cell r="CL6021">
            <v>15501.558000000001</v>
          </cell>
          <cell r="CM6021" t="str">
            <v xml:space="preserve">NFT-/XUTR/DEUTH02431843558X </v>
          </cell>
          <cell r="CN6021" t="str">
            <v>2024-11-13</v>
          </cell>
          <cell r="CO6021">
            <v>1455.8620000000001</v>
          </cell>
        </row>
        <row r="6022">
          <cell r="CJ6022" t="str">
            <v xml:space="preserve">NFT-/XUTR/DEUTH02431839302X </v>
          </cell>
          <cell r="CK6022" t="str">
            <v>2024-11-13</v>
          </cell>
          <cell r="CL6022">
            <v>15520.438</v>
          </cell>
          <cell r="CM6022" t="str">
            <v xml:space="preserve">NFT-/XUTR/DEUTH02431843558X </v>
          </cell>
          <cell r="CN6022" t="str">
            <v>2024-11-13</v>
          </cell>
          <cell r="CO6022">
            <v>1455.8620000000001</v>
          </cell>
        </row>
        <row r="6023">
          <cell r="CJ6023" t="str">
            <v xml:space="preserve">NFT-/XUTR/DEUTH02431839302X </v>
          </cell>
          <cell r="CK6023" t="str">
            <v>2024-11-13</v>
          </cell>
          <cell r="CL6023">
            <v>15501.558000000001</v>
          </cell>
          <cell r="CM6023" t="str">
            <v xml:space="preserve">NFT-/XUTR/DEUTH02431843558X </v>
          </cell>
          <cell r="CN6023" t="str">
            <v>2024-11-13</v>
          </cell>
          <cell r="CO6023">
            <v>1455.8620000000001</v>
          </cell>
        </row>
        <row r="6024">
          <cell r="CJ6024" t="str">
            <v xml:space="preserve">NFT-/XUTR/DEUTH02431839302X </v>
          </cell>
          <cell r="CK6024" t="str">
            <v>2024-11-13</v>
          </cell>
          <cell r="CL6024">
            <v>15520.438</v>
          </cell>
          <cell r="CM6024" t="str">
            <v xml:space="preserve">NFT-/XUTR/DEUTH02431843558X </v>
          </cell>
          <cell r="CN6024" t="str">
            <v>2024-11-13</v>
          </cell>
          <cell r="CO6024">
            <v>1455.8620000000001</v>
          </cell>
        </row>
        <row r="6025">
          <cell r="CJ6025" t="str">
            <v xml:space="preserve">NFT-/XUTR/DEUTH02431839302X </v>
          </cell>
          <cell r="CK6025" t="str">
            <v>2024-11-13</v>
          </cell>
          <cell r="CL6025">
            <v>7748.6</v>
          </cell>
          <cell r="CM6025" t="str">
            <v xml:space="preserve">NFT-/XUTR/DEUTH02431843558X </v>
          </cell>
          <cell r="CN6025" t="str">
            <v>2024-11-13</v>
          </cell>
          <cell r="CO6025">
            <v>871.57899999999995</v>
          </cell>
        </row>
        <row r="6026">
          <cell r="CJ6026" t="str">
            <v xml:space="preserve">NFT-/XUTR/DEUTH02431839302X </v>
          </cell>
          <cell r="CK6026" t="str">
            <v>2024-11-13</v>
          </cell>
          <cell r="CL6026">
            <v>15484.141</v>
          </cell>
          <cell r="CM6026" t="str">
            <v xml:space="preserve">NFT-/XUTR/DEUTH02431843558X </v>
          </cell>
          <cell r="CN6026" t="str">
            <v>2024-11-13</v>
          </cell>
          <cell r="CO6026">
            <v>737.46799999999996</v>
          </cell>
        </row>
        <row r="6027">
          <cell r="CJ6027" t="str">
            <v xml:space="preserve">NFT-/XUTR/DEUTH02431839302X </v>
          </cell>
          <cell r="CK6027" t="str">
            <v>2024-11-13</v>
          </cell>
          <cell r="CL6027">
            <v>10667.564</v>
          </cell>
          <cell r="CM6027" t="str">
            <v xml:space="preserve">NFT-/XUTR/DEUTH02431843558X </v>
          </cell>
          <cell r="CN6027" t="str">
            <v>2024-11-13</v>
          </cell>
          <cell r="CO6027">
            <v>1193.8050000000001</v>
          </cell>
        </row>
        <row r="6028">
          <cell r="CJ6028" t="str">
            <v xml:space="preserve">NFT-/XUTR/DEUTH02431839302X </v>
          </cell>
          <cell r="CK6028" t="str">
            <v>2024-11-13</v>
          </cell>
          <cell r="CL6028">
            <v>7748.6</v>
          </cell>
          <cell r="CM6028" t="str">
            <v xml:space="preserve">NFT-/XUTR/DEUTH02431843558X </v>
          </cell>
          <cell r="CN6028" t="str">
            <v>2024-11-13</v>
          </cell>
          <cell r="CO6028">
            <v>871.57899999999995</v>
          </cell>
        </row>
        <row r="6029">
          <cell r="CJ6029" t="str">
            <v xml:space="preserve">NFT-/XUTR/DEUTH02431839302X </v>
          </cell>
          <cell r="CK6029" t="str">
            <v>2024-11-13</v>
          </cell>
          <cell r="CL6029">
            <v>15999.179</v>
          </cell>
          <cell r="CM6029" t="str">
            <v xml:space="preserve">NFT-/XUTR/DEUTH02431843558X </v>
          </cell>
          <cell r="CN6029" t="str">
            <v>2024-11-13</v>
          </cell>
          <cell r="CO6029">
            <v>222.429</v>
          </cell>
          <cell r="CP6029" t="str">
            <v xml:space="preserve">NFT-/XUTR/DEUTH02433727466X </v>
          </cell>
          <cell r="CQ6029" t="str">
            <v>2024-12-02</v>
          </cell>
          <cell r="CR6029">
            <v>-16218.659</v>
          </cell>
          <cell r="CV6029" t="str">
            <v xml:space="preserve">NFT-/XUTR/DEUTH02433956210X </v>
          </cell>
          <cell r="CW6029" t="str">
            <v>2024-12-04</v>
          </cell>
          <cell r="CX6029">
            <v>-222.429</v>
          </cell>
        </row>
        <row r="6030">
          <cell r="CJ6030" t="str">
            <v xml:space="preserve">NFT-/XUTR/DEUTH02431839302X </v>
          </cell>
          <cell r="CK6030" t="str">
            <v>2024-11-13</v>
          </cell>
          <cell r="CL6030">
            <v>7748.6</v>
          </cell>
          <cell r="CM6030" t="str">
            <v xml:space="preserve">NFT-/XUTR/DEUTH02431843558X </v>
          </cell>
          <cell r="CN6030" t="str">
            <v>2024-11-13</v>
          </cell>
          <cell r="CO6030">
            <v>871.57899999999995</v>
          </cell>
          <cell r="CP6030" t="str">
            <v xml:space="preserve">NFT-/XUTR/DEUTH02432540165X </v>
          </cell>
          <cell r="CQ6030" t="str">
            <v>2024-11-20</v>
          </cell>
          <cell r="CR6030">
            <v>-7748.6</v>
          </cell>
          <cell r="CS6030" t="str">
            <v xml:space="preserve">NFT-/XUTR/DEUTH02432567146X </v>
          </cell>
          <cell r="CT6030" t="str">
            <v>2024-11-20</v>
          </cell>
          <cell r="CU6030">
            <v>-871.57899999999995</v>
          </cell>
        </row>
        <row r="6031">
          <cell r="CJ6031" t="str">
            <v xml:space="preserve">NFT-/XUTR/DEUTH02431839302X </v>
          </cell>
          <cell r="CK6031" t="str">
            <v>2024-11-13</v>
          </cell>
          <cell r="CL6031">
            <v>7355.52</v>
          </cell>
          <cell r="CM6031" t="str">
            <v xml:space="preserve">NFT-/XUTR/DEUTH02431843558X </v>
          </cell>
          <cell r="CN6031" t="str">
            <v>2024-11-13</v>
          </cell>
          <cell r="CO6031">
            <v>1264.6590000000001</v>
          </cell>
        </row>
        <row r="6032">
          <cell r="CJ6032" t="str">
            <v xml:space="preserve">NFT-/XUTR/DEUTH02431839302X </v>
          </cell>
          <cell r="CK6032" t="str">
            <v>2024-11-13</v>
          </cell>
          <cell r="CL6032">
            <v>7748.6</v>
          </cell>
          <cell r="CM6032" t="str">
            <v xml:space="preserve">NFT-/XUTR/DEUTH02431843558X </v>
          </cell>
          <cell r="CN6032" t="str">
            <v>2024-11-13</v>
          </cell>
          <cell r="CO6032">
            <v>871.57899999999995</v>
          </cell>
        </row>
        <row r="6033">
          <cell r="CJ6033" t="str">
            <v xml:space="preserve">NFT-/XUTR/DEUTH02431839302X </v>
          </cell>
          <cell r="CK6033" t="str">
            <v>2024-11-13</v>
          </cell>
          <cell r="CL6033">
            <v>7748.6</v>
          </cell>
          <cell r="CM6033" t="str">
            <v xml:space="preserve">NFT-/XUTR/DEUTH02431843558X </v>
          </cell>
          <cell r="CN6033" t="str">
            <v>2024-11-13</v>
          </cell>
          <cell r="CO6033">
            <v>871.57899999999995</v>
          </cell>
        </row>
        <row r="6034">
          <cell r="CJ6034" t="str">
            <v xml:space="preserve">NFT-/XUTR/DEUTH02431839302X </v>
          </cell>
          <cell r="CK6034" t="str">
            <v>2024-11-13</v>
          </cell>
          <cell r="CL6034">
            <v>7767.48</v>
          </cell>
          <cell r="CM6034" t="str">
            <v xml:space="preserve">NFT-/XUTR/DEUTH02431843558X </v>
          </cell>
          <cell r="CN6034" t="str">
            <v>2024-11-13</v>
          </cell>
          <cell r="CO6034">
            <v>871.57899999999995</v>
          </cell>
        </row>
        <row r="6035">
          <cell r="CJ6035" t="str">
            <v xml:space="preserve">NFT-/XUTR/DEUTH02431839302X </v>
          </cell>
          <cell r="CK6035" t="str">
            <v>2024-11-13</v>
          </cell>
          <cell r="CL6035">
            <v>41105.317999999999</v>
          </cell>
          <cell r="CM6035" t="str">
            <v xml:space="preserve">NFT-/XUTR/DEUTH02431843558X </v>
          </cell>
          <cell r="CN6035" t="str">
            <v>2024-11-13</v>
          </cell>
          <cell r="CO6035">
            <v>1455.8620000000001</v>
          </cell>
        </row>
        <row r="6036">
          <cell r="CJ6036" t="str">
            <v xml:space="preserve">NFT-/XUTR/DEUTH02431839302X </v>
          </cell>
          <cell r="CK6036" t="str">
            <v>2024-11-13</v>
          </cell>
          <cell r="CL6036">
            <v>14648.418</v>
          </cell>
          <cell r="CM6036" t="str">
            <v xml:space="preserve">NFT-/XUTR/DEUTH02431843558X </v>
          </cell>
          <cell r="CN6036" t="str">
            <v>2024-11-13</v>
          </cell>
          <cell r="CO6036">
            <v>2309.002</v>
          </cell>
        </row>
        <row r="6037">
          <cell r="CJ6037" t="str">
            <v xml:space="preserve">NFT-/XUTR/DEUTH02431839302X </v>
          </cell>
          <cell r="CK6037" t="str">
            <v>2024-11-13</v>
          </cell>
          <cell r="CL6037">
            <v>41124.197999999997</v>
          </cell>
          <cell r="CM6037" t="str">
            <v xml:space="preserve">NFT-/XUTR/DEUTH02431843558X </v>
          </cell>
          <cell r="CN6037" t="str">
            <v>2024-11-13</v>
          </cell>
          <cell r="CO6037">
            <v>1455.8620000000001</v>
          </cell>
          <cell r="CP6037" t="str">
            <v xml:space="preserve">NFT-/XUTR/DEUTH02432540165X </v>
          </cell>
          <cell r="CQ6037" t="str">
            <v>2024-11-20</v>
          </cell>
          <cell r="CR6037">
            <v>-41124.197999999997</v>
          </cell>
          <cell r="CS6037" t="str">
            <v xml:space="preserve">NFT-/XUTR/DEUTH02432567146X </v>
          </cell>
          <cell r="CT6037" t="str">
            <v>2024-11-20</v>
          </cell>
          <cell r="CU6037">
            <v>-1455.8620000000001</v>
          </cell>
        </row>
        <row r="6038">
          <cell r="CJ6038" t="str">
            <v xml:space="preserve">NFT-/XUTR/DEUTH02431839302X </v>
          </cell>
          <cell r="CK6038" t="str">
            <v>2024-11-13</v>
          </cell>
          <cell r="CL6038">
            <v>10955.824000000001</v>
          </cell>
          <cell r="CM6038" t="str">
            <v xml:space="preserve">NFT-/XUTR/DEUTH02431843558X </v>
          </cell>
          <cell r="CN6038" t="str">
            <v>2024-11-13</v>
          </cell>
          <cell r="CO6038">
            <v>1225.8320000000001</v>
          </cell>
        </row>
        <row r="6039">
          <cell r="CJ6039" t="str">
            <v xml:space="preserve">NFT-/XUTR/DEUTH02431839302X </v>
          </cell>
          <cell r="CK6039" t="str">
            <v>2024-11-13</v>
          </cell>
          <cell r="CL6039">
            <v>7748.6</v>
          </cell>
          <cell r="CM6039" t="str">
            <v xml:space="preserve">NFT-/XUTR/DEUTH02431843558X </v>
          </cell>
          <cell r="CN6039" t="str">
            <v>2024-11-13</v>
          </cell>
          <cell r="CO6039">
            <v>871.57899999999995</v>
          </cell>
        </row>
        <row r="6040">
          <cell r="CJ6040" t="str">
            <v xml:space="preserve">NFT-/XUTR/DEUTH02431839302X </v>
          </cell>
          <cell r="CK6040" t="str">
            <v>2024-11-13</v>
          </cell>
          <cell r="CL6040">
            <v>7767.48</v>
          </cell>
          <cell r="CM6040" t="str">
            <v xml:space="preserve">NFT-/XUTR/DEUTH02431843558X </v>
          </cell>
          <cell r="CN6040" t="str">
            <v>2024-11-13</v>
          </cell>
          <cell r="CO6040">
            <v>871.57899999999995</v>
          </cell>
        </row>
        <row r="6041">
          <cell r="CJ6041" t="str">
            <v xml:space="preserve">NFT-/XUTR/DEUTH02431839302X </v>
          </cell>
          <cell r="CK6041" t="str">
            <v>2024-11-13</v>
          </cell>
          <cell r="CL6041">
            <v>7767.48</v>
          </cell>
          <cell r="CM6041" t="str">
            <v xml:space="preserve">NFT-/XUTR/DEUTH02431843558X </v>
          </cell>
          <cell r="CN6041" t="str">
            <v>2024-11-13</v>
          </cell>
          <cell r="CO6041">
            <v>871.57899999999995</v>
          </cell>
        </row>
        <row r="6042">
          <cell r="CJ6042" t="str">
            <v xml:space="preserve">NFT-/XUTR/DEUTH02431839302X </v>
          </cell>
          <cell r="CK6042" t="str">
            <v>2024-11-13</v>
          </cell>
          <cell r="CL6042">
            <v>7767.4790000000003</v>
          </cell>
          <cell r="CM6042" t="str">
            <v xml:space="preserve">NFT-/XUTR/DEUTH02431843558X </v>
          </cell>
          <cell r="CN6042" t="str">
            <v>2024-11-13</v>
          </cell>
          <cell r="CO6042">
            <v>871.57799999999997</v>
          </cell>
        </row>
        <row r="6043">
          <cell r="CJ6043" t="str">
            <v xml:space="preserve">NFT-/XUTR/DEUTH02431839302X </v>
          </cell>
          <cell r="CK6043" t="str">
            <v>2024-11-13</v>
          </cell>
          <cell r="CL6043">
            <v>7748.6</v>
          </cell>
          <cell r="CM6043" t="str">
            <v xml:space="preserve">NFT-/XUTR/DEUTH02431843558X </v>
          </cell>
          <cell r="CN6043" t="str">
            <v>2024-11-13</v>
          </cell>
          <cell r="CO6043">
            <v>871.57899999999995</v>
          </cell>
        </row>
        <row r="6044">
          <cell r="CJ6044" t="str">
            <v xml:space="preserve">NFT-/XUTR/DEUTH02431839302X </v>
          </cell>
          <cell r="CK6044" t="str">
            <v>2024-11-13</v>
          </cell>
          <cell r="CL6044">
            <v>7767.4790000000003</v>
          </cell>
          <cell r="CM6044" t="str">
            <v xml:space="preserve">NFT-/XUTR/DEUTH02431843558X </v>
          </cell>
          <cell r="CN6044" t="str">
            <v>2024-11-13</v>
          </cell>
          <cell r="CO6044">
            <v>871.57799999999997</v>
          </cell>
        </row>
        <row r="6045">
          <cell r="CJ6045" t="str">
            <v xml:space="preserve">NFT-/XUTR/DEUTH02431839302X </v>
          </cell>
          <cell r="CK6045" t="str">
            <v>2024-11-13</v>
          </cell>
          <cell r="CL6045">
            <v>10648.683999999999</v>
          </cell>
          <cell r="CM6045" t="str">
            <v xml:space="preserve">NFT-/XUTR/DEUTH02431843558X </v>
          </cell>
          <cell r="CN6045" t="str">
            <v>2024-11-13</v>
          </cell>
          <cell r="CO6045">
            <v>1193.8050000000001</v>
          </cell>
        </row>
        <row r="6046">
          <cell r="CJ6046" t="str">
            <v xml:space="preserve">NFT-/XUTR/DEUTH02431839302X </v>
          </cell>
          <cell r="CK6046" t="str">
            <v>2024-11-13</v>
          </cell>
          <cell r="CL6046">
            <v>10667.564</v>
          </cell>
          <cell r="CM6046" t="str">
            <v xml:space="preserve">NFT-/XUTR/DEUTH02431843558X </v>
          </cell>
          <cell r="CN6046" t="str">
            <v>2024-11-13</v>
          </cell>
          <cell r="CO6046">
            <v>1193.806</v>
          </cell>
        </row>
        <row r="6047">
          <cell r="CJ6047" t="str">
            <v xml:space="preserve">NFT-/XUTR/DEUTH02431839302X </v>
          </cell>
          <cell r="CK6047" t="str">
            <v>2024-11-13</v>
          </cell>
          <cell r="CL6047">
            <v>7355.52</v>
          </cell>
          <cell r="CM6047" t="str">
            <v xml:space="preserve">NFT-/XUTR/DEUTH02431843558X </v>
          </cell>
          <cell r="CN6047" t="str">
            <v>2024-11-13</v>
          </cell>
          <cell r="CO6047">
            <v>1264.6590000000001</v>
          </cell>
        </row>
        <row r="6048">
          <cell r="CJ6048" t="str">
            <v xml:space="preserve">NFT-/XUTR/DEUTH02431839302X </v>
          </cell>
          <cell r="CK6048" t="str">
            <v>2024-11-13</v>
          </cell>
          <cell r="CL6048">
            <v>8620.18</v>
          </cell>
        </row>
        <row r="6049">
          <cell r="CJ6049" t="str">
            <v xml:space="preserve">NFT-/XUTR/DEUTH02431839302X </v>
          </cell>
          <cell r="CK6049" t="str">
            <v>2024-11-13</v>
          </cell>
          <cell r="CL6049">
            <v>7748.6</v>
          </cell>
          <cell r="CM6049" t="str">
            <v xml:space="preserve">NFT-/XUTR/DEUTH02431843558X </v>
          </cell>
          <cell r="CN6049" t="str">
            <v>2024-11-13</v>
          </cell>
          <cell r="CO6049">
            <v>871.57899999999995</v>
          </cell>
        </row>
        <row r="6050">
          <cell r="CJ6050" t="str">
            <v xml:space="preserve">NFT-/XUTR/DEUTH02431839302X </v>
          </cell>
          <cell r="CK6050" t="str">
            <v>2024-11-13</v>
          </cell>
          <cell r="CL6050">
            <v>7767.48</v>
          </cell>
          <cell r="CM6050" t="str">
            <v xml:space="preserve">NFT-/XUTR/DEUTH02431843558X </v>
          </cell>
          <cell r="CN6050" t="str">
            <v>2024-11-13</v>
          </cell>
          <cell r="CO6050">
            <v>871.57899999999995</v>
          </cell>
          <cell r="CP6050" t="str">
            <v xml:space="preserve">NFT-/XUTR/DEUTH02433727466X </v>
          </cell>
          <cell r="CQ6050" t="str">
            <v>2024-12-02</v>
          </cell>
          <cell r="CR6050">
            <v>-7767.48</v>
          </cell>
          <cell r="CV6050" t="str">
            <v xml:space="preserve">NFT-/XUTR/DEUTH02433956210X </v>
          </cell>
          <cell r="CW6050" t="str">
            <v>2024-12-04</v>
          </cell>
          <cell r="CX6050">
            <v>-871.57899999999995</v>
          </cell>
        </row>
        <row r="6051">
          <cell r="CJ6051" t="str">
            <v xml:space="preserve">NFT-/XUTR/DEUTH02431839302X </v>
          </cell>
          <cell r="CK6051" t="str">
            <v>2024-11-13</v>
          </cell>
          <cell r="CL6051">
            <v>15822.258</v>
          </cell>
          <cell r="CM6051" t="str">
            <v xml:space="preserve">NFT-/XUTR/DEUTH02431843558X </v>
          </cell>
          <cell r="CN6051" t="str">
            <v>2024-11-13</v>
          </cell>
          <cell r="CO6051">
            <v>1455.8620000000001</v>
          </cell>
        </row>
        <row r="6052">
          <cell r="CJ6052" t="str">
            <v xml:space="preserve">NFT-/XUTR/DEUTH02431839302X </v>
          </cell>
          <cell r="CK6052" t="str">
            <v>2024-11-13</v>
          </cell>
          <cell r="CL6052">
            <v>7355.52</v>
          </cell>
          <cell r="CM6052" t="str">
            <v xml:space="preserve">NFT-/XUTR/DEUTH02431843558X </v>
          </cell>
          <cell r="CN6052" t="str">
            <v>2024-11-13</v>
          </cell>
          <cell r="CO6052">
            <v>1264.6590000000001</v>
          </cell>
        </row>
        <row r="6053">
          <cell r="CJ6053" t="str">
            <v xml:space="preserve">NFT-/XUTR/DEUTH02431839302X </v>
          </cell>
          <cell r="CK6053" t="str">
            <v>2024-11-13</v>
          </cell>
          <cell r="CL6053">
            <v>1437.9259999999999</v>
          </cell>
          <cell r="CM6053" t="str">
            <v xml:space="preserve">NFT-/XUTR/DEUTH024334A0F3IX </v>
          </cell>
          <cell r="CN6053" t="str">
            <v>2024-11-29</v>
          </cell>
          <cell r="CO6053">
            <v>-1437.9259999999999</v>
          </cell>
        </row>
        <row r="6054">
          <cell r="CJ6054" t="str">
            <v xml:space="preserve">NFT-/XUTR/DEUTH02431839302X </v>
          </cell>
          <cell r="CK6054" t="str">
            <v>2024-11-13</v>
          </cell>
          <cell r="CL6054">
            <v>10936.944</v>
          </cell>
          <cell r="CM6054" t="str">
            <v xml:space="preserve">NFT-/XUTR/DEUTH02431843558X </v>
          </cell>
          <cell r="CN6054" t="str">
            <v>2024-11-13</v>
          </cell>
          <cell r="CO6054">
            <v>1225.8330000000001</v>
          </cell>
        </row>
        <row r="6055">
          <cell r="CJ6055" t="str">
            <v xml:space="preserve">NFT-/XUTR/DEUTH02431839302X </v>
          </cell>
          <cell r="CK6055" t="str">
            <v>2024-11-13</v>
          </cell>
          <cell r="CL6055">
            <v>7767.4790000000003</v>
          </cell>
          <cell r="CM6055" t="str">
            <v xml:space="preserve">NFT-/XUTR/DEUTH02431843558X </v>
          </cell>
          <cell r="CN6055" t="str">
            <v>2024-11-13</v>
          </cell>
          <cell r="CO6055">
            <v>871.57799999999997</v>
          </cell>
        </row>
        <row r="6056">
          <cell r="CJ6056" t="str">
            <v xml:space="preserve">NFT-/XUTR/DEUTH02431839302X </v>
          </cell>
          <cell r="CK6056" t="str">
            <v>2024-11-13</v>
          </cell>
          <cell r="CL6056">
            <v>10667.564</v>
          </cell>
          <cell r="CM6056" t="str">
            <v xml:space="preserve">NFT-/XUTR/DEUTH02431843558X </v>
          </cell>
          <cell r="CN6056" t="str">
            <v>2024-11-13</v>
          </cell>
          <cell r="CO6056">
            <v>1193.806</v>
          </cell>
          <cell r="CP6056" t="str">
            <v xml:space="preserve">NFT-/XUTR/DEUTH02432045075X </v>
          </cell>
          <cell r="CQ6056" t="str">
            <v>2024-11-15</v>
          </cell>
          <cell r="CR6056">
            <v>-10667.564</v>
          </cell>
          <cell r="CS6056" t="str">
            <v xml:space="preserve">NFT-/XUTR/DEUTH02432059153X </v>
          </cell>
          <cell r="CT6056" t="str">
            <v>2024-11-15</v>
          </cell>
          <cell r="CU6056">
            <v>-1193.806</v>
          </cell>
        </row>
        <row r="6057">
          <cell r="CJ6057" t="str">
            <v xml:space="preserve">NFT-/XUTR/DEUTH02431839302X </v>
          </cell>
          <cell r="CK6057" t="str">
            <v>2024-11-13</v>
          </cell>
          <cell r="CL6057">
            <v>41124.197999999997</v>
          </cell>
          <cell r="CM6057" t="str">
            <v xml:space="preserve">NFT-/XUTR/DEUTH02431843558X </v>
          </cell>
          <cell r="CN6057" t="str">
            <v>2024-11-13</v>
          </cell>
          <cell r="CO6057">
            <v>1455.8620000000001</v>
          </cell>
        </row>
        <row r="6058">
          <cell r="CJ6058" t="str">
            <v xml:space="preserve">NFT-/XUTR/DEUTH02431839302X </v>
          </cell>
          <cell r="CK6058" t="str">
            <v>2024-11-13</v>
          </cell>
          <cell r="CL6058">
            <v>7748.6</v>
          </cell>
          <cell r="CM6058" t="str">
            <v xml:space="preserve">NFT-/XUTR/DEUTH02431843558X </v>
          </cell>
          <cell r="CN6058" t="str">
            <v>2024-11-13</v>
          </cell>
          <cell r="CO6058">
            <v>871.57899999999995</v>
          </cell>
        </row>
        <row r="6059">
          <cell r="CJ6059" t="str">
            <v xml:space="preserve">NFT-/XUTR/DEUTH02431839302X </v>
          </cell>
          <cell r="CK6059" t="str">
            <v>2024-11-13</v>
          </cell>
          <cell r="CL6059">
            <v>1437.9259999999999</v>
          </cell>
        </row>
        <row r="6060">
          <cell r="CJ6060" t="str">
            <v xml:space="preserve">NFT-/XUTR/DEUTH02431839302X </v>
          </cell>
          <cell r="CK6060" t="str">
            <v>2024-11-13</v>
          </cell>
          <cell r="CL6060">
            <v>41124.197999999997</v>
          </cell>
          <cell r="CM6060" t="str">
            <v xml:space="preserve">NFT-/XUTR/DEUTH02431843558X </v>
          </cell>
          <cell r="CN6060" t="str">
            <v>2024-11-13</v>
          </cell>
          <cell r="CO6060">
            <v>1455.8620000000001</v>
          </cell>
        </row>
        <row r="6061">
          <cell r="CJ6061" t="str">
            <v xml:space="preserve">NFT-/XUTR/DEUTH02431839302X </v>
          </cell>
          <cell r="CK6061" t="str">
            <v>2024-11-13</v>
          </cell>
          <cell r="CL6061">
            <v>7767.48</v>
          </cell>
          <cell r="CM6061" t="str">
            <v xml:space="preserve">NFT-/XUTR/DEUTH02431843558X </v>
          </cell>
          <cell r="CN6061" t="str">
            <v>2024-11-13</v>
          </cell>
          <cell r="CO6061">
            <v>871.57899999999995</v>
          </cell>
        </row>
        <row r="6062">
          <cell r="CJ6062" t="str">
            <v xml:space="preserve">NFT-/XUTR/DEUTH02431839302X </v>
          </cell>
          <cell r="CK6062" t="str">
            <v>2024-11-13</v>
          </cell>
          <cell r="CL6062">
            <v>8035.8959999999997</v>
          </cell>
          <cell r="CM6062" t="str">
            <v xml:space="preserve">NFT-/XUTR/DEUTH02431843558X </v>
          </cell>
          <cell r="CN6062" t="str">
            <v>2024-11-13</v>
          </cell>
          <cell r="CO6062">
            <v>584.28399999999999</v>
          </cell>
        </row>
        <row r="6063">
          <cell r="CJ6063" t="str">
            <v xml:space="preserve">NFT-/XUTR/DEUTH02431839302X </v>
          </cell>
          <cell r="CK6063" t="str">
            <v>2024-11-13</v>
          </cell>
          <cell r="CL6063">
            <v>7767.48</v>
          </cell>
          <cell r="CM6063" t="str">
            <v xml:space="preserve">NFT-/XUTR/DEUTH02431843558X </v>
          </cell>
          <cell r="CN6063" t="str">
            <v>2024-11-13</v>
          </cell>
          <cell r="CO6063">
            <v>871.57899999999995</v>
          </cell>
        </row>
        <row r="6064">
          <cell r="CJ6064" t="str">
            <v xml:space="preserve">NFT-/XUTR/DEUTH02431839302X </v>
          </cell>
          <cell r="CK6064" t="str">
            <v>2024-11-13</v>
          </cell>
          <cell r="CL6064">
            <v>7767.48</v>
          </cell>
          <cell r="CM6064" t="str">
            <v xml:space="preserve">NFT-/XUTR/DEUTH02431843558X </v>
          </cell>
          <cell r="CN6064" t="str">
            <v>2024-11-13</v>
          </cell>
          <cell r="CO6064">
            <v>871.57899999999995</v>
          </cell>
        </row>
        <row r="6065">
          <cell r="CJ6065" t="str">
            <v xml:space="preserve">NFT-/XUTR/DEUTH02431839302X </v>
          </cell>
          <cell r="CK6065" t="str">
            <v>2024-11-13</v>
          </cell>
          <cell r="CL6065">
            <v>7748.6</v>
          </cell>
          <cell r="CM6065" t="str">
            <v xml:space="preserve">NFT-/XUTR/DEUTH02431843558X </v>
          </cell>
          <cell r="CN6065" t="str">
            <v>2024-11-13</v>
          </cell>
          <cell r="CO6065">
            <v>871.57899999999995</v>
          </cell>
        </row>
        <row r="6066">
          <cell r="CJ6066" t="str">
            <v xml:space="preserve">NFT-/XUTR/DEUTH02431839302X </v>
          </cell>
          <cell r="CK6066" t="str">
            <v>2024-11-13</v>
          </cell>
          <cell r="CL6066">
            <v>7767.4790000000003</v>
          </cell>
          <cell r="CM6066" t="str">
            <v xml:space="preserve">NFT-/XUTR/DEUTH02431843558X </v>
          </cell>
          <cell r="CN6066" t="str">
            <v>2024-11-13</v>
          </cell>
          <cell r="CO6066">
            <v>871.57799999999997</v>
          </cell>
        </row>
        <row r="6067">
          <cell r="CJ6067" t="str">
            <v xml:space="preserve">NFT-/XUTR/DEUTH02431839302X </v>
          </cell>
          <cell r="CK6067" t="str">
            <v>2024-11-13</v>
          </cell>
          <cell r="CL6067">
            <v>10648.683999999999</v>
          </cell>
          <cell r="CM6067" t="str">
            <v xml:space="preserve">NFT-/XUTR/DEUTH02431843558X </v>
          </cell>
          <cell r="CN6067" t="str">
            <v>2024-11-13</v>
          </cell>
          <cell r="CO6067">
            <v>1193.8050000000001</v>
          </cell>
        </row>
        <row r="6068">
          <cell r="CJ6068" t="str">
            <v xml:space="preserve">NFT-/XUTR/DEUTH02431839302X </v>
          </cell>
          <cell r="CK6068" t="str">
            <v>2024-11-13</v>
          </cell>
          <cell r="CL6068">
            <v>7748.6</v>
          </cell>
          <cell r="CM6068" t="str">
            <v xml:space="preserve">NFT-/XUTR/DEUTH02431843558X </v>
          </cell>
          <cell r="CN6068" t="str">
            <v>2024-11-13</v>
          </cell>
          <cell r="CO6068">
            <v>871.57899999999995</v>
          </cell>
          <cell r="CP6068" t="str">
            <v xml:space="preserve">NFT-/XUTR/DEUTH02432756454X </v>
          </cell>
          <cell r="CQ6068" t="str">
            <v>2024-11-22</v>
          </cell>
          <cell r="CR6068">
            <v>-7748.6</v>
          </cell>
          <cell r="CV6068" t="str">
            <v xml:space="preserve">NFT-/XUTR/DEUTH02433956210X </v>
          </cell>
          <cell r="CW6068" t="str">
            <v>2024-12-04</v>
          </cell>
          <cell r="CX6068">
            <v>-871.57899999999995</v>
          </cell>
        </row>
        <row r="6069">
          <cell r="CJ6069" t="str">
            <v xml:space="preserve">NFT-/XUTR/DEUTH02431839302X </v>
          </cell>
          <cell r="CK6069" t="str">
            <v>2024-11-13</v>
          </cell>
          <cell r="CL6069">
            <v>15803.378000000001</v>
          </cell>
          <cell r="CM6069" t="str">
            <v xml:space="preserve">NFT-/XUTR/DEUTH02431843558X </v>
          </cell>
          <cell r="CN6069" t="str">
            <v>2024-11-13</v>
          </cell>
          <cell r="CO6069">
            <v>1455.8620000000001</v>
          </cell>
        </row>
        <row r="6070">
          <cell r="CJ6070" t="str">
            <v xml:space="preserve">NFT-/XUTR/DEUTH02431839302X </v>
          </cell>
          <cell r="CK6070" t="str">
            <v>2024-11-13</v>
          </cell>
          <cell r="CL6070">
            <v>8035.8959999999997</v>
          </cell>
          <cell r="CM6070" t="str">
            <v xml:space="preserve">NFT-/XUTR/DEUTH02431843558X </v>
          </cell>
          <cell r="CN6070" t="str">
            <v>2024-11-13</v>
          </cell>
          <cell r="CO6070">
            <v>584.28399999999999</v>
          </cell>
        </row>
        <row r="6071">
          <cell r="CJ6071" t="str">
            <v xml:space="preserve">NFT-/XUTR/DEUTH02431839302X </v>
          </cell>
          <cell r="CK6071" t="str">
            <v>2024-11-13</v>
          </cell>
          <cell r="CL6071">
            <v>15803.378000000001</v>
          </cell>
          <cell r="CM6071" t="str">
            <v xml:space="preserve">NFT-/XUTR/DEUTH02431843558X </v>
          </cell>
          <cell r="CN6071" t="str">
            <v>2024-11-13</v>
          </cell>
          <cell r="CO6071">
            <v>1455.8620000000001</v>
          </cell>
        </row>
        <row r="6072">
          <cell r="CJ6072" t="str">
            <v xml:space="preserve">NFT-/XUTR/DEUTH02431839302X </v>
          </cell>
          <cell r="CK6072" t="str">
            <v>2024-11-13</v>
          </cell>
          <cell r="CL6072">
            <v>41105.317999999999</v>
          </cell>
          <cell r="CM6072" t="str">
            <v xml:space="preserve">NFT-/XUTR/DEUTH02431843558X </v>
          </cell>
          <cell r="CN6072" t="str">
            <v>2024-11-13</v>
          </cell>
          <cell r="CO6072">
            <v>1455.8620000000001</v>
          </cell>
        </row>
        <row r="6073">
          <cell r="CJ6073" t="str">
            <v xml:space="preserve">NFT-/XUTR/DEUTH02431839302X </v>
          </cell>
          <cell r="CK6073" t="str">
            <v>2024-11-13</v>
          </cell>
          <cell r="CL6073">
            <v>7767.48</v>
          </cell>
          <cell r="CM6073" t="str">
            <v xml:space="preserve">NFT-/XUTR/DEUTH02431843558X </v>
          </cell>
          <cell r="CN6073" t="str">
            <v>2024-11-13</v>
          </cell>
          <cell r="CO6073">
            <v>871.57899999999995</v>
          </cell>
        </row>
        <row r="6074">
          <cell r="CJ6074" t="str">
            <v xml:space="preserve">NFT-/XUTR/DEUTH02431839302X </v>
          </cell>
          <cell r="CK6074" t="str">
            <v>2024-11-13</v>
          </cell>
          <cell r="CL6074">
            <v>10667.564</v>
          </cell>
          <cell r="CM6074" t="str">
            <v xml:space="preserve">NFT-/XUTR/DEUTH02431843558X </v>
          </cell>
          <cell r="CN6074" t="str">
            <v>2024-11-13</v>
          </cell>
          <cell r="CO6074">
            <v>1193.8050000000001</v>
          </cell>
        </row>
        <row r="6075">
          <cell r="CJ6075" t="str">
            <v xml:space="preserve">NFT-/XUTR/DEUTH02431839302X </v>
          </cell>
          <cell r="CK6075" t="str">
            <v>2024-11-13</v>
          </cell>
          <cell r="CL6075">
            <v>10667.564</v>
          </cell>
          <cell r="CM6075" t="str">
            <v xml:space="preserve">NFT-/XUTR/DEUTH02431843558X </v>
          </cell>
          <cell r="CN6075" t="str">
            <v>2024-11-13</v>
          </cell>
          <cell r="CO6075">
            <v>1193.8050000000001</v>
          </cell>
        </row>
        <row r="6076">
          <cell r="CJ6076" t="str">
            <v xml:space="preserve">NFT-/XUTR/DEUTH02431839302X </v>
          </cell>
          <cell r="CK6076" t="str">
            <v>2024-11-13</v>
          </cell>
          <cell r="CL6076">
            <v>7767.4790000000003</v>
          </cell>
          <cell r="CM6076" t="str">
            <v xml:space="preserve">NFT-/XUTR/DEUTH02431843558X </v>
          </cell>
          <cell r="CN6076" t="str">
            <v>2024-11-13</v>
          </cell>
          <cell r="CO6076">
            <v>871.57799999999997</v>
          </cell>
        </row>
        <row r="6077">
          <cell r="CJ6077" t="str">
            <v xml:space="preserve">NFT-/XUTR/DEUTH02431839302X </v>
          </cell>
          <cell r="CK6077" t="str">
            <v>2024-11-13</v>
          </cell>
          <cell r="CL6077">
            <v>169580.712</v>
          </cell>
        </row>
        <row r="6078">
          <cell r="CJ6078" t="str">
            <v xml:space="preserve">NFT-/XUTR/DEUTH02431839302X </v>
          </cell>
          <cell r="CK6078" t="str">
            <v>2024-11-13</v>
          </cell>
          <cell r="CL6078">
            <v>7787.165</v>
          </cell>
          <cell r="CM6078" t="str">
            <v xml:space="preserve">NFT-/XUTR/DEUTH02431843558X </v>
          </cell>
          <cell r="CN6078" t="str">
            <v>2024-11-13</v>
          </cell>
          <cell r="CO6078">
            <v>842.46299999999997</v>
          </cell>
        </row>
        <row r="6079">
          <cell r="CJ6079" t="str">
            <v xml:space="preserve">NFT-/XUTR/DEUTH02431839302X </v>
          </cell>
          <cell r="CK6079" t="str">
            <v>2024-11-13</v>
          </cell>
          <cell r="CL6079">
            <v>5657.7259999999997</v>
          </cell>
          <cell r="CM6079" t="str">
            <v xml:space="preserve">NFT-/XUTR/DEUTH02431843558X </v>
          </cell>
          <cell r="CN6079" t="str">
            <v>2024-11-13</v>
          </cell>
          <cell r="CO6079">
            <v>613.39800000000002</v>
          </cell>
        </row>
        <row r="6080">
          <cell r="CJ6080" t="str">
            <v xml:space="preserve">NFT-/XUTR/DEUTH02431839302X </v>
          </cell>
          <cell r="CK6080" t="str">
            <v>2024-11-13</v>
          </cell>
          <cell r="CL6080">
            <v>42580.06</v>
          </cell>
        </row>
        <row r="6081">
          <cell r="CJ6081" t="str">
            <v xml:space="preserve">NFT-/XUTR/DEUTH02431839302X </v>
          </cell>
          <cell r="CK6081" t="str">
            <v>2024-11-13</v>
          </cell>
          <cell r="CL6081">
            <v>7767.4790000000003</v>
          </cell>
          <cell r="CM6081" t="str">
            <v xml:space="preserve">NFT-/XUTR/DEUTH02431843558X </v>
          </cell>
          <cell r="CN6081" t="str">
            <v>2024-11-13</v>
          </cell>
          <cell r="CO6081">
            <v>871.57799999999997</v>
          </cell>
        </row>
        <row r="6082">
          <cell r="CJ6082" t="str">
            <v xml:space="preserve">NFT-/XUTR/DEUTH02431839302X </v>
          </cell>
          <cell r="CK6082" t="str">
            <v>2024-11-13</v>
          </cell>
          <cell r="CL6082">
            <v>15822.255999999999</v>
          </cell>
          <cell r="CM6082" t="str">
            <v xml:space="preserve">NFT-/XUTR/DEUTH02431843558X </v>
          </cell>
          <cell r="CN6082" t="str">
            <v>2024-11-13</v>
          </cell>
          <cell r="CO6082">
            <v>1455.864</v>
          </cell>
        </row>
        <row r="6083">
          <cell r="CJ6083" t="str">
            <v xml:space="preserve">NFT-/XUTR/DEUTH02431839302X </v>
          </cell>
          <cell r="CK6083" t="str">
            <v>2024-11-13</v>
          </cell>
          <cell r="CL6083">
            <v>5644.8410000000003</v>
          </cell>
          <cell r="CM6083" t="str">
            <v xml:space="preserve">NFT-/XUTR/DEUTH02431843558X </v>
          </cell>
          <cell r="CN6083" t="str">
            <v>2024-11-13</v>
          </cell>
          <cell r="CO6083">
            <v>635.72400000000005</v>
          </cell>
        </row>
        <row r="6084">
          <cell r="CJ6084" t="str">
            <v xml:space="preserve">NFT-/XUTR/DEUTH02431839302X </v>
          </cell>
          <cell r="CK6084" t="str">
            <v>2024-11-13</v>
          </cell>
          <cell r="CL6084">
            <v>7748.6</v>
          </cell>
          <cell r="CM6084" t="str">
            <v xml:space="preserve">NFT-/XUTR/DEUTH02431843558X </v>
          </cell>
          <cell r="CN6084" t="str">
            <v>2024-11-13</v>
          </cell>
          <cell r="CO6084">
            <v>871.57899999999995</v>
          </cell>
          <cell r="CP6084" t="str">
            <v xml:space="preserve">NFT-/XUTR/DEUTH02432540165X </v>
          </cell>
          <cell r="CQ6084" t="str">
            <v>2024-11-20</v>
          </cell>
          <cell r="CR6084">
            <v>-7748.6</v>
          </cell>
          <cell r="CS6084" t="str">
            <v xml:space="preserve">NFT-/XUTR/DEUTH02432567146X </v>
          </cell>
          <cell r="CT6084" t="str">
            <v>2024-11-20</v>
          </cell>
          <cell r="CU6084">
            <v>-871.57899999999995</v>
          </cell>
        </row>
        <row r="6085">
          <cell r="CJ6085" t="str">
            <v xml:space="preserve">NFT-/XUTR/DEUTH02431839302X </v>
          </cell>
          <cell r="CK6085" t="str">
            <v>2024-11-13</v>
          </cell>
          <cell r="CL6085">
            <v>15656.313</v>
          </cell>
          <cell r="CM6085" t="str">
            <v xml:space="preserve">NFT-/XUTR/DEUTH02431843558X </v>
          </cell>
          <cell r="CN6085" t="str">
            <v>2024-11-13</v>
          </cell>
          <cell r="CO6085">
            <v>1455.8620000000001</v>
          </cell>
        </row>
        <row r="6086">
          <cell r="CJ6086" t="str">
            <v xml:space="preserve">NFT-/XUTR/DEUTH02431839302X </v>
          </cell>
          <cell r="CK6086" t="str">
            <v>2024-11-13</v>
          </cell>
          <cell r="CL6086">
            <v>7809.7529999999997</v>
          </cell>
          <cell r="CM6086" t="str">
            <v xml:space="preserve">NFT-/XUTR/DEUTH02431843558X </v>
          </cell>
          <cell r="CN6086" t="str">
            <v>2024-11-13</v>
          </cell>
          <cell r="CO6086">
            <v>878.36800000000005</v>
          </cell>
        </row>
        <row r="6087">
          <cell r="CJ6087" t="str">
            <v xml:space="preserve">NFT-/XUTR/DEUTH02431839302X </v>
          </cell>
          <cell r="CK6087" t="str">
            <v>2024-11-13</v>
          </cell>
          <cell r="CL6087">
            <v>10571.472</v>
          </cell>
          <cell r="CM6087" t="str">
            <v xml:space="preserve">NFT-/XUTR/DEUTH02431843558X </v>
          </cell>
          <cell r="CN6087" t="str">
            <v>2024-11-13</v>
          </cell>
          <cell r="CO6087">
            <v>1183.1300000000001</v>
          </cell>
        </row>
        <row r="6088">
          <cell r="CJ6088" t="str">
            <v xml:space="preserve">NFT-/XUTR/DEUTH02431839302X </v>
          </cell>
          <cell r="CK6088" t="str">
            <v>2024-11-13</v>
          </cell>
          <cell r="CL6088">
            <v>10700.126</v>
          </cell>
          <cell r="CM6088" t="str">
            <v xml:space="preserve">NFT-/XUTR/DEUTH02431843558X </v>
          </cell>
          <cell r="CN6088" t="str">
            <v>2024-11-13</v>
          </cell>
          <cell r="CO6088">
            <v>1200.604</v>
          </cell>
        </row>
        <row r="6089">
          <cell r="CJ6089" t="str">
            <v xml:space="preserve">NFT-/XUTR/DEUTH02431839302X </v>
          </cell>
          <cell r="CK6089" t="str">
            <v>2024-11-13</v>
          </cell>
          <cell r="CL6089">
            <v>41639.133999999998</v>
          </cell>
          <cell r="CM6089" t="str">
            <v xml:space="preserve">NFT-/XUTR/DEUTH02431843558X </v>
          </cell>
          <cell r="CN6089" t="str">
            <v>2024-11-13</v>
          </cell>
          <cell r="CO6089">
            <v>1455.8620000000001</v>
          </cell>
        </row>
        <row r="6090">
          <cell r="CJ6090" t="str">
            <v xml:space="preserve">NFT-/XUTR/DEUTH02431839302X </v>
          </cell>
          <cell r="CK6090" t="str">
            <v>2024-11-13</v>
          </cell>
          <cell r="CL6090">
            <v>63253.302000000003</v>
          </cell>
          <cell r="CM6090" t="str">
            <v xml:space="preserve">NFT-/XUTR/DEUTH02432756454X </v>
          </cell>
          <cell r="CN6090" t="str">
            <v>2024-11-22</v>
          </cell>
          <cell r="CO6090">
            <v>-63253.302000000003</v>
          </cell>
        </row>
        <row r="6091">
          <cell r="CJ6091" t="str">
            <v xml:space="preserve">NFT-/XUTR/DEUTH02431839302X </v>
          </cell>
          <cell r="CK6091" t="str">
            <v>2024-11-13</v>
          </cell>
          <cell r="CL6091">
            <v>11453.726000000001</v>
          </cell>
        </row>
        <row r="6092">
          <cell r="CJ6092" t="str">
            <v xml:space="preserve">NFT-/XUTR/DEUTH02431839302X </v>
          </cell>
          <cell r="CK6092" t="str">
            <v>2024-11-13</v>
          </cell>
          <cell r="CL6092">
            <v>8609.9439999999995</v>
          </cell>
        </row>
        <row r="6094">
          <cell r="CJ6094" t="str">
            <v xml:space="preserve">NFT-/XUTR/DEUTH02431839302X </v>
          </cell>
          <cell r="CK6094" t="str">
            <v>2024-11-13</v>
          </cell>
          <cell r="CL6094">
            <v>7767.4790000000003</v>
          </cell>
          <cell r="CM6094" t="str">
            <v xml:space="preserve">NFT-/XUTR/DEUTH02431843558X </v>
          </cell>
          <cell r="CN6094" t="str">
            <v>2024-11-13</v>
          </cell>
          <cell r="CO6094">
            <v>871.57799999999997</v>
          </cell>
          <cell r="CP6094" t="str">
            <v xml:space="preserve">NFT-/XUTR/DEUTH02432756454X </v>
          </cell>
          <cell r="CQ6094" t="str">
            <v>2024-11-22</v>
          </cell>
          <cell r="CR6094">
            <v>-7767.4790000000003</v>
          </cell>
          <cell r="CV6094" t="str">
            <v xml:space="preserve">NFT-/XUTR/DEUTH02433956210X </v>
          </cell>
          <cell r="CW6094" t="str">
            <v>2024-12-04</v>
          </cell>
          <cell r="CX6094">
            <v>-871.57799999999997</v>
          </cell>
        </row>
        <row r="6095">
          <cell r="CJ6095" t="str">
            <v xml:space="preserve">NFT-/XUTR/DEUTH02431839302X </v>
          </cell>
          <cell r="CK6095" t="str">
            <v>2024-11-13</v>
          </cell>
          <cell r="CL6095">
            <v>7767.4790000000003</v>
          </cell>
          <cell r="CM6095" t="str">
            <v xml:space="preserve">NFT-/XUTR/DEUTH02431843558X </v>
          </cell>
          <cell r="CN6095" t="str">
            <v>2024-11-13</v>
          </cell>
          <cell r="CO6095">
            <v>871.57799999999997</v>
          </cell>
        </row>
        <row r="6096">
          <cell r="CJ6096" t="str">
            <v xml:space="preserve">NFT-/XUTR/DEUTH02431839302X </v>
          </cell>
          <cell r="CK6096" t="str">
            <v>2024-11-13</v>
          </cell>
          <cell r="CL6096">
            <v>15803.378000000001</v>
          </cell>
          <cell r="CM6096" t="str">
            <v xml:space="preserve">NFT-/XUTR/DEUTH02431843558X </v>
          </cell>
          <cell r="CN6096" t="str">
            <v>2024-11-13</v>
          </cell>
          <cell r="CO6096">
            <v>1455.8620000000001</v>
          </cell>
        </row>
        <row r="6097">
          <cell r="CJ6097" t="str">
            <v xml:space="preserve">NFT-/XUTR/DEUTH02431839302X </v>
          </cell>
          <cell r="CK6097" t="str">
            <v>2024-11-13</v>
          </cell>
          <cell r="CL6097">
            <v>7757.7790000000005</v>
          </cell>
          <cell r="CM6097" t="str">
            <v xml:space="preserve">NFT-/XUTR/DEUTH02431843558X </v>
          </cell>
          <cell r="CN6097" t="str">
            <v>2024-11-13</v>
          </cell>
          <cell r="CO6097">
            <v>881.28</v>
          </cell>
        </row>
        <row r="6098">
          <cell r="CJ6098" t="str">
            <v xml:space="preserve">NFT-/XUTR/DEUTH02431839302X </v>
          </cell>
          <cell r="CK6098" t="str">
            <v>2024-11-13</v>
          </cell>
          <cell r="CL6098">
            <v>15520.438</v>
          </cell>
          <cell r="CM6098" t="str">
            <v xml:space="preserve">NFT-/XUTR/DEUTH02431843558X </v>
          </cell>
          <cell r="CN6098" t="str">
            <v>2024-11-13</v>
          </cell>
          <cell r="CO6098">
            <v>1455.8620000000001</v>
          </cell>
          <cell r="CP6098" t="str">
            <v xml:space="preserve">NFT-/XUTR/DEUTH02433037112X </v>
          </cell>
          <cell r="CQ6098" t="str">
            <v>2024-11-25</v>
          </cell>
          <cell r="CR6098">
            <v>-15520.438</v>
          </cell>
          <cell r="CV6098" t="str">
            <v xml:space="preserve">NFT-/XUTR/DEUTH02433956210X </v>
          </cell>
          <cell r="CW6098" t="str">
            <v>2024-12-04</v>
          </cell>
          <cell r="CX6098">
            <v>-1455.8620000000001</v>
          </cell>
        </row>
        <row r="6099">
          <cell r="CJ6099" t="str">
            <v xml:space="preserve">NFT-/XUTR/DEUTH02431839302X </v>
          </cell>
          <cell r="CK6099" t="str">
            <v>2024-11-13</v>
          </cell>
          <cell r="CL6099">
            <v>7767.4790000000003</v>
          </cell>
          <cell r="CM6099" t="str">
            <v xml:space="preserve">NFT-/XUTR/DEUTH02431843558X </v>
          </cell>
          <cell r="CN6099" t="str">
            <v>2024-11-13</v>
          </cell>
          <cell r="CO6099">
            <v>871.57799999999997</v>
          </cell>
        </row>
        <row r="6100">
          <cell r="CJ6100" t="str">
            <v xml:space="preserve">NFT-/XUTR/DEUTH02431839302X </v>
          </cell>
          <cell r="CK6100" t="str">
            <v>2024-11-13</v>
          </cell>
          <cell r="CL6100">
            <v>1437.9259999999999</v>
          </cell>
        </row>
        <row r="6101">
          <cell r="CJ6101" t="str">
            <v xml:space="preserve">NFT-/XUTR/DEUTH02431839302X </v>
          </cell>
          <cell r="CK6101" t="str">
            <v>2024-11-13</v>
          </cell>
          <cell r="CL6101">
            <v>8054.7759999999998</v>
          </cell>
          <cell r="CM6101" t="str">
            <v xml:space="preserve">NFT-/XUTR/DEUTH02431843558X </v>
          </cell>
          <cell r="CN6101" t="str">
            <v>2024-11-13</v>
          </cell>
          <cell r="CO6101">
            <v>584.28399999999999</v>
          </cell>
        </row>
        <row r="6102">
          <cell r="CJ6102" t="str">
            <v xml:space="preserve">NFT-/XUTR/DEUTH02431839302X </v>
          </cell>
          <cell r="CK6102" t="str">
            <v>2024-11-13</v>
          </cell>
          <cell r="CL6102">
            <v>15803.378000000001</v>
          </cell>
          <cell r="CM6102" t="str">
            <v xml:space="preserve">NFT-/XUTR/DEUTH02431843558X </v>
          </cell>
          <cell r="CN6102" t="str">
            <v>2024-11-13</v>
          </cell>
          <cell r="CO6102">
            <v>1455.8620000000001</v>
          </cell>
        </row>
        <row r="6103">
          <cell r="CJ6103" t="str">
            <v xml:space="preserve">NFT-/XUTR/DEUTH02431839302X </v>
          </cell>
          <cell r="CK6103" t="str">
            <v>2024-11-13</v>
          </cell>
          <cell r="CL6103">
            <v>5338.6639999999998</v>
          </cell>
          <cell r="CM6103" t="str">
            <v xml:space="preserve">NFT-/XUTR/DEUTH02431843558X </v>
          </cell>
          <cell r="CN6103" t="str">
            <v>2024-11-13</v>
          </cell>
          <cell r="CO6103">
            <v>923.02099999999996</v>
          </cell>
        </row>
        <row r="6104">
          <cell r="CJ6104" t="str">
            <v xml:space="preserve">NFT-/XUTR/DEUTH02431839302X </v>
          </cell>
          <cell r="CK6104" t="str">
            <v>2024-11-13</v>
          </cell>
          <cell r="CL6104">
            <v>10667.564</v>
          </cell>
          <cell r="CM6104" t="str">
            <v xml:space="preserve">NFT-/XUTR/DEUTH02431843558X </v>
          </cell>
          <cell r="CN6104" t="str">
            <v>2024-11-13</v>
          </cell>
          <cell r="CO6104">
            <v>1193.8050000000001</v>
          </cell>
        </row>
        <row r="6105">
          <cell r="CJ6105" t="str">
            <v xml:space="preserve">NFT-/XUTR/DEUTH02431839302X </v>
          </cell>
          <cell r="CK6105" t="str">
            <v>2024-11-13</v>
          </cell>
          <cell r="CL6105">
            <v>7801.99</v>
          </cell>
          <cell r="CM6105" t="str">
            <v xml:space="preserve">NFT-/XUTR/DEUTH02431843558X </v>
          </cell>
          <cell r="CN6105" t="str">
            <v>2024-11-13</v>
          </cell>
          <cell r="CO6105">
            <v>818.19</v>
          </cell>
        </row>
        <row r="6106">
          <cell r="CJ6106" t="str">
            <v xml:space="preserve">NFT-/XUTR/DEUTH02431839302X </v>
          </cell>
          <cell r="CK6106" t="str">
            <v>2024-11-13</v>
          </cell>
          <cell r="CL6106">
            <v>7767.4790000000003</v>
          </cell>
          <cell r="CM6106" t="str">
            <v xml:space="preserve">NFT-/XUTR/DEUTH02431843558X </v>
          </cell>
          <cell r="CN6106" t="str">
            <v>2024-11-13</v>
          </cell>
          <cell r="CO6106">
            <v>871.57799999999997</v>
          </cell>
        </row>
        <row r="6107">
          <cell r="CJ6107" t="str">
            <v xml:space="preserve">NFT-/XUTR/DEUTH02431839302X </v>
          </cell>
          <cell r="CK6107" t="str">
            <v>2024-11-13</v>
          </cell>
          <cell r="CL6107">
            <v>68009.119000000006</v>
          </cell>
        </row>
        <row r="6108">
          <cell r="CJ6108" t="str">
            <v xml:space="preserve">NFT-/XUTR/DEUTH02431839302X </v>
          </cell>
          <cell r="CK6108" t="str">
            <v>2024-11-13</v>
          </cell>
          <cell r="CL6108">
            <v>11289.68</v>
          </cell>
          <cell r="CM6108" t="str">
            <v xml:space="preserve">NFT-/XUTR/DEUTH02431843558X </v>
          </cell>
          <cell r="CN6108" t="str">
            <v>2024-11-13</v>
          </cell>
          <cell r="CO6108">
            <v>1271.4480000000001</v>
          </cell>
        </row>
        <row r="6109">
          <cell r="CJ6109" t="str">
            <v xml:space="preserve">NFT-/XUTR/DEUTH02431839302X </v>
          </cell>
          <cell r="CK6109" t="str">
            <v>2024-11-13</v>
          </cell>
          <cell r="CL6109">
            <v>10648.683999999999</v>
          </cell>
          <cell r="CM6109" t="str">
            <v xml:space="preserve">NFT-/XUTR/DEUTH02431843558X </v>
          </cell>
          <cell r="CN6109" t="str">
            <v>2024-11-13</v>
          </cell>
          <cell r="CO6109">
            <v>1193.8050000000001</v>
          </cell>
        </row>
        <row r="6110">
          <cell r="CJ6110" t="str">
            <v xml:space="preserve">NFT-/XUTR/DEUTH02431839302X </v>
          </cell>
          <cell r="CK6110" t="str">
            <v>2024-11-13</v>
          </cell>
          <cell r="CL6110">
            <v>15822.258</v>
          </cell>
          <cell r="CM6110" t="str">
            <v xml:space="preserve">NFT-/XUTR/DEUTH02431843558X </v>
          </cell>
          <cell r="CN6110" t="str">
            <v>2024-11-13</v>
          </cell>
          <cell r="CO6110">
            <v>1455.8620000000001</v>
          </cell>
        </row>
        <row r="6111">
          <cell r="CJ6111" t="str">
            <v xml:space="preserve">NFT-/XUTR/DEUTH02431839302X </v>
          </cell>
          <cell r="CK6111" t="str">
            <v>2024-11-13</v>
          </cell>
          <cell r="CL6111">
            <v>7374.4</v>
          </cell>
          <cell r="CM6111" t="str">
            <v xml:space="preserve">NFT-/XUTR/DEUTH02431843558X </v>
          </cell>
          <cell r="CN6111" t="str">
            <v>2024-11-13</v>
          </cell>
          <cell r="CO6111">
            <v>1264.6590000000001</v>
          </cell>
        </row>
        <row r="6112">
          <cell r="CJ6112" t="str">
            <v xml:space="preserve">NFT-/XUTR/DEUTH02431839302X </v>
          </cell>
          <cell r="CK6112" t="str">
            <v>2024-11-13</v>
          </cell>
          <cell r="CL6112">
            <v>15803.378000000001</v>
          </cell>
          <cell r="CM6112" t="str">
            <v xml:space="preserve">NFT-/XUTR/DEUTH02431843558X </v>
          </cell>
          <cell r="CN6112" t="str">
            <v>2024-11-13</v>
          </cell>
          <cell r="CO6112">
            <v>1455.8620000000001</v>
          </cell>
        </row>
        <row r="6113">
          <cell r="CJ6113" t="str">
            <v xml:space="preserve">NFT-/XUTR/DEUTH02431839302X </v>
          </cell>
          <cell r="CK6113" t="str">
            <v>2024-11-13</v>
          </cell>
          <cell r="CL6113">
            <v>7767.4790000000003</v>
          </cell>
          <cell r="CM6113" t="str">
            <v xml:space="preserve">NFT-/XUTR/DEUTH02431843558X </v>
          </cell>
          <cell r="CN6113" t="str">
            <v>2024-11-13</v>
          </cell>
          <cell r="CO6113">
            <v>871.57799999999997</v>
          </cell>
        </row>
        <row r="6114">
          <cell r="CJ6114" t="str">
            <v xml:space="preserve">NFT-/XUTR/DEUTH02431839302X </v>
          </cell>
          <cell r="CK6114" t="str">
            <v>2024-11-13</v>
          </cell>
          <cell r="CL6114">
            <v>7767.4790000000003</v>
          </cell>
          <cell r="CM6114" t="str">
            <v xml:space="preserve">NFT-/XUTR/DEUTH02431843558X </v>
          </cell>
          <cell r="CN6114" t="str">
            <v>2024-11-13</v>
          </cell>
          <cell r="CO6114">
            <v>871.57799999999997</v>
          </cell>
          <cell r="CP6114" t="str">
            <v xml:space="preserve">NFT-/XUTR/DEUTH02502059183X </v>
          </cell>
          <cell r="CQ6114" t="str">
            <v>2025-01-20</v>
          </cell>
          <cell r="CR6114">
            <v>-7767.4790000000003</v>
          </cell>
          <cell r="CS6114" t="str">
            <v xml:space="preserve">NFT-/XUTR/DEUTH02502438367X </v>
          </cell>
          <cell r="CT6114" t="str">
            <v>2025-01-24</v>
          </cell>
          <cell r="CU6114">
            <v>-871.57799999999997</v>
          </cell>
        </row>
        <row r="6115">
          <cell r="CJ6115" t="str">
            <v xml:space="preserve">NFT-/XUTR/DEUTH02431839302X </v>
          </cell>
          <cell r="CK6115" t="str">
            <v>2024-11-13</v>
          </cell>
          <cell r="CL6115">
            <v>15822.258</v>
          </cell>
          <cell r="CM6115" t="str">
            <v xml:space="preserve">NFT-/XUTR/DEUTH02431843558X </v>
          </cell>
          <cell r="CN6115" t="str">
            <v>2024-11-13</v>
          </cell>
          <cell r="CO6115">
            <v>1455.8620000000001</v>
          </cell>
        </row>
        <row r="6116">
          <cell r="CJ6116" t="str">
            <v xml:space="preserve">NFT-/XUTR/DEUTH02431839302X </v>
          </cell>
          <cell r="CK6116" t="str">
            <v>2024-11-13</v>
          </cell>
          <cell r="CL6116">
            <v>7767.4790000000003</v>
          </cell>
          <cell r="CM6116" t="str">
            <v xml:space="preserve">NFT-/XUTR/DEUTH02431843558X </v>
          </cell>
          <cell r="CN6116" t="str">
            <v>2024-11-13</v>
          </cell>
          <cell r="CO6116">
            <v>871.57799999999997</v>
          </cell>
        </row>
        <row r="6117">
          <cell r="CJ6117" t="str">
            <v xml:space="preserve">NFT-/XUTR/DEUTH02431839302X </v>
          </cell>
          <cell r="CK6117" t="str">
            <v>2024-11-13</v>
          </cell>
          <cell r="CL6117">
            <v>15501.558000000001</v>
          </cell>
          <cell r="CM6117" t="str">
            <v xml:space="preserve">NFT-/XUTR/DEUTH02431843558X </v>
          </cell>
          <cell r="CN6117" t="str">
            <v>2024-11-13</v>
          </cell>
          <cell r="CO6117">
            <v>1455.8620000000001</v>
          </cell>
        </row>
        <row r="6118">
          <cell r="CJ6118" t="str">
            <v xml:space="preserve">NFT-/XUTR/DEUTH02431839302X </v>
          </cell>
          <cell r="CK6118" t="str">
            <v>2024-11-13</v>
          </cell>
          <cell r="CL6118">
            <v>15520.438</v>
          </cell>
          <cell r="CM6118" t="str">
            <v xml:space="preserve">NFT-/XUTR/DEUTH02431843558X </v>
          </cell>
          <cell r="CN6118" t="str">
            <v>2024-11-13</v>
          </cell>
          <cell r="CO6118">
            <v>1455.8620000000001</v>
          </cell>
        </row>
        <row r="6119">
          <cell r="CJ6119" t="str">
            <v xml:space="preserve">NFT-/XUTR/DEUTH02431839302X </v>
          </cell>
          <cell r="CK6119" t="str">
            <v>2024-11-13</v>
          </cell>
          <cell r="CL6119">
            <v>11842.489</v>
          </cell>
        </row>
        <row r="6120">
          <cell r="CJ6120" t="str">
            <v xml:space="preserve">NFT-/XUTR/DEUTH02431839302X </v>
          </cell>
          <cell r="CK6120" t="str">
            <v>2024-11-13</v>
          </cell>
          <cell r="CL6120">
            <v>7767.4790000000003</v>
          </cell>
          <cell r="CM6120" t="str">
            <v xml:space="preserve">NFT-/XUTR/DEUTH02431843558X </v>
          </cell>
          <cell r="CN6120" t="str">
            <v>2024-11-13</v>
          </cell>
          <cell r="CO6120">
            <v>871.57799999999997</v>
          </cell>
        </row>
        <row r="6121">
          <cell r="CJ6121" t="str">
            <v xml:space="preserve">NFT-/XUTR/DEUTH02431839302X </v>
          </cell>
          <cell r="CK6121" t="str">
            <v>2024-11-13</v>
          </cell>
          <cell r="CL6121">
            <v>7767.48</v>
          </cell>
          <cell r="CM6121" t="str">
            <v xml:space="preserve">NFT-/XUTR/DEUTH02431843558X </v>
          </cell>
          <cell r="CN6121" t="str">
            <v>2024-11-13</v>
          </cell>
          <cell r="CO6121">
            <v>871.57899999999995</v>
          </cell>
        </row>
        <row r="6122">
          <cell r="CJ6122" t="str">
            <v xml:space="preserve">NFT-/XUTR/DEUTH02431839302X </v>
          </cell>
          <cell r="CK6122" t="str">
            <v>2024-11-13</v>
          </cell>
          <cell r="CL6122">
            <v>15520.438</v>
          </cell>
          <cell r="CM6122" t="str">
            <v xml:space="preserve">NFT-/XUTR/DEUTH02431843558X </v>
          </cell>
          <cell r="CN6122" t="str">
            <v>2024-11-13</v>
          </cell>
          <cell r="CO6122">
            <v>1455.8620000000001</v>
          </cell>
        </row>
        <row r="6123">
          <cell r="CJ6123" t="str">
            <v xml:space="preserve">NFT-/XUTR/DEUTH02431839302X </v>
          </cell>
          <cell r="CK6123" t="str">
            <v>2024-11-13</v>
          </cell>
          <cell r="CL6123">
            <v>42580.06</v>
          </cell>
        </row>
        <row r="6124">
          <cell r="CJ6124" t="str">
            <v xml:space="preserve">NFT-/XUTR/DEUTH02431839302X </v>
          </cell>
          <cell r="CK6124" t="str">
            <v>2024-11-13</v>
          </cell>
          <cell r="CL6124">
            <v>7748.6</v>
          </cell>
          <cell r="CM6124" t="str">
            <v xml:space="preserve">NFT-/XUTR/DEUTH02431843558X </v>
          </cell>
          <cell r="CN6124" t="str">
            <v>2024-11-13</v>
          </cell>
          <cell r="CO6124">
            <v>871.57899999999995</v>
          </cell>
        </row>
        <row r="6125">
          <cell r="CJ6125" t="str">
            <v xml:space="preserve">NFT-/XUTR/DEUTH02431839302X </v>
          </cell>
          <cell r="CK6125" t="str">
            <v>2024-11-13</v>
          </cell>
          <cell r="CL6125">
            <v>15501.558000000001</v>
          </cell>
          <cell r="CM6125" t="str">
            <v xml:space="preserve">NFT-/XUTR/DEUTH02431843558X </v>
          </cell>
          <cell r="CN6125" t="str">
            <v>2024-11-13</v>
          </cell>
          <cell r="CO6125">
            <v>1455.8620000000001</v>
          </cell>
        </row>
        <row r="6126">
          <cell r="CJ6126" t="str">
            <v xml:space="preserve">NFT-/XUTR/DEUTH02431839302X </v>
          </cell>
          <cell r="CK6126" t="str">
            <v>2024-11-13</v>
          </cell>
          <cell r="CL6126">
            <v>7767.48</v>
          </cell>
          <cell r="CM6126" t="str">
            <v xml:space="preserve">NFT-/XUTR/DEUTH02431843558X </v>
          </cell>
          <cell r="CN6126" t="str">
            <v>2024-11-13</v>
          </cell>
          <cell r="CO6126">
            <v>871.57899999999995</v>
          </cell>
        </row>
        <row r="6127">
          <cell r="CJ6127" t="str">
            <v xml:space="preserve">NFT-/XUTR/DEUTH02431839302X </v>
          </cell>
          <cell r="CK6127" t="str">
            <v>2024-11-13</v>
          </cell>
          <cell r="CL6127">
            <v>7767.4790000000003</v>
          </cell>
          <cell r="CM6127" t="str">
            <v xml:space="preserve">NFT-/XUTR/DEUTH02431843558X </v>
          </cell>
          <cell r="CN6127" t="str">
            <v>2024-11-13</v>
          </cell>
          <cell r="CO6127">
            <v>871.57799999999997</v>
          </cell>
        </row>
        <row r="6128">
          <cell r="CJ6128" t="str">
            <v xml:space="preserve">NFT-/XUTR/DEUTH02431839302X </v>
          </cell>
          <cell r="CK6128" t="str">
            <v>2024-11-13</v>
          </cell>
          <cell r="CL6128">
            <v>7767.4790000000003</v>
          </cell>
          <cell r="CM6128" t="str">
            <v xml:space="preserve">NFT-/XUTR/DEUTH02431843558X </v>
          </cell>
          <cell r="CN6128" t="str">
            <v>2024-11-13</v>
          </cell>
          <cell r="CO6128">
            <v>871.57799999999997</v>
          </cell>
        </row>
        <row r="6129">
          <cell r="CJ6129" t="str">
            <v xml:space="preserve">NFT-/XUTR/DEUTH02431839302X </v>
          </cell>
          <cell r="CK6129" t="str">
            <v>2024-11-13</v>
          </cell>
          <cell r="CL6129">
            <v>8054.7759999999998</v>
          </cell>
          <cell r="CM6129" t="str">
            <v xml:space="preserve">NFT-/XUTR/DEUTH02431843558X </v>
          </cell>
          <cell r="CN6129" t="str">
            <v>2024-11-13</v>
          </cell>
          <cell r="CO6129">
            <v>584.28399999999999</v>
          </cell>
        </row>
        <row r="6130">
          <cell r="CJ6130" t="str">
            <v xml:space="preserve">NFT-/XUTR/DEUTH02431839302X </v>
          </cell>
          <cell r="CK6130" t="str">
            <v>2024-11-13</v>
          </cell>
          <cell r="CL6130">
            <v>7767.48</v>
          </cell>
          <cell r="CM6130" t="str">
            <v xml:space="preserve">NFT-/XUTR/DEUTH02431843558X </v>
          </cell>
          <cell r="CN6130" t="str">
            <v>2024-11-13</v>
          </cell>
          <cell r="CO6130">
            <v>871.57899999999995</v>
          </cell>
        </row>
        <row r="6131">
          <cell r="CJ6131" t="str">
            <v xml:space="preserve">NFT-/XUTR/DEUTH02431839302X </v>
          </cell>
          <cell r="CK6131" t="str">
            <v>2024-11-13</v>
          </cell>
          <cell r="CL6131">
            <v>41105.317999999999</v>
          </cell>
          <cell r="CM6131" t="str">
            <v xml:space="preserve">NFT-/XUTR/DEUTH02431843558X </v>
          </cell>
          <cell r="CN6131" t="str">
            <v>2024-11-13</v>
          </cell>
          <cell r="CO6131">
            <v>1455.8620000000001</v>
          </cell>
        </row>
        <row r="6132">
          <cell r="CJ6132" t="str">
            <v xml:space="preserve">NFT-/XUTR/DEUTH02431839302X </v>
          </cell>
          <cell r="CK6132" t="str">
            <v>2024-11-13</v>
          </cell>
          <cell r="CL6132">
            <v>10667.564</v>
          </cell>
          <cell r="CM6132" t="str">
            <v xml:space="preserve">NFT-/XUTR/DEUTH02431843558X </v>
          </cell>
          <cell r="CN6132" t="str">
            <v>2024-11-13</v>
          </cell>
          <cell r="CO6132">
            <v>1193.8050000000001</v>
          </cell>
        </row>
        <row r="6133">
          <cell r="CJ6133" t="str">
            <v xml:space="preserve">NFT-/XUTR/DEUTH02431839302X </v>
          </cell>
          <cell r="CK6133" t="str">
            <v>2024-11-13</v>
          </cell>
          <cell r="CL6133">
            <v>7767.48</v>
          </cell>
          <cell r="CM6133" t="str">
            <v xml:space="preserve">NFT-/XUTR/DEUTH02431843558X </v>
          </cell>
          <cell r="CN6133" t="str">
            <v>2024-11-13</v>
          </cell>
          <cell r="CO6133">
            <v>871.57899999999995</v>
          </cell>
        </row>
        <row r="6134">
          <cell r="CJ6134" t="str">
            <v xml:space="preserve">NFT-/XUTR/DEUTH02431839302X </v>
          </cell>
          <cell r="CK6134" t="str">
            <v>2024-11-13</v>
          </cell>
          <cell r="CL6134">
            <v>1380.1369999999999</v>
          </cell>
          <cell r="CM6134" t="str">
            <v xml:space="preserve">NFT-/XUTR/DEUTH02431843558X </v>
          </cell>
          <cell r="CN6134" t="str">
            <v>2024-11-13</v>
          </cell>
          <cell r="CO6134">
            <v>76.679000000000002</v>
          </cell>
        </row>
        <row r="6135">
          <cell r="CJ6135" t="str">
            <v xml:space="preserve">NFT-/XUTR/DEUTH02431839302X </v>
          </cell>
          <cell r="CK6135" t="str">
            <v>2024-11-13</v>
          </cell>
          <cell r="CL6135">
            <v>7355.52</v>
          </cell>
          <cell r="CM6135" t="str">
            <v xml:space="preserve">NFT-/XUTR/DEUTH02431843558X </v>
          </cell>
          <cell r="CN6135" t="str">
            <v>2024-11-13</v>
          </cell>
          <cell r="CO6135">
            <v>1264.6590000000001</v>
          </cell>
        </row>
        <row r="6136">
          <cell r="CJ6136" t="str">
            <v xml:space="preserve">NFT-/XUTR/DEUTH02431839302X </v>
          </cell>
          <cell r="CK6136" t="str">
            <v>2024-11-13</v>
          </cell>
          <cell r="CL6136">
            <v>5644.84</v>
          </cell>
          <cell r="CM6136" t="str">
            <v xml:space="preserve">NFT-/XUTR/DEUTH02431843558X </v>
          </cell>
          <cell r="CN6136" t="str">
            <v>2024-11-13</v>
          </cell>
          <cell r="CO6136">
            <v>635.72400000000005</v>
          </cell>
        </row>
        <row r="6137">
          <cell r="CJ6137" t="str">
            <v xml:space="preserve">NFT-/XUTR/DEUTH02431839302X </v>
          </cell>
          <cell r="CK6137" t="str">
            <v>2024-11-13</v>
          </cell>
          <cell r="CL6137">
            <v>7767.4790000000003</v>
          </cell>
          <cell r="CM6137" t="str">
            <v xml:space="preserve">NFT-/XUTR/DEUTH02431843558X </v>
          </cell>
          <cell r="CN6137" t="str">
            <v>2024-11-13</v>
          </cell>
          <cell r="CO6137">
            <v>871.57799999999997</v>
          </cell>
        </row>
        <row r="6138">
          <cell r="CJ6138" t="str">
            <v xml:space="preserve">NFT-/XUTR/DEUTH02431839302X </v>
          </cell>
          <cell r="CK6138" t="str">
            <v>2024-11-13</v>
          </cell>
          <cell r="CL6138">
            <v>15520.438</v>
          </cell>
          <cell r="CM6138" t="str">
            <v xml:space="preserve">NFT-/XUTR/DEUTH02431843558X </v>
          </cell>
          <cell r="CN6138" t="str">
            <v>2024-11-13</v>
          </cell>
          <cell r="CO6138">
            <v>1455.8620000000001</v>
          </cell>
        </row>
        <row r="6139">
          <cell r="CJ6139" t="str">
            <v xml:space="preserve">NFT-/XUTR/DEUTH02431839302X </v>
          </cell>
          <cell r="CK6139" t="str">
            <v>2024-11-13</v>
          </cell>
          <cell r="CL6139">
            <v>7767.48</v>
          </cell>
          <cell r="CM6139" t="str">
            <v xml:space="preserve">NFT-/XUTR/DEUTH02431843558X </v>
          </cell>
          <cell r="CN6139" t="str">
            <v>2024-11-13</v>
          </cell>
          <cell r="CO6139">
            <v>871.57899999999995</v>
          </cell>
        </row>
        <row r="6140">
          <cell r="CJ6140" t="str">
            <v xml:space="preserve">NFT-/XUTR/DEUTH02431839302X </v>
          </cell>
          <cell r="CK6140" t="str">
            <v>2024-11-13</v>
          </cell>
          <cell r="CL6140">
            <v>7767.4790000000003</v>
          </cell>
          <cell r="CM6140" t="str">
            <v xml:space="preserve">NFT-/XUTR/DEUTH02431843558X </v>
          </cell>
          <cell r="CN6140" t="str">
            <v>2024-11-13</v>
          </cell>
          <cell r="CO6140">
            <v>871.57799999999997</v>
          </cell>
        </row>
        <row r="6141">
          <cell r="CJ6141" t="str">
            <v xml:space="preserve">NFT-/XUTR/DEUTH02431839302X </v>
          </cell>
          <cell r="CK6141" t="str">
            <v>2024-11-13</v>
          </cell>
          <cell r="CL6141">
            <v>7748.6</v>
          </cell>
          <cell r="CM6141" t="str">
            <v xml:space="preserve">NFT-/XUTR/DEUTH02431843558X </v>
          </cell>
          <cell r="CN6141" t="str">
            <v>2024-11-13</v>
          </cell>
          <cell r="CO6141">
            <v>871.57899999999995</v>
          </cell>
        </row>
        <row r="6142">
          <cell r="CJ6142" t="str">
            <v xml:space="preserve">NFT-/XUTR/DEUTH02431839302X </v>
          </cell>
          <cell r="CK6142" t="str">
            <v>2024-11-13</v>
          </cell>
          <cell r="CL6142">
            <v>5808.3540000000003</v>
          </cell>
        </row>
        <row r="6143">
          <cell r="CJ6143" t="str">
            <v xml:space="preserve">NFT-/XUTR/DEUTH02431839302X </v>
          </cell>
          <cell r="CK6143" t="str">
            <v>2024-11-13</v>
          </cell>
          <cell r="CL6143">
            <v>15803.378000000001</v>
          </cell>
          <cell r="CM6143" t="str">
            <v xml:space="preserve">NFT-/XUTR/DEUTH02431843558X </v>
          </cell>
          <cell r="CN6143" t="str">
            <v>2024-11-13</v>
          </cell>
          <cell r="CO6143">
            <v>1455.8620000000001</v>
          </cell>
        </row>
        <row r="6144">
          <cell r="CJ6144" t="str">
            <v xml:space="preserve">NFT-/XUTR/DEUTH02431839302X </v>
          </cell>
          <cell r="CK6144" t="str">
            <v>2024-11-13</v>
          </cell>
          <cell r="CL6144">
            <v>15501.558000000001</v>
          </cell>
          <cell r="CM6144" t="str">
            <v xml:space="preserve">NFT-/XUTR/DEUTH02431843558X </v>
          </cell>
          <cell r="CN6144" t="str">
            <v>2024-11-13</v>
          </cell>
          <cell r="CO6144">
            <v>1455.8620000000001</v>
          </cell>
        </row>
        <row r="6145">
          <cell r="CJ6145" t="str">
            <v xml:space="preserve">NFT-/XUTR/DEUTH02431839302X </v>
          </cell>
          <cell r="CK6145" t="str">
            <v>2024-11-13</v>
          </cell>
          <cell r="CL6145">
            <v>7767.4790000000003</v>
          </cell>
          <cell r="CM6145" t="str">
            <v xml:space="preserve">NFT-/XUTR/DEUTH02431843558X </v>
          </cell>
          <cell r="CN6145" t="str">
            <v>2024-11-13</v>
          </cell>
          <cell r="CO6145">
            <v>871.57799999999997</v>
          </cell>
        </row>
        <row r="6146">
          <cell r="CJ6146" t="str">
            <v xml:space="preserve">NFT-/XUTR/DEUTH02431839302X </v>
          </cell>
          <cell r="CK6146" t="str">
            <v>2024-11-13</v>
          </cell>
          <cell r="CL6146">
            <v>7767.4790000000003</v>
          </cell>
          <cell r="CM6146" t="str">
            <v xml:space="preserve">NFT-/XUTR/DEUTH02431843558X </v>
          </cell>
          <cell r="CN6146" t="str">
            <v>2024-11-13</v>
          </cell>
          <cell r="CO6146">
            <v>871.57799999999997</v>
          </cell>
        </row>
        <row r="6147">
          <cell r="CJ6147" t="str">
            <v xml:space="preserve">NFT-/XUTR/DEUTH02431839302X </v>
          </cell>
          <cell r="CK6147" t="str">
            <v>2024-11-13</v>
          </cell>
          <cell r="CL6147">
            <v>7767.48</v>
          </cell>
          <cell r="CM6147" t="str">
            <v xml:space="preserve">NFT-/XUTR/DEUTH02431843558X </v>
          </cell>
          <cell r="CN6147" t="str">
            <v>2024-11-13</v>
          </cell>
          <cell r="CO6147">
            <v>871.57899999999995</v>
          </cell>
        </row>
        <row r="6148">
          <cell r="CJ6148" t="str">
            <v xml:space="preserve">NFT-/XUTR/DEUTH02431839302X </v>
          </cell>
          <cell r="CK6148" t="str">
            <v>2024-11-13</v>
          </cell>
          <cell r="CL6148">
            <v>7767.48</v>
          </cell>
          <cell r="CM6148" t="str">
            <v xml:space="preserve">NFT-/XUTR/DEUTH02431843558X </v>
          </cell>
          <cell r="CN6148" t="str">
            <v>2024-11-13</v>
          </cell>
          <cell r="CO6148">
            <v>871.57899999999995</v>
          </cell>
        </row>
        <row r="6149">
          <cell r="CJ6149" t="str">
            <v xml:space="preserve">NFT-/XUTR/DEUTH02431839302X </v>
          </cell>
          <cell r="CK6149" t="str">
            <v>2024-11-13</v>
          </cell>
          <cell r="CL6149">
            <v>10983.001</v>
          </cell>
          <cell r="CM6149" t="str">
            <v xml:space="preserve">NFT-/XUTR/DEUTH02431843558X </v>
          </cell>
          <cell r="CN6149" t="str">
            <v>2024-11-13</v>
          </cell>
          <cell r="CO6149">
            <v>1198.6559999999999</v>
          </cell>
        </row>
        <row r="6150">
          <cell r="CJ6150" t="str">
            <v xml:space="preserve">NFT-/XUTR/DEUTH02431839302X </v>
          </cell>
          <cell r="CK6150" t="str">
            <v>2024-11-13</v>
          </cell>
          <cell r="CL6150">
            <v>7374.933</v>
          </cell>
          <cell r="CM6150" t="str">
            <v xml:space="preserve">NFT-/XUTR/DEUTH02431843558X </v>
          </cell>
          <cell r="CN6150" t="str">
            <v>2024-11-13</v>
          </cell>
          <cell r="CO6150">
            <v>1245.2449999999999</v>
          </cell>
        </row>
        <row r="6151">
          <cell r="CJ6151" t="str">
            <v xml:space="preserve">NFT-/XUTR/DEUTH02431839302X </v>
          </cell>
          <cell r="CK6151" t="str">
            <v>2024-11-13</v>
          </cell>
          <cell r="CL6151">
            <v>7833.4830000000002</v>
          </cell>
          <cell r="CM6151" t="str">
            <v xml:space="preserve">NFT-/XUTR/DEUTH02431843558X </v>
          </cell>
          <cell r="CN6151" t="str">
            <v>2024-11-13</v>
          </cell>
          <cell r="CO6151">
            <v>805.57399999999996</v>
          </cell>
        </row>
        <row r="6152">
          <cell r="CJ6152" t="str">
            <v xml:space="preserve">NFT-/XUTR/DEUTH02431839302X </v>
          </cell>
          <cell r="CK6152" t="str">
            <v>2024-11-13</v>
          </cell>
          <cell r="CL6152">
            <v>7767.48</v>
          </cell>
          <cell r="CM6152" t="str">
            <v xml:space="preserve">NFT-/XUTR/DEUTH02431843558X </v>
          </cell>
          <cell r="CN6152" t="str">
            <v>2024-11-13</v>
          </cell>
          <cell r="CO6152">
            <v>871.57899999999995</v>
          </cell>
        </row>
        <row r="6153">
          <cell r="CJ6153" t="str">
            <v xml:space="preserve">NFT-/XUTR/DEUTH02431839302X </v>
          </cell>
          <cell r="CK6153" t="str">
            <v>2024-11-13</v>
          </cell>
          <cell r="CL6153">
            <v>10667.564</v>
          </cell>
          <cell r="CM6153" t="str">
            <v xml:space="preserve">NFT-/XUTR/DEUTH02431843558X </v>
          </cell>
          <cell r="CN6153" t="str">
            <v>2024-11-13</v>
          </cell>
          <cell r="CO6153">
            <v>1193.806</v>
          </cell>
        </row>
        <row r="6154">
          <cell r="CJ6154" t="str">
            <v xml:space="preserve">NFT-/XUTR/DEUTH02431839302X </v>
          </cell>
          <cell r="CK6154" t="str">
            <v>2024-11-13</v>
          </cell>
          <cell r="CL6154">
            <v>8035.8959999999997</v>
          </cell>
          <cell r="CM6154" t="str">
            <v xml:space="preserve">NFT-/XUTR/DEUTH02431843558X </v>
          </cell>
          <cell r="CN6154" t="str">
            <v>2024-11-13</v>
          </cell>
          <cell r="CO6154">
            <v>584.28399999999999</v>
          </cell>
        </row>
        <row r="6155">
          <cell r="CJ6155" t="str">
            <v xml:space="preserve">NFT-/XUTR/DEUTH02431839302X </v>
          </cell>
          <cell r="CK6155" t="str">
            <v>2024-11-13</v>
          </cell>
          <cell r="CL6155">
            <v>10667.564</v>
          </cell>
          <cell r="CM6155" t="str">
            <v xml:space="preserve">NFT-/XUTR/DEUTH02431843558X </v>
          </cell>
          <cell r="CN6155" t="str">
            <v>2024-11-13</v>
          </cell>
          <cell r="CO6155">
            <v>1193.8050000000001</v>
          </cell>
        </row>
        <row r="6156">
          <cell r="CJ6156" t="str">
            <v xml:space="preserve">NFT-/XUTR/DEUTH02431839302X </v>
          </cell>
          <cell r="CK6156" t="str">
            <v>2024-11-13</v>
          </cell>
          <cell r="CL6156">
            <v>7557.3980000000001</v>
          </cell>
          <cell r="CM6156" t="str">
            <v xml:space="preserve">NFT-/XUTR/DEUTH02431843558X </v>
          </cell>
          <cell r="CN6156" t="str">
            <v>2024-11-13</v>
          </cell>
          <cell r="CO6156">
            <v>1062.7809999999999</v>
          </cell>
        </row>
        <row r="6157">
          <cell r="CJ6157" t="str">
            <v xml:space="preserve">NFT-/XUTR/DEUTH02431839302X </v>
          </cell>
          <cell r="CK6157" t="str">
            <v>2024-11-13</v>
          </cell>
          <cell r="CL6157">
            <v>7767.4790000000003</v>
          </cell>
          <cell r="CM6157" t="str">
            <v xml:space="preserve">NFT-/XUTR/DEUTH02431843558X </v>
          </cell>
          <cell r="CN6157" t="str">
            <v>2024-11-13</v>
          </cell>
          <cell r="CO6157">
            <v>871.57799999999997</v>
          </cell>
        </row>
        <row r="6158">
          <cell r="CJ6158" t="str">
            <v xml:space="preserve">NFT-/XUTR/DEUTH02431839302X </v>
          </cell>
          <cell r="CK6158" t="str">
            <v>2024-11-13</v>
          </cell>
          <cell r="CL6158">
            <v>10667.564</v>
          </cell>
          <cell r="CM6158" t="str">
            <v xml:space="preserve">NFT-/XUTR/DEUTH02431843558X </v>
          </cell>
          <cell r="CN6158" t="str">
            <v>2024-11-13</v>
          </cell>
          <cell r="CO6158">
            <v>1193.8050000000001</v>
          </cell>
        </row>
        <row r="6159">
          <cell r="CJ6159" t="str">
            <v xml:space="preserve">NFT-/XUTR/DEUTH02431839302X </v>
          </cell>
          <cell r="CK6159" t="str">
            <v>2024-11-13</v>
          </cell>
          <cell r="CL6159">
            <v>10955.824000000001</v>
          </cell>
          <cell r="CM6159" t="str">
            <v xml:space="preserve">NFT-/XUTR/DEUTH02431843558X </v>
          </cell>
          <cell r="CN6159" t="str">
            <v>2024-11-13</v>
          </cell>
          <cell r="CO6159">
            <v>1225.8330000000001</v>
          </cell>
        </row>
        <row r="6160">
          <cell r="CJ6160" t="str">
            <v xml:space="preserve">NFT-/XUTR/DEUTH02431839302X </v>
          </cell>
          <cell r="CK6160" t="str">
            <v>2024-11-13</v>
          </cell>
          <cell r="CL6160">
            <v>8054.7759999999998</v>
          </cell>
          <cell r="CM6160" t="str">
            <v xml:space="preserve">NFT-/XUTR/DEUTH02431843558X </v>
          </cell>
          <cell r="CN6160" t="str">
            <v>2024-11-13</v>
          </cell>
          <cell r="CO6160">
            <v>584.28399999999999</v>
          </cell>
        </row>
        <row r="6161">
          <cell r="CJ6161" t="str">
            <v xml:space="preserve">NFT-/XUTR/DEUTH02431839302X </v>
          </cell>
          <cell r="CK6161" t="str">
            <v>2024-11-13</v>
          </cell>
          <cell r="CL6161">
            <v>7898.5140000000001</v>
          </cell>
          <cell r="CM6161" t="str">
            <v xml:space="preserve">NFT-/XUTR/DEUTH02431843558X </v>
          </cell>
          <cell r="CN6161" t="str">
            <v>2024-11-13</v>
          </cell>
          <cell r="CO6161">
            <v>740.54499999999996</v>
          </cell>
        </row>
        <row r="6162">
          <cell r="CJ6162" t="str">
            <v xml:space="preserve">NFT-/XUTR/DEUTH02431839302X </v>
          </cell>
          <cell r="CK6162" t="str">
            <v>2024-11-13</v>
          </cell>
          <cell r="CL6162">
            <v>7748.6</v>
          </cell>
          <cell r="CM6162" t="str">
            <v xml:space="preserve">NFT-/XUTR/DEUTH02431843558X </v>
          </cell>
          <cell r="CN6162" t="str">
            <v>2024-11-13</v>
          </cell>
          <cell r="CO6162">
            <v>871.57899999999995</v>
          </cell>
        </row>
        <row r="6163">
          <cell r="CJ6163" t="str">
            <v xml:space="preserve">NFT-/XUTR/DEUTH02431839302X </v>
          </cell>
          <cell r="CK6163" t="str">
            <v>2024-11-13</v>
          </cell>
          <cell r="CL6163">
            <v>10667.564</v>
          </cell>
          <cell r="CM6163" t="str">
            <v xml:space="preserve">NFT-/XUTR/DEUTH02431843558X </v>
          </cell>
          <cell r="CN6163" t="str">
            <v>2024-11-13</v>
          </cell>
          <cell r="CO6163">
            <v>1193.806</v>
          </cell>
        </row>
        <row r="6164">
          <cell r="CJ6164" t="str">
            <v xml:space="preserve">NFT-/XUTR/DEUTH02431839302X </v>
          </cell>
          <cell r="CK6164" t="str">
            <v>2024-11-13</v>
          </cell>
          <cell r="CL6164">
            <v>15803.378000000001</v>
          </cell>
          <cell r="CM6164" t="str">
            <v xml:space="preserve">NFT-/XUTR/DEUTH02431843558X </v>
          </cell>
          <cell r="CN6164" t="str">
            <v>2024-11-13</v>
          </cell>
          <cell r="CO6164">
            <v>1455.8620000000001</v>
          </cell>
        </row>
        <row r="6165">
          <cell r="CJ6165" t="str">
            <v xml:space="preserve">NFT-/XUTR/DEUTH02431839302X </v>
          </cell>
          <cell r="CK6165" t="str">
            <v>2024-11-13</v>
          </cell>
          <cell r="CL6165">
            <v>41124.197999999997</v>
          </cell>
          <cell r="CM6165" t="str">
            <v xml:space="preserve">NFT-/XUTR/DEUTH02431843558X </v>
          </cell>
          <cell r="CN6165" t="str">
            <v>2024-11-13</v>
          </cell>
          <cell r="CO6165">
            <v>1455.8620000000001</v>
          </cell>
        </row>
        <row r="6166">
          <cell r="CJ6166" t="str">
            <v xml:space="preserve">NFT-/XUTR/DEUTH02431839302X </v>
          </cell>
          <cell r="CK6166" t="str">
            <v>2024-11-13</v>
          </cell>
          <cell r="CL6166">
            <v>7767.4790000000003</v>
          </cell>
          <cell r="CM6166" t="str">
            <v xml:space="preserve">NFT-/XUTR/DEUTH02431843558X </v>
          </cell>
          <cell r="CN6166" t="str">
            <v>2024-11-13</v>
          </cell>
          <cell r="CO6166">
            <v>871.57799999999997</v>
          </cell>
        </row>
        <row r="6167">
          <cell r="CJ6167" t="str">
            <v xml:space="preserve">NFT-/XUTR/DEUTH02431839302X </v>
          </cell>
          <cell r="CK6167" t="str">
            <v>2024-11-13</v>
          </cell>
          <cell r="CL6167">
            <v>15822.258</v>
          </cell>
          <cell r="CM6167" t="str">
            <v xml:space="preserve">NFT-/XUTR/DEUTH02431843558X </v>
          </cell>
          <cell r="CN6167" t="str">
            <v>2024-11-13</v>
          </cell>
          <cell r="CO6167">
            <v>1455.8620000000001</v>
          </cell>
          <cell r="CP6167" t="str">
            <v xml:space="preserve">NFT-/XUTR/DEUTH02432756454X </v>
          </cell>
          <cell r="CQ6167" t="str">
            <v>2024-11-22</v>
          </cell>
          <cell r="CR6167">
            <v>-15822.258</v>
          </cell>
          <cell r="CV6167" t="str">
            <v xml:space="preserve">NFT-/XUTR/DEUTH02433956210X </v>
          </cell>
          <cell r="CW6167" t="str">
            <v>2024-12-04</v>
          </cell>
          <cell r="CX6167">
            <v>-1455.8620000000001</v>
          </cell>
        </row>
        <row r="6168">
          <cell r="CJ6168" t="str">
            <v xml:space="preserve">NFT-/XUTR/DEUTH02431839302X </v>
          </cell>
          <cell r="CK6168" t="str">
            <v>2024-11-13</v>
          </cell>
          <cell r="CL6168">
            <v>7748.6</v>
          </cell>
          <cell r="CM6168" t="str">
            <v xml:space="preserve">NFT-/XUTR/DEUTH02431843558X </v>
          </cell>
          <cell r="CN6168" t="str">
            <v>2024-11-13</v>
          </cell>
          <cell r="CO6168">
            <v>871.57899999999995</v>
          </cell>
        </row>
        <row r="6169">
          <cell r="CJ6169" t="str">
            <v xml:space="preserve">NFT-/XUTR/DEUTH02431839302X </v>
          </cell>
          <cell r="CK6169" t="str">
            <v>2024-11-13</v>
          </cell>
          <cell r="CL6169">
            <v>15803.378000000001</v>
          </cell>
          <cell r="CM6169" t="str">
            <v xml:space="preserve">NFT-/XUTR/DEUTH02431843558X </v>
          </cell>
          <cell r="CN6169" t="str">
            <v>2024-11-13</v>
          </cell>
          <cell r="CO6169">
            <v>1455.8620000000001</v>
          </cell>
        </row>
        <row r="6170">
          <cell r="CJ6170" t="str">
            <v xml:space="preserve">NFT-/XUTR/DEUTH02431839302X </v>
          </cell>
          <cell r="CK6170" t="str">
            <v>2024-11-13</v>
          </cell>
          <cell r="CL6170">
            <v>7767.4790000000003</v>
          </cell>
          <cell r="CM6170" t="str">
            <v xml:space="preserve">NFT-/XUTR/DEUTH02431843558X </v>
          </cell>
          <cell r="CN6170" t="str">
            <v>2024-11-13</v>
          </cell>
          <cell r="CO6170">
            <v>871.57799999999997</v>
          </cell>
        </row>
        <row r="6171">
          <cell r="CJ6171" t="str">
            <v xml:space="preserve">NFT-/XUTR/DEUTH02431839302X </v>
          </cell>
          <cell r="CK6171" t="str">
            <v>2024-11-13</v>
          </cell>
          <cell r="CL6171">
            <v>8054.7759999999998</v>
          </cell>
          <cell r="CM6171" t="str">
            <v xml:space="preserve">NFT-/XUTR/DEUTH02431843558X </v>
          </cell>
          <cell r="CN6171" t="str">
            <v>2024-11-13</v>
          </cell>
          <cell r="CO6171">
            <v>584.28399999999999</v>
          </cell>
        </row>
        <row r="6172">
          <cell r="CJ6172" t="str">
            <v xml:space="preserve">NFT-/XUTR/DEUTH02431839302X </v>
          </cell>
          <cell r="CK6172" t="str">
            <v>2024-11-13</v>
          </cell>
          <cell r="CL6172">
            <v>15520.438</v>
          </cell>
          <cell r="CM6172" t="str">
            <v xml:space="preserve">NFT-/XUTR/DEUTH02431843558X </v>
          </cell>
          <cell r="CN6172" t="str">
            <v>2024-11-13</v>
          </cell>
          <cell r="CO6172">
            <v>1455.8620000000001</v>
          </cell>
        </row>
        <row r="6173">
          <cell r="CJ6173" t="str">
            <v xml:space="preserve">NFT-/XUTR/DEUTH02431839302X </v>
          </cell>
          <cell r="CK6173" t="str">
            <v>2024-11-13</v>
          </cell>
          <cell r="CL6173">
            <v>1215.67</v>
          </cell>
          <cell r="CM6173" t="str">
            <v xml:space="preserve">NFT-/XUTR/DEUTH02431843558X </v>
          </cell>
          <cell r="CN6173" t="str">
            <v>2024-11-13</v>
          </cell>
          <cell r="CO6173">
            <v>222.26599999999999</v>
          </cell>
        </row>
        <row r="6174">
          <cell r="CJ6174" t="str">
            <v xml:space="preserve">NFT-/XUTR/DEUTH02431839302X </v>
          </cell>
          <cell r="CK6174" t="str">
            <v>2024-11-13</v>
          </cell>
          <cell r="CL6174">
            <v>7355.52</v>
          </cell>
          <cell r="CM6174" t="str">
            <v xml:space="preserve">NFT-/XUTR/DEUTH02431843558X </v>
          </cell>
          <cell r="CN6174" t="str">
            <v>2024-11-13</v>
          </cell>
          <cell r="CO6174">
            <v>1264.6590000000001</v>
          </cell>
        </row>
        <row r="6175">
          <cell r="CJ6175" t="str">
            <v xml:space="preserve">NFT-/XUTR/DEUTH02431839302X </v>
          </cell>
          <cell r="CK6175" t="str">
            <v>2024-11-13</v>
          </cell>
          <cell r="CL6175">
            <v>7767.48</v>
          </cell>
          <cell r="CM6175" t="str">
            <v xml:space="preserve">NFT-/XUTR/DEUTH02431843558X </v>
          </cell>
          <cell r="CN6175" t="str">
            <v>2024-11-13</v>
          </cell>
          <cell r="CO6175">
            <v>871.57899999999995</v>
          </cell>
        </row>
        <row r="6176">
          <cell r="CJ6176" t="str">
            <v xml:space="preserve">NFT-/XUTR/DEUTH02431839302X </v>
          </cell>
          <cell r="CK6176" t="str">
            <v>2024-11-13</v>
          </cell>
          <cell r="CL6176">
            <v>7748.6</v>
          </cell>
          <cell r="CM6176" t="str">
            <v xml:space="preserve">NFT-/XUTR/DEUTH02431843558X </v>
          </cell>
          <cell r="CN6176" t="str">
            <v>2024-11-13</v>
          </cell>
          <cell r="CO6176">
            <v>871.57899999999995</v>
          </cell>
        </row>
        <row r="6177">
          <cell r="CJ6177" t="str">
            <v xml:space="preserve">NFT-/XUTR/DEUTH02431839302X </v>
          </cell>
          <cell r="CK6177" t="str">
            <v>2024-11-13</v>
          </cell>
          <cell r="CL6177">
            <v>7767.48</v>
          </cell>
          <cell r="CM6177" t="str">
            <v xml:space="preserve">NFT-/XUTR/DEUTH02431843558X </v>
          </cell>
          <cell r="CN6177" t="str">
            <v>2024-11-13</v>
          </cell>
          <cell r="CO6177">
            <v>871.57899999999995</v>
          </cell>
        </row>
        <row r="6178">
          <cell r="CJ6178" t="str">
            <v xml:space="preserve">NFT-/XUTR/DEUTH02431839302X </v>
          </cell>
          <cell r="CK6178" t="str">
            <v>2024-11-13</v>
          </cell>
          <cell r="CL6178">
            <v>7767.4790000000003</v>
          </cell>
          <cell r="CM6178" t="str">
            <v xml:space="preserve">NFT-/XUTR/DEUTH02431843558X </v>
          </cell>
          <cell r="CN6178" t="str">
            <v>2024-11-13</v>
          </cell>
          <cell r="CO6178">
            <v>871.57799999999997</v>
          </cell>
        </row>
        <row r="6179">
          <cell r="CJ6179" t="str">
            <v xml:space="preserve">NFT-/XUTR/DEUTH02431839302X </v>
          </cell>
          <cell r="CK6179" t="str">
            <v>2024-11-13</v>
          </cell>
          <cell r="CL6179">
            <v>15501.558000000001</v>
          </cell>
          <cell r="CM6179" t="str">
            <v xml:space="preserve">NFT-/XUTR/DEUTH02431843558X </v>
          </cell>
          <cell r="CN6179" t="str">
            <v>2024-11-13</v>
          </cell>
          <cell r="CO6179">
            <v>1455.8620000000001</v>
          </cell>
        </row>
        <row r="6180">
          <cell r="CJ6180" t="str">
            <v xml:space="preserve">NFT-/XUTR/DEUTH02431839302X </v>
          </cell>
          <cell r="CK6180" t="str">
            <v>2024-11-13</v>
          </cell>
          <cell r="CL6180">
            <v>15822.258</v>
          </cell>
          <cell r="CM6180" t="str">
            <v xml:space="preserve">NFT-/XUTR/DEUTH02431843558X </v>
          </cell>
          <cell r="CN6180" t="str">
            <v>2024-11-13</v>
          </cell>
          <cell r="CO6180">
            <v>1455.8620000000001</v>
          </cell>
          <cell r="CP6180" t="str">
            <v xml:space="preserve">NFT-/XUTR/DEUTH02432045075X </v>
          </cell>
          <cell r="CQ6180" t="str">
            <v>2024-11-15</v>
          </cell>
          <cell r="CR6180">
            <v>-15822.258</v>
          </cell>
          <cell r="CS6180" t="str">
            <v xml:space="preserve">NFT-/XUTR/DEUTH02432059153X </v>
          </cell>
          <cell r="CT6180" t="str">
            <v>2024-11-15</v>
          </cell>
          <cell r="CU6180">
            <v>-1455.8620000000001</v>
          </cell>
        </row>
        <row r="6181">
          <cell r="CJ6181" t="str">
            <v xml:space="preserve">NFT-/XUTR/DEUTH02431839302X </v>
          </cell>
          <cell r="CK6181" t="str">
            <v>2024-11-13</v>
          </cell>
          <cell r="CL6181">
            <v>8054.7759999999998</v>
          </cell>
          <cell r="CM6181" t="str">
            <v xml:space="preserve">NFT-/XUTR/DEUTH02431843558X </v>
          </cell>
          <cell r="CN6181" t="str">
            <v>2024-11-13</v>
          </cell>
          <cell r="CO6181">
            <v>584.28399999999999</v>
          </cell>
        </row>
        <row r="6182">
          <cell r="CJ6182" t="str">
            <v xml:space="preserve">NFT-/XUTR/DEUTH02431839302X </v>
          </cell>
          <cell r="CK6182" t="str">
            <v>2024-11-13</v>
          </cell>
          <cell r="CL6182">
            <v>15637.433000000001</v>
          </cell>
          <cell r="CM6182" t="str">
            <v xml:space="preserve">NFT-/XUTR/DEUTH02431843558X </v>
          </cell>
          <cell r="CN6182" t="str">
            <v>2024-11-13</v>
          </cell>
          <cell r="CO6182">
            <v>1455.8620000000001</v>
          </cell>
        </row>
        <row r="6183">
          <cell r="CJ6183" t="str">
            <v xml:space="preserve">NFT-/XUTR/DEUTH02431839302X </v>
          </cell>
          <cell r="CK6183" t="str">
            <v>2024-11-13</v>
          </cell>
          <cell r="CL6183">
            <v>7828.634</v>
          </cell>
          <cell r="CM6183" t="str">
            <v xml:space="preserve">NFT-/XUTR/DEUTH02431843558X </v>
          </cell>
          <cell r="CN6183" t="str">
            <v>2024-11-13</v>
          </cell>
          <cell r="CO6183">
            <v>878.36699999999996</v>
          </cell>
        </row>
        <row r="6184">
          <cell r="CJ6184" t="str">
            <v xml:space="preserve">NFT-/XUTR/DEUTH02431839302X </v>
          </cell>
          <cell r="CK6184" t="str">
            <v>2024-11-13</v>
          </cell>
          <cell r="CL6184">
            <v>15308.406999999999</v>
          </cell>
          <cell r="CM6184" t="str">
            <v xml:space="preserve">NFT-/XUTR/DEUTH02431843558X </v>
          </cell>
          <cell r="CN6184" t="str">
            <v>2024-11-13</v>
          </cell>
          <cell r="CO6184">
            <v>1784.8869999999999</v>
          </cell>
          <cell r="CP6184" t="str">
            <v xml:space="preserve">NFT-/XUTR/DEUTH024334A0F3IX </v>
          </cell>
          <cell r="CQ6184" t="str">
            <v>2024-11-29</v>
          </cell>
          <cell r="CR6184">
            <v>-15308.406999999999</v>
          </cell>
          <cell r="CV6184" t="str">
            <v xml:space="preserve">NFT-/XUTR/DEUTH02433956210X </v>
          </cell>
          <cell r="CW6184" t="str">
            <v>2024-12-04</v>
          </cell>
          <cell r="CX6184">
            <v>-1784.8869999999999</v>
          </cell>
        </row>
        <row r="6185">
          <cell r="CJ6185" t="str">
            <v xml:space="preserve">NFT-/XUTR/DEUTH02431839302X </v>
          </cell>
          <cell r="CK6185" t="str">
            <v>2024-11-13</v>
          </cell>
          <cell r="CL6185">
            <v>2728.2640000000001</v>
          </cell>
          <cell r="CM6185" t="str">
            <v xml:space="preserve">NFT-/XUTR/DEUTH02432756454X </v>
          </cell>
          <cell r="CN6185" t="str">
            <v>2024-11-22</v>
          </cell>
          <cell r="CO6185">
            <v>-2728.2640000000001</v>
          </cell>
        </row>
        <row r="6186">
          <cell r="CJ6186" t="str">
            <v xml:space="preserve">NFT-/XUTR/DEUTH02431839302X </v>
          </cell>
          <cell r="CK6186" t="str">
            <v>2024-11-13</v>
          </cell>
          <cell r="CL6186">
            <v>6076.7479999999996</v>
          </cell>
        </row>
        <row r="6187">
          <cell r="CJ6187" t="str">
            <v xml:space="preserve">NFT-/XUTR/DEUTH02432045075X </v>
          </cell>
          <cell r="CK6187" t="str">
            <v>2024-11-15</v>
          </cell>
          <cell r="CL6187">
            <v>7767.48</v>
          </cell>
          <cell r="CM6187" t="str">
            <v xml:space="preserve">NFT-/XUTR/DEUTH02432059153X </v>
          </cell>
          <cell r="CN6187" t="str">
            <v>2024-11-15</v>
          </cell>
          <cell r="CO6187">
            <v>871.57899999999995</v>
          </cell>
        </row>
        <row r="6188">
          <cell r="CJ6188" t="str">
            <v xml:space="preserve">NFT-/XUTR/DEUTH02432045075X </v>
          </cell>
          <cell r="CK6188" t="str">
            <v>2024-11-15</v>
          </cell>
          <cell r="CL6188">
            <v>15653.378000000001</v>
          </cell>
          <cell r="CM6188" t="str">
            <v xml:space="preserve">NFT-/XUTR/DEUTH02432059153X </v>
          </cell>
          <cell r="CN6188" t="str">
            <v>2024-11-15</v>
          </cell>
          <cell r="CO6188">
            <v>1624.742</v>
          </cell>
        </row>
        <row r="6189">
          <cell r="CJ6189" t="str">
            <v xml:space="preserve">NFT-/XUTR/DEUTH02432045075X </v>
          </cell>
          <cell r="CK6189" t="str">
            <v>2024-11-15</v>
          </cell>
          <cell r="CL6189">
            <v>7365.2309999999998</v>
          </cell>
          <cell r="CM6189" t="str">
            <v xml:space="preserve">NFT-/XUTR/DEUTH02432059153X </v>
          </cell>
          <cell r="CN6189" t="str">
            <v>2024-11-15</v>
          </cell>
          <cell r="CO6189">
            <v>1254.9590000000001</v>
          </cell>
        </row>
        <row r="6190">
          <cell r="CJ6190" t="str">
            <v xml:space="preserve">NFT-/XUTR/DEUTH02432045075X </v>
          </cell>
          <cell r="CK6190" t="str">
            <v>2024-11-15</v>
          </cell>
          <cell r="CL6190">
            <v>7748.6</v>
          </cell>
          <cell r="CM6190" t="str">
            <v xml:space="preserve">NFT-/XUTR/DEUTH02432059153X </v>
          </cell>
          <cell r="CN6190" t="str">
            <v>2024-11-15</v>
          </cell>
          <cell r="CO6190">
            <v>871.57899999999995</v>
          </cell>
        </row>
        <row r="6191">
          <cell r="CJ6191" t="str">
            <v xml:space="preserve">NFT-/XUTR/DEUTH02432045075X </v>
          </cell>
          <cell r="CK6191" t="str">
            <v>2024-11-15</v>
          </cell>
          <cell r="CL6191">
            <v>7767.48</v>
          </cell>
          <cell r="CM6191" t="str">
            <v xml:space="preserve">NFT-/XUTR/DEUTH02432059153X </v>
          </cell>
          <cell r="CN6191" t="str">
            <v>2024-11-15</v>
          </cell>
          <cell r="CO6191">
            <v>871.57899999999995</v>
          </cell>
          <cell r="CP6191" t="str">
            <v xml:space="preserve">NFT-/XUTR/DEUTH02432540165X </v>
          </cell>
          <cell r="CQ6191" t="str">
            <v>2024-11-20</v>
          </cell>
          <cell r="CR6191">
            <v>-7767.48</v>
          </cell>
          <cell r="CS6191" t="str">
            <v xml:space="preserve">NFT-/XUTR/DEUTH02432567146X </v>
          </cell>
          <cell r="CT6191" t="str">
            <v>2024-11-20</v>
          </cell>
          <cell r="CU6191">
            <v>-871.57899999999995</v>
          </cell>
        </row>
        <row r="6192">
          <cell r="CJ6192" t="str">
            <v xml:space="preserve">NFT-/XUTR/DEUTH02432045075X </v>
          </cell>
          <cell r="CK6192" t="str">
            <v>2024-11-15</v>
          </cell>
          <cell r="CL6192">
            <v>15822.255999999999</v>
          </cell>
          <cell r="CM6192" t="str">
            <v xml:space="preserve">NFT-/XUTR/DEUTH02432059153X </v>
          </cell>
          <cell r="CN6192" t="str">
            <v>2024-11-15</v>
          </cell>
          <cell r="CO6192">
            <v>1455.864</v>
          </cell>
        </row>
        <row r="6193">
          <cell r="CJ6193" t="str">
            <v xml:space="preserve">NFT-/XUTR/DEUTH02432045075X </v>
          </cell>
          <cell r="CK6193" t="str">
            <v>2024-11-15</v>
          </cell>
          <cell r="CL6193">
            <v>1361.2570000000001</v>
          </cell>
          <cell r="CM6193" t="str">
            <v xml:space="preserve">NFT-/XUTR/DEUTH02432059153X </v>
          </cell>
          <cell r="CN6193" t="str">
            <v>2024-11-15</v>
          </cell>
          <cell r="CO6193">
            <v>76.680000000000007</v>
          </cell>
        </row>
        <row r="6194">
          <cell r="CJ6194" t="str">
            <v xml:space="preserve">NFT-/XUTR/DEUTH02432045075X </v>
          </cell>
          <cell r="CK6194" t="str">
            <v>2024-11-15</v>
          </cell>
          <cell r="CL6194">
            <v>7767.48</v>
          </cell>
          <cell r="CM6194" t="str">
            <v xml:space="preserve">NFT-/XUTR/DEUTH02432059153X </v>
          </cell>
          <cell r="CN6194" t="str">
            <v>2024-11-15</v>
          </cell>
          <cell r="CO6194">
            <v>871.57899999999995</v>
          </cell>
        </row>
        <row r="6195">
          <cell r="CJ6195" t="str">
            <v xml:space="preserve">NFT-/XUTR/DEUTH02432045075X </v>
          </cell>
          <cell r="CK6195" t="str">
            <v>2024-11-15</v>
          </cell>
          <cell r="CL6195">
            <v>7767.4790000000003</v>
          </cell>
          <cell r="CM6195" t="str">
            <v xml:space="preserve">NFT-/XUTR/DEUTH02432059153X </v>
          </cell>
          <cell r="CN6195" t="str">
            <v>2024-11-15</v>
          </cell>
          <cell r="CO6195">
            <v>871.57799999999997</v>
          </cell>
        </row>
        <row r="6196">
          <cell r="CJ6196" t="str">
            <v xml:space="preserve">NFT-/XUTR/DEUTH02432045075X </v>
          </cell>
          <cell r="CK6196" t="str">
            <v>2024-11-15</v>
          </cell>
          <cell r="CL6196">
            <v>1361.2570000000001</v>
          </cell>
          <cell r="CM6196" t="str">
            <v xml:space="preserve">NFT-/XUTR/DEUTH02432059153X </v>
          </cell>
          <cell r="CN6196" t="str">
            <v>2024-11-15</v>
          </cell>
          <cell r="CO6196">
            <v>76.680000000000007</v>
          </cell>
        </row>
        <row r="6197">
          <cell r="CJ6197" t="str">
            <v xml:space="preserve">NFT-/XUTR/DEUTH02432045075X </v>
          </cell>
          <cell r="CK6197" t="str">
            <v>2024-11-15</v>
          </cell>
          <cell r="CL6197">
            <v>2279.857</v>
          </cell>
          <cell r="CM6197" t="str">
            <v xml:space="preserve">NFT-/XUTR/DEUTH02432059153X </v>
          </cell>
          <cell r="CN6197" t="str">
            <v>2024-11-15</v>
          </cell>
          <cell r="CO6197">
            <v>399.88</v>
          </cell>
        </row>
        <row r="6198">
          <cell r="CJ6198" t="str">
            <v xml:space="preserve">NFT-/XUTR/DEUTH02432045075X </v>
          </cell>
          <cell r="CK6198" t="str">
            <v>2024-11-15</v>
          </cell>
          <cell r="CL6198">
            <v>15803.378000000001</v>
          </cell>
          <cell r="CM6198" t="str">
            <v xml:space="preserve">NFT-/XUTR/DEUTH02432059153X </v>
          </cell>
          <cell r="CN6198" t="str">
            <v>2024-11-15</v>
          </cell>
          <cell r="CO6198">
            <v>1455.8620000000001</v>
          </cell>
        </row>
        <row r="6199">
          <cell r="CJ6199" t="str">
            <v xml:space="preserve">NFT-/XUTR/DEUTH02432045075X </v>
          </cell>
          <cell r="CK6199" t="str">
            <v>2024-11-15</v>
          </cell>
          <cell r="CL6199">
            <v>7374.4009999999998</v>
          </cell>
          <cell r="CM6199" t="str">
            <v xml:space="preserve">NFT-/XUTR/DEUTH02432059153X </v>
          </cell>
          <cell r="CN6199" t="str">
            <v>2024-11-15</v>
          </cell>
          <cell r="CO6199">
            <v>1264.6590000000001</v>
          </cell>
        </row>
        <row r="6200">
          <cell r="CJ6200" t="str">
            <v xml:space="preserve">NFT-/XUTR/DEUTH02432045075X </v>
          </cell>
          <cell r="CK6200" t="str">
            <v>2024-11-15</v>
          </cell>
          <cell r="CL6200">
            <v>5696.2809999999999</v>
          </cell>
          <cell r="CM6200" t="str">
            <v xml:space="preserve">NFT-/XUTR/DEUTH02432059153X </v>
          </cell>
          <cell r="CN6200" t="str">
            <v>2024-11-15</v>
          </cell>
          <cell r="CO6200">
            <v>584.28399999999999</v>
          </cell>
        </row>
        <row r="6201">
          <cell r="CJ6201" t="str">
            <v xml:space="preserve">NFT-/XUTR/DEUTH02432045075X </v>
          </cell>
          <cell r="CK6201" t="str">
            <v>2024-11-15</v>
          </cell>
          <cell r="CL6201">
            <v>5451.2579999999998</v>
          </cell>
          <cell r="CM6201" t="str">
            <v xml:space="preserve">NFT-/XUTR/DEUTH02432059153X </v>
          </cell>
          <cell r="CN6201" t="str">
            <v>2024-11-15</v>
          </cell>
          <cell r="CO6201">
            <v>810.42499999999995</v>
          </cell>
        </row>
        <row r="6202">
          <cell r="CJ6202" t="str">
            <v xml:space="preserve">NFT-/XUTR/DEUTH02432045075X </v>
          </cell>
          <cell r="CK6202" t="str">
            <v>2024-11-15</v>
          </cell>
          <cell r="CL6202">
            <v>7767.48</v>
          </cell>
          <cell r="CM6202" t="str">
            <v xml:space="preserve">NFT-/XUTR/DEUTH02432059153X </v>
          </cell>
          <cell r="CN6202" t="str">
            <v>2024-11-15</v>
          </cell>
          <cell r="CO6202">
            <v>871.57899999999995</v>
          </cell>
        </row>
        <row r="6203">
          <cell r="CJ6203" t="str">
            <v xml:space="preserve">NFT-/XUTR/DEUTH02432045075X </v>
          </cell>
          <cell r="CK6203" t="str">
            <v>2024-11-15</v>
          </cell>
          <cell r="CL6203">
            <v>7767.48</v>
          </cell>
          <cell r="CM6203" t="str">
            <v xml:space="preserve">NFT-/XUTR/DEUTH02432059153X </v>
          </cell>
          <cell r="CN6203" t="str">
            <v>2024-11-15</v>
          </cell>
          <cell r="CO6203">
            <v>871.57899999999995</v>
          </cell>
        </row>
        <row r="6204">
          <cell r="CJ6204" t="str">
            <v xml:space="preserve">NFT-/XUTR/DEUTH02432045075X </v>
          </cell>
          <cell r="CK6204" t="str">
            <v>2024-11-15</v>
          </cell>
          <cell r="CL6204">
            <v>7355.52</v>
          </cell>
          <cell r="CM6204" t="str">
            <v xml:space="preserve">NFT-/XUTR/DEUTH02432059153X </v>
          </cell>
          <cell r="CN6204" t="str">
            <v>2024-11-15</v>
          </cell>
          <cell r="CO6204">
            <v>1264.6590000000001</v>
          </cell>
        </row>
        <row r="6205">
          <cell r="CJ6205" t="str">
            <v xml:space="preserve">NFT-/XUTR/DEUTH02432045075X </v>
          </cell>
          <cell r="CK6205" t="str">
            <v>2024-11-15</v>
          </cell>
          <cell r="CL6205">
            <v>7767.48</v>
          </cell>
          <cell r="CM6205" t="str">
            <v xml:space="preserve">NFT-/XUTR/DEUTH02432059153X </v>
          </cell>
          <cell r="CN6205" t="str">
            <v>2024-11-15</v>
          </cell>
          <cell r="CO6205">
            <v>871.57899999999995</v>
          </cell>
          <cell r="CP6205" t="str">
            <v xml:space="preserve">NFT-/XUTR/DEUTH02432540165X </v>
          </cell>
          <cell r="CQ6205" t="str">
            <v>2024-11-20</v>
          </cell>
          <cell r="CR6205">
            <v>-7767.48</v>
          </cell>
          <cell r="CS6205" t="str">
            <v xml:space="preserve">NFT-/XUTR/DEUTH02432567146X </v>
          </cell>
          <cell r="CT6205" t="str">
            <v>2024-11-20</v>
          </cell>
          <cell r="CU6205">
            <v>-871.57899999999995</v>
          </cell>
        </row>
        <row r="6206">
          <cell r="CJ6206" t="str">
            <v xml:space="preserve">NFT-/XUTR/DEUTH02432045075X </v>
          </cell>
          <cell r="CK6206" t="str">
            <v>2024-11-15</v>
          </cell>
          <cell r="CL6206">
            <v>7767.48</v>
          </cell>
          <cell r="CM6206" t="str">
            <v xml:space="preserve">NFT-/XUTR/DEUTH02432059153X </v>
          </cell>
          <cell r="CN6206" t="str">
            <v>2024-11-15</v>
          </cell>
          <cell r="CO6206">
            <v>871.57899999999995</v>
          </cell>
        </row>
        <row r="6207">
          <cell r="CJ6207" t="str">
            <v xml:space="preserve">NFT-/XUTR/DEUTH02432045075X </v>
          </cell>
          <cell r="CK6207" t="str">
            <v>2024-11-15</v>
          </cell>
          <cell r="CL6207">
            <v>7767.4790000000003</v>
          </cell>
          <cell r="CM6207" t="str">
            <v xml:space="preserve">NFT-/XUTR/DEUTH02432059153X </v>
          </cell>
          <cell r="CN6207" t="str">
            <v>2024-11-15</v>
          </cell>
          <cell r="CO6207">
            <v>871.57799999999997</v>
          </cell>
        </row>
        <row r="6208">
          <cell r="CJ6208" t="str">
            <v xml:space="preserve">NFT-/XUTR/DEUTH02432045075X </v>
          </cell>
          <cell r="CK6208" t="str">
            <v>2024-11-15</v>
          </cell>
          <cell r="CL6208">
            <v>5644.84</v>
          </cell>
          <cell r="CM6208" t="str">
            <v xml:space="preserve">NFT-/XUTR/DEUTH02432059153X </v>
          </cell>
          <cell r="CN6208" t="str">
            <v>2024-11-15</v>
          </cell>
          <cell r="CO6208">
            <v>635.72400000000005</v>
          </cell>
          <cell r="CP6208" t="str">
            <v xml:space="preserve">NFT-/XUTR/DEUTH02432540165X </v>
          </cell>
          <cell r="CQ6208" t="str">
            <v>2024-11-20</v>
          </cell>
          <cell r="CR6208">
            <v>-5644.84</v>
          </cell>
          <cell r="CS6208" t="str">
            <v xml:space="preserve">NFT-/XUTR/DEUTH02432567146X </v>
          </cell>
          <cell r="CT6208" t="str">
            <v>2024-11-20</v>
          </cell>
          <cell r="CU6208">
            <v>-635.72400000000005</v>
          </cell>
        </row>
        <row r="6209">
          <cell r="CJ6209" t="str">
            <v xml:space="preserve">NFT-/XUTR/DEUTH02432045075X </v>
          </cell>
          <cell r="CK6209" t="str">
            <v>2024-11-15</v>
          </cell>
          <cell r="CL6209">
            <v>5625.96</v>
          </cell>
          <cell r="CM6209" t="str">
            <v xml:space="preserve">NFT-/XUTR/DEUTH02432059153X </v>
          </cell>
          <cell r="CN6209" t="str">
            <v>2024-11-15</v>
          </cell>
          <cell r="CO6209">
            <v>635.72400000000005</v>
          </cell>
        </row>
        <row r="6210">
          <cell r="CJ6210" t="str">
            <v xml:space="preserve">NFT-/XUTR/DEUTH02432045075X </v>
          </cell>
          <cell r="CK6210" t="str">
            <v>2024-11-15</v>
          </cell>
          <cell r="CL6210">
            <v>83315.619000000006</v>
          </cell>
          <cell r="CM6210" t="str">
            <v xml:space="preserve">NFT-/XUTR/DEUTH02432059153X </v>
          </cell>
          <cell r="CN6210" t="str">
            <v>2024-11-15</v>
          </cell>
          <cell r="CO6210">
            <v>1455.8620000000001</v>
          </cell>
        </row>
        <row r="6211">
          <cell r="CJ6211" t="str">
            <v xml:space="preserve">NFT-/XUTR/DEUTH02432045075X </v>
          </cell>
          <cell r="CK6211" t="str">
            <v>2024-11-15</v>
          </cell>
          <cell r="CL6211">
            <v>7767.4790000000003</v>
          </cell>
          <cell r="CM6211" t="str">
            <v xml:space="preserve">NFT-/XUTR/DEUTH02432059153X </v>
          </cell>
          <cell r="CN6211" t="str">
            <v>2024-11-15</v>
          </cell>
          <cell r="CO6211">
            <v>871.57799999999997</v>
          </cell>
        </row>
        <row r="6212">
          <cell r="CJ6212" t="str">
            <v xml:space="preserve">NFT-/XUTR/DEUTH02432045075X </v>
          </cell>
          <cell r="CK6212" t="str">
            <v>2024-11-15</v>
          </cell>
          <cell r="CL6212">
            <v>7767.4790000000003</v>
          </cell>
          <cell r="CM6212" t="str">
            <v xml:space="preserve">NFT-/XUTR/DEUTH02432059153X </v>
          </cell>
          <cell r="CN6212" t="str">
            <v>2024-11-15</v>
          </cell>
          <cell r="CO6212">
            <v>871.57799999999997</v>
          </cell>
        </row>
        <row r="6213">
          <cell r="CJ6213" t="str">
            <v xml:space="preserve">NFT-/XUTR/DEUTH02432045075X </v>
          </cell>
          <cell r="CK6213" t="str">
            <v>2024-11-15</v>
          </cell>
          <cell r="CL6213">
            <v>15822.258</v>
          </cell>
          <cell r="CM6213" t="str">
            <v xml:space="preserve">NFT-/XUTR/DEUTH02432059153X </v>
          </cell>
          <cell r="CN6213" t="str">
            <v>2024-11-15</v>
          </cell>
          <cell r="CO6213">
            <v>1455.8620000000001</v>
          </cell>
          <cell r="CP6213" t="str">
            <v xml:space="preserve">NFT-/XUTR/DEUTH02432756454X </v>
          </cell>
          <cell r="CQ6213" t="str">
            <v>2024-11-22</v>
          </cell>
          <cell r="CR6213">
            <v>-15822.258</v>
          </cell>
          <cell r="CV6213" t="str">
            <v xml:space="preserve">NFT-/XUTR/DEUTH02433956210X </v>
          </cell>
          <cell r="CW6213" t="str">
            <v>2024-12-04</v>
          </cell>
          <cell r="CX6213">
            <v>-1455.8620000000001</v>
          </cell>
        </row>
        <row r="6214">
          <cell r="CJ6214" t="str">
            <v xml:space="preserve">NFT-/XUTR/DEUTH02432045075X </v>
          </cell>
          <cell r="CK6214" t="str">
            <v>2024-11-15</v>
          </cell>
          <cell r="CL6214">
            <v>7767.4790000000003</v>
          </cell>
          <cell r="CM6214" t="str">
            <v xml:space="preserve">NFT-/XUTR/DEUTH02432059153X </v>
          </cell>
          <cell r="CN6214" t="str">
            <v>2024-11-15</v>
          </cell>
          <cell r="CO6214">
            <v>871.57799999999997</v>
          </cell>
        </row>
        <row r="6215">
          <cell r="CJ6215" t="str">
            <v xml:space="preserve">NFT-/XUTR/DEUTH02432045075X </v>
          </cell>
          <cell r="CK6215" t="str">
            <v>2024-11-15</v>
          </cell>
          <cell r="CL6215">
            <v>7374.4009999999998</v>
          </cell>
          <cell r="CM6215" t="str">
            <v xml:space="preserve">NFT-/XUTR/DEUTH02432059153X </v>
          </cell>
          <cell r="CN6215" t="str">
            <v>2024-11-15</v>
          </cell>
          <cell r="CO6215">
            <v>1264.6590000000001</v>
          </cell>
        </row>
        <row r="6216">
          <cell r="CJ6216" t="str">
            <v xml:space="preserve">NFT-/XUTR/DEUTH02432045075X </v>
          </cell>
          <cell r="CK6216" t="str">
            <v>2024-11-15</v>
          </cell>
          <cell r="CL6216">
            <v>7767.48</v>
          </cell>
          <cell r="CM6216" t="str">
            <v xml:space="preserve">NFT-/XUTR/DEUTH02432059153X </v>
          </cell>
          <cell r="CN6216" t="str">
            <v>2024-11-15</v>
          </cell>
          <cell r="CO6216">
            <v>871.57899999999995</v>
          </cell>
        </row>
        <row r="6217">
          <cell r="CJ6217" t="str">
            <v xml:space="preserve">NFT-/XUTR/DEUTH02432045075X </v>
          </cell>
          <cell r="CK6217" t="str">
            <v>2024-11-15</v>
          </cell>
          <cell r="CL6217">
            <v>15461.737999999999</v>
          </cell>
          <cell r="CM6217" t="str">
            <v xml:space="preserve">NFT-/XUTR/DEUTH02432059153X </v>
          </cell>
          <cell r="CN6217" t="str">
            <v>2024-11-15</v>
          </cell>
          <cell r="CO6217">
            <v>1797.502</v>
          </cell>
        </row>
        <row r="6218">
          <cell r="CJ6218" t="str">
            <v xml:space="preserve">NFT-/XUTR/DEUTH02432045075X </v>
          </cell>
          <cell r="CK6218" t="str">
            <v>2024-11-15</v>
          </cell>
          <cell r="CL6218">
            <v>10475.388000000001</v>
          </cell>
          <cell r="CM6218" t="str">
            <v xml:space="preserve">NFT-/XUTR/DEUTH02432059153X </v>
          </cell>
          <cell r="CN6218" t="str">
            <v>2024-11-15</v>
          </cell>
          <cell r="CO6218">
            <v>1385.981</v>
          </cell>
        </row>
        <row r="6219">
          <cell r="CJ6219" t="str">
            <v xml:space="preserve">NFT-/XUTR/DEUTH02432045075X </v>
          </cell>
          <cell r="CK6219" t="str">
            <v>2024-11-15</v>
          </cell>
          <cell r="CL6219">
            <v>15520.438</v>
          </cell>
          <cell r="CM6219" t="str">
            <v xml:space="preserve">NFT-/XUTR/DEUTH02432059153X </v>
          </cell>
          <cell r="CN6219" t="str">
            <v>2024-11-15</v>
          </cell>
          <cell r="CO6219">
            <v>1455.8620000000001</v>
          </cell>
        </row>
        <row r="6220">
          <cell r="CJ6220" t="str">
            <v xml:space="preserve">NFT-/XUTR/DEUTH02432045075X </v>
          </cell>
          <cell r="CK6220" t="str">
            <v>2024-11-15</v>
          </cell>
          <cell r="CL6220">
            <v>15637.433000000001</v>
          </cell>
          <cell r="CM6220" t="str">
            <v xml:space="preserve">NFT-/XUTR/DEUTH02432059153X </v>
          </cell>
          <cell r="CN6220" t="str">
            <v>2024-11-15</v>
          </cell>
          <cell r="CO6220">
            <v>1455.8620000000001</v>
          </cell>
        </row>
        <row r="6221">
          <cell r="CJ6221" t="str">
            <v xml:space="preserve">NFT-/XUTR/DEUTH02432045075X </v>
          </cell>
          <cell r="CK6221" t="str">
            <v>2024-11-15</v>
          </cell>
          <cell r="CL6221">
            <v>1437.9259999999999</v>
          </cell>
        </row>
        <row r="6222">
          <cell r="CJ6222" t="str">
            <v xml:space="preserve">NFT-/XUTR/DEUTH02432045075X </v>
          </cell>
          <cell r="CK6222" t="str">
            <v>2024-11-15</v>
          </cell>
          <cell r="CL6222">
            <v>10353.626</v>
          </cell>
          <cell r="CM6222" t="str">
            <v xml:space="preserve">NFT-/XUTR/DEUTH02432059153X </v>
          </cell>
          <cell r="CN6222" t="str">
            <v>2024-11-15</v>
          </cell>
          <cell r="CO6222">
            <v>1547.095</v>
          </cell>
        </row>
        <row r="6223">
          <cell r="CJ6223" t="str">
            <v xml:space="preserve">NFT-/XUTR/DEUTH02432045075X </v>
          </cell>
          <cell r="CK6223" t="str">
            <v>2024-11-15</v>
          </cell>
          <cell r="CL6223">
            <v>15656.313</v>
          </cell>
          <cell r="CM6223" t="str">
            <v xml:space="preserve">NFT-/XUTR/DEUTH02432059153X </v>
          </cell>
          <cell r="CN6223" t="str">
            <v>2024-11-15</v>
          </cell>
          <cell r="CO6223">
            <v>1455.8620000000001</v>
          </cell>
        </row>
        <row r="6224">
          <cell r="CJ6224" t="str">
            <v xml:space="preserve">NFT-/XUTR/DEUTH02432045075X </v>
          </cell>
          <cell r="CK6224" t="str">
            <v>2024-11-15</v>
          </cell>
          <cell r="CL6224">
            <v>10719.97</v>
          </cell>
          <cell r="CM6224" t="str">
            <v xml:space="preserve">NFT-/XUTR/DEUTH02432059153X </v>
          </cell>
          <cell r="CN6224" t="str">
            <v>2024-11-15</v>
          </cell>
          <cell r="CO6224">
            <v>1199.6300000000001</v>
          </cell>
        </row>
        <row r="6225">
          <cell r="CJ6225" t="str">
            <v xml:space="preserve">NFT-/XUTR/DEUTH02432045075X </v>
          </cell>
          <cell r="CK6225" t="str">
            <v>2024-11-15</v>
          </cell>
          <cell r="CL6225">
            <v>6261.6850000000004</v>
          </cell>
        </row>
        <row r="6226">
          <cell r="CJ6226" t="str">
            <v xml:space="preserve">NFT-/XUTR/DEUTH02432045075X </v>
          </cell>
          <cell r="CK6226" t="str">
            <v>2024-11-15</v>
          </cell>
          <cell r="CL6226">
            <v>10989.35</v>
          </cell>
          <cell r="CM6226" t="str">
            <v xml:space="preserve">NFT-/XUTR/DEUTH02432059153X </v>
          </cell>
          <cell r="CN6226" t="str">
            <v>2024-11-15</v>
          </cell>
          <cell r="CO6226">
            <v>1231.6579999999999</v>
          </cell>
        </row>
        <row r="6227">
          <cell r="CJ6227" t="str">
            <v xml:space="preserve">NFT-/XUTR/DEUTH02432045075X </v>
          </cell>
          <cell r="CK6227" t="str">
            <v>2024-11-15</v>
          </cell>
          <cell r="CL6227">
            <v>7828.6329999999998</v>
          </cell>
          <cell r="CM6227" t="str">
            <v xml:space="preserve">NFT-/XUTR/DEUTH02432059153X </v>
          </cell>
          <cell r="CN6227" t="str">
            <v>2024-11-15</v>
          </cell>
          <cell r="CO6227">
            <v>878.36800000000005</v>
          </cell>
        </row>
        <row r="6228">
          <cell r="CJ6228" t="str">
            <v xml:space="preserve">NFT-/XUTR/DEUTH02432045075X </v>
          </cell>
          <cell r="CK6228" t="str">
            <v>2024-11-15</v>
          </cell>
          <cell r="CL6228">
            <v>7828.6329999999998</v>
          </cell>
          <cell r="CM6228" t="str">
            <v xml:space="preserve">NFT-/XUTR/DEUTH02432059153X </v>
          </cell>
          <cell r="CN6228" t="str">
            <v>2024-11-15</v>
          </cell>
          <cell r="CO6228">
            <v>878.36800000000005</v>
          </cell>
        </row>
        <row r="6229">
          <cell r="CJ6229" t="str">
            <v xml:space="preserve">NFT-/XUTR/DEUTH02432045075X </v>
          </cell>
          <cell r="CK6229" t="str">
            <v>2024-11-15</v>
          </cell>
          <cell r="CL6229">
            <v>5347.8429999999998</v>
          </cell>
          <cell r="CM6229" t="str">
            <v xml:space="preserve">NFT-/XUTR/DEUTH02432059153X </v>
          </cell>
          <cell r="CN6229" t="str">
            <v>2024-11-15</v>
          </cell>
          <cell r="CO6229">
            <v>602.72199999999998</v>
          </cell>
        </row>
        <row r="6231">
          <cell r="CJ6231" t="str">
            <v xml:space="preserve">NFT-/XUTR/DEUTH02432045075X </v>
          </cell>
          <cell r="CK6231" t="str">
            <v>2024-11-15</v>
          </cell>
          <cell r="CL6231">
            <v>15637.433000000001</v>
          </cell>
          <cell r="CM6231" t="str">
            <v xml:space="preserve">NFT-/XUTR/DEUTH02432059153X </v>
          </cell>
          <cell r="CN6231" t="str">
            <v>2024-11-15</v>
          </cell>
          <cell r="CO6231">
            <v>1455.8620000000001</v>
          </cell>
        </row>
        <row r="6232">
          <cell r="CJ6232" t="str">
            <v xml:space="preserve">NFT-/XUTR/DEUTH02432045075X </v>
          </cell>
          <cell r="CK6232" t="str">
            <v>2024-11-15</v>
          </cell>
          <cell r="CL6232">
            <v>10719.005999999999</v>
          </cell>
          <cell r="CM6232" t="str">
            <v xml:space="preserve">NFT-/XUTR/DEUTH02432059153X </v>
          </cell>
          <cell r="CN6232" t="str">
            <v>2024-11-15</v>
          </cell>
          <cell r="CO6232">
            <v>1200.604</v>
          </cell>
        </row>
        <row r="6233">
          <cell r="CJ6233" t="str">
            <v xml:space="preserve">NFT-/XUTR/DEUTH02432045075X </v>
          </cell>
          <cell r="CK6233" t="str">
            <v>2024-11-15</v>
          </cell>
          <cell r="CL6233">
            <v>15637.433000000001</v>
          </cell>
          <cell r="CM6233" t="str">
            <v xml:space="preserve">NFT-/XUTR/DEUTH02432059153X </v>
          </cell>
          <cell r="CN6233" t="str">
            <v>2024-11-15</v>
          </cell>
          <cell r="CO6233">
            <v>1455.8620000000001</v>
          </cell>
        </row>
        <row r="6234">
          <cell r="CJ6234" t="str">
            <v xml:space="preserve">NFT-/XUTR/DEUTH02432045075X </v>
          </cell>
          <cell r="CK6234" t="str">
            <v>2024-11-15</v>
          </cell>
          <cell r="CL6234">
            <v>10667.564</v>
          </cell>
          <cell r="CM6234" t="str">
            <v xml:space="preserve">NFT-/XUTR/DEUTH02432059153X </v>
          </cell>
          <cell r="CN6234" t="str">
            <v>2024-11-15</v>
          </cell>
          <cell r="CO6234">
            <v>1193.8050000000001</v>
          </cell>
          <cell r="CP6234" t="str">
            <v xml:space="preserve">NFT-/XUTR/DEUTH02432540165X </v>
          </cell>
          <cell r="CQ6234" t="str">
            <v>2024-11-20</v>
          </cell>
          <cell r="CR6234">
            <v>-10667.564</v>
          </cell>
          <cell r="CS6234" t="str">
            <v xml:space="preserve">NFT-/XUTR/DEUTH02432567146X </v>
          </cell>
          <cell r="CT6234" t="str">
            <v>2024-11-20</v>
          </cell>
          <cell r="CU6234">
            <v>-1193.8050000000001</v>
          </cell>
        </row>
        <row r="6235">
          <cell r="CJ6235" t="str">
            <v xml:space="preserve">NFT-/XUTR/DEUTH02432045075X </v>
          </cell>
          <cell r="CK6235" t="str">
            <v>2024-11-15</v>
          </cell>
          <cell r="CL6235">
            <v>14796.384</v>
          </cell>
          <cell r="CM6235" t="str">
            <v xml:space="preserve">NFT-/XUTR/DEUTH02432059153X </v>
          </cell>
          <cell r="CN6235" t="str">
            <v>2024-11-15</v>
          </cell>
          <cell r="CO6235">
            <v>2315.7910000000002</v>
          </cell>
        </row>
        <row r="6236">
          <cell r="CJ6236" t="str">
            <v xml:space="preserve">NFT-/XUTR/DEUTH02432045075X </v>
          </cell>
          <cell r="CK6236" t="str">
            <v>2024-11-15</v>
          </cell>
          <cell r="CL6236">
            <v>10432.683000000001</v>
          </cell>
          <cell r="CM6236" t="str">
            <v xml:space="preserve">NFT-/XUTR/DEUTH02432059153X </v>
          </cell>
          <cell r="CN6236" t="str">
            <v>2024-11-15</v>
          </cell>
          <cell r="CO6236">
            <v>1486.9169999999999</v>
          </cell>
        </row>
        <row r="6237">
          <cell r="CJ6237" t="str">
            <v xml:space="preserve">NFT-/XUTR/DEUTH02432045075X </v>
          </cell>
          <cell r="CK6237" t="str">
            <v>2024-11-15</v>
          </cell>
          <cell r="CL6237">
            <v>15656.312</v>
          </cell>
          <cell r="CM6237" t="str">
            <v xml:space="preserve">NFT-/XUTR/DEUTH02432059153X </v>
          </cell>
          <cell r="CN6237" t="str">
            <v>2024-11-15</v>
          </cell>
          <cell r="CO6237">
            <v>1455.8620000000001</v>
          </cell>
          <cell r="CP6237" t="str">
            <v xml:space="preserve">NFT-/XUTR/DEUTH02432540165X </v>
          </cell>
          <cell r="CQ6237" t="str">
            <v>2024-11-20</v>
          </cell>
          <cell r="CR6237">
            <v>-15656.312</v>
          </cell>
          <cell r="CS6237" t="str">
            <v xml:space="preserve">NFT-/XUTR/DEUTH02432567146X </v>
          </cell>
          <cell r="CT6237" t="str">
            <v>2024-11-20</v>
          </cell>
          <cell r="CU6237">
            <v>-1455.8620000000001</v>
          </cell>
        </row>
        <row r="6238">
          <cell r="CJ6238" t="str">
            <v xml:space="preserve">NFT-/XUTR/DEUTH02432045075X </v>
          </cell>
          <cell r="CK6238" t="str">
            <v>2024-11-15</v>
          </cell>
          <cell r="CL6238">
            <v>15803.378000000001</v>
          </cell>
          <cell r="CM6238" t="str">
            <v xml:space="preserve">NFT-/XUTR/DEUTH02432059153X </v>
          </cell>
          <cell r="CN6238" t="str">
            <v>2024-11-15</v>
          </cell>
          <cell r="CO6238">
            <v>1455.8620000000001</v>
          </cell>
          <cell r="CP6238" t="str">
            <v xml:space="preserve">NFT-/XUTR/DEUTH02432756454X </v>
          </cell>
          <cell r="CQ6238" t="str">
            <v>2024-11-22</v>
          </cell>
          <cell r="CR6238">
            <v>-7901.6890000000003</v>
          </cell>
          <cell r="CS6238" t="str">
            <v xml:space="preserve">NFT-/XUTR/DEUTH024334A0F3IX </v>
          </cell>
          <cell r="CT6238" t="str">
            <v>2024-11-29</v>
          </cell>
          <cell r="CU6238">
            <v>-7901.6890000000003</v>
          </cell>
          <cell r="CV6238" t="str">
            <v xml:space="preserve">NFT-/XUTR/DEUTH02433956210X </v>
          </cell>
          <cell r="CW6238" t="str">
            <v>2024-12-04</v>
          </cell>
          <cell r="CX6238">
            <v>-1455.8620000000001</v>
          </cell>
        </row>
        <row r="6239">
          <cell r="CJ6239" t="str">
            <v xml:space="preserve">NFT-/XUTR/DEUTH02432045075X </v>
          </cell>
          <cell r="CK6239" t="str">
            <v>2024-11-15</v>
          </cell>
          <cell r="CL6239">
            <v>15637.433000000001</v>
          </cell>
          <cell r="CM6239" t="str">
            <v xml:space="preserve">NFT-/XUTR/DEUTH02432059153X </v>
          </cell>
          <cell r="CN6239" t="str">
            <v>2024-11-15</v>
          </cell>
          <cell r="CO6239">
            <v>1455.8620000000001</v>
          </cell>
        </row>
        <row r="6240">
          <cell r="CJ6240" t="str">
            <v xml:space="preserve">NFT-/XUTR/DEUTH02432045075X </v>
          </cell>
          <cell r="CK6240" t="str">
            <v>2024-11-15</v>
          </cell>
          <cell r="CL6240">
            <v>15637.433000000001</v>
          </cell>
          <cell r="CM6240" t="str">
            <v xml:space="preserve">NFT-/XUTR/DEUTH02432059153X </v>
          </cell>
          <cell r="CN6240" t="str">
            <v>2024-11-15</v>
          </cell>
          <cell r="CO6240">
            <v>1455.8620000000001</v>
          </cell>
        </row>
        <row r="6241">
          <cell r="CJ6241" t="str">
            <v xml:space="preserve">NFT-/XUTR/DEUTH02432045075X </v>
          </cell>
          <cell r="CK6241" t="str">
            <v>2024-11-15</v>
          </cell>
          <cell r="CL6241">
            <v>15520.438</v>
          </cell>
          <cell r="CM6241" t="str">
            <v xml:space="preserve">NFT-/XUTR/DEUTH02432059153X </v>
          </cell>
          <cell r="CN6241" t="str">
            <v>2024-11-15</v>
          </cell>
          <cell r="CO6241">
            <v>1455.8620000000001</v>
          </cell>
        </row>
        <row r="6242">
          <cell r="CJ6242" t="str">
            <v xml:space="preserve">NFT-/XUTR/DEUTH02432045075X </v>
          </cell>
          <cell r="CK6242" t="str">
            <v>2024-11-15</v>
          </cell>
          <cell r="CL6242">
            <v>7723.8119999999999</v>
          </cell>
          <cell r="CM6242" t="str">
            <v xml:space="preserve">NFT-/XUTR/DEUTH02432059153X </v>
          </cell>
          <cell r="CN6242" t="str">
            <v>2024-11-15</v>
          </cell>
          <cell r="CO6242">
            <v>983.18799999999999</v>
          </cell>
        </row>
        <row r="6243">
          <cell r="CJ6243" t="str">
            <v xml:space="preserve">NFT-/XUTR/DEUTH02432045075X </v>
          </cell>
          <cell r="CK6243" t="str">
            <v>2024-11-15</v>
          </cell>
          <cell r="CL6243">
            <v>15637.433000000001</v>
          </cell>
          <cell r="CM6243" t="str">
            <v xml:space="preserve">NFT-/XUTR/DEUTH02432059153X </v>
          </cell>
          <cell r="CN6243" t="str">
            <v>2024-11-15</v>
          </cell>
          <cell r="CO6243">
            <v>1455.8620000000001</v>
          </cell>
        </row>
        <row r="6244">
          <cell r="CJ6244" t="str">
            <v xml:space="preserve">NFT-/XUTR/DEUTH02432045075X </v>
          </cell>
          <cell r="CK6244" t="str">
            <v>2024-11-15</v>
          </cell>
          <cell r="CL6244">
            <v>15656.313</v>
          </cell>
          <cell r="CM6244" t="str">
            <v xml:space="preserve">NFT-/XUTR/DEUTH02432059153X </v>
          </cell>
          <cell r="CN6244" t="str">
            <v>2024-11-15</v>
          </cell>
          <cell r="CO6244">
            <v>1455.8620000000001</v>
          </cell>
        </row>
        <row r="6245">
          <cell r="CJ6245" t="str">
            <v xml:space="preserve">NFT-/XUTR/DEUTH02432045075X </v>
          </cell>
          <cell r="CK6245" t="str">
            <v>2024-11-15</v>
          </cell>
          <cell r="CL6245">
            <v>15656.312</v>
          </cell>
          <cell r="CM6245" t="str">
            <v xml:space="preserve">NFT-/XUTR/DEUTH02432059153X </v>
          </cell>
          <cell r="CN6245" t="str">
            <v>2024-11-15</v>
          </cell>
          <cell r="CO6245">
            <v>1455.8620000000001</v>
          </cell>
          <cell r="CP6245" t="str">
            <v xml:space="preserve">NFT-/XUTR/DEUTH02432756454X </v>
          </cell>
          <cell r="CQ6245" t="str">
            <v>2024-11-22</v>
          </cell>
          <cell r="CR6245">
            <v>-15656.312</v>
          </cell>
          <cell r="CV6245" t="str">
            <v xml:space="preserve">NFT-/XUTR/DEUTH02433956210X </v>
          </cell>
          <cell r="CW6245" t="str">
            <v>2024-12-04</v>
          </cell>
          <cell r="CX6245">
            <v>-1455.8620000000001</v>
          </cell>
        </row>
        <row r="6246">
          <cell r="CJ6246" t="str">
            <v xml:space="preserve">NFT-/XUTR/DEUTH02432045075X </v>
          </cell>
          <cell r="CK6246" t="str">
            <v>2024-11-15</v>
          </cell>
          <cell r="CL6246">
            <v>10719.004999999999</v>
          </cell>
          <cell r="CM6246" t="str">
            <v xml:space="preserve">NFT-/XUTR/DEUTH02432059153X </v>
          </cell>
          <cell r="CN6246" t="str">
            <v>2024-11-15</v>
          </cell>
          <cell r="CO6246">
            <v>1200.605</v>
          </cell>
        </row>
        <row r="6247">
          <cell r="CJ6247" t="str">
            <v xml:space="preserve">NFT-/XUTR/DEUTH02432045075X </v>
          </cell>
          <cell r="CK6247" t="str">
            <v>2024-11-15</v>
          </cell>
          <cell r="CL6247">
            <v>7775.777</v>
          </cell>
          <cell r="CM6247" t="str">
            <v xml:space="preserve">NFT-/XUTR/DEUTH02432059153X </v>
          </cell>
          <cell r="CN6247" t="str">
            <v>2024-11-15</v>
          </cell>
          <cell r="CO6247">
            <v>844.40200000000004</v>
          </cell>
        </row>
        <row r="6248">
          <cell r="CJ6248" t="str">
            <v xml:space="preserve">NFT-/XUTR/DEUTH02432045075X </v>
          </cell>
          <cell r="CK6248" t="str">
            <v>2024-11-15</v>
          </cell>
          <cell r="CL6248">
            <v>11434.846</v>
          </cell>
          <cell r="CM6248" t="str">
            <v xml:space="preserve">NFT-/XUTR/DEUTH02432059153X </v>
          </cell>
          <cell r="CN6248" t="str">
            <v>2024-11-15</v>
          </cell>
          <cell r="CO6248">
            <v>407.64299999999997</v>
          </cell>
        </row>
        <row r="6249">
          <cell r="CJ6249" t="str">
            <v xml:space="preserve">NFT-/XUTR/DEUTH02432045075X </v>
          </cell>
          <cell r="CK6249" t="str">
            <v>2024-11-15</v>
          </cell>
          <cell r="CL6249">
            <v>15637.433000000001</v>
          </cell>
          <cell r="CM6249" t="str">
            <v xml:space="preserve">NFT-/XUTR/DEUTH02432059153X </v>
          </cell>
          <cell r="CN6249" t="str">
            <v>2024-11-15</v>
          </cell>
          <cell r="CO6249">
            <v>1455.8620000000001</v>
          </cell>
          <cell r="CP6249" t="str">
            <v xml:space="preserve">NFT-/XUTR/DEUTH02432540165X </v>
          </cell>
          <cell r="CQ6249" t="str">
            <v>2024-11-20</v>
          </cell>
          <cell r="CR6249">
            <v>-15637.433000000001</v>
          </cell>
          <cell r="CS6249" t="str">
            <v xml:space="preserve">NFT-/XUTR/DEUTH02432567146X </v>
          </cell>
          <cell r="CT6249" t="str">
            <v>2024-11-20</v>
          </cell>
          <cell r="CU6249">
            <v>-1455.8620000000001</v>
          </cell>
        </row>
        <row r="6250">
          <cell r="CJ6250" t="str">
            <v xml:space="preserve">NFT-/XUTR/DEUTH02432045075X </v>
          </cell>
          <cell r="CK6250" t="str">
            <v>2024-11-15</v>
          </cell>
          <cell r="CL6250">
            <v>7766.5159999999996</v>
          </cell>
          <cell r="CM6250" t="str">
            <v xml:space="preserve">NFT-/XUTR/DEUTH02432059153X </v>
          </cell>
          <cell r="CN6250" t="str">
            <v>2024-11-15</v>
          </cell>
          <cell r="CO6250">
            <v>872.54300000000001</v>
          </cell>
        </row>
        <row r="6251">
          <cell r="CJ6251" t="str">
            <v xml:space="preserve">NFT-/XUTR/DEUTH02432045075X </v>
          </cell>
          <cell r="CK6251" t="str">
            <v>2024-11-15</v>
          </cell>
          <cell r="CL6251">
            <v>10806.352000000001</v>
          </cell>
          <cell r="CM6251" t="str">
            <v xml:space="preserve">NFT-/XUTR/DEUTH02432059153X </v>
          </cell>
          <cell r="CN6251" t="str">
            <v>2024-11-15</v>
          </cell>
          <cell r="CO6251">
            <v>1113.248</v>
          </cell>
          <cell r="CP6251" t="str">
            <v xml:space="preserve">NFT-/XUTR/DEUTH02432756454X </v>
          </cell>
          <cell r="CQ6251" t="str">
            <v>2024-11-22</v>
          </cell>
          <cell r="CR6251">
            <v>-10806.352000000001</v>
          </cell>
          <cell r="CV6251" t="str">
            <v xml:space="preserve">NFT-/XUTR/DEUTH02433956210X </v>
          </cell>
          <cell r="CW6251" t="str">
            <v>2024-12-04</v>
          </cell>
          <cell r="CX6251">
            <v>-1113.248</v>
          </cell>
        </row>
        <row r="6252">
          <cell r="CJ6252" t="str">
            <v xml:space="preserve">NFT-/XUTR/DEUTH02432045075X </v>
          </cell>
          <cell r="CK6252" t="str">
            <v>2024-11-15</v>
          </cell>
          <cell r="CL6252">
            <v>7767.4790000000003</v>
          </cell>
          <cell r="CM6252" t="str">
            <v xml:space="preserve">NFT-/XUTR/DEUTH02432059153X </v>
          </cell>
          <cell r="CN6252" t="str">
            <v>2024-11-15</v>
          </cell>
          <cell r="CO6252">
            <v>871.57799999999997</v>
          </cell>
        </row>
        <row r="6253">
          <cell r="CJ6253" t="str">
            <v xml:space="preserve">NFT-/XUTR/DEUTH02432045075X </v>
          </cell>
          <cell r="CK6253" t="str">
            <v>2024-11-15</v>
          </cell>
          <cell r="CL6253">
            <v>10632.623</v>
          </cell>
          <cell r="CM6253" t="str">
            <v xml:space="preserve">NFT-/XUTR/DEUTH02432059153X </v>
          </cell>
          <cell r="CN6253" t="str">
            <v>2024-11-15</v>
          </cell>
          <cell r="CO6253">
            <v>1286.9849999999999</v>
          </cell>
        </row>
        <row r="6254">
          <cell r="CJ6254" t="str">
            <v xml:space="preserve">NFT-/XUTR/DEUTH02432045075X </v>
          </cell>
          <cell r="CK6254" t="str">
            <v>2024-11-15</v>
          </cell>
          <cell r="CL6254">
            <v>15656.312</v>
          </cell>
          <cell r="CM6254" t="str">
            <v xml:space="preserve">NFT-/XUTR/DEUTH02432059153X </v>
          </cell>
          <cell r="CN6254" t="str">
            <v>2024-11-15</v>
          </cell>
          <cell r="CO6254">
            <v>1455.8620000000001</v>
          </cell>
        </row>
        <row r="6255">
          <cell r="CJ6255" t="str">
            <v xml:space="preserve">NFT-/XUTR/DEUTH02432045075X </v>
          </cell>
          <cell r="CK6255" t="str">
            <v>2024-11-15</v>
          </cell>
          <cell r="CL6255">
            <v>5652.1620000000003</v>
          </cell>
          <cell r="CM6255" t="str">
            <v xml:space="preserve">NFT-/XUTR/DEUTH02432059153X </v>
          </cell>
          <cell r="CN6255" t="str">
            <v>2024-11-15</v>
          </cell>
          <cell r="CO6255">
            <v>638.63699999999994</v>
          </cell>
        </row>
        <row r="6256">
          <cell r="CJ6256" t="str">
            <v xml:space="preserve">NFT-/XUTR/DEUTH02432045075X </v>
          </cell>
          <cell r="CK6256" t="str">
            <v>2024-11-15</v>
          </cell>
          <cell r="CL6256">
            <v>15656.313</v>
          </cell>
          <cell r="CM6256" t="str">
            <v xml:space="preserve">NFT-/XUTR/DEUTH02432059153X </v>
          </cell>
          <cell r="CN6256" t="str">
            <v>2024-11-15</v>
          </cell>
          <cell r="CO6256">
            <v>1455.8620000000001</v>
          </cell>
        </row>
        <row r="6257">
          <cell r="CJ6257" t="str">
            <v xml:space="preserve">NFT-/XUTR/DEUTH02432045075X </v>
          </cell>
          <cell r="CK6257" t="str">
            <v>2024-11-15</v>
          </cell>
          <cell r="CL6257">
            <v>7767.48</v>
          </cell>
          <cell r="CM6257" t="str">
            <v xml:space="preserve">NFT-/XUTR/DEUTH02432059153X </v>
          </cell>
          <cell r="CN6257" t="str">
            <v>2024-11-15</v>
          </cell>
          <cell r="CO6257">
            <v>871.57899999999995</v>
          </cell>
        </row>
        <row r="6258">
          <cell r="CJ6258" t="str">
            <v xml:space="preserve">NFT-/XUTR/DEUTH02432045075X </v>
          </cell>
          <cell r="CK6258" t="str">
            <v>2024-11-15</v>
          </cell>
          <cell r="CL6258">
            <v>1361.2570000000001</v>
          </cell>
          <cell r="CM6258" t="str">
            <v xml:space="preserve">NFT-/XUTR/DEUTH02432059153X </v>
          </cell>
          <cell r="CN6258" t="str">
            <v>2024-11-15</v>
          </cell>
          <cell r="CO6258">
            <v>76.680000000000007</v>
          </cell>
          <cell r="CP6258" t="str">
            <v xml:space="preserve">NFT-/XUTR/DEUTH02433037112X </v>
          </cell>
          <cell r="CQ6258" t="str">
            <v>2024-11-25</v>
          </cell>
          <cell r="CR6258">
            <v>-1361.2570000000001</v>
          </cell>
          <cell r="CV6258" t="str">
            <v xml:space="preserve">NFT-/XUTR/DEUTH02433956210X </v>
          </cell>
          <cell r="CW6258" t="str">
            <v>2024-12-04</v>
          </cell>
          <cell r="CX6258">
            <v>-76.680000000000007</v>
          </cell>
        </row>
        <row r="6259">
          <cell r="CJ6259" t="str">
            <v xml:space="preserve">NFT-/XUTR/DEUTH02432045075X </v>
          </cell>
          <cell r="CK6259" t="str">
            <v>2024-11-15</v>
          </cell>
          <cell r="CL6259">
            <v>7504.018</v>
          </cell>
          <cell r="CM6259" t="str">
            <v xml:space="preserve">NFT-/XUTR/DEUTH02432059153X </v>
          </cell>
          <cell r="CN6259" t="str">
            <v>2024-11-15</v>
          </cell>
          <cell r="CO6259">
            <v>1116.1610000000001</v>
          </cell>
        </row>
        <row r="6260">
          <cell r="CJ6260" t="str">
            <v xml:space="preserve">NFT-/XUTR/DEUTH02432045075X </v>
          </cell>
          <cell r="CK6260" t="str">
            <v>2024-11-15</v>
          </cell>
          <cell r="CL6260">
            <v>7748.6</v>
          </cell>
          <cell r="CM6260" t="str">
            <v xml:space="preserve">NFT-/XUTR/DEUTH02432059153X </v>
          </cell>
          <cell r="CN6260" t="str">
            <v>2024-11-15</v>
          </cell>
          <cell r="CO6260">
            <v>871.57899999999995</v>
          </cell>
        </row>
        <row r="6261">
          <cell r="CJ6261" t="str">
            <v xml:space="preserve">NFT-/XUTR/DEUTH02432045075X </v>
          </cell>
          <cell r="CK6261" t="str">
            <v>2024-11-15</v>
          </cell>
          <cell r="CL6261">
            <v>10695.683999999999</v>
          </cell>
          <cell r="CM6261" t="str">
            <v xml:space="preserve">NFT-/XUTR/DEUTH02432059153X </v>
          </cell>
          <cell r="CN6261" t="str">
            <v>2024-11-15</v>
          </cell>
          <cell r="CO6261">
            <v>1205.4559999999999</v>
          </cell>
        </row>
        <row r="6262">
          <cell r="CJ6262" t="str">
            <v xml:space="preserve">NFT-/XUTR/DEUTH02432045075X </v>
          </cell>
          <cell r="CK6262" t="str">
            <v>2024-11-15</v>
          </cell>
          <cell r="CL6262">
            <v>7355.52</v>
          </cell>
          <cell r="CM6262" t="str">
            <v xml:space="preserve">NFT-/XUTR/DEUTH02432059153X </v>
          </cell>
          <cell r="CN6262" t="str">
            <v>2024-11-15</v>
          </cell>
          <cell r="CO6262">
            <v>1264.6590000000001</v>
          </cell>
        </row>
        <row r="6263">
          <cell r="CJ6263" t="str">
            <v xml:space="preserve">NFT-/XUTR/DEUTH02432045075X </v>
          </cell>
          <cell r="CK6263" t="str">
            <v>2024-11-15</v>
          </cell>
          <cell r="CL6263">
            <v>7809.7529999999997</v>
          </cell>
          <cell r="CM6263" t="str">
            <v xml:space="preserve">NFT-/XUTR/DEUTH02432059153X </v>
          </cell>
          <cell r="CN6263" t="str">
            <v>2024-11-15</v>
          </cell>
          <cell r="CO6263">
            <v>878.36800000000005</v>
          </cell>
        </row>
        <row r="6264">
          <cell r="CJ6264" t="str">
            <v xml:space="preserve">NFT-/XUTR/DEUTH02432045075X </v>
          </cell>
          <cell r="CK6264" t="str">
            <v>2024-11-15</v>
          </cell>
          <cell r="CL6264">
            <v>5592.4250000000002</v>
          </cell>
          <cell r="CM6264" t="str">
            <v xml:space="preserve">NFT-/XUTR/DEUTH02432059153X </v>
          </cell>
          <cell r="CN6264" t="str">
            <v>2024-11-15</v>
          </cell>
          <cell r="CO6264">
            <v>629.9</v>
          </cell>
        </row>
        <row r="6265">
          <cell r="CJ6265" t="str">
            <v xml:space="preserve">NFT-/XUTR/DEUTH02432045075X </v>
          </cell>
          <cell r="CK6265" t="str">
            <v>2024-11-15</v>
          </cell>
          <cell r="CL6265">
            <v>10859.741</v>
          </cell>
          <cell r="CM6265" t="str">
            <v xml:space="preserve">NFT-/XUTR/DEUTH02432059153X </v>
          </cell>
          <cell r="CN6265" t="str">
            <v>2024-11-15</v>
          </cell>
          <cell r="CO6265">
            <v>1215.1559999999999</v>
          </cell>
        </row>
        <row r="6266">
          <cell r="CJ6266" t="str">
            <v xml:space="preserve">NFT-/XUTR/DEUTH02432045075X </v>
          </cell>
          <cell r="CK6266" t="str">
            <v>2024-11-15</v>
          </cell>
          <cell r="CL6266">
            <v>10859.741</v>
          </cell>
          <cell r="CM6266" t="str">
            <v xml:space="preserve">NFT-/XUTR/DEUTH02432059153X </v>
          </cell>
          <cell r="CN6266" t="str">
            <v>2024-11-15</v>
          </cell>
          <cell r="CO6266">
            <v>1215.1559999999999</v>
          </cell>
        </row>
        <row r="6267">
          <cell r="CJ6267" t="str">
            <v xml:space="preserve">NFT-/XUTR/DEUTH02432045075X </v>
          </cell>
          <cell r="CK6267" t="str">
            <v>2024-11-15</v>
          </cell>
          <cell r="CL6267">
            <v>5573.5450000000001</v>
          </cell>
          <cell r="CM6267" t="str">
            <v xml:space="preserve">NFT-/XUTR/DEUTH02432059153X </v>
          </cell>
          <cell r="CN6267" t="str">
            <v>2024-11-15</v>
          </cell>
          <cell r="CO6267">
            <v>629.9</v>
          </cell>
        </row>
        <row r="6268">
          <cell r="CJ6268" t="str">
            <v xml:space="preserve">NFT-/XUTR/DEUTH02432045075X </v>
          </cell>
          <cell r="CK6268" t="str">
            <v>2024-11-15</v>
          </cell>
          <cell r="CL6268">
            <v>15656.313</v>
          </cell>
          <cell r="CM6268" t="str">
            <v xml:space="preserve">NFT-/XUTR/DEUTH02432059153X </v>
          </cell>
          <cell r="CN6268" t="str">
            <v>2024-11-15</v>
          </cell>
          <cell r="CO6268">
            <v>1455.8620000000001</v>
          </cell>
        </row>
        <row r="6269">
          <cell r="CJ6269" t="str">
            <v xml:space="preserve">NFT-/XUTR/DEUTH02432045075X </v>
          </cell>
          <cell r="CK6269" t="str">
            <v>2024-11-15</v>
          </cell>
          <cell r="CL6269">
            <v>7828.6329999999998</v>
          </cell>
          <cell r="CM6269" t="str">
            <v xml:space="preserve">NFT-/XUTR/DEUTH02432059153X </v>
          </cell>
          <cell r="CN6269" t="str">
            <v>2024-11-15</v>
          </cell>
          <cell r="CO6269">
            <v>878.36800000000005</v>
          </cell>
        </row>
        <row r="6270">
          <cell r="CJ6270" t="str">
            <v xml:space="preserve">NFT-/XUTR/DEUTH02432045075X </v>
          </cell>
          <cell r="CK6270" t="str">
            <v>2024-11-15</v>
          </cell>
          <cell r="CL6270">
            <v>10571.471</v>
          </cell>
          <cell r="CM6270" t="str">
            <v xml:space="preserve">NFT-/XUTR/DEUTH02432059153X </v>
          </cell>
          <cell r="CN6270" t="str">
            <v>2024-11-15</v>
          </cell>
          <cell r="CO6270">
            <v>1183.1289999999999</v>
          </cell>
        </row>
        <row r="6271">
          <cell r="CJ6271" t="str">
            <v xml:space="preserve">NFT-/XUTR/DEUTH02432045075X </v>
          </cell>
          <cell r="CK6271" t="str">
            <v>2024-11-15</v>
          </cell>
          <cell r="CL6271">
            <v>10719.97</v>
          </cell>
          <cell r="CM6271" t="str">
            <v xml:space="preserve">NFT-/XUTR/DEUTH02432059153X </v>
          </cell>
          <cell r="CN6271" t="str">
            <v>2024-11-15</v>
          </cell>
          <cell r="CO6271">
            <v>1199.6300000000001</v>
          </cell>
        </row>
        <row r="6272">
          <cell r="CJ6272" t="str">
            <v xml:space="preserve">NFT-/XUTR/DEUTH02432045075X </v>
          </cell>
          <cell r="CK6272" t="str">
            <v>2024-11-15</v>
          </cell>
          <cell r="CL6272">
            <v>12619.36</v>
          </cell>
        </row>
        <row r="6273">
          <cell r="CJ6273" t="str">
            <v xml:space="preserve">NFT-/XUTR/DEUTH02432045075X </v>
          </cell>
          <cell r="CK6273" t="str">
            <v>2024-11-15</v>
          </cell>
          <cell r="CL6273">
            <v>10571.471</v>
          </cell>
          <cell r="CM6273" t="str">
            <v xml:space="preserve">NFT-/XUTR/DEUTH02432059153X </v>
          </cell>
          <cell r="CN6273" t="str">
            <v>2024-11-15</v>
          </cell>
          <cell r="CO6273">
            <v>1183.1289999999999</v>
          </cell>
        </row>
        <row r="6274">
          <cell r="CJ6274" t="str">
            <v xml:space="preserve">NFT-/XUTR/DEUTH02432045075X </v>
          </cell>
          <cell r="CK6274" t="str">
            <v>2024-11-15</v>
          </cell>
          <cell r="CL6274">
            <v>2583.2020000000002</v>
          </cell>
          <cell r="CM6274" t="str">
            <v xml:space="preserve">NFT-/XUTR/DEUTH02432540165X </v>
          </cell>
          <cell r="CN6274" t="str">
            <v>2024-11-20</v>
          </cell>
          <cell r="CO6274">
            <v>-2583.2020000000002</v>
          </cell>
        </row>
        <row r="6275">
          <cell r="CJ6275" t="str">
            <v xml:space="preserve">NFT-/XUTR/DEUTH02432045075X </v>
          </cell>
          <cell r="CK6275" t="str">
            <v>2024-11-15</v>
          </cell>
          <cell r="CL6275">
            <v>1398.575</v>
          </cell>
        </row>
        <row r="6276">
          <cell r="CJ6276" t="str">
            <v xml:space="preserve">NFT-/XUTR/DEUTH02432045075X </v>
          </cell>
          <cell r="CK6276" t="str">
            <v>2024-11-15</v>
          </cell>
          <cell r="CL6276">
            <v>16340.111000000001</v>
          </cell>
        </row>
        <row r="6277">
          <cell r="CJ6277" t="str">
            <v xml:space="preserve">NFT-/XUTR/DEUTH02432540165X </v>
          </cell>
          <cell r="CK6277" t="str">
            <v>2024-11-20</v>
          </cell>
          <cell r="CL6277">
            <v>169580.712</v>
          </cell>
        </row>
        <row r="6278">
          <cell r="CJ6278" t="str">
            <v xml:space="preserve">NFT-/XUTR/DEUTH02432540165X </v>
          </cell>
          <cell r="CK6278" t="str">
            <v>2024-11-20</v>
          </cell>
          <cell r="CL6278">
            <v>7828.634</v>
          </cell>
          <cell r="CM6278" t="str">
            <v xml:space="preserve">NFT-/XUTR/DEUTH02432567146X </v>
          </cell>
          <cell r="CN6278" t="str">
            <v>2024-11-20</v>
          </cell>
          <cell r="CO6278">
            <v>878.36699999999996</v>
          </cell>
        </row>
        <row r="6280">
          <cell r="CJ6280" t="str">
            <v xml:space="preserve">NFT-/XUTR/DEUTH02432540165X </v>
          </cell>
          <cell r="CK6280" t="str">
            <v>2024-11-20</v>
          </cell>
          <cell r="CL6280">
            <v>6203.4539999999997</v>
          </cell>
        </row>
        <row r="6281">
          <cell r="CJ6281" t="str">
            <v xml:space="preserve">NFT-/XUTR/DEUTH02432540165X </v>
          </cell>
          <cell r="CK6281" t="str">
            <v>2024-11-20</v>
          </cell>
          <cell r="CL6281">
            <v>1437.3920000000001</v>
          </cell>
        </row>
        <row r="6282">
          <cell r="CJ6282" t="str">
            <v xml:space="preserve">NFT-/XUTR/DEUTH02432540165X </v>
          </cell>
          <cell r="CK6282" t="str">
            <v>2024-11-20</v>
          </cell>
          <cell r="CL6282">
            <v>11851.668</v>
          </cell>
          <cell r="CM6282" t="str">
            <v xml:space="preserve">NFT-/XUTR/DEUTH02432756454X </v>
          </cell>
          <cell r="CN6282" t="str">
            <v>2024-11-22</v>
          </cell>
          <cell r="CO6282">
            <v>-11851.668</v>
          </cell>
        </row>
        <row r="6283">
          <cell r="CJ6283" t="str">
            <v xml:space="preserve">NFT-/XUTR/DEUTH02432540165X </v>
          </cell>
          <cell r="CK6283" t="str">
            <v>2024-11-20</v>
          </cell>
          <cell r="CL6283">
            <v>84936.471000000005</v>
          </cell>
        </row>
        <row r="6284">
          <cell r="CJ6284" t="str">
            <v xml:space="preserve">NFT-/XUTR/DEUTH02432540165X </v>
          </cell>
          <cell r="CK6284" t="str">
            <v>2024-11-20</v>
          </cell>
          <cell r="CL6284">
            <v>1408.278</v>
          </cell>
        </row>
        <row r="6285">
          <cell r="CJ6285" t="str">
            <v xml:space="preserve">NFT-/XUTR/DEUTH02432540165X </v>
          </cell>
          <cell r="CK6285" t="str">
            <v>2024-11-20</v>
          </cell>
          <cell r="CL6285">
            <v>11453.726000000001</v>
          </cell>
        </row>
        <row r="6286">
          <cell r="CJ6286" t="str">
            <v xml:space="preserve">NFT-/XUTR/DEUTH02432540165X </v>
          </cell>
          <cell r="CK6286" t="str">
            <v>2024-11-20</v>
          </cell>
          <cell r="CL6286">
            <v>34361.188000000002</v>
          </cell>
        </row>
        <row r="6287">
          <cell r="CJ6287" t="str">
            <v xml:space="preserve">NFT-/XUTR/DEUTH02432540165X </v>
          </cell>
          <cell r="CK6287" t="str">
            <v>2024-11-20</v>
          </cell>
          <cell r="CL6287">
            <v>2816.5540000000001</v>
          </cell>
        </row>
        <row r="6288">
          <cell r="CJ6288" t="str">
            <v xml:space="preserve">NFT-/XUTR/DEUTH02432540165X </v>
          </cell>
          <cell r="CK6288" t="str">
            <v>2024-11-20</v>
          </cell>
          <cell r="CL6288">
            <v>11434.846</v>
          </cell>
        </row>
        <row r="6289">
          <cell r="CJ6289" t="str">
            <v xml:space="preserve">NFT-/XUTR/DEUTH02432540165X </v>
          </cell>
          <cell r="CK6289" t="str">
            <v>2024-11-20</v>
          </cell>
          <cell r="CL6289">
            <v>81694.755999999994</v>
          </cell>
          <cell r="CM6289" t="str">
            <v xml:space="preserve">NFT-/XUTR/DEUTH02432567146X </v>
          </cell>
          <cell r="CN6289" t="str">
            <v>2024-11-20</v>
          </cell>
          <cell r="CO6289">
            <v>2911.7240000000002</v>
          </cell>
        </row>
        <row r="6290">
          <cell r="CJ6290" t="str">
            <v xml:space="preserve">NFT-/XUTR/DEUTH02432540165X </v>
          </cell>
          <cell r="CK6290" t="str">
            <v>2024-11-20</v>
          </cell>
          <cell r="CL6290">
            <v>81694.755999999994</v>
          </cell>
          <cell r="CM6290" t="str">
            <v xml:space="preserve">NFT-/XUTR/DEUTH02432567146X </v>
          </cell>
          <cell r="CN6290" t="str">
            <v>2024-11-20</v>
          </cell>
          <cell r="CO6290">
            <v>2911.7240000000002</v>
          </cell>
        </row>
        <row r="6291">
          <cell r="CJ6291" t="str">
            <v xml:space="preserve">NFT-/XUTR/DEUTH02432540165X </v>
          </cell>
          <cell r="CK6291" t="str">
            <v>2024-11-20</v>
          </cell>
          <cell r="CL6291">
            <v>81694.755999999994</v>
          </cell>
          <cell r="CM6291" t="str">
            <v xml:space="preserve">NFT-/XUTR/DEUTH02432567146X </v>
          </cell>
          <cell r="CN6291" t="str">
            <v>2024-11-20</v>
          </cell>
          <cell r="CO6291">
            <v>2911.7240000000002</v>
          </cell>
        </row>
        <row r="6292">
          <cell r="CJ6292" t="str">
            <v xml:space="preserve">NFT-/XUTR/DEUTH02432540165X </v>
          </cell>
          <cell r="CK6292" t="str">
            <v>2024-11-20</v>
          </cell>
          <cell r="CL6292">
            <v>2816.556</v>
          </cell>
        </row>
        <row r="6293">
          <cell r="CJ6293" t="str">
            <v xml:space="preserve">NFT-/XUTR/DEUTH02432540165X </v>
          </cell>
          <cell r="CK6293" t="str">
            <v>2024-11-20</v>
          </cell>
          <cell r="CL6293">
            <v>6086.9840000000004</v>
          </cell>
        </row>
        <row r="6294">
          <cell r="CJ6294" t="str">
            <v xml:space="preserve">NFT-/XUTR/DEUTH02432540165X </v>
          </cell>
          <cell r="CK6294" t="str">
            <v>2024-11-20</v>
          </cell>
          <cell r="CL6294">
            <v>81694.755999999994</v>
          </cell>
          <cell r="CM6294" t="str">
            <v xml:space="preserve">NFT-/XUTR/DEUTH02432567146X </v>
          </cell>
          <cell r="CN6294" t="str">
            <v>2024-11-20</v>
          </cell>
          <cell r="CO6294">
            <v>2911.7240000000002</v>
          </cell>
        </row>
        <row r="6295">
          <cell r="CJ6295" t="str">
            <v xml:space="preserve">NFT-/XUTR/DEUTH02432540165X </v>
          </cell>
          <cell r="CK6295" t="str">
            <v>2024-11-20</v>
          </cell>
          <cell r="CL6295">
            <v>1408.277</v>
          </cell>
        </row>
        <row r="6296">
          <cell r="CJ6296" t="str">
            <v xml:space="preserve">NFT-/XUTR/DEUTH02432540165X </v>
          </cell>
          <cell r="CK6296" t="str">
            <v>2024-11-20</v>
          </cell>
          <cell r="CL6296">
            <v>81713.635999999999</v>
          </cell>
          <cell r="CM6296" t="str">
            <v xml:space="preserve">NFT-/XUTR/DEUTH02432567146X </v>
          </cell>
          <cell r="CN6296" t="str">
            <v>2024-11-20</v>
          </cell>
          <cell r="CO6296">
            <v>2911.7240000000002</v>
          </cell>
        </row>
        <row r="6298">
          <cell r="CJ6298" t="str">
            <v xml:space="preserve">NFT-/XUTR/DEUTH02432540165X </v>
          </cell>
          <cell r="CK6298" t="str">
            <v>2024-11-20</v>
          </cell>
          <cell r="CL6298">
            <v>65913.205000000002</v>
          </cell>
          <cell r="CM6298" t="str">
            <v xml:space="preserve">NFT-/XUTR/DEUTH02432567146X </v>
          </cell>
          <cell r="CN6298" t="str">
            <v>2024-11-20</v>
          </cell>
          <cell r="CO6298">
            <v>2911.7240000000002</v>
          </cell>
        </row>
        <row r="6299">
          <cell r="CJ6299" t="str">
            <v xml:space="preserve">NFT-/XUTR/DEUTH02432540165X </v>
          </cell>
          <cell r="CK6299" t="str">
            <v>2024-11-20</v>
          </cell>
          <cell r="CL6299">
            <v>1408.278</v>
          </cell>
        </row>
        <row r="6300">
          <cell r="CJ6300" t="str">
            <v xml:space="preserve">NFT-/XUTR/DEUTH02432540165X </v>
          </cell>
          <cell r="CK6300" t="str">
            <v>2024-11-20</v>
          </cell>
          <cell r="CL6300">
            <v>85674.112999999998</v>
          </cell>
        </row>
        <row r="6301">
          <cell r="CJ6301" t="str">
            <v xml:space="preserve">NFT-/XUTR/DEUTH02432540165X </v>
          </cell>
          <cell r="CK6301" t="str">
            <v>2024-11-20</v>
          </cell>
          <cell r="CL6301">
            <v>34146.716</v>
          </cell>
        </row>
        <row r="6302">
          <cell r="CJ6302" t="str">
            <v xml:space="preserve">NFT-/XUTR/DEUTH02432540165X </v>
          </cell>
          <cell r="CK6302" t="str">
            <v>2024-11-20</v>
          </cell>
          <cell r="CL6302">
            <v>42987.703999999998</v>
          </cell>
          <cell r="CM6302" t="str">
            <v xml:space="preserve">NFT-/XUTR/DEUTH02432756454X </v>
          </cell>
          <cell r="CN6302" t="str">
            <v>2024-11-22</v>
          </cell>
          <cell r="CO6302">
            <v>-42987.703999999998</v>
          </cell>
        </row>
        <row r="6303">
          <cell r="CJ6303" t="str">
            <v xml:space="preserve">NFT-/XUTR/DEUTH02432540165X </v>
          </cell>
          <cell r="CK6303" t="str">
            <v>2024-11-20</v>
          </cell>
          <cell r="CL6303">
            <v>84470.596999999994</v>
          </cell>
        </row>
        <row r="6304">
          <cell r="CJ6304" t="str">
            <v xml:space="preserve">NFT-/XUTR/DEUTH02432540165X </v>
          </cell>
          <cell r="CK6304" t="str">
            <v>2024-11-20</v>
          </cell>
          <cell r="CL6304">
            <v>34546.124000000003</v>
          </cell>
        </row>
        <row r="6305">
          <cell r="CJ6305" t="str">
            <v xml:space="preserve">NFT-/XUTR/DEUTH02432540165X </v>
          </cell>
          <cell r="CK6305" t="str">
            <v>2024-11-20</v>
          </cell>
          <cell r="CL6305">
            <v>22926.866000000002</v>
          </cell>
        </row>
        <row r="6306">
          <cell r="CJ6306" t="str">
            <v xml:space="preserve">NFT-/XUTR/DEUTH02432540165X </v>
          </cell>
          <cell r="CK6306" t="str">
            <v>2024-11-20</v>
          </cell>
          <cell r="CL6306">
            <v>8668.7080000000005</v>
          </cell>
        </row>
        <row r="6307">
          <cell r="CJ6307" t="str">
            <v xml:space="preserve">NFT-/XUTR/DEUTH02432540165X </v>
          </cell>
          <cell r="CK6307" t="str">
            <v>2024-11-20</v>
          </cell>
          <cell r="CL6307">
            <v>85674.112999999998</v>
          </cell>
        </row>
        <row r="6308">
          <cell r="CJ6308" t="str">
            <v xml:space="preserve">NFT-/XUTR/DEUTH02432540165X </v>
          </cell>
          <cell r="CK6308" t="str">
            <v>2024-11-20</v>
          </cell>
          <cell r="CL6308">
            <v>11376.615</v>
          </cell>
          <cell r="CM6308" t="str">
            <v xml:space="preserve">NFT-/XUTR/DEUTH024334A0F3IX </v>
          </cell>
          <cell r="CN6308" t="str">
            <v>2024-11-29</v>
          </cell>
          <cell r="CO6308">
            <v>-11376.615</v>
          </cell>
        </row>
        <row r="6309">
          <cell r="CJ6309" t="str">
            <v xml:space="preserve">NFT-/XUTR/DEUTH02432540165X </v>
          </cell>
          <cell r="CK6309" t="str">
            <v>2024-11-20</v>
          </cell>
          <cell r="CL6309">
            <v>8687.5879999999997</v>
          </cell>
        </row>
        <row r="6310">
          <cell r="CJ6310" t="str">
            <v xml:space="preserve">NFT-/XUTR/DEUTH02432540165X </v>
          </cell>
          <cell r="CK6310" t="str">
            <v>2024-11-20</v>
          </cell>
          <cell r="CL6310">
            <v>64166.17</v>
          </cell>
          <cell r="CM6310" t="str">
            <v xml:space="preserve">NFT-/XUTR/DEUTH02432567146X </v>
          </cell>
          <cell r="CN6310" t="str">
            <v>2024-11-20</v>
          </cell>
          <cell r="CO6310">
            <v>2911.7240000000002</v>
          </cell>
        </row>
        <row r="6312">
          <cell r="CJ6312" t="str">
            <v xml:space="preserve">NFT-/XUTR/DEUTH02432540165X </v>
          </cell>
          <cell r="CK6312" t="str">
            <v>2024-11-20</v>
          </cell>
          <cell r="CL6312">
            <v>58808.606</v>
          </cell>
          <cell r="CM6312" t="str">
            <v xml:space="preserve">NFT-/XUTR/DEUTH02432567146X </v>
          </cell>
          <cell r="CN6312" t="str">
            <v>2024-11-20</v>
          </cell>
          <cell r="CO6312">
            <v>2911.7240000000002</v>
          </cell>
        </row>
        <row r="6313">
          <cell r="CJ6313" t="str">
            <v xml:space="preserve">NFT-/XUTR/DEUTH02432540165X </v>
          </cell>
          <cell r="CK6313" t="str">
            <v>2024-11-20</v>
          </cell>
          <cell r="CL6313">
            <v>15828.111000000001</v>
          </cell>
          <cell r="CM6313" t="str">
            <v xml:space="preserve">NFT-/XUTR/DEUTH02432567146X </v>
          </cell>
          <cell r="CN6313" t="str">
            <v>2024-11-20</v>
          </cell>
          <cell r="CO6313">
            <v>837.60299999999995</v>
          </cell>
        </row>
        <row r="6314">
          <cell r="CJ6314" t="str">
            <v xml:space="preserve">NFT-/XUTR/DEUTH02432540165X </v>
          </cell>
          <cell r="CK6314" t="str">
            <v>2024-11-20</v>
          </cell>
          <cell r="CL6314">
            <v>79549.78</v>
          </cell>
          <cell r="CM6314" t="str">
            <v xml:space="preserve">NFT-/XUTR/DEUTH02432567146X </v>
          </cell>
          <cell r="CN6314" t="str">
            <v>2024-11-20</v>
          </cell>
          <cell r="CO6314">
            <v>2911.7240000000002</v>
          </cell>
        </row>
        <row r="6315">
          <cell r="CJ6315" t="str">
            <v xml:space="preserve">NFT-/XUTR/DEUTH02432540165X </v>
          </cell>
          <cell r="CK6315" t="str">
            <v>2024-11-20</v>
          </cell>
          <cell r="CL6315">
            <v>5566.2219999999998</v>
          </cell>
          <cell r="CM6315" t="str">
            <v xml:space="preserve">NFT-/XUTR/DEUTH02432567146X </v>
          </cell>
          <cell r="CN6315" t="str">
            <v>2024-11-20</v>
          </cell>
          <cell r="CO6315">
            <v>296.99799999999999</v>
          </cell>
        </row>
        <row r="6316">
          <cell r="CJ6316" t="str">
            <v xml:space="preserve">NFT-/XUTR/DEUTH02432540165X </v>
          </cell>
          <cell r="CK6316" t="str">
            <v>2024-11-20</v>
          </cell>
          <cell r="CL6316">
            <v>5566.2219999999998</v>
          </cell>
          <cell r="CM6316" t="str">
            <v xml:space="preserve">NFT-/XUTR/DEUTH02432567146X </v>
          </cell>
          <cell r="CN6316" t="str">
            <v>2024-11-20</v>
          </cell>
          <cell r="CO6316">
            <v>296.99799999999999</v>
          </cell>
        </row>
        <row r="6317">
          <cell r="CJ6317" t="str">
            <v xml:space="preserve">NFT-/XUTR/DEUTH02432540165X </v>
          </cell>
          <cell r="CK6317" t="str">
            <v>2024-11-20</v>
          </cell>
          <cell r="CL6317">
            <v>79549.78</v>
          </cell>
          <cell r="CM6317" t="str">
            <v xml:space="preserve">NFT-/XUTR/DEUTH02432567146X </v>
          </cell>
          <cell r="CN6317" t="str">
            <v>2024-11-20</v>
          </cell>
          <cell r="CO6317">
            <v>2911.7240000000002</v>
          </cell>
          <cell r="CP6317" t="str">
            <v xml:space="preserve">NFT-/XUTR/DEUTH02432756454X </v>
          </cell>
          <cell r="CQ6317" t="str">
            <v>2024-11-22</v>
          </cell>
          <cell r="CR6317">
            <v>-79549.78</v>
          </cell>
          <cell r="CV6317" t="str">
            <v xml:space="preserve">NFT-/XUTR/DEUTH02433956210X </v>
          </cell>
          <cell r="CW6317" t="str">
            <v>2024-12-04</v>
          </cell>
          <cell r="CX6317">
            <v>-2911.7240000000002</v>
          </cell>
        </row>
        <row r="6318">
          <cell r="CJ6318" t="str">
            <v xml:space="preserve">NFT-/XUTR/DEUTH02432540165X </v>
          </cell>
          <cell r="CK6318" t="str">
            <v>2024-11-20</v>
          </cell>
          <cell r="CL6318">
            <v>50669.946000000004</v>
          </cell>
          <cell r="CM6318" t="str">
            <v xml:space="preserve">NFT-/XUTR/DEUTH02432567146X </v>
          </cell>
          <cell r="CN6318" t="str">
            <v>2024-11-20</v>
          </cell>
          <cell r="CO6318">
            <v>2673.931</v>
          </cell>
        </row>
        <row r="6320">
          <cell r="CJ6320" t="str">
            <v xml:space="preserve">NFT-/XUTR/DEUTH02432540165X </v>
          </cell>
          <cell r="CK6320" t="str">
            <v>2024-11-20</v>
          </cell>
          <cell r="CL6320">
            <v>79617.19</v>
          </cell>
          <cell r="CM6320" t="str">
            <v xml:space="preserve">NFT-/XUTR/DEUTH02432567146X </v>
          </cell>
          <cell r="CN6320" t="str">
            <v>2024-11-20</v>
          </cell>
          <cell r="CO6320">
            <v>2911.723</v>
          </cell>
          <cell r="CP6320" t="str">
            <v xml:space="preserve">NFT-/XUTR/DEUTH02432756454X </v>
          </cell>
          <cell r="CQ6320" t="str">
            <v>2024-11-22</v>
          </cell>
          <cell r="CR6320">
            <v>-79617.19</v>
          </cell>
          <cell r="CV6320" t="str">
            <v xml:space="preserve">NFT-/XUTR/DEUTH02433956210X </v>
          </cell>
          <cell r="CW6320" t="str">
            <v>2024-12-04</v>
          </cell>
          <cell r="CX6320">
            <v>-2911.723</v>
          </cell>
        </row>
        <row r="6322">
          <cell r="CJ6322" t="str">
            <v xml:space="preserve">NFT-/XUTR/DEUTH02432540165X </v>
          </cell>
          <cell r="CK6322" t="str">
            <v>2024-11-20</v>
          </cell>
          <cell r="CL6322">
            <v>79549.78</v>
          </cell>
          <cell r="CM6322" t="str">
            <v xml:space="preserve">NFT-/XUTR/DEUTH02432567146X </v>
          </cell>
          <cell r="CN6322" t="str">
            <v>2024-11-20</v>
          </cell>
          <cell r="CO6322">
            <v>2911.7240000000002</v>
          </cell>
        </row>
        <row r="6324">
          <cell r="CJ6324" t="str">
            <v xml:space="preserve">NFT-/XUTR/DEUTH02432540165X </v>
          </cell>
          <cell r="CK6324" t="str">
            <v>2024-11-20</v>
          </cell>
          <cell r="CL6324">
            <v>79549.78</v>
          </cell>
          <cell r="CM6324" t="str">
            <v xml:space="preserve">NFT-/XUTR/DEUTH02432567146X </v>
          </cell>
          <cell r="CN6324" t="str">
            <v>2024-11-20</v>
          </cell>
          <cell r="CO6324">
            <v>2911.7240000000002</v>
          </cell>
        </row>
        <row r="6325">
          <cell r="CJ6325" t="str">
            <v xml:space="preserve">NFT-/XUTR/DEUTH02432540165X </v>
          </cell>
          <cell r="CK6325" t="str">
            <v>2024-11-20</v>
          </cell>
          <cell r="CL6325">
            <v>50669.946000000004</v>
          </cell>
          <cell r="CM6325" t="str">
            <v xml:space="preserve">NFT-/XUTR/DEUTH02432567146X </v>
          </cell>
          <cell r="CN6325" t="str">
            <v>2024-11-20</v>
          </cell>
          <cell r="CO6325">
            <v>2673.931</v>
          </cell>
        </row>
        <row r="6327">
          <cell r="CJ6327" t="str">
            <v xml:space="preserve">NFT-/XUTR/DEUTH02432540165X </v>
          </cell>
          <cell r="CK6327" t="str">
            <v>2024-11-20</v>
          </cell>
          <cell r="CL6327">
            <v>78579.206000000006</v>
          </cell>
          <cell r="CM6327" t="str">
            <v xml:space="preserve">NFT-/XUTR/DEUTH02432567146X </v>
          </cell>
          <cell r="CN6327" t="str">
            <v>2024-11-20</v>
          </cell>
          <cell r="CO6327">
            <v>3882.299</v>
          </cell>
        </row>
        <row r="6328">
          <cell r="CJ6328" t="str">
            <v xml:space="preserve">NFT-/XUTR/DEUTH02432540165X </v>
          </cell>
          <cell r="CK6328" t="str">
            <v>2024-11-20</v>
          </cell>
          <cell r="CL6328">
            <v>79549.78</v>
          </cell>
          <cell r="CM6328" t="str">
            <v xml:space="preserve">NFT-/XUTR/DEUTH02432567146X </v>
          </cell>
          <cell r="CN6328" t="str">
            <v>2024-11-20</v>
          </cell>
          <cell r="CO6328">
            <v>2911.7240000000002</v>
          </cell>
        </row>
        <row r="6329">
          <cell r="CJ6329" t="str">
            <v xml:space="preserve">NFT-/XUTR/DEUTH02432540165X </v>
          </cell>
          <cell r="CK6329" t="str">
            <v>2024-11-20</v>
          </cell>
          <cell r="CL6329">
            <v>79549.78</v>
          </cell>
          <cell r="CM6329" t="str">
            <v xml:space="preserve">NFT-/XUTR/DEUTH02432567146X </v>
          </cell>
          <cell r="CN6329" t="str">
            <v>2024-11-20</v>
          </cell>
          <cell r="CO6329">
            <v>2911.7240000000002</v>
          </cell>
        </row>
        <row r="6330">
          <cell r="CJ6330" t="str">
            <v xml:space="preserve">NFT-/XUTR/DEUTH02432540165X </v>
          </cell>
          <cell r="CK6330" t="str">
            <v>2024-11-20</v>
          </cell>
          <cell r="CL6330">
            <v>2631.2069999999999</v>
          </cell>
        </row>
        <row r="6331">
          <cell r="CJ6331" t="str">
            <v xml:space="preserve">NFT-/XUTR/DEUTH02432540165X </v>
          </cell>
          <cell r="CK6331" t="str">
            <v>2024-11-20</v>
          </cell>
          <cell r="CL6331">
            <v>15809.231</v>
          </cell>
          <cell r="CM6331" t="str">
            <v xml:space="preserve">NFT-/XUTR/DEUTH02432567146X </v>
          </cell>
          <cell r="CN6331" t="str">
            <v>2024-11-20</v>
          </cell>
          <cell r="CO6331">
            <v>837.60299999999995</v>
          </cell>
        </row>
        <row r="6332">
          <cell r="CJ6332" t="str">
            <v xml:space="preserve">NFT-/XUTR/DEUTH02432540165X </v>
          </cell>
          <cell r="CK6332" t="str">
            <v>2024-11-20</v>
          </cell>
          <cell r="CL6332">
            <v>10471.07</v>
          </cell>
          <cell r="CM6332" t="str">
            <v xml:space="preserve">NFT-/XUTR/DEUTH02432567146X </v>
          </cell>
          <cell r="CN6332" t="str">
            <v>2024-11-20</v>
          </cell>
          <cell r="CO6332">
            <v>556.14200000000005</v>
          </cell>
        </row>
        <row r="6333">
          <cell r="CJ6333" t="str">
            <v xml:space="preserve">NFT-/XUTR/DEUTH02432540165X </v>
          </cell>
          <cell r="CK6333" t="str">
            <v>2024-11-20</v>
          </cell>
          <cell r="CL6333">
            <v>15828.111999999999</v>
          </cell>
          <cell r="CM6333" t="str">
            <v xml:space="preserve">NFT-/XUTR/DEUTH02432567146X </v>
          </cell>
          <cell r="CN6333" t="str">
            <v>2024-11-20</v>
          </cell>
          <cell r="CO6333">
            <v>837.60199999999998</v>
          </cell>
        </row>
        <row r="6334">
          <cell r="CJ6334" t="str">
            <v xml:space="preserve">NFT-/XUTR/DEUTH02432540165X </v>
          </cell>
          <cell r="CK6334" t="str">
            <v>2024-11-20</v>
          </cell>
          <cell r="CL6334">
            <v>58808.606</v>
          </cell>
          <cell r="CM6334" t="str">
            <v xml:space="preserve">NFT-/XUTR/DEUTH02432567146X </v>
          </cell>
          <cell r="CN6334" t="str">
            <v>2024-11-20</v>
          </cell>
          <cell r="CO6334">
            <v>2911.7240000000002</v>
          </cell>
        </row>
        <row r="6335">
          <cell r="CJ6335" t="str">
            <v xml:space="preserve">NFT-/XUTR/DEUTH02432540165X </v>
          </cell>
          <cell r="CK6335" t="str">
            <v>2024-11-20</v>
          </cell>
          <cell r="CL6335">
            <v>8036.87</v>
          </cell>
          <cell r="CM6335" t="str">
            <v xml:space="preserve">NFT-/XUTR/DEUTH02432567146X </v>
          </cell>
          <cell r="CN6335" t="str">
            <v>2024-11-20</v>
          </cell>
          <cell r="CO6335">
            <v>428.02100000000002</v>
          </cell>
        </row>
        <row r="6336">
          <cell r="CJ6336" t="str">
            <v xml:space="preserve">NFT-/XUTR/DEUTH02432540165X </v>
          </cell>
          <cell r="CK6336" t="str">
            <v>2024-11-20</v>
          </cell>
          <cell r="CL6336">
            <v>79568.66</v>
          </cell>
          <cell r="CM6336" t="str">
            <v xml:space="preserve">NFT-/XUTR/DEUTH02432567146X </v>
          </cell>
          <cell r="CN6336" t="str">
            <v>2024-11-20</v>
          </cell>
          <cell r="CO6336">
            <v>2911.723</v>
          </cell>
        </row>
        <row r="6337">
          <cell r="CJ6337" t="str">
            <v xml:space="preserve">NFT-/XUTR/DEUTH02432540165X </v>
          </cell>
          <cell r="CK6337" t="str">
            <v>2024-11-20</v>
          </cell>
          <cell r="CL6337">
            <v>79549.78</v>
          </cell>
          <cell r="CM6337" t="str">
            <v xml:space="preserve">NFT-/XUTR/DEUTH02432567146X </v>
          </cell>
          <cell r="CN6337" t="str">
            <v>2024-11-20</v>
          </cell>
          <cell r="CO6337">
            <v>2911.7240000000002</v>
          </cell>
        </row>
        <row r="6338">
          <cell r="CJ6338" t="str">
            <v xml:space="preserve">NFT-/XUTR/DEUTH02432540165X </v>
          </cell>
          <cell r="CK6338" t="str">
            <v>2024-11-20</v>
          </cell>
          <cell r="CL6338">
            <v>79568.66</v>
          </cell>
          <cell r="CM6338" t="str">
            <v xml:space="preserve">NFT-/XUTR/DEUTH02432567146X </v>
          </cell>
          <cell r="CN6338" t="str">
            <v>2024-11-20</v>
          </cell>
          <cell r="CO6338">
            <v>2911.7240000000002</v>
          </cell>
        </row>
        <row r="6339">
          <cell r="CJ6339" t="str">
            <v xml:space="preserve">NFT-/XUTR/DEUTH02432540165X </v>
          </cell>
          <cell r="CK6339" t="str">
            <v>2024-11-20</v>
          </cell>
          <cell r="CL6339">
            <v>79568.66</v>
          </cell>
          <cell r="CM6339" t="str">
            <v xml:space="preserve">NFT-/XUTR/DEUTH02432567146X </v>
          </cell>
          <cell r="CN6339" t="str">
            <v>2024-11-20</v>
          </cell>
          <cell r="CO6339">
            <v>2911.723</v>
          </cell>
        </row>
        <row r="6340">
          <cell r="CJ6340" t="str">
            <v xml:space="preserve">NFT-/XUTR/DEUTH02432540165X </v>
          </cell>
          <cell r="CK6340" t="str">
            <v>2024-11-20</v>
          </cell>
          <cell r="CL6340">
            <v>79568.66</v>
          </cell>
          <cell r="CM6340" t="str">
            <v xml:space="preserve">NFT-/XUTR/DEUTH02432567146X </v>
          </cell>
          <cell r="CN6340" t="str">
            <v>2024-11-20</v>
          </cell>
          <cell r="CO6340">
            <v>2911.7240000000002</v>
          </cell>
        </row>
        <row r="6341">
          <cell r="CJ6341" t="str">
            <v xml:space="preserve">NFT-/XUTR/DEUTH02432540165X </v>
          </cell>
          <cell r="CK6341" t="str">
            <v>2024-11-20</v>
          </cell>
          <cell r="CL6341">
            <v>15828.111000000001</v>
          </cell>
          <cell r="CM6341" t="str">
            <v xml:space="preserve">NFT-/XUTR/DEUTH02432567146X </v>
          </cell>
          <cell r="CN6341" t="str">
            <v>2024-11-20</v>
          </cell>
          <cell r="CO6341">
            <v>837.60299999999995</v>
          </cell>
        </row>
        <row r="6342">
          <cell r="CJ6342" t="str">
            <v xml:space="preserve">NFT-/XUTR/DEUTH02432540165X </v>
          </cell>
          <cell r="CK6342" t="str">
            <v>2024-11-20</v>
          </cell>
          <cell r="CL6342">
            <v>58827.485999999997</v>
          </cell>
          <cell r="CM6342" t="str">
            <v xml:space="preserve">NFT-/XUTR/DEUTH02432567146X </v>
          </cell>
          <cell r="CN6342" t="str">
            <v>2024-11-20</v>
          </cell>
          <cell r="CO6342">
            <v>2911.7240000000002</v>
          </cell>
        </row>
        <row r="6343">
          <cell r="CJ6343" t="str">
            <v xml:space="preserve">NFT-/XUTR/DEUTH02432540165X </v>
          </cell>
          <cell r="CK6343" t="str">
            <v>2024-11-20</v>
          </cell>
          <cell r="CL6343">
            <v>15828.111000000001</v>
          </cell>
          <cell r="CM6343" t="str">
            <v xml:space="preserve">NFT-/XUTR/DEUTH02432567146X </v>
          </cell>
          <cell r="CN6343" t="str">
            <v>2024-11-20</v>
          </cell>
          <cell r="CO6343">
            <v>837.60299999999995</v>
          </cell>
        </row>
        <row r="6344">
          <cell r="CJ6344" t="str">
            <v xml:space="preserve">NFT-/XUTR/DEUTH02432540165X </v>
          </cell>
          <cell r="CK6344" t="str">
            <v>2024-11-20</v>
          </cell>
          <cell r="CL6344">
            <v>5566.2219999999998</v>
          </cell>
          <cell r="CM6344" t="str">
            <v xml:space="preserve">NFT-/XUTR/DEUTH02432567146X </v>
          </cell>
          <cell r="CN6344" t="str">
            <v>2024-11-20</v>
          </cell>
          <cell r="CO6344">
            <v>296.99799999999999</v>
          </cell>
          <cell r="CP6344" t="str">
            <v xml:space="preserve">NFT-/XUTR/DEUTH02432756454X </v>
          </cell>
          <cell r="CQ6344" t="str">
            <v>2024-11-22</v>
          </cell>
          <cell r="CR6344">
            <v>-5566.2219999999998</v>
          </cell>
          <cell r="CV6344" t="str">
            <v xml:space="preserve">NFT-/XUTR/DEUTH02433956210X </v>
          </cell>
          <cell r="CW6344" t="str">
            <v>2024-12-04</v>
          </cell>
          <cell r="CX6344">
            <v>-296.99799999999999</v>
          </cell>
        </row>
        <row r="6345">
          <cell r="CJ6345" t="str">
            <v xml:space="preserve">NFT-/XUTR/DEUTH02432540165X </v>
          </cell>
          <cell r="CK6345" t="str">
            <v>2024-11-20</v>
          </cell>
          <cell r="CL6345">
            <v>79549.78</v>
          </cell>
          <cell r="CM6345" t="str">
            <v xml:space="preserve">NFT-/XUTR/DEUTH02432567146X </v>
          </cell>
          <cell r="CN6345" t="str">
            <v>2024-11-20</v>
          </cell>
          <cell r="CO6345">
            <v>2911.7240000000002</v>
          </cell>
        </row>
        <row r="6346">
          <cell r="CJ6346" t="str">
            <v xml:space="preserve">NFT-/XUTR/DEUTH02432540165X </v>
          </cell>
          <cell r="CK6346" t="str">
            <v>2024-11-20</v>
          </cell>
          <cell r="CL6346">
            <v>49997.142</v>
          </cell>
        </row>
        <row r="6347">
          <cell r="CJ6347" t="str">
            <v xml:space="preserve">NFT-/XUTR/DEUTH02432540165X </v>
          </cell>
          <cell r="CK6347" t="str">
            <v>2024-11-20</v>
          </cell>
          <cell r="CL6347">
            <v>79549.78</v>
          </cell>
          <cell r="CM6347" t="str">
            <v xml:space="preserve">NFT-/XUTR/DEUTH02432567146X </v>
          </cell>
          <cell r="CN6347" t="str">
            <v>2024-11-20</v>
          </cell>
          <cell r="CO6347">
            <v>2911.7240000000002</v>
          </cell>
        </row>
        <row r="6349">
          <cell r="CJ6349" t="str">
            <v xml:space="preserve">NFT-/XUTR/DEUTH02432540165X </v>
          </cell>
          <cell r="CK6349" t="str">
            <v>2024-11-20</v>
          </cell>
          <cell r="CL6349">
            <v>15828.111000000001</v>
          </cell>
          <cell r="CM6349" t="str">
            <v xml:space="preserve">NFT-/XUTR/DEUTH02432567146X </v>
          </cell>
          <cell r="CN6349" t="str">
            <v>2024-11-20</v>
          </cell>
          <cell r="CO6349">
            <v>837.60299999999995</v>
          </cell>
        </row>
        <row r="6350">
          <cell r="CJ6350" t="str">
            <v xml:space="preserve">NFT-/XUTR/DEUTH02432540165X </v>
          </cell>
          <cell r="CK6350" t="str">
            <v>2024-11-20</v>
          </cell>
          <cell r="CL6350">
            <v>58808.606</v>
          </cell>
          <cell r="CM6350" t="str">
            <v xml:space="preserve">NFT-/XUTR/DEUTH02432567146X </v>
          </cell>
          <cell r="CN6350" t="str">
            <v>2024-11-20</v>
          </cell>
          <cell r="CO6350">
            <v>2911.7240000000002</v>
          </cell>
        </row>
        <row r="6351">
          <cell r="CJ6351" t="str">
            <v xml:space="preserve">NFT-/XUTR/DEUTH02432540165X </v>
          </cell>
          <cell r="CK6351" t="str">
            <v>2024-11-20</v>
          </cell>
          <cell r="CL6351">
            <v>79549.78</v>
          </cell>
          <cell r="CM6351" t="str">
            <v xml:space="preserve">NFT-/XUTR/DEUTH02432567146X </v>
          </cell>
          <cell r="CN6351" t="str">
            <v>2024-11-20</v>
          </cell>
          <cell r="CO6351">
            <v>2911.7240000000002</v>
          </cell>
        </row>
        <row r="6352">
          <cell r="CJ6352" t="str">
            <v xml:space="preserve">NFT-/XUTR/DEUTH02432540165X </v>
          </cell>
          <cell r="CK6352" t="str">
            <v>2024-11-20</v>
          </cell>
          <cell r="CL6352">
            <v>58808.606</v>
          </cell>
          <cell r="CM6352" t="str">
            <v xml:space="preserve">NFT-/XUTR/DEUTH02432567146X </v>
          </cell>
          <cell r="CN6352" t="str">
            <v>2024-11-20</v>
          </cell>
          <cell r="CO6352">
            <v>2911.7240000000002</v>
          </cell>
        </row>
        <row r="6353">
          <cell r="CJ6353" t="str">
            <v xml:space="preserve">NFT-/XUTR/DEUTH02432540165X </v>
          </cell>
          <cell r="CK6353" t="str">
            <v>2024-11-20</v>
          </cell>
          <cell r="CL6353">
            <v>15809.231</v>
          </cell>
          <cell r="CM6353" t="str">
            <v xml:space="preserve">NFT-/XUTR/DEUTH02432567146X </v>
          </cell>
          <cell r="CN6353" t="str">
            <v>2024-11-20</v>
          </cell>
          <cell r="CO6353">
            <v>837.60299999999995</v>
          </cell>
        </row>
        <row r="6354">
          <cell r="CJ6354" t="str">
            <v xml:space="preserve">NFT-/XUTR/DEUTH02432540165X </v>
          </cell>
          <cell r="CK6354" t="str">
            <v>2024-11-20</v>
          </cell>
          <cell r="CL6354">
            <v>79568.66</v>
          </cell>
          <cell r="CM6354" t="str">
            <v xml:space="preserve">NFT-/XUTR/DEUTH02432567146X </v>
          </cell>
          <cell r="CN6354" t="str">
            <v>2024-11-20</v>
          </cell>
          <cell r="CO6354">
            <v>2911.7240000000002</v>
          </cell>
        </row>
        <row r="6355">
          <cell r="CJ6355" t="str">
            <v xml:space="preserve">NFT-/XUTR/DEUTH02432540165X </v>
          </cell>
          <cell r="CK6355" t="str">
            <v>2024-11-20</v>
          </cell>
          <cell r="CL6355">
            <v>7649.0720000000001</v>
          </cell>
          <cell r="CM6355" t="str">
            <v xml:space="preserve">NFT-/XUTR/DEUTH02432567146X </v>
          </cell>
          <cell r="CN6355" t="str">
            <v>2024-11-20</v>
          </cell>
          <cell r="CO6355">
            <v>834.69100000000003</v>
          </cell>
        </row>
        <row r="6356">
          <cell r="CJ6356" t="str">
            <v xml:space="preserve">NFT-/XUTR/DEUTH02432540165X </v>
          </cell>
          <cell r="CK6356" t="str">
            <v>2024-11-20</v>
          </cell>
          <cell r="CL6356">
            <v>79598.31</v>
          </cell>
          <cell r="CM6356" t="str">
            <v xml:space="preserve">NFT-/XUTR/DEUTH02432567146X </v>
          </cell>
          <cell r="CN6356" t="str">
            <v>2024-11-20</v>
          </cell>
          <cell r="CO6356">
            <v>2911.7240000000002</v>
          </cell>
        </row>
        <row r="6357">
          <cell r="CJ6357" t="str">
            <v xml:space="preserve">NFT-/XUTR/DEUTH02432540165X </v>
          </cell>
          <cell r="CK6357" t="str">
            <v>2024-11-20</v>
          </cell>
          <cell r="CL6357">
            <v>10803.439</v>
          </cell>
          <cell r="CM6357" t="str">
            <v xml:space="preserve">NFT-/XUTR/DEUTH02432567146X </v>
          </cell>
          <cell r="CN6357" t="str">
            <v>2024-11-20</v>
          </cell>
          <cell r="CO6357">
            <v>572.64300000000003</v>
          </cell>
        </row>
        <row r="6358">
          <cell r="CJ6358" t="str">
            <v xml:space="preserve">NFT-/XUTR/DEUTH02432540165X </v>
          </cell>
          <cell r="CK6358" t="str">
            <v>2024-11-20</v>
          </cell>
          <cell r="CL6358">
            <v>10489.95</v>
          </cell>
          <cell r="CM6358" t="str">
            <v xml:space="preserve">NFT-/XUTR/DEUTH02432567146X </v>
          </cell>
          <cell r="CN6358" t="str">
            <v>2024-11-20</v>
          </cell>
          <cell r="CO6358">
            <v>556.14200000000005</v>
          </cell>
        </row>
        <row r="6359">
          <cell r="CJ6359" t="str">
            <v xml:space="preserve">NFT-/XUTR/DEUTH02432540165X </v>
          </cell>
          <cell r="CK6359" t="str">
            <v>2024-11-20</v>
          </cell>
          <cell r="CL6359">
            <v>15032.237999999999</v>
          </cell>
          <cell r="CM6359" t="str">
            <v xml:space="preserve">NFT-/XUTR/DEUTH02432567146X </v>
          </cell>
          <cell r="CN6359" t="str">
            <v>2024-11-20</v>
          </cell>
          <cell r="CO6359">
            <v>1633.4760000000001</v>
          </cell>
        </row>
        <row r="6360">
          <cell r="CJ6360" t="str">
            <v xml:space="preserve">NFT-/XUTR/DEUTH02432540165X </v>
          </cell>
          <cell r="CK6360" t="str">
            <v>2024-11-20</v>
          </cell>
          <cell r="CL6360">
            <v>79549.78</v>
          </cell>
          <cell r="CM6360" t="str">
            <v xml:space="preserve">NFT-/XUTR/DEUTH02432567146X </v>
          </cell>
          <cell r="CN6360" t="str">
            <v>2024-11-20</v>
          </cell>
          <cell r="CO6360">
            <v>2911.7240000000002</v>
          </cell>
        </row>
        <row r="6361">
          <cell r="CJ6361" t="str">
            <v xml:space="preserve">NFT-/XUTR/DEUTH02432540165X </v>
          </cell>
          <cell r="CK6361" t="str">
            <v>2024-11-20</v>
          </cell>
          <cell r="CL6361">
            <v>8055.7510000000002</v>
          </cell>
          <cell r="CM6361" t="str">
            <v xml:space="preserve">NFT-/XUTR/DEUTH02432567146X </v>
          </cell>
          <cell r="CN6361" t="str">
            <v>2024-11-20</v>
          </cell>
          <cell r="CO6361">
            <v>428.02199999999999</v>
          </cell>
        </row>
        <row r="6362">
          <cell r="CJ6362" t="str">
            <v xml:space="preserve">NFT-/XUTR/DEUTH02432540165X </v>
          </cell>
          <cell r="CK6362" t="str">
            <v>2024-11-20</v>
          </cell>
          <cell r="CL6362">
            <v>50669.946000000004</v>
          </cell>
          <cell r="CM6362" t="str">
            <v xml:space="preserve">NFT-/XUTR/DEUTH02432567146X </v>
          </cell>
          <cell r="CN6362" t="str">
            <v>2024-11-20</v>
          </cell>
          <cell r="CO6362">
            <v>2673.931</v>
          </cell>
        </row>
        <row r="6363">
          <cell r="CJ6363" t="str">
            <v xml:space="preserve">NFT-/XUTR/DEUTH02432540165X </v>
          </cell>
          <cell r="CK6363" t="str">
            <v>2024-11-20</v>
          </cell>
          <cell r="CL6363">
            <v>50712.425999999999</v>
          </cell>
          <cell r="CM6363" t="str">
            <v xml:space="preserve">NFT-/XUTR/DEUTH02432567146X </v>
          </cell>
          <cell r="CN6363" t="str">
            <v>2024-11-20</v>
          </cell>
          <cell r="CO6363">
            <v>2673.931</v>
          </cell>
        </row>
        <row r="6364">
          <cell r="CJ6364" t="str">
            <v xml:space="preserve">NFT-/XUTR/DEUTH02432540165X </v>
          </cell>
          <cell r="CK6364" t="str">
            <v>2024-11-20</v>
          </cell>
          <cell r="CL6364">
            <v>58808.606</v>
          </cell>
          <cell r="CM6364" t="str">
            <v xml:space="preserve">NFT-/XUTR/DEUTH02432567146X </v>
          </cell>
          <cell r="CN6364" t="str">
            <v>2024-11-20</v>
          </cell>
          <cell r="CO6364">
            <v>2911.7240000000002</v>
          </cell>
        </row>
        <row r="6365">
          <cell r="CJ6365" t="str">
            <v xml:space="preserve">NFT-/XUTR/DEUTH02432540165X </v>
          </cell>
          <cell r="CK6365" t="str">
            <v>2024-11-20</v>
          </cell>
          <cell r="CL6365">
            <v>79549.78</v>
          </cell>
          <cell r="CM6365" t="str">
            <v xml:space="preserve">NFT-/XUTR/DEUTH02432567146X </v>
          </cell>
          <cell r="CN6365" t="str">
            <v>2024-11-20</v>
          </cell>
          <cell r="CO6365">
            <v>2911.7240000000002</v>
          </cell>
        </row>
        <row r="6366">
          <cell r="CJ6366" t="str">
            <v xml:space="preserve">NFT-/XUTR/DEUTH02432540165X </v>
          </cell>
          <cell r="CK6366" t="str">
            <v>2024-11-20</v>
          </cell>
          <cell r="CL6366">
            <v>15828.111999999999</v>
          </cell>
          <cell r="CM6366" t="str">
            <v xml:space="preserve">NFT-/XUTR/DEUTH02432567146X </v>
          </cell>
          <cell r="CN6366" t="str">
            <v>2024-11-20</v>
          </cell>
          <cell r="CO6366">
            <v>837.60199999999998</v>
          </cell>
        </row>
        <row r="6367">
          <cell r="CJ6367" t="str">
            <v xml:space="preserve">NFT-/XUTR/DEUTH02432540165X </v>
          </cell>
          <cell r="CK6367" t="str">
            <v>2024-11-20</v>
          </cell>
          <cell r="CL6367">
            <v>79568.66</v>
          </cell>
          <cell r="CM6367" t="str">
            <v xml:space="preserve">NFT-/XUTR/DEUTH02432567146X </v>
          </cell>
          <cell r="CN6367" t="str">
            <v>2024-11-20</v>
          </cell>
          <cell r="CO6367">
            <v>2911.723</v>
          </cell>
        </row>
        <row r="6368">
          <cell r="CJ6368" t="str">
            <v xml:space="preserve">NFT-/XUTR/DEUTH02432540165X </v>
          </cell>
          <cell r="CK6368" t="str">
            <v>2024-11-20</v>
          </cell>
          <cell r="CL6368">
            <v>64166.17</v>
          </cell>
          <cell r="CM6368" t="str">
            <v xml:space="preserve">NFT-/XUTR/DEUTH02432567146X </v>
          </cell>
          <cell r="CN6368" t="str">
            <v>2024-11-20</v>
          </cell>
          <cell r="CO6368">
            <v>2911.7240000000002</v>
          </cell>
        </row>
        <row r="6369">
          <cell r="CJ6369" t="str">
            <v xml:space="preserve">NFT-/XUTR/DEUTH02432540165X </v>
          </cell>
          <cell r="CK6369" t="str">
            <v>2024-11-20</v>
          </cell>
          <cell r="CL6369">
            <v>79549.78</v>
          </cell>
          <cell r="CM6369" t="str">
            <v xml:space="preserve">NFT-/XUTR/DEUTH02432567146X </v>
          </cell>
          <cell r="CN6369" t="str">
            <v>2024-11-20</v>
          </cell>
          <cell r="CO6369">
            <v>2911.7240000000002</v>
          </cell>
        </row>
        <row r="6370">
          <cell r="CJ6370" t="str">
            <v xml:space="preserve">NFT-/XUTR/DEUTH02432540165X </v>
          </cell>
          <cell r="CK6370" t="str">
            <v>2024-11-20</v>
          </cell>
          <cell r="CL6370">
            <v>79549.78</v>
          </cell>
          <cell r="CM6370" t="str">
            <v xml:space="preserve">NFT-/XUTR/DEUTH02432567146X </v>
          </cell>
          <cell r="CN6370" t="str">
            <v>2024-11-20</v>
          </cell>
          <cell r="CO6370">
            <v>2911.7240000000002</v>
          </cell>
        </row>
        <row r="6371">
          <cell r="CJ6371" t="str">
            <v xml:space="preserve">NFT-/XUTR/DEUTH02432540165X </v>
          </cell>
          <cell r="CK6371" t="str">
            <v>2024-11-20</v>
          </cell>
          <cell r="CL6371">
            <v>50694.726000000002</v>
          </cell>
          <cell r="CM6371" t="str">
            <v xml:space="preserve">NFT-/XUTR/DEUTH02432567146X </v>
          </cell>
          <cell r="CN6371" t="str">
            <v>2024-11-20</v>
          </cell>
          <cell r="CO6371">
            <v>2673.931</v>
          </cell>
        </row>
        <row r="6372">
          <cell r="CJ6372" t="str">
            <v xml:space="preserve">NFT-/XUTR/DEUTH02432540165X </v>
          </cell>
          <cell r="CK6372" t="str">
            <v>2024-11-20</v>
          </cell>
          <cell r="CL6372">
            <v>15809.231</v>
          </cell>
          <cell r="CM6372" t="str">
            <v xml:space="preserve">NFT-/XUTR/DEUTH02432567146X </v>
          </cell>
          <cell r="CN6372" t="str">
            <v>2024-11-20</v>
          </cell>
          <cell r="CO6372">
            <v>837.60299999999995</v>
          </cell>
        </row>
        <row r="6373">
          <cell r="CJ6373" t="str">
            <v xml:space="preserve">NFT-/XUTR/DEUTH02432540165X </v>
          </cell>
          <cell r="CK6373" t="str">
            <v>2024-11-20</v>
          </cell>
          <cell r="CL6373">
            <v>79568.66</v>
          </cell>
          <cell r="CM6373" t="str">
            <v xml:space="preserve">NFT-/XUTR/DEUTH02432567146X </v>
          </cell>
          <cell r="CN6373" t="str">
            <v>2024-11-20</v>
          </cell>
          <cell r="CO6373">
            <v>2911.7240000000002</v>
          </cell>
        </row>
        <row r="6374">
          <cell r="CJ6374" t="str">
            <v xml:space="preserve">NFT-/XUTR/DEUTH02432540165X </v>
          </cell>
          <cell r="CK6374" t="str">
            <v>2024-11-20</v>
          </cell>
          <cell r="CL6374">
            <v>79549.78</v>
          </cell>
          <cell r="CM6374" t="str">
            <v xml:space="preserve">NFT-/XUTR/DEUTH02432567146X </v>
          </cell>
          <cell r="CN6374" t="str">
            <v>2024-11-20</v>
          </cell>
          <cell r="CO6374">
            <v>2911.7240000000002</v>
          </cell>
        </row>
        <row r="6375">
          <cell r="CJ6375" t="str">
            <v xml:space="preserve">NFT-/XUTR/DEUTH02432540165X </v>
          </cell>
          <cell r="CK6375" t="str">
            <v>2024-11-20</v>
          </cell>
          <cell r="CL6375">
            <v>4079.2570000000001</v>
          </cell>
        </row>
        <row r="6376">
          <cell r="CJ6376" t="str">
            <v xml:space="preserve">NFT-/XUTR/DEUTH02432540165X </v>
          </cell>
          <cell r="CK6376" t="str">
            <v>2024-11-20</v>
          </cell>
          <cell r="CL6376">
            <v>9981.2919999999995</v>
          </cell>
        </row>
        <row r="6377">
          <cell r="CJ6377" t="str">
            <v xml:space="preserve">NFT-/XUTR/DEUTH02432540165X </v>
          </cell>
          <cell r="CK6377" t="str">
            <v>2024-11-20</v>
          </cell>
          <cell r="CL6377">
            <v>78957.733999999997</v>
          </cell>
          <cell r="CM6377" t="str">
            <v xml:space="preserve">NFT-/XUTR/DEUTH02432567146X </v>
          </cell>
          <cell r="CN6377" t="str">
            <v>2024-11-20</v>
          </cell>
          <cell r="CO6377">
            <v>4610.2299999999996</v>
          </cell>
        </row>
        <row r="6378">
          <cell r="CJ6378" t="str">
            <v xml:space="preserve">NFT-/XUTR/DEUTH02432540165X </v>
          </cell>
          <cell r="CK6378" t="str">
            <v>2024-11-20</v>
          </cell>
          <cell r="CL6378">
            <v>10712.207</v>
          </cell>
          <cell r="CM6378" t="str">
            <v xml:space="preserve">NFT-/XUTR/DEUTH02432567146X </v>
          </cell>
          <cell r="CN6378" t="str">
            <v>2024-11-20</v>
          </cell>
          <cell r="CO6378">
            <v>557.10699999999997</v>
          </cell>
        </row>
        <row r="6379">
          <cell r="CJ6379" t="str">
            <v xml:space="preserve">NFT-/XUTR/DEUTH02432540165X </v>
          </cell>
          <cell r="CK6379" t="str">
            <v>2024-11-20</v>
          </cell>
          <cell r="CL6379">
            <v>10489.95</v>
          </cell>
          <cell r="CM6379" t="str">
            <v xml:space="preserve">NFT-/XUTR/DEUTH02432567146X </v>
          </cell>
          <cell r="CN6379" t="str">
            <v>2024-11-20</v>
          </cell>
          <cell r="CO6379">
            <v>556.14200000000005</v>
          </cell>
        </row>
        <row r="6380">
          <cell r="CJ6380" t="str">
            <v xml:space="preserve">NFT-/XUTR/DEUTH02432540165X </v>
          </cell>
          <cell r="CK6380" t="str">
            <v>2024-11-20</v>
          </cell>
          <cell r="CL6380">
            <v>10701.53</v>
          </cell>
          <cell r="CM6380" t="str">
            <v xml:space="preserve">NFT-/XUTR/DEUTH02432567146X </v>
          </cell>
          <cell r="CN6380" t="str">
            <v>2024-11-20</v>
          </cell>
          <cell r="CO6380">
            <v>567.78200000000004</v>
          </cell>
        </row>
        <row r="6381">
          <cell r="CJ6381" t="str">
            <v xml:space="preserve">NFT-/XUTR/DEUTH02432540165X </v>
          </cell>
          <cell r="CK6381" t="str">
            <v>2024-11-20</v>
          </cell>
          <cell r="CL6381">
            <v>51818.885999999999</v>
          </cell>
          <cell r="CM6381" t="str">
            <v xml:space="preserve">NFT-/XUTR/DEUTH02432567146X </v>
          </cell>
          <cell r="CN6381" t="str">
            <v>2024-11-20</v>
          </cell>
          <cell r="CO6381">
            <v>2732.172</v>
          </cell>
        </row>
        <row r="6382">
          <cell r="CJ6382" t="str">
            <v xml:space="preserve">NFT-/XUTR/DEUTH02432540165X </v>
          </cell>
          <cell r="CK6382" t="str">
            <v>2024-11-20</v>
          </cell>
          <cell r="CL6382">
            <v>51776.406000000003</v>
          </cell>
          <cell r="CM6382" t="str">
            <v xml:space="preserve">NFT-/XUTR/DEUTH02432567146X </v>
          </cell>
          <cell r="CN6382" t="str">
            <v>2024-11-20</v>
          </cell>
          <cell r="CO6382">
            <v>2732.172</v>
          </cell>
        </row>
        <row r="6383">
          <cell r="CJ6383" t="str">
            <v xml:space="preserve">NFT-/XUTR/DEUTH02432540165X </v>
          </cell>
          <cell r="CK6383" t="str">
            <v>2024-11-20</v>
          </cell>
          <cell r="CL6383">
            <v>8166.3860000000004</v>
          </cell>
          <cell r="CM6383" t="str">
            <v xml:space="preserve">NFT-/XUTR/DEUTH02432567146X </v>
          </cell>
          <cell r="CN6383" t="str">
            <v>2024-11-20</v>
          </cell>
          <cell r="CO6383">
            <v>433.846</v>
          </cell>
        </row>
        <row r="6384">
          <cell r="CJ6384" t="str">
            <v xml:space="preserve">NFT-/XUTR/DEUTH02432540165X </v>
          </cell>
          <cell r="CK6384" t="str">
            <v>2024-11-20</v>
          </cell>
          <cell r="CL6384">
            <v>8166.3860000000004</v>
          </cell>
          <cell r="CM6384" t="str">
            <v xml:space="preserve">NFT-/XUTR/DEUTH02432567146X </v>
          </cell>
          <cell r="CN6384" t="str">
            <v>2024-11-20</v>
          </cell>
          <cell r="CO6384">
            <v>433.846</v>
          </cell>
        </row>
        <row r="6386">
          <cell r="CJ6386" t="str">
            <v xml:space="preserve">NFT-/XUTR/DEUTH02432540165X </v>
          </cell>
          <cell r="CK6386" t="str">
            <v>2024-11-20</v>
          </cell>
          <cell r="CL6386">
            <v>8147.5060000000003</v>
          </cell>
          <cell r="CM6386" t="str">
            <v xml:space="preserve">NFT-/XUTR/DEUTH02432567146X </v>
          </cell>
          <cell r="CN6386" t="str">
            <v>2024-11-20</v>
          </cell>
          <cell r="CO6386">
            <v>433.846</v>
          </cell>
        </row>
        <row r="6387">
          <cell r="CJ6387" t="str">
            <v xml:space="preserve">NFT-/XUTR/DEUTH02432540165X </v>
          </cell>
          <cell r="CK6387" t="str">
            <v>2024-11-20</v>
          </cell>
          <cell r="CL6387">
            <v>172007.14799999999</v>
          </cell>
        </row>
        <row r="6390">
          <cell r="CJ6390" t="str">
            <v xml:space="preserve">NFT-/XUTR/DEUTH02432540165X </v>
          </cell>
          <cell r="CK6390" t="str">
            <v>2024-11-20</v>
          </cell>
          <cell r="CL6390">
            <v>79549.78</v>
          </cell>
          <cell r="CM6390" t="str">
            <v xml:space="preserve">NFT-/XUTR/DEUTH02432567146X </v>
          </cell>
          <cell r="CN6390" t="str">
            <v>2024-11-20</v>
          </cell>
          <cell r="CO6390">
            <v>2911.7240000000002</v>
          </cell>
        </row>
        <row r="6391">
          <cell r="CJ6391" t="str">
            <v xml:space="preserve">NFT-/XUTR/DEUTH02432540165X </v>
          </cell>
          <cell r="CK6391" t="str">
            <v>2024-11-20</v>
          </cell>
          <cell r="CL6391">
            <v>7279.8140000000003</v>
          </cell>
          <cell r="CM6391" t="str">
            <v xml:space="preserve">NFT-/XUTR/DEUTH02432567146X </v>
          </cell>
          <cell r="CN6391" t="str">
            <v>2024-11-20</v>
          </cell>
          <cell r="CO6391">
            <v>1301.538</v>
          </cell>
        </row>
        <row r="6392">
          <cell r="CJ6392" t="str">
            <v xml:space="preserve">NFT-/XUTR/DEUTH02432540165X </v>
          </cell>
          <cell r="CK6392" t="str">
            <v>2024-11-20</v>
          </cell>
          <cell r="CL6392">
            <v>40831.949999999997</v>
          </cell>
          <cell r="CM6392" t="str">
            <v xml:space="preserve">NFT-/XUTR/DEUTH02432567146X </v>
          </cell>
          <cell r="CN6392" t="str">
            <v>2024-11-20</v>
          </cell>
          <cell r="CO6392">
            <v>2169.2399999999998</v>
          </cell>
        </row>
        <row r="6393">
          <cell r="CJ6393" t="str">
            <v xml:space="preserve">NFT-/XUTR/DEUTH02432540165X </v>
          </cell>
          <cell r="CK6393" t="str">
            <v>2024-11-20</v>
          </cell>
          <cell r="CL6393">
            <v>80704.769</v>
          </cell>
          <cell r="CM6393" t="str">
            <v xml:space="preserve">NFT-/XUTR/DEUTH02432567146X </v>
          </cell>
          <cell r="CN6393" t="str">
            <v>2024-11-20</v>
          </cell>
          <cell r="CO6393">
            <v>2911.7240000000002</v>
          </cell>
        </row>
        <row r="6394">
          <cell r="CJ6394" t="str">
            <v xml:space="preserve">NFT-/XUTR/DEUTH02432540165X </v>
          </cell>
          <cell r="CK6394" t="str">
            <v>2024-11-20</v>
          </cell>
          <cell r="CL6394">
            <v>16332.781999999999</v>
          </cell>
          <cell r="CM6394" t="str">
            <v xml:space="preserve">NFT-/XUTR/DEUTH02432567146X </v>
          </cell>
          <cell r="CN6394" t="str">
            <v>2024-11-20</v>
          </cell>
          <cell r="CO6394">
            <v>867.69200000000001</v>
          </cell>
        </row>
        <row r="6395">
          <cell r="CJ6395" t="str">
            <v xml:space="preserve">NFT-/XUTR/DEUTH02432540165X </v>
          </cell>
          <cell r="CK6395" t="str">
            <v>2024-11-20</v>
          </cell>
          <cell r="CL6395">
            <v>24499.178</v>
          </cell>
          <cell r="CM6395" t="str">
            <v xml:space="preserve">NFT-/XUTR/DEUTH02432567146X </v>
          </cell>
          <cell r="CN6395" t="str">
            <v>2024-11-20</v>
          </cell>
          <cell r="CO6395">
            <v>1301.538</v>
          </cell>
        </row>
        <row r="6396">
          <cell r="CJ6396" t="str">
            <v xml:space="preserve">NFT-/XUTR/DEUTH02432540165X </v>
          </cell>
          <cell r="CK6396" t="str">
            <v>2024-11-20</v>
          </cell>
          <cell r="CL6396">
            <v>16332.781999999999</v>
          </cell>
          <cell r="CM6396" t="str">
            <v xml:space="preserve">NFT-/XUTR/DEUTH02432567146X </v>
          </cell>
          <cell r="CN6396" t="str">
            <v>2024-11-20</v>
          </cell>
          <cell r="CO6396">
            <v>867.69200000000001</v>
          </cell>
        </row>
        <row r="6397">
          <cell r="CJ6397" t="str">
            <v xml:space="preserve">NFT-/XUTR/DEUTH02432540165X </v>
          </cell>
          <cell r="CK6397" t="str">
            <v>2024-11-20</v>
          </cell>
          <cell r="CL6397">
            <v>1379.162</v>
          </cell>
        </row>
        <row r="6398">
          <cell r="CJ6398" t="str">
            <v xml:space="preserve">NFT-/XUTR/DEUTH02432540165X </v>
          </cell>
          <cell r="CK6398" t="str">
            <v>2024-11-20</v>
          </cell>
          <cell r="CL6398">
            <v>80656.240000000005</v>
          </cell>
          <cell r="CM6398" t="str">
            <v xml:space="preserve">NFT-/XUTR/DEUTH02432567146X </v>
          </cell>
          <cell r="CN6398" t="str">
            <v>2024-11-20</v>
          </cell>
          <cell r="CO6398">
            <v>2911.7240000000002</v>
          </cell>
        </row>
        <row r="6399">
          <cell r="CJ6399" t="str">
            <v xml:space="preserve">NFT-/XUTR/DEUTH02432540165X </v>
          </cell>
          <cell r="CK6399" t="str">
            <v>2024-11-20</v>
          </cell>
          <cell r="CL6399">
            <v>79358.577999999994</v>
          </cell>
          <cell r="CM6399" t="str">
            <v xml:space="preserve">NFT-/XUTR/DEUTH02432567146X </v>
          </cell>
          <cell r="CN6399" t="str">
            <v>2024-11-20</v>
          </cell>
          <cell r="CO6399">
            <v>3151.4549999999999</v>
          </cell>
        </row>
        <row r="6400">
          <cell r="CJ6400" t="str">
            <v xml:space="preserve">NFT-/XUTR/DEUTH02432540165X </v>
          </cell>
          <cell r="CK6400" t="str">
            <v>2024-11-20</v>
          </cell>
          <cell r="CL6400">
            <v>40693.165000000001</v>
          </cell>
          <cell r="CM6400" t="str">
            <v xml:space="preserve">NFT-/XUTR/DEUTH02432567146X </v>
          </cell>
          <cell r="CN6400" t="str">
            <v>2024-11-20</v>
          </cell>
          <cell r="CO6400">
            <v>2159.5300000000002</v>
          </cell>
        </row>
        <row r="6401">
          <cell r="CJ6401" t="str">
            <v xml:space="preserve">NFT-/XUTR/DEUTH02432540165X </v>
          </cell>
          <cell r="CK6401" t="str">
            <v>2024-11-20</v>
          </cell>
          <cell r="CL6401">
            <v>24415.699000000001</v>
          </cell>
          <cell r="CM6401" t="str">
            <v xml:space="preserve">NFT-/XUTR/DEUTH02432567146X </v>
          </cell>
          <cell r="CN6401" t="str">
            <v>2024-11-20</v>
          </cell>
          <cell r="CO6401">
            <v>1298.626</v>
          </cell>
        </row>
        <row r="6404">
          <cell r="CJ6404" t="str">
            <v xml:space="preserve">NFT-/XUTR/DEUTH02432540165X </v>
          </cell>
          <cell r="CK6404" t="str">
            <v>2024-11-20</v>
          </cell>
          <cell r="CL6404">
            <v>80383.948000000004</v>
          </cell>
          <cell r="CM6404" t="str">
            <v xml:space="preserve">NFT-/XUTR/DEUTH02432567146X </v>
          </cell>
          <cell r="CN6404" t="str">
            <v>2024-11-20</v>
          </cell>
          <cell r="CO6404">
            <v>2911.7240000000002</v>
          </cell>
        </row>
        <row r="6405">
          <cell r="CJ6405" t="str">
            <v xml:space="preserve">NFT-/XUTR/DEUTH02432540165X </v>
          </cell>
          <cell r="CK6405" t="str">
            <v>2024-11-20</v>
          </cell>
          <cell r="CL6405">
            <v>8138.2460000000001</v>
          </cell>
          <cell r="CM6405" t="str">
            <v xml:space="preserve">NFT-/XUTR/DEUTH02432567146X </v>
          </cell>
          <cell r="CN6405" t="str">
            <v>2024-11-20</v>
          </cell>
          <cell r="CO6405">
            <v>432.87200000000001</v>
          </cell>
        </row>
        <row r="6406">
          <cell r="CJ6406" t="str">
            <v xml:space="preserve">NFT-/XUTR/DEUTH02432540165X </v>
          </cell>
          <cell r="CK6406" t="str">
            <v>2024-11-20</v>
          </cell>
          <cell r="CL6406">
            <v>10867.504000000001</v>
          </cell>
          <cell r="CM6406" t="str">
            <v xml:space="preserve">NFT-/XUTR/DEUTH02432567146X </v>
          </cell>
          <cell r="CN6406" t="str">
            <v>2024-11-20</v>
          </cell>
          <cell r="CO6406">
            <v>576.52</v>
          </cell>
          <cell r="CP6406" t="str">
            <v xml:space="preserve">NFT-/XUTR/DEUTH024334A0F3IX </v>
          </cell>
          <cell r="CQ6406" t="str">
            <v>2024-11-29</v>
          </cell>
          <cell r="CR6406">
            <v>-10867.504000000001</v>
          </cell>
          <cell r="CV6406" t="str">
            <v xml:space="preserve">NFT-/XUTR/DEUTH02433956210X </v>
          </cell>
          <cell r="CW6406" t="str">
            <v>2024-12-04</v>
          </cell>
          <cell r="CX6406">
            <v>-576.52</v>
          </cell>
        </row>
        <row r="6407">
          <cell r="CJ6407" t="str">
            <v xml:space="preserve">NFT-/XUTR/DEUTH02432540165X </v>
          </cell>
          <cell r="CK6407" t="str">
            <v>2024-11-20</v>
          </cell>
          <cell r="CL6407">
            <v>40693.165000000001</v>
          </cell>
          <cell r="CM6407" t="str">
            <v xml:space="preserve">NFT-/XUTR/DEUTH02432567146X </v>
          </cell>
          <cell r="CN6407" t="str">
            <v>2024-11-20</v>
          </cell>
          <cell r="CO6407">
            <v>2159.5300000000002</v>
          </cell>
        </row>
        <row r="6408">
          <cell r="CJ6408" t="str">
            <v xml:space="preserve">NFT-/XUTR/DEUTH02432540165X </v>
          </cell>
          <cell r="CK6408" t="str">
            <v>2024-11-20</v>
          </cell>
          <cell r="CL6408">
            <v>79910.31</v>
          </cell>
          <cell r="CM6408" t="str">
            <v xml:space="preserve">NFT-/XUTR/DEUTH02432567146X </v>
          </cell>
          <cell r="CN6408" t="str">
            <v>2024-11-20</v>
          </cell>
          <cell r="CO6408">
            <v>3385.3609999999999</v>
          </cell>
        </row>
        <row r="6409">
          <cell r="CJ6409" t="str">
            <v xml:space="preserve">NFT-/XUTR/DEUTH02432540165X </v>
          </cell>
          <cell r="CK6409" t="str">
            <v>2024-11-20</v>
          </cell>
          <cell r="CL6409">
            <v>7548.67</v>
          </cell>
          <cell r="CM6409" t="str">
            <v xml:space="preserve">NFT-/XUTR/DEUTH02432567146X </v>
          </cell>
          <cell r="CN6409" t="str">
            <v>2024-11-20</v>
          </cell>
          <cell r="CO6409">
            <v>1003.577</v>
          </cell>
        </row>
        <row r="6410">
          <cell r="CJ6410" t="str">
            <v xml:space="preserve">NFT-/XUTR/DEUTH02432540165X </v>
          </cell>
          <cell r="CK6410" t="str">
            <v>2024-11-20</v>
          </cell>
          <cell r="CL6410">
            <v>8138.2460000000001</v>
          </cell>
          <cell r="CM6410" t="str">
            <v xml:space="preserve">NFT-/XUTR/DEUTH02432567146X </v>
          </cell>
          <cell r="CN6410" t="str">
            <v>2024-11-20</v>
          </cell>
          <cell r="CO6410">
            <v>432.87200000000001</v>
          </cell>
        </row>
        <row r="6411">
          <cell r="CJ6411" t="str">
            <v xml:space="preserve">NFT-/XUTR/DEUTH02432540165X </v>
          </cell>
          <cell r="CK6411" t="str">
            <v>2024-11-20</v>
          </cell>
          <cell r="CL6411">
            <v>51072.514999999999</v>
          </cell>
          <cell r="CM6411" t="str">
            <v xml:space="preserve">NFT-/XUTR/DEUTH02432567146X </v>
          </cell>
          <cell r="CN6411" t="str">
            <v>2024-11-20</v>
          </cell>
          <cell r="CO6411">
            <v>2692.3710000000001</v>
          </cell>
          <cell r="CP6411" t="str">
            <v xml:space="preserve">NFT-/XUTR/DEUTH02433037112X </v>
          </cell>
          <cell r="CQ6411" t="str">
            <v>2024-11-25</v>
          </cell>
          <cell r="CR6411">
            <v>-51072.514999999999</v>
          </cell>
          <cell r="CV6411" t="str">
            <v xml:space="preserve">NFT-/XUTR/DEUTH02433956210X </v>
          </cell>
          <cell r="CW6411" t="str">
            <v>2024-12-04</v>
          </cell>
          <cell r="CX6411">
            <v>-2692.3710000000001</v>
          </cell>
        </row>
        <row r="6412">
          <cell r="CJ6412" t="str">
            <v xml:space="preserve">NFT-/XUTR/DEUTH02432540165X </v>
          </cell>
          <cell r="CK6412" t="str">
            <v>2024-11-20</v>
          </cell>
          <cell r="CL6412">
            <v>79394.491999999998</v>
          </cell>
          <cell r="CM6412" t="str">
            <v xml:space="preserve">NFT-/XUTR/DEUTH02432567146X </v>
          </cell>
          <cell r="CN6412" t="str">
            <v>2024-11-20</v>
          </cell>
          <cell r="CO6412">
            <v>3882.299</v>
          </cell>
        </row>
        <row r="6413">
          <cell r="CJ6413" t="str">
            <v xml:space="preserve">NFT-/XUTR/DEUTH02432540165X </v>
          </cell>
          <cell r="CK6413" t="str">
            <v>2024-11-20</v>
          </cell>
          <cell r="CL6413">
            <v>8138.2460000000001</v>
          </cell>
          <cell r="CM6413" t="str">
            <v xml:space="preserve">NFT-/XUTR/DEUTH02432567146X </v>
          </cell>
          <cell r="CN6413" t="str">
            <v>2024-11-20</v>
          </cell>
          <cell r="CO6413">
            <v>432.87200000000001</v>
          </cell>
        </row>
        <row r="6414">
          <cell r="CJ6414" t="str">
            <v xml:space="preserve">NFT-/XUTR/DEUTH02432540165X </v>
          </cell>
          <cell r="CK6414" t="str">
            <v>2024-11-20</v>
          </cell>
          <cell r="CL6414">
            <v>80383.948000000004</v>
          </cell>
          <cell r="CM6414" t="str">
            <v xml:space="preserve">NFT-/XUTR/DEUTH02432567146X </v>
          </cell>
          <cell r="CN6414" t="str">
            <v>2024-11-20</v>
          </cell>
          <cell r="CO6414">
            <v>2911.7240000000002</v>
          </cell>
        </row>
        <row r="6416">
          <cell r="CJ6416" t="str">
            <v xml:space="preserve">NFT-/XUTR/DEUTH02432540165X </v>
          </cell>
          <cell r="CK6416" t="str">
            <v>2024-11-20</v>
          </cell>
          <cell r="CL6416">
            <v>7273.4660000000003</v>
          </cell>
          <cell r="CM6416" t="str">
            <v xml:space="preserve">NFT-/XUTR/DEUTH02432567146X </v>
          </cell>
          <cell r="CN6416" t="str">
            <v>2024-11-20</v>
          </cell>
          <cell r="CO6416">
            <v>1297.6600000000001</v>
          </cell>
          <cell r="CP6416" t="str">
            <v xml:space="preserve">NFT-/XUTR/DEUTH02432756454X </v>
          </cell>
          <cell r="CQ6416" t="str">
            <v>2024-11-22</v>
          </cell>
          <cell r="CR6416">
            <v>-7273.4660000000003</v>
          </cell>
          <cell r="CV6416" t="str">
            <v xml:space="preserve">NFT-/XUTR/DEUTH02433956210X </v>
          </cell>
          <cell r="CW6416" t="str">
            <v>2024-12-04</v>
          </cell>
          <cell r="CX6416">
            <v>-1297.6600000000001</v>
          </cell>
        </row>
        <row r="6417">
          <cell r="CJ6417" t="str">
            <v xml:space="preserve">NFT-/XUTR/DEUTH02432540165X </v>
          </cell>
          <cell r="CK6417" t="str">
            <v>2024-11-20</v>
          </cell>
          <cell r="CL6417">
            <v>7726.7250000000004</v>
          </cell>
          <cell r="CM6417" t="str">
            <v xml:space="preserve">NFT-/XUTR/DEUTH02432567146X </v>
          </cell>
          <cell r="CN6417" t="str">
            <v>2024-11-20</v>
          </cell>
          <cell r="CO6417">
            <v>844.40200000000004</v>
          </cell>
        </row>
        <row r="6418">
          <cell r="CJ6418" t="str">
            <v xml:space="preserve">NFT-/XUTR/DEUTH02432540165X </v>
          </cell>
          <cell r="CK6418" t="str">
            <v>2024-11-20</v>
          </cell>
          <cell r="CL6418">
            <v>7726.7250000000004</v>
          </cell>
          <cell r="CM6418" t="str">
            <v xml:space="preserve">NFT-/XUTR/DEUTH02432567146X </v>
          </cell>
          <cell r="CN6418" t="str">
            <v>2024-11-20</v>
          </cell>
          <cell r="CO6418">
            <v>844.40200000000004</v>
          </cell>
        </row>
        <row r="6419">
          <cell r="CJ6419" t="str">
            <v xml:space="preserve">NFT-/XUTR/DEUTH02432540165X </v>
          </cell>
          <cell r="CK6419" t="str">
            <v>2024-11-20</v>
          </cell>
          <cell r="CL6419">
            <v>40693.165000000001</v>
          </cell>
          <cell r="CM6419" t="str">
            <v xml:space="preserve">NFT-/XUTR/DEUTH02432567146X </v>
          </cell>
          <cell r="CN6419" t="str">
            <v>2024-11-20</v>
          </cell>
          <cell r="CO6419">
            <v>2159.5300000000002</v>
          </cell>
        </row>
        <row r="6421">
          <cell r="CJ6421" t="str">
            <v xml:space="preserve">NFT-/XUTR/DEUTH02432540165X </v>
          </cell>
          <cell r="CK6421" t="str">
            <v>2024-11-20</v>
          </cell>
          <cell r="CL6421">
            <v>7726.7250000000004</v>
          </cell>
          <cell r="CM6421" t="str">
            <v xml:space="preserve">NFT-/XUTR/DEUTH02432567146X </v>
          </cell>
          <cell r="CN6421" t="str">
            <v>2024-11-20</v>
          </cell>
          <cell r="CO6421">
            <v>844.40200000000004</v>
          </cell>
        </row>
        <row r="6422">
          <cell r="CJ6422" t="str">
            <v xml:space="preserve">NFT-/XUTR/DEUTH02432540165X </v>
          </cell>
          <cell r="CK6422" t="str">
            <v>2024-11-20</v>
          </cell>
          <cell r="CL6422">
            <v>8552.2379999999994</v>
          </cell>
        </row>
        <row r="6423">
          <cell r="CJ6423" t="str">
            <v xml:space="preserve">NFT-/XUTR/DEUTH02432540165X </v>
          </cell>
          <cell r="CK6423" t="str">
            <v>2024-11-20</v>
          </cell>
          <cell r="CL6423">
            <v>8138.2460000000001</v>
          </cell>
          <cell r="CM6423" t="str">
            <v xml:space="preserve">NFT-/XUTR/DEUTH02432567146X </v>
          </cell>
          <cell r="CN6423" t="str">
            <v>2024-11-20</v>
          </cell>
          <cell r="CO6423">
            <v>432.87200000000001</v>
          </cell>
        </row>
        <row r="6424">
          <cell r="CJ6424" t="str">
            <v xml:space="preserve">NFT-/XUTR/DEUTH02432540165X </v>
          </cell>
          <cell r="CK6424" t="str">
            <v>2024-11-20</v>
          </cell>
          <cell r="CL6424">
            <v>25713.364000000001</v>
          </cell>
        </row>
        <row r="6425">
          <cell r="CJ6425" t="str">
            <v xml:space="preserve">NFT-/XUTR/DEUTH02432540165X </v>
          </cell>
          <cell r="CK6425" t="str">
            <v>2024-11-20</v>
          </cell>
          <cell r="CL6425">
            <v>80365.067999999999</v>
          </cell>
          <cell r="CM6425" t="str">
            <v xml:space="preserve">NFT-/XUTR/DEUTH02432567146X </v>
          </cell>
          <cell r="CN6425" t="str">
            <v>2024-11-20</v>
          </cell>
          <cell r="CO6425">
            <v>2911.7240000000002</v>
          </cell>
        </row>
        <row r="6426">
          <cell r="CJ6426" t="str">
            <v xml:space="preserve">NFT-/XUTR/DEUTH02432540165X </v>
          </cell>
          <cell r="CK6426" t="str">
            <v>2024-11-20</v>
          </cell>
          <cell r="CL6426">
            <v>80365.067999999999</v>
          </cell>
          <cell r="CM6426" t="str">
            <v xml:space="preserve">NFT-/XUTR/DEUTH02432567146X </v>
          </cell>
          <cell r="CN6426" t="str">
            <v>2024-11-20</v>
          </cell>
          <cell r="CO6426">
            <v>2911.7240000000002</v>
          </cell>
        </row>
        <row r="6427">
          <cell r="CJ6427" t="str">
            <v xml:space="preserve">NFT-/XUTR/DEUTH02432540165X </v>
          </cell>
          <cell r="CK6427" t="str">
            <v>2024-11-20</v>
          </cell>
          <cell r="CL6427">
            <v>8119.366</v>
          </cell>
          <cell r="CM6427" t="str">
            <v xml:space="preserve">NFT-/XUTR/DEUTH02432567146X </v>
          </cell>
          <cell r="CN6427" t="str">
            <v>2024-11-20</v>
          </cell>
          <cell r="CO6427">
            <v>432.87200000000001</v>
          </cell>
        </row>
        <row r="6428">
          <cell r="CJ6428" t="str">
            <v xml:space="preserve">NFT-/XUTR/DEUTH02432540165X </v>
          </cell>
          <cell r="CK6428" t="str">
            <v>2024-11-20</v>
          </cell>
          <cell r="CL6428">
            <v>10867.504000000001</v>
          </cell>
          <cell r="CM6428" t="str">
            <v xml:space="preserve">NFT-/XUTR/DEUTH02432567146X </v>
          </cell>
          <cell r="CN6428" t="str">
            <v>2024-11-20</v>
          </cell>
          <cell r="CO6428">
            <v>576.52</v>
          </cell>
        </row>
        <row r="6429">
          <cell r="CJ6429" t="str">
            <v xml:space="preserve">NFT-/XUTR/DEUTH02432540165X </v>
          </cell>
          <cell r="CK6429" t="str">
            <v>2024-11-20</v>
          </cell>
          <cell r="CL6429">
            <v>10848.624</v>
          </cell>
          <cell r="CM6429" t="str">
            <v xml:space="preserve">NFT-/XUTR/DEUTH02432567146X </v>
          </cell>
          <cell r="CN6429" t="str">
            <v>2024-11-20</v>
          </cell>
          <cell r="CO6429">
            <v>576.52</v>
          </cell>
        </row>
        <row r="6430">
          <cell r="CJ6430" t="str">
            <v xml:space="preserve">NFT-/XUTR/DEUTH02432540165X </v>
          </cell>
          <cell r="CK6430" t="str">
            <v>2024-11-20</v>
          </cell>
          <cell r="CL6430">
            <v>11123.736000000001</v>
          </cell>
        </row>
        <row r="6433">
          <cell r="CJ6433" t="str">
            <v xml:space="preserve">NFT-/XUTR/DEUTH02432540165X </v>
          </cell>
          <cell r="CK6433" t="str">
            <v>2024-11-20</v>
          </cell>
          <cell r="CL6433">
            <v>10544.828</v>
          </cell>
          <cell r="CM6433" t="str">
            <v xml:space="preserve">NFT-/XUTR/DEUTH02432567146X </v>
          </cell>
          <cell r="CN6433" t="str">
            <v>2024-11-20</v>
          </cell>
          <cell r="CO6433">
            <v>560.01900000000001</v>
          </cell>
        </row>
        <row r="6434">
          <cell r="CJ6434" t="str">
            <v xml:space="preserve">NFT-/XUTR/DEUTH02432540165X </v>
          </cell>
          <cell r="CK6434" t="str">
            <v>2024-11-20</v>
          </cell>
          <cell r="CL6434">
            <v>7809.22</v>
          </cell>
          <cell r="CM6434" t="str">
            <v xml:space="preserve">NFT-/XUTR/DEUTH02432567146X </v>
          </cell>
          <cell r="CN6434" t="str">
            <v>2024-11-20</v>
          </cell>
          <cell r="CO6434">
            <v>761.89499999999998</v>
          </cell>
        </row>
        <row r="6436">
          <cell r="CJ6436" t="str">
            <v xml:space="preserve">NFT-/XUTR/DEUTH02432540165X </v>
          </cell>
          <cell r="CK6436" t="str">
            <v>2024-11-20</v>
          </cell>
          <cell r="CL6436">
            <v>32554.918000000001</v>
          </cell>
          <cell r="CM6436" t="str">
            <v xml:space="preserve">NFT-/XUTR/DEUTH02432567146X </v>
          </cell>
          <cell r="CN6436" t="str">
            <v>2024-11-20</v>
          </cell>
          <cell r="CO6436">
            <v>1727.6220000000001</v>
          </cell>
        </row>
        <row r="6437">
          <cell r="CJ6437" t="str">
            <v xml:space="preserve">NFT-/XUTR/DEUTH02432540165X </v>
          </cell>
          <cell r="CK6437" t="str">
            <v>2024-11-20</v>
          </cell>
          <cell r="CL6437">
            <v>7273.4660000000003</v>
          </cell>
          <cell r="CM6437" t="str">
            <v xml:space="preserve">NFT-/XUTR/DEUTH02432567146X </v>
          </cell>
          <cell r="CN6437" t="str">
            <v>2024-11-20</v>
          </cell>
          <cell r="CO6437">
            <v>1297.6600000000001</v>
          </cell>
        </row>
        <row r="6438">
          <cell r="CJ6438" t="str">
            <v xml:space="preserve">NFT-/XUTR/DEUTH02432540165X </v>
          </cell>
          <cell r="CK6438" t="str">
            <v>2024-11-20</v>
          </cell>
          <cell r="CL6438">
            <v>80383.948000000004</v>
          </cell>
          <cell r="CM6438" t="str">
            <v xml:space="preserve">NFT-/XUTR/DEUTH02432567146X </v>
          </cell>
          <cell r="CN6438" t="str">
            <v>2024-11-20</v>
          </cell>
          <cell r="CO6438">
            <v>2911.7240000000002</v>
          </cell>
        </row>
        <row r="6440">
          <cell r="CJ6440" t="str">
            <v xml:space="preserve">NFT-/XUTR/DEUTH02432540165X </v>
          </cell>
          <cell r="CK6440" t="str">
            <v>2024-11-20</v>
          </cell>
          <cell r="CL6440">
            <v>80365.067999999999</v>
          </cell>
          <cell r="CM6440" t="str">
            <v xml:space="preserve">NFT-/XUTR/DEUTH02432567146X </v>
          </cell>
          <cell r="CN6440" t="str">
            <v>2024-11-20</v>
          </cell>
          <cell r="CO6440">
            <v>2911.7240000000002</v>
          </cell>
        </row>
        <row r="6442">
          <cell r="CJ6442" t="str">
            <v xml:space="preserve">NFT-/XUTR/DEUTH02432540165X </v>
          </cell>
          <cell r="CK6442" t="str">
            <v>2024-11-20</v>
          </cell>
          <cell r="CL6442">
            <v>21127.425999999999</v>
          </cell>
          <cell r="CM6442" t="str">
            <v xml:space="preserve">NFT-/XUTR/DEUTH02432567146X </v>
          </cell>
          <cell r="CN6442" t="str">
            <v>2024-11-20</v>
          </cell>
          <cell r="CO6442">
            <v>1120.048</v>
          </cell>
          <cell r="CP6442" t="str">
            <v xml:space="preserve">NFT-/XUTR/DEUTH02432756454X </v>
          </cell>
          <cell r="CQ6442" t="str">
            <v>2024-11-22</v>
          </cell>
          <cell r="CR6442">
            <v>-21127.425999999999</v>
          </cell>
          <cell r="CV6442" t="str">
            <v xml:space="preserve">NFT-/XUTR/DEUTH02433956210X </v>
          </cell>
          <cell r="CW6442" t="str">
            <v>2024-12-04</v>
          </cell>
          <cell r="CX6442">
            <v>-1120.048</v>
          </cell>
        </row>
        <row r="6443">
          <cell r="CJ6443" t="str">
            <v xml:space="preserve">NFT-/XUTR/DEUTH02432540165X </v>
          </cell>
          <cell r="CK6443" t="str">
            <v>2024-11-20</v>
          </cell>
          <cell r="CL6443">
            <v>8190.22</v>
          </cell>
          <cell r="CM6443" t="str">
            <v xml:space="preserve">NFT-/XUTR/DEUTH02432567146X </v>
          </cell>
          <cell r="CN6443" t="str">
            <v>2024-11-20</v>
          </cell>
          <cell r="CO6443">
            <v>362.02699999999999</v>
          </cell>
        </row>
        <row r="6444">
          <cell r="CJ6444" t="str">
            <v xml:space="preserve">NFT-/XUTR/DEUTH02432540165X </v>
          </cell>
          <cell r="CK6444" t="str">
            <v>2024-11-20</v>
          </cell>
          <cell r="CL6444">
            <v>7707.8450000000003</v>
          </cell>
          <cell r="CM6444" t="str">
            <v xml:space="preserve">NFT-/XUTR/DEUTH02432567146X </v>
          </cell>
          <cell r="CN6444" t="str">
            <v>2024-11-20</v>
          </cell>
          <cell r="CO6444">
            <v>844.40200000000004</v>
          </cell>
        </row>
        <row r="6446">
          <cell r="CJ6446" t="str">
            <v xml:space="preserve">NFT-/XUTR/DEUTH02432540165X </v>
          </cell>
          <cell r="CK6446" t="str">
            <v>2024-11-20</v>
          </cell>
          <cell r="CL6446">
            <v>40693.165000000001</v>
          </cell>
          <cell r="CM6446" t="str">
            <v xml:space="preserve">NFT-/XUTR/DEUTH02432567146X </v>
          </cell>
          <cell r="CN6446" t="str">
            <v>2024-11-20</v>
          </cell>
          <cell r="CO6446">
            <v>2159.5300000000002</v>
          </cell>
        </row>
        <row r="6447">
          <cell r="CJ6447" t="str">
            <v xml:space="preserve">NFT-/XUTR/DEUTH02432540165X </v>
          </cell>
          <cell r="CK6447" t="str">
            <v>2024-11-20</v>
          </cell>
          <cell r="CL6447">
            <v>80206.334000000003</v>
          </cell>
          <cell r="CM6447" t="str">
            <v xml:space="preserve">NFT-/XUTR/DEUTH02432567146X </v>
          </cell>
          <cell r="CN6447" t="str">
            <v>2024-11-20</v>
          </cell>
          <cell r="CO6447">
            <v>3089.337</v>
          </cell>
          <cell r="CP6447" t="str">
            <v xml:space="preserve">NFT-/XUTR/DEUTH02432756454X </v>
          </cell>
          <cell r="CQ6447" t="str">
            <v>2024-11-22</v>
          </cell>
          <cell r="CR6447">
            <v>-80206.334000000003</v>
          </cell>
          <cell r="CV6447" t="str">
            <v xml:space="preserve">NFT-/XUTR/DEUTH02433956210X </v>
          </cell>
          <cell r="CW6447" t="str">
            <v>2024-12-04</v>
          </cell>
          <cell r="CX6447">
            <v>-3089.337</v>
          </cell>
        </row>
        <row r="6449">
          <cell r="CJ6449" t="str">
            <v xml:space="preserve">NFT-/XUTR/DEUTH02432540165X </v>
          </cell>
          <cell r="CK6449" t="str">
            <v>2024-11-20</v>
          </cell>
          <cell r="CL6449">
            <v>16185.258</v>
          </cell>
          <cell r="CM6449" t="str">
            <v xml:space="preserve">NFT-/XUTR/DEUTH02432567146X </v>
          </cell>
          <cell r="CN6449" t="str">
            <v>2024-11-20</v>
          </cell>
          <cell r="CO6449">
            <v>859.93</v>
          </cell>
          <cell r="CP6449" t="str">
            <v xml:space="preserve">NFT-/XUTR/DEUTH02432756454X </v>
          </cell>
          <cell r="CQ6449" t="str">
            <v>2024-11-22</v>
          </cell>
          <cell r="CR6449">
            <v>-16185.258</v>
          </cell>
          <cell r="CV6449" t="str">
            <v xml:space="preserve">NFT-/XUTR/DEUTH02433956210X </v>
          </cell>
          <cell r="CW6449" t="str">
            <v>2024-12-04</v>
          </cell>
          <cell r="CX6449">
            <v>-859.93</v>
          </cell>
        </row>
        <row r="6450">
          <cell r="CJ6450" t="str">
            <v xml:space="preserve">NFT-/XUTR/DEUTH02432540165X </v>
          </cell>
          <cell r="CK6450" t="str">
            <v>2024-11-20</v>
          </cell>
          <cell r="CL6450">
            <v>7232.7</v>
          </cell>
          <cell r="CM6450" t="str">
            <v xml:space="preserve">NFT-/XUTR/DEUTH02432567146X </v>
          </cell>
          <cell r="CN6450" t="str">
            <v>2024-11-20</v>
          </cell>
          <cell r="CO6450">
            <v>1289.9000000000001</v>
          </cell>
        </row>
        <row r="6451">
          <cell r="CJ6451" t="str">
            <v xml:space="preserve">NFT-/XUTR/DEUTH02432540165X </v>
          </cell>
          <cell r="CK6451" t="str">
            <v>2024-11-20</v>
          </cell>
          <cell r="CL6451">
            <v>24277.886999999999</v>
          </cell>
          <cell r="CM6451" t="str">
            <v xml:space="preserve">NFT-/XUTR/DEUTH02432567146X </v>
          </cell>
          <cell r="CN6451" t="str">
            <v>2024-11-20</v>
          </cell>
          <cell r="CO6451">
            <v>1289.9000000000001</v>
          </cell>
          <cell r="CP6451" t="str">
            <v xml:space="preserve">NFT-/XUTR/DEUTH02432756454X </v>
          </cell>
          <cell r="CQ6451" t="str">
            <v>2024-11-22</v>
          </cell>
          <cell r="CR6451">
            <v>-24277.886999999999</v>
          </cell>
          <cell r="CV6451" t="str">
            <v xml:space="preserve">NFT-/XUTR/DEUTH02433956210X </v>
          </cell>
          <cell r="CW6451" t="str">
            <v>2024-12-04</v>
          </cell>
          <cell r="CX6451">
            <v>-1289.9000000000001</v>
          </cell>
        </row>
        <row r="6452">
          <cell r="CJ6452" t="str">
            <v xml:space="preserve">NFT-/XUTR/DEUTH02432540165X </v>
          </cell>
          <cell r="CK6452" t="str">
            <v>2024-11-20</v>
          </cell>
          <cell r="CL6452">
            <v>15911.581</v>
          </cell>
          <cell r="CM6452" t="str">
            <v xml:space="preserve">NFT-/XUTR/DEUTH02432567146X </v>
          </cell>
          <cell r="CN6452" t="str">
            <v>2024-11-20</v>
          </cell>
          <cell r="CO6452">
            <v>841.48900000000003</v>
          </cell>
        </row>
        <row r="6453">
          <cell r="CJ6453" t="str">
            <v xml:space="preserve">NFT-/XUTR/DEUTH02432540165X </v>
          </cell>
          <cell r="CK6453" t="str">
            <v>2024-11-20</v>
          </cell>
          <cell r="CL6453">
            <v>8503.7080000000005</v>
          </cell>
        </row>
        <row r="6454">
          <cell r="CJ6454" t="str">
            <v xml:space="preserve">NFT-/XUTR/DEUTH02432540165X </v>
          </cell>
          <cell r="CK6454" t="str">
            <v>2024-11-20</v>
          </cell>
          <cell r="CL6454">
            <v>39460.631999999998</v>
          </cell>
          <cell r="CM6454" t="str">
            <v xml:space="preserve">NFT-/XUTR/DEUTH02432567146X </v>
          </cell>
          <cell r="CN6454" t="str">
            <v>2024-11-20</v>
          </cell>
          <cell r="CO6454">
            <v>2653.5529999999999</v>
          </cell>
        </row>
        <row r="6455">
          <cell r="CJ6455" t="str">
            <v xml:space="preserve">NFT-/XUTR/DEUTH02432540165X </v>
          </cell>
          <cell r="CK6455" t="str">
            <v>2024-11-20</v>
          </cell>
          <cell r="CL6455">
            <v>8503.7080000000005</v>
          </cell>
        </row>
        <row r="6457">
          <cell r="CJ6457" t="str">
            <v xml:space="preserve">NFT-/XUTR/DEUTH02432540165X </v>
          </cell>
          <cell r="CK6457" t="str">
            <v>2024-11-20</v>
          </cell>
          <cell r="CL6457">
            <v>16185.258</v>
          </cell>
          <cell r="CM6457" t="str">
            <v xml:space="preserve">NFT-/XUTR/DEUTH02432567146X </v>
          </cell>
          <cell r="CN6457" t="str">
            <v>2024-11-20</v>
          </cell>
          <cell r="CO6457">
            <v>859.93</v>
          </cell>
          <cell r="CP6457" t="str">
            <v xml:space="preserve">NFT-/XUTR/DEUTH02432756454X </v>
          </cell>
          <cell r="CQ6457" t="str">
            <v>2024-11-22</v>
          </cell>
          <cell r="CR6457">
            <v>-16185.258</v>
          </cell>
          <cell r="CV6457" t="str">
            <v xml:space="preserve">NFT-/XUTR/DEUTH02433956210X </v>
          </cell>
          <cell r="CW6457" t="str">
            <v>2024-12-04</v>
          </cell>
          <cell r="CX6457">
            <v>-859.93</v>
          </cell>
        </row>
        <row r="6458">
          <cell r="CJ6458" t="str">
            <v xml:space="preserve">NFT-/XUTR/DEUTH02432540165X </v>
          </cell>
          <cell r="CK6458" t="str">
            <v>2024-11-20</v>
          </cell>
          <cell r="CL6458">
            <v>79736.131999999998</v>
          </cell>
          <cell r="CM6458" t="str">
            <v xml:space="preserve">NFT-/XUTR/DEUTH02432567146X </v>
          </cell>
          <cell r="CN6458" t="str">
            <v>2024-11-20</v>
          </cell>
          <cell r="CO6458">
            <v>3142.7179999999998</v>
          </cell>
        </row>
        <row r="6459">
          <cell r="CJ6459" t="str">
            <v xml:space="preserve">NFT-/XUTR/DEUTH02432540165X </v>
          </cell>
          <cell r="CK6459" t="str">
            <v>2024-11-20</v>
          </cell>
          <cell r="CL6459">
            <v>79967.135999999999</v>
          </cell>
          <cell r="CM6459" t="str">
            <v xml:space="preserve">NFT-/XUTR/DEUTH02432567146X </v>
          </cell>
          <cell r="CN6459" t="str">
            <v>2024-11-20</v>
          </cell>
          <cell r="CO6459">
            <v>2911.7240000000002</v>
          </cell>
        </row>
        <row r="6460">
          <cell r="CJ6460" t="str">
            <v xml:space="preserve">NFT-/XUTR/DEUTH02432540165X </v>
          </cell>
          <cell r="CK6460" t="str">
            <v>2024-11-20</v>
          </cell>
          <cell r="CL6460">
            <v>15892.700999999999</v>
          </cell>
          <cell r="CM6460" t="str">
            <v xml:space="preserve">NFT-/XUTR/DEUTH02432567146X </v>
          </cell>
          <cell r="CN6460" t="str">
            <v>2024-11-20</v>
          </cell>
          <cell r="CO6460">
            <v>841.48900000000003</v>
          </cell>
        </row>
        <row r="6461">
          <cell r="CJ6461" t="str">
            <v xml:space="preserve">NFT-/XUTR/DEUTH02432540165X </v>
          </cell>
          <cell r="CK6461" t="str">
            <v>2024-11-20</v>
          </cell>
          <cell r="CL6461">
            <v>8092.6279999999997</v>
          </cell>
          <cell r="CM6461" t="str">
            <v xml:space="preserve">NFT-/XUTR/DEUTH02432567146X </v>
          </cell>
          <cell r="CN6461" t="str">
            <v>2024-11-20</v>
          </cell>
          <cell r="CO6461">
            <v>429.96</v>
          </cell>
        </row>
        <row r="6462">
          <cell r="CJ6462" t="str">
            <v xml:space="preserve">NFT-/XUTR/DEUTH02432540165X </v>
          </cell>
          <cell r="CK6462" t="str">
            <v>2024-11-20</v>
          </cell>
          <cell r="CL6462">
            <v>24290.502</v>
          </cell>
          <cell r="CM6462" t="str">
            <v xml:space="preserve">NFT-/XUTR/DEUTH02432567146X </v>
          </cell>
          <cell r="CN6462" t="str">
            <v>2024-11-20</v>
          </cell>
          <cell r="CO6462">
            <v>1278.249</v>
          </cell>
          <cell r="CP6462" t="str">
            <v xml:space="preserve">NFT-/XUTR/DEUTH02432756454X </v>
          </cell>
          <cell r="CQ6462" t="str">
            <v>2024-11-22</v>
          </cell>
          <cell r="CR6462">
            <v>-24290.502</v>
          </cell>
          <cell r="CV6462" t="str">
            <v xml:space="preserve">NFT-/XUTR/DEUTH02433956210X </v>
          </cell>
          <cell r="CW6462" t="str">
            <v>2024-12-04</v>
          </cell>
          <cell r="CX6462">
            <v>-1278.249</v>
          </cell>
        </row>
        <row r="6463">
          <cell r="CJ6463" t="str">
            <v xml:space="preserve">NFT-/XUTR/DEUTH02432540165X </v>
          </cell>
          <cell r="CK6463" t="str">
            <v>2024-11-20</v>
          </cell>
          <cell r="CL6463">
            <v>38311.03</v>
          </cell>
          <cell r="CM6463" t="str">
            <v xml:space="preserve">NFT-/XUTR/DEUTH02432567146X </v>
          </cell>
          <cell r="CN6463" t="str">
            <v>2024-11-20</v>
          </cell>
          <cell r="CO6463">
            <v>3784.268</v>
          </cell>
        </row>
        <row r="6464">
          <cell r="CJ6464" t="str">
            <v xml:space="preserve">NFT-/XUTR/DEUTH02432540165X </v>
          </cell>
          <cell r="CK6464" t="str">
            <v>2024-11-20</v>
          </cell>
          <cell r="CL6464">
            <v>7232.7</v>
          </cell>
          <cell r="CM6464" t="str">
            <v xml:space="preserve">NFT-/XUTR/DEUTH02432567146X </v>
          </cell>
          <cell r="CN6464" t="str">
            <v>2024-11-20</v>
          </cell>
          <cell r="CO6464">
            <v>1289.8989999999999</v>
          </cell>
        </row>
        <row r="6465">
          <cell r="CJ6465" t="str">
            <v xml:space="preserve">NFT-/XUTR/DEUTH02432540165X </v>
          </cell>
          <cell r="CK6465" t="str">
            <v>2024-11-20</v>
          </cell>
          <cell r="CL6465">
            <v>32351.635999999999</v>
          </cell>
          <cell r="CM6465" t="str">
            <v xml:space="preserve">NFT-/XUTR/DEUTH02432567146X </v>
          </cell>
          <cell r="CN6465" t="str">
            <v>2024-11-20</v>
          </cell>
          <cell r="CO6465">
            <v>1719.86</v>
          </cell>
        </row>
        <row r="6466">
          <cell r="CJ6466" t="str">
            <v xml:space="preserve">NFT-/XUTR/DEUTH02432540165X </v>
          </cell>
          <cell r="CK6466" t="str">
            <v>2024-11-20</v>
          </cell>
          <cell r="CL6466">
            <v>15892.700999999999</v>
          </cell>
          <cell r="CM6466" t="str">
            <v xml:space="preserve">NFT-/XUTR/DEUTH02432567146X </v>
          </cell>
          <cell r="CN6466" t="str">
            <v>2024-11-20</v>
          </cell>
          <cell r="CO6466">
            <v>841.48900000000003</v>
          </cell>
        </row>
        <row r="6467">
          <cell r="CJ6467" t="str">
            <v xml:space="preserve">NFT-/XUTR/DEUTH02432540165X </v>
          </cell>
          <cell r="CK6467" t="str">
            <v>2024-11-20</v>
          </cell>
          <cell r="CL6467">
            <v>15911.581</v>
          </cell>
          <cell r="CM6467" t="str">
            <v xml:space="preserve">NFT-/XUTR/DEUTH02432567146X </v>
          </cell>
          <cell r="CN6467" t="str">
            <v>2024-11-20</v>
          </cell>
          <cell r="CO6467">
            <v>841.48900000000003</v>
          </cell>
        </row>
        <row r="6468">
          <cell r="CJ6468" t="str">
            <v xml:space="preserve">NFT-/XUTR/DEUTH02432540165X </v>
          </cell>
          <cell r="CK6468" t="str">
            <v>2024-11-20</v>
          </cell>
          <cell r="CL6468">
            <v>38311.03</v>
          </cell>
          <cell r="CM6468" t="str">
            <v xml:space="preserve">NFT-/XUTR/DEUTH02432567146X </v>
          </cell>
          <cell r="CN6468" t="str">
            <v>2024-11-20</v>
          </cell>
          <cell r="CO6468">
            <v>3784.268</v>
          </cell>
        </row>
        <row r="6469">
          <cell r="CJ6469" t="str">
            <v xml:space="preserve">NFT-/XUTR/DEUTH02432540165X </v>
          </cell>
          <cell r="CK6469" t="str">
            <v>2024-11-20</v>
          </cell>
          <cell r="CL6469">
            <v>16185.258</v>
          </cell>
          <cell r="CM6469" t="str">
            <v xml:space="preserve">NFT-/XUTR/DEUTH02432567146X </v>
          </cell>
          <cell r="CN6469" t="str">
            <v>2024-11-20</v>
          </cell>
          <cell r="CO6469">
            <v>859.93</v>
          </cell>
          <cell r="CP6469" t="str">
            <v xml:space="preserve">NFT-/XUTR/DEUTH02432756454X </v>
          </cell>
          <cell r="CQ6469" t="str">
            <v>2024-11-22</v>
          </cell>
          <cell r="CR6469">
            <v>-16185.258</v>
          </cell>
          <cell r="CV6469" t="str">
            <v xml:space="preserve">NFT-/XUTR/DEUTH02433956210X </v>
          </cell>
          <cell r="CW6469" t="str">
            <v>2024-12-04</v>
          </cell>
          <cell r="CX6469">
            <v>-859.93</v>
          </cell>
        </row>
        <row r="6470">
          <cell r="CJ6470" t="str">
            <v xml:space="preserve">NFT-/XUTR/DEUTH02432540165X </v>
          </cell>
          <cell r="CK6470" t="str">
            <v>2024-11-20</v>
          </cell>
          <cell r="CL6470">
            <v>7099.2879999999996</v>
          </cell>
          <cell r="CM6470" t="str">
            <v xml:space="preserve">NFT-/XUTR/DEUTH02432567146X </v>
          </cell>
          <cell r="CN6470" t="str">
            <v>2024-11-20</v>
          </cell>
          <cell r="CO6470">
            <v>1404.421</v>
          </cell>
        </row>
        <row r="6471">
          <cell r="CJ6471" t="str">
            <v xml:space="preserve">NFT-/XUTR/DEUTH02432540165X </v>
          </cell>
          <cell r="CK6471" t="str">
            <v>2024-11-20</v>
          </cell>
          <cell r="CL6471">
            <v>6867.32</v>
          </cell>
          <cell r="CM6471" t="str">
            <v xml:space="preserve">NFT-/XUTR/DEUTH02432567146X </v>
          </cell>
          <cell r="CN6471" t="str">
            <v>2024-11-20</v>
          </cell>
          <cell r="CO6471">
            <v>1636.3889999999999</v>
          </cell>
        </row>
        <row r="6472">
          <cell r="CJ6472" t="str">
            <v xml:space="preserve">NFT-/XUTR/DEUTH02432540165X </v>
          </cell>
          <cell r="CK6472" t="str">
            <v>2024-11-20</v>
          </cell>
          <cell r="CL6472">
            <v>79986.017000000007</v>
          </cell>
          <cell r="CM6472" t="str">
            <v xml:space="preserve">NFT-/XUTR/DEUTH02432567146X </v>
          </cell>
          <cell r="CN6472" t="str">
            <v>2024-11-20</v>
          </cell>
          <cell r="CO6472">
            <v>2911.723</v>
          </cell>
        </row>
        <row r="6473">
          <cell r="CJ6473" t="str">
            <v xml:space="preserve">NFT-/XUTR/DEUTH02432540165X </v>
          </cell>
          <cell r="CK6473" t="str">
            <v>2024-11-20</v>
          </cell>
          <cell r="CL6473">
            <v>79967.135999999999</v>
          </cell>
          <cell r="CM6473" t="str">
            <v xml:space="preserve">NFT-/XUTR/DEUTH02432567146X </v>
          </cell>
          <cell r="CN6473" t="str">
            <v>2024-11-20</v>
          </cell>
          <cell r="CO6473">
            <v>2911.7240000000002</v>
          </cell>
        </row>
        <row r="6474">
          <cell r="CJ6474" t="str">
            <v xml:space="preserve">NFT-/XUTR/DEUTH02432540165X </v>
          </cell>
          <cell r="CK6474" t="str">
            <v>2024-11-20</v>
          </cell>
          <cell r="CL6474">
            <v>79967.135999999999</v>
          </cell>
          <cell r="CM6474" t="str">
            <v xml:space="preserve">NFT-/XUTR/DEUTH02432567146X </v>
          </cell>
          <cell r="CN6474" t="str">
            <v>2024-11-20</v>
          </cell>
          <cell r="CO6474">
            <v>2911.7240000000002</v>
          </cell>
        </row>
        <row r="6475">
          <cell r="CJ6475" t="str">
            <v xml:space="preserve">NFT-/XUTR/DEUTH02432540165X </v>
          </cell>
          <cell r="CK6475" t="str">
            <v>2024-11-20</v>
          </cell>
          <cell r="CL6475">
            <v>78103.63</v>
          </cell>
          <cell r="CM6475" t="str">
            <v xml:space="preserve">NFT-/XUTR/DEUTH02432567146X </v>
          </cell>
          <cell r="CN6475" t="str">
            <v>2024-11-20</v>
          </cell>
          <cell r="CO6475">
            <v>2911.7240000000002</v>
          </cell>
          <cell r="CP6475" t="str">
            <v xml:space="preserve">NFT-/XUTR/DEUTH02433037112X </v>
          </cell>
          <cell r="CQ6475" t="str">
            <v>2024-11-25</v>
          </cell>
          <cell r="CR6475">
            <v>-78103.63</v>
          </cell>
          <cell r="CV6475" t="str">
            <v xml:space="preserve">NFT-/XUTR/DEUTH02433956210X </v>
          </cell>
          <cell r="CW6475" t="str">
            <v>2024-12-04</v>
          </cell>
          <cell r="CX6475">
            <v>-2911.7240000000002</v>
          </cell>
        </row>
        <row r="6476">
          <cell r="CJ6476" t="str">
            <v xml:space="preserve">NFT-/XUTR/DEUTH02432540165X </v>
          </cell>
          <cell r="CK6476" t="str">
            <v>2024-11-20</v>
          </cell>
          <cell r="CL6476">
            <v>78122.509999999995</v>
          </cell>
          <cell r="CM6476" t="str">
            <v xml:space="preserve">NFT-/XUTR/DEUTH02432567146X </v>
          </cell>
          <cell r="CN6476" t="str">
            <v>2024-11-20</v>
          </cell>
          <cell r="CO6476">
            <v>2911.7240000000002</v>
          </cell>
        </row>
        <row r="6477">
          <cell r="CJ6477" t="str">
            <v xml:space="preserve">NFT-/XUTR/DEUTH02432540165X </v>
          </cell>
          <cell r="CK6477" t="str">
            <v>2024-11-20</v>
          </cell>
          <cell r="CL6477">
            <v>78122.509999999995</v>
          </cell>
          <cell r="CM6477" t="str">
            <v xml:space="preserve">NFT-/XUTR/DEUTH02432567146X </v>
          </cell>
          <cell r="CN6477" t="str">
            <v>2024-11-20</v>
          </cell>
          <cell r="CO6477">
            <v>2911.7240000000002</v>
          </cell>
        </row>
        <row r="6478">
          <cell r="CJ6478" t="str">
            <v xml:space="preserve">NFT-/XUTR/DEUTH02432540165X </v>
          </cell>
          <cell r="CK6478" t="str">
            <v>2024-11-20</v>
          </cell>
          <cell r="CL6478">
            <v>78122.509999999995</v>
          </cell>
          <cell r="CM6478" t="str">
            <v xml:space="preserve">NFT-/XUTR/DEUTH02432567146X </v>
          </cell>
          <cell r="CN6478" t="str">
            <v>2024-11-20</v>
          </cell>
          <cell r="CO6478">
            <v>2911.7240000000002</v>
          </cell>
        </row>
        <row r="6480">
          <cell r="CJ6480" t="str">
            <v xml:space="preserve">NFT-/XUTR/DEUTH02432540165X </v>
          </cell>
          <cell r="CK6480" t="str">
            <v>2024-11-20</v>
          </cell>
          <cell r="CL6480">
            <v>78549.558000000005</v>
          </cell>
          <cell r="CM6480" t="str">
            <v xml:space="preserve">NFT-/XUTR/DEUTH02432567146X </v>
          </cell>
          <cell r="CN6480" t="str">
            <v>2024-11-20</v>
          </cell>
          <cell r="CO6480">
            <v>2911.723</v>
          </cell>
        </row>
        <row r="6481">
          <cell r="CJ6481" t="str">
            <v xml:space="preserve">NFT-/XUTR/DEUTH02432540165X </v>
          </cell>
          <cell r="CK6481" t="str">
            <v>2024-11-20</v>
          </cell>
          <cell r="CL6481">
            <v>78122.509999999995</v>
          </cell>
          <cell r="CM6481" t="str">
            <v xml:space="preserve">NFT-/XUTR/DEUTH02432567146X </v>
          </cell>
          <cell r="CN6481" t="str">
            <v>2024-11-20</v>
          </cell>
          <cell r="CO6481">
            <v>2911.7240000000002</v>
          </cell>
        </row>
        <row r="6482">
          <cell r="CJ6482" t="str">
            <v xml:space="preserve">NFT-/XUTR/DEUTH02432540165X </v>
          </cell>
          <cell r="CK6482" t="str">
            <v>2024-11-20</v>
          </cell>
          <cell r="CL6482">
            <v>10673.913</v>
          </cell>
          <cell r="CM6482" t="str">
            <v xml:space="preserve">NFT-/XUTR/DEUTH02432567146X </v>
          </cell>
          <cell r="CN6482" t="str">
            <v>2024-11-20</v>
          </cell>
          <cell r="CO6482">
            <v>566.81799999999998</v>
          </cell>
        </row>
        <row r="6483">
          <cell r="CJ6483" t="str">
            <v xml:space="preserve">NFT-/XUTR/DEUTH02432540165X </v>
          </cell>
          <cell r="CK6483" t="str">
            <v>2024-11-20</v>
          </cell>
          <cell r="CL6483">
            <v>78122.510999999999</v>
          </cell>
          <cell r="CM6483" t="str">
            <v xml:space="preserve">NFT-/XUTR/DEUTH02432567146X </v>
          </cell>
          <cell r="CN6483" t="str">
            <v>2024-11-20</v>
          </cell>
          <cell r="CO6483">
            <v>2911.723</v>
          </cell>
        </row>
        <row r="6484">
          <cell r="CJ6484" t="str">
            <v xml:space="preserve">NFT-/XUTR/DEUTH02432540165X </v>
          </cell>
          <cell r="CK6484" t="str">
            <v>2024-11-20</v>
          </cell>
          <cell r="CL6484">
            <v>78122.510999999999</v>
          </cell>
          <cell r="CM6484" t="str">
            <v xml:space="preserve">NFT-/XUTR/DEUTH02432567146X </v>
          </cell>
          <cell r="CN6484" t="str">
            <v>2024-11-20</v>
          </cell>
          <cell r="CO6484">
            <v>2911.723</v>
          </cell>
        </row>
        <row r="6485">
          <cell r="CJ6485" t="str">
            <v xml:space="preserve">NFT-/XUTR/DEUTH02432540165X </v>
          </cell>
          <cell r="CK6485" t="str">
            <v>2024-11-20</v>
          </cell>
          <cell r="CL6485">
            <v>79967.135999999999</v>
          </cell>
          <cell r="CM6485" t="str">
            <v xml:space="preserve">NFT-/XUTR/DEUTH02432567146X </v>
          </cell>
          <cell r="CN6485" t="str">
            <v>2024-11-20</v>
          </cell>
          <cell r="CO6485">
            <v>2911.7240000000002</v>
          </cell>
        </row>
        <row r="6486">
          <cell r="CJ6486" t="str">
            <v xml:space="preserve">NFT-/XUTR/DEUTH02432540165X </v>
          </cell>
          <cell r="CK6486" t="str">
            <v>2024-11-20</v>
          </cell>
          <cell r="CL6486">
            <v>15908.64</v>
          </cell>
          <cell r="CM6486" t="str">
            <v xml:space="preserve">NFT-/XUTR/DEUTH02432567146X </v>
          </cell>
          <cell r="CN6486" t="str">
            <v>2024-11-20</v>
          </cell>
          <cell r="CO6486">
            <v>844.40200000000004</v>
          </cell>
        </row>
        <row r="6487">
          <cell r="CJ6487" t="str">
            <v xml:space="preserve">NFT-/XUTR/DEUTH02432540165X </v>
          </cell>
          <cell r="CK6487" t="str">
            <v>2024-11-20</v>
          </cell>
          <cell r="CL6487">
            <v>78103.63</v>
          </cell>
          <cell r="CM6487" t="str">
            <v xml:space="preserve">NFT-/XUTR/DEUTH02432567146X </v>
          </cell>
          <cell r="CN6487" t="str">
            <v>2024-11-20</v>
          </cell>
          <cell r="CO6487">
            <v>2911.7240000000002</v>
          </cell>
        </row>
        <row r="6488">
          <cell r="CJ6488" t="str">
            <v xml:space="preserve">NFT-/XUTR/DEUTH02432540165X </v>
          </cell>
          <cell r="CK6488" t="str">
            <v>2024-11-20</v>
          </cell>
          <cell r="CL6488">
            <v>79277.487999999998</v>
          </cell>
          <cell r="CM6488" t="str">
            <v xml:space="preserve">NFT-/XUTR/DEUTH02432567146X </v>
          </cell>
          <cell r="CN6488" t="str">
            <v>2024-11-20</v>
          </cell>
          <cell r="CO6488">
            <v>2911.7240000000002</v>
          </cell>
          <cell r="CP6488" t="str">
            <v xml:space="preserve">NFT-/XUTR/DEUTH02433944890X </v>
          </cell>
          <cell r="CQ6488" t="str">
            <v>2024-12-04</v>
          </cell>
          <cell r="CR6488">
            <v>-79277.487999999998</v>
          </cell>
          <cell r="CV6488" t="str">
            <v xml:space="preserve">NFT-/XUTR/DEUTH02433956210X </v>
          </cell>
          <cell r="CW6488" t="str">
            <v>2024-12-04</v>
          </cell>
          <cell r="CX6488">
            <v>-2911.7240000000002</v>
          </cell>
        </row>
        <row r="6489">
          <cell r="CJ6489" t="str">
            <v xml:space="preserve">NFT-/XUTR/DEUTH02432540165X </v>
          </cell>
          <cell r="CK6489" t="str">
            <v>2024-11-20</v>
          </cell>
          <cell r="CL6489">
            <v>78122.509999999995</v>
          </cell>
          <cell r="CM6489" t="str">
            <v xml:space="preserve">NFT-/XUTR/DEUTH02432567146X </v>
          </cell>
          <cell r="CN6489" t="str">
            <v>2024-11-20</v>
          </cell>
          <cell r="CO6489">
            <v>2911.7240000000002</v>
          </cell>
        </row>
        <row r="6490">
          <cell r="CJ6490" t="str">
            <v xml:space="preserve">NFT-/XUTR/DEUTH02432540165X </v>
          </cell>
          <cell r="CK6490" t="str">
            <v>2024-11-20</v>
          </cell>
          <cell r="CL6490">
            <v>77275.195000000007</v>
          </cell>
          <cell r="CM6490" t="str">
            <v xml:space="preserve">NFT-/XUTR/DEUTH02432567146X </v>
          </cell>
          <cell r="CN6490" t="str">
            <v>2024-11-20</v>
          </cell>
          <cell r="CO6490">
            <v>3759.038</v>
          </cell>
        </row>
        <row r="6491">
          <cell r="CJ6491" t="str">
            <v xml:space="preserve">NFT-/XUTR/DEUTH02432540165X </v>
          </cell>
          <cell r="CK6491" t="str">
            <v>2024-11-20</v>
          </cell>
          <cell r="CL6491">
            <v>39081.673999999999</v>
          </cell>
          <cell r="CM6491" t="str">
            <v xml:space="preserve">NFT-/XUTR/DEUTH02432567146X </v>
          </cell>
          <cell r="CN6491" t="str">
            <v>2024-11-20</v>
          </cell>
          <cell r="CO6491">
            <v>2062.471</v>
          </cell>
        </row>
        <row r="6492">
          <cell r="CJ6492" t="str">
            <v xml:space="preserve">NFT-/XUTR/DEUTH02432540165X </v>
          </cell>
          <cell r="CK6492" t="str">
            <v>2024-11-20</v>
          </cell>
          <cell r="CL6492">
            <v>7953.8320000000003</v>
          </cell>
          <cell r="CM6492" t="str">
            <v xml:space="preserve">NFT-/XUTR/DEUTH02432567146X </v>
          </cell>
          <cell r="CN6492" t="str">
            <v>2024-11-20</v>
          </cell>
          <cell r="CO6492">
            <v>423.17</v>
          </cell>
        </row>
        <row r="6494">
          <cell r="CJ6494" t="str">
            <v xml:space="preserve">NFT-/XUTR/DEUTH02432540165X </v>
          </cell>
          <cell r="CK6494" t="str">
            <v>2024-11-20</v>
          </cell>
          <cell r="CL6494">
            <v>78122.510999999999</v>
          </cell>
          <cell r="CM6494" t="str">
            <v xml:space="preserve">NFT-/XUTR/DEUTH02432567146X </v>
          </cell>
          <cell r="CN6494" t="str">
            <v>2024-11-20</v>
          </cell>
          <cell r="CO6494">
            <v>2911.723</v>
          </cell>
        </row>
        <row r="6495">
          <cell r="CJ6495" t="str">
            <v xml:space="preserve">NFT-/XUTR/DEUTH02432540165X </v>
          </cell>
          <cell r="CK6495" t="str">
            <v>2024-11-20</v>
          </cell>
          <cell r="CL6495">
            <v>78122.509999999995</v>
          </cell>
          <cell r="CM6495" t="str">
            <v xml:space="preserve">NFT-/XUTR/DEUTH02432567146X </v>
          </cell>
          <cell r="CN6495" t="str">
            <v>2024-11-20</v>
          </cell>
          <cell r="CO6495">
            <v>2911.7240000000002</v>
          </cell>
        </row>
        <row r="6496">
          <cell r="CJ6496" t="str">
            <v xml:space="preserve">NFT-/XUTR/DEUTH02432540165X </v>
          </cell>
          <cell r="CK6496" t="str">
            <v>2024-11-20</v>
          </cell>
          <cell r="CL6496">
            <v>78122.510999999999</v>
          </cell>
          <cell r="CM6496" t="str">
            <v xml:space="preserve">NFT-/XUTR/DEUTH02432567146X </v>
          </cell>
          <cell r="CN6496" t="str">
            <v>2024-11-20</v>
          </cell>
          <cell r="CO6496">
            <v>2911.723</v>
          </cell>
        </row>
        <row r="6497">
          <cell r="CJ6497" t="str">
            <v xml:space="preserve">NFT-/XUTR/DEUTH02432540165X </v>
          </cell>
          <cell r="CK6497" t="str">
            <v>2024-11-20</v>
          </cell>
          <cell r="CL6497">
            <v>78122.509999999995</v>
          </cell>
          <cell r="CM6497" t="str">
            <v xml:space="preserve">NFT-/XUTR/DEUTH02432567146X </v>
          </cell>
          <cell r="CN6497" t="str">
            <v>2024-11-20</v>
          </cell>
          <cell r="CO6497">
            <v>2911.7240000000002</v>
          </cell>
        </row>
        <row r="6498">
          <cell r="CJ6498" t="str">
            <v xml:space="preserve">NFT-/XUTR/DEUTH02432540165X </v>
          </cell>
          <cell r="CK6498" t="str">
            <v>2024-11-20</v>
          </cell>
          <cell r="CL6498">
            <v>77133.055999999997</v>
          </cell>
          <cell r="CM6498" t="str">
            <v xml:space="preserve">NFT-/XUTR/DEUTH02432567146X </v>
          </cell>
          <cell r="CN6498" t="str">
            <v>2024-11-20</v>
          </cell>
          <cell r="CO6498">
            <v>3882.299</v>
          </cell>
        </row>
        <row r="6499">
          <cell r="CJ6499" t="str">
            <v xml:space="preserve">NFT-/XUTR/DEUTH02432540165X </v>
          </cell>
          <cell r="CK6499" t="str">
            <v>2024-11-20</v>
          </cell>
          <cell r="CL6499">
            <v>80452.854000000007</v>
          </cell>
          <cell r="CM6499" t="str">
            <v xml:space="preserve">NFT-/XUTR/DEUTH02432567146X </v>
          </cell>
          <cell r="CN6499" t="str">
            <v>2024-11-20</v>
          </cell>
          <cell r="CO6499">
            <v>1008.428</v>
          </cell>
        </row>
        <row r="6500">
          <cell r="CJ6500" t="str">
            <v xml:space="preserve">NFT-/XUTR/DEUTH02432540165X </v>
          </cell>
          <cell r="CK6500" t="str">
            <v>2024-11-20</v>
          </cell>
          <cell r="CL6500">
            <v>7898.0730000000003</v>
          </cell>
          <cell r="CM6500" t="str">
            <v xml:space="preserve">NFT-/XUTR/DEUTH02432567146X </v>
          </cell>
          <cell r="CN6500" t="str">
            <v>2024-11-20</v>
          </cell>
          <cell r="CO6500">
            <v>421.23200000000003</v>
          </cell>
        </row>
        <row r="6502">
          <cell r="CJ6502" t="str">
            <v xml:space="preserve">NFT-/XUTR/DEUTH02432540165X </v>
          </cell>
          <cell r="CK6502" t="str">
            <v>2024-11-20</v>
          </cell>
          <cell r="CL6502">
            <v>77545.990000000005</v>
          </cell>
          <cell r="CM6502" t="str">
            <v xml:space="preserve">NFT-/XUTR/DEUTH02432567146X </v>
          </cell>
          <cell r="CN6502" t="str">
            <v>2024-11-20</v>
          </cell>
          <cell r="CO6502">
            <v>3488.2440000000001</v>
          </cell>
        </row>
        <row r="6503">
          <cell r="CJ6503" t="str">
            <v xml:space="preserve">NFT-/XUTR/DEUTH02432540165X </v>
          </cell>
          <cell r="CK6503" t="str">
            <v>2024-11-20</v>
          </cell>
          <cell r="CL6503">
            <v>7934.9520000000002</v>
          </cell>
          <cell r="CM6503" t="str">
            <v xml:space="preserve">NFT-/XUTR/DEUTH02432567146X </v>
          </cell>
          <cell r="CN6503" t="str">
            <v>2024-11-20</v>
          </cell>
          <cell r="CO6503">
            <v>423.17</v>
          </cell>
        </row>
        <row r="6504">
          <cell r="CJ6504" t="str">
            <v xml:space="preserve">NFT-/XUTR/DEUTH02432540165X </v>
          </cell>
          <cell r="CK6504" t="str">
            <v>2024-11-20</v>
          </cell>
          <cell r="CL6504">
            <v>78122.510999999999</v>
          </cell>
          <cell r="CM6504" t="str">
            <v xml:space="preserve">NFT-/XUTR/DEUTH02432567146X </v>
          </cell>
          <cell r="CN6504" t="str">
            <v>2024-11-20</v>
          </cell>
          <cell r="CO6504">
            <v>2911.723</v>
          </cell>
        </row>
        <row r="6505">
          <cell r="CJ6505" t="str">
            <v xml:space="preserve">NFT-/XUTR/DEUTH02432540165X </v>
          </cell>
          <cell r="CK6505" t="str">
            <v>2024-11-20</v>
          </cell>
          <cell r="CL6505">
            <v>80147.661999999997</v>
          </cell>
          <cell r="CM6505" t="str">
            <v xml:space="preserve">NFT-/XUTR/DEUTH02432567146X </v>
          </cell>
          <cell r="CN6505" t="str">
            <v>2024-11-20</v>
          </cell>
          <cell r="CO6505">
            <v>867.69200000000001</v>
          </cell>
        </row>
        <row r="6506">
          <cell r="CJ6506" t="str">
            <v xml:space="preserve">NFT-/XUTR/DEUTH02432540165X </v>
          </cell>
          <cell r="CK6506" t="str">
            <v>2024-11-20</v>
          </cell>
          <cell r="CL6506">
            <v>78122.509999999995</v>
          </cell>
          <cell r="CM6506" t="str">
            <v xml:space="preserve">NFT-/XUTR/DEUTH02432567146X </v>
          </cell>
          <cell r="CN6506" t="str">
            <v>2024-11-20</v>
          </cell>
          <cell r="CO6506">
            <v>2911.7240000000002</v>
          </cell>
        </row>
        <row r="6507">
          <cell r="CJ6507" t="str">
            <v xml:space="preserve">NFT-/XUTR/DEUTH02432540165X </v>
          </cell>
          <cell r="CK6507" t="str">
            <v>2024-11-20</v>
          </cell>
          <cell r="CL6507">
            <v>78103.63</v>
          </cell>
          <cell r="CM6507" t="str">
            <v xml:space="preserve">NFT-/XUTR/DEUTH02432567146X </v>
          </cell>
          <cell r="CN6507" t="str">
            <v>2024-11-20</v>
          </cell>
          <cell r="CO6507">
            <v>2911.7240000000002</v>
          </cell>
        </row>
        <row r="6508">
          <cell r="CJ6508" t="str">
            <v xml:space="preserve">NFT-/XUTR/DEUTH02432540165X </v>
          </cell>
          <cell r="CK6508" t="str">
            <v>2024-11-20</v>
          </cell>
          <cell r="CL6508">
            <v>78530.678</v>
          </cell>
          <cell r="CM6508" t="str">
            <v xml:space="preserve">NFT-/XUTR/DEUTH02432567146X </v>
          </cell>
          <cell r="CN6508" t="str">
            <v>2024-11-20</v>
          </cell>
          <cell r="CO6508">
            <v>2911.7240000000002</v>
          </cell>
        </row>
        <row r="6509">
          <cell r="CJ6509" t="str">
            <v xml:space="preserve">NFT-/XUTR/DEUTH02432540165X </v>
          </cell>
          <cell r="CK6509" t="str">
            <v>2024-11-20</v>
          </cell>
          <cell r="CL6509">
            <v>15834.878000000001</v>
          </cell>
          <cell r="CM6509" t="str">
            <v xml:space="preserve">NFT-/XUTR/DEUTH02432567146X </v>
          </cell>
          <cell r="CN6509" t="str">
            <v>2024-11-20</v>
          </cell>
          <cell r="CO6509">
            <v>842.46600000000001</v>
          </cell>
        </row>
        <row r="6510">
          <cell r="CJ6510" t="str">
            <v xml:space="preserve">NFT-/XUTR/DEUTH02432540165X </v>
          </cell>
          <cell r="CK6510" t="str">
            <v>2024-11-20</v>
          </cell>
          <cell r="CL6510">
            <v>1321.4559999999999</v>
          </cell>
        </row>
        <row r="6511">
          <cell r="CJ6511" t="str">
            <v xml:space="preserve">NFT-/XUTR/DEUTH02432540165X </v>
          </cell>
          <cell r="CK6511" t="str">
            <v>2024-11-20</v>
          </cell>
          <cell r="CL6511">
            <v>79967.135999999999</v>
          </cell>
          <cell r="CM6511" t="str">
            <v xml:space="preserve">NFT-/XUTR/DEUTH02432567146X </v>
          </cell>
          <cell r="CN6511" t="str">
            <v>2024-11-20</v>
          </cell>
          <cell r="CO6511">
            <v>2911.7240000000002</v>
          </cell>
        </row>
        <row r="6512">
          <cell r="CJ6512" t="str">
            <v xml:space="preserve">NFT-/XUTR/DEUTH02432540165X </v>
          </cell>
          <cell r="CK6512" t="str">
            <v>2024-11-20</v>
          </cell>
          <cell r="CL6512">
            <v>78122.509999999995</v>
          </cell>
          <cell r="CM6512" t="str">
            <v xml:space="preserve">NFT-/XUTR/DEUTH02432567146X </v>
          </cell>
          <cell r="CN6512" t="str">
            <v>2024-11-20</v>
          </cell>
          <cell r="CO6512">
            <v>2911.7240000000002</v>
          </cell>
        </row>
        <row r="6514">
          <cell r="CJ6514" t="str">
            <v xml:space="preserve">NFT-/XUTR/DEUTH02432540165X </v>
          </cell>
          <cell r="CK6514" t="str">
            <v>2024-11-20</v>
          </cell>
          <cell r="CL6514">
            <v>78122.510999999999</v>
          </cell>
          <cell r="CM6514" t="str">
            <v xml:space="preserve">NFT-/XUTR/DEUTH02432567146X </v>
          </cell>
          <cell r="CN6514" t="str">
            <v>2024-11-20</v>
          </cell>
          <cell r="CO6514">
            <v>2911.723</v>
          </cell>
        </row>
        <row r="6515">
          <cell r="CJ6515" t="str">
            <v xml:space="preserve">NFT-/XUTR/DEUTH02432540165X </v>
          </cell>
          <cell r="CK6515" t="str">
            <v>2024-11-20</v>
          </cell>
          <cell r="CL6515">
            <v>78103.63</v>
          </cell>
          <cell r="CM6515" t="str">
            <v xml:space="preserve">NFT-/XUTR/DEUTH02432567146X </v>
          </cell>
          <cell r="CN6515" t="str">
            <v>2024-11-20</v>
          </cell>
          <cell r="CO6515">
            <v>2911.7240000000002</v>
          </cell>
        </row>
        <row r="6516">
          <cell r="CJ6516" t="str">
            <v xml:space="preserve">NFT-/XUTR/DEUTH02432540165X </v>
          </cell>
          <cell r="CK6516" t="str">
            <v>2024-11-20</v>
          </cell>
          <cell r="CL6516">
            <v>5528.9030000000002</v>
          </cell>
          <cell r="CM6516" t="str">
            <v xml:space="preserve">NFT-/XUTR/DEUTH02432567146X </v>
          </cell>
          <cell r="CN6516" t="str">
            <v>2024-11-20</v>
          </cell>
          <cell r="CO6516">
            <v>257.20699999999999</v>
          </cell>
        </row>
        <row r="6517">
          <cell r="CJ6517" t="str">
            <v xml:space="preserve">NFT-/XUTR/DEUTH02432540165X </v>
          </cell>
          <cell r="CK6517" t="str">
            <v>2024-11-20</v>
          </cell>
          <cell r="CL6517">
            <v>80150.042000000001</v>
          </cell>
          <cell r="CM6517" t="str">
            <v xml:space="preserve">NFT-/XUTR/DEUTH02432567146X </v>
          </cell>
          <cell r="CN6517" t="str">
            <v>2024-11-20</v>
          </cell>
          <cell r="CO6517">
            <v>1311.25</v>
          </cell>
        </row>
        <row r="6518">
          <cell r="CJ6518" t="str">
            <v xml:space="preserve">NFT-/XUTR/DEUTH02432540165X </v>
          </cell>
          <cell r="CK6518" t="str">
            <v>2024-11-20</v>
          </cell>
          <cell r="CL6518">
            <v>78122.509999999995</v>
          </cell>
          <cell r="CM6518" t="str">
            <v xml:space="preserve">NFT-/XUTR/DEUTH02432567146X </v>
          </cell>
          <cell r="CN6518" t="str">
            <v>2024-11-20</v>
          </cell>
          <cell r="CO6518">
            <v>2911.7240000000002</v>
          </cell>
        </row>
        <row r="6519">
          <cell r="CJ6519" t="str">
            <v xml:space="preserve">NFT-/XUTR/DEUTH02432540165X </v>
          </cell>
          <cell r="CK6519" t="str">
            <v>2024-11-20</v>
          </cell>
          <cell r="CL6519">
            <v>78122.509999999995</v>
          </cell>
          <cell r="CM6519" t="str">
            <v xml:space="preserve">NFT-/XUTR/DEUTH02432567146X </v>
          </cell>
          <cell r="CN6519" t="str">
            <v>2024-11-20</v>
          </cell>
          <cell r="CO6519">
            <v>2911.7240000000002</v>
          </cell>
        </row>
        <row r="6520">
          <cell r="CJ6520" t="str">
            <v xml:space="preserve">NFT-/XUTR/DEUTH02432540165X </v>
          </cell>
          <cell r="CK6520" t="str">
            <v>2024-11-20</v>
          </cell>
          <cell r="CL6520">
            <v>7916.9539999999997</v>
          </cell>
          <cell r="CM6520" t="str">
            <v xml:space="preserve">NFT-/XUTR/DEUTH02432567146X </v>
          </cell>
          <cell r="CN6520" t="str">
            <v>2024-11-20</v>
          </cell>
          <cell r="CO6520">
            <v>421.233</v>
          </cell>
        </row>
        <row r="6521">
          <cell r="CJ6521" t="str">
            <v xml:space="preserve">NFT-/XUTR/DEUTH02432540165X </v>
          </cell>
          <cell r="CK6521" t="str">
            <v>2024-11-20</v>
          </cell>
          <cell r="CL6521">
            <v>78103.63</v>
          </cell>
          <cell r="CM6521" t="str">
            <v xml:space="preserve">NFT-/XUTR/DEUTH02432567146X </v>
          </cell>
          <cell r="CN6521" t="str">
            <v>2024-11-20</v>
          </cell>
          <cell r="CO6521">
            <v>2911.7240000000002</v>
          </cell>
        </row>
        <row r="6522">
          <cell r="CJ6522" t="str">
            <v xml:space="preserve">NFT-/XUTR/DEUTH02432540165X </v>
          </cell>
          <cell r="CK6522" t="str">
            <v>2024-11-20</v>
          </cell>
          <cell r="CL6522">
            <v>78122.510999999999</v>
          </cell>
          <cell r="CM6522" t="str">
            <v xml:space="preserve">NFT-/XUTR/DEUTH02432567146X </v>
          </cell>
          <cell r="CN6522" t="str">
            <v>2024-11-20</v>
          </cell>
          <cell r="CO6522">
            <v>2911.723</v>
          </cell>
        </row>
        <row r="6523">
          <cell r="CJ6523" t="str">
            <v xml:space="preserve">NFT-/XUTR/DEUTH02432540165X </v>
          </cell>
          <cell r="CK6523" t="str">
            <v>2024-11-20</v>
          </cell>
          <cell r="CL6523">
            <v>78103.63</v>
          </cell>
          <cell r="CM6523" t="str">
            <v xml:space="preserve">NFT-/XUTR/DEUTH02432567146X </v>
          </cell>
          <cell r="CN6523" t="str">
            <v>2024-11-20</v>
          </cell>
          <cell r="CO6523">
            <v>2911.7240000000002</v>
          </cell>
        </row>
        <row r="6524">
          <cell r="CJ6524" t="str">
            <v xml:space="preserve">NFT-/XUTR/DEUTH02432540165X </v>
          </cell>
          <cell r="CK6524" t="str">
            <v>2024-11-20</v>
          </cell>
          <cell r="CL6524">
            <v>79258.607999999993</v>
          </cell>
          <cell r="CM6524" t="str">
            <v xml:space="preserve">NFT-/XUTR/DEUTH02432567146X </v>
          </cell>
          <cell r="CN6524" t="str">
            <v>2024-11-20</v>
          </cell>
          <cell r="CO6524">
            <v>2911.7240000000002</v>
          </cell>
        </row>
        <row r="6525">
          <cell r="CJ6525" t="str">
            <v xml:space="preserve">NFT-/XUTR/DEUTH02432540165X </v>
          </cell>
          <cell r="CK6525" t="str">
            <v>2024-11-20</v>
          </cell>
          <cell r="CL6525">
            <v>78103.63</v>
          </cell>
          <cell r="CM6525" t="str">
            <v xml:space="preserve">NFT-/XUTR/DEUTH02432567146X </v>
          </cell>
          <cell r="CN6525" t="str">
            <v>2024-11-20</v>
          </cell>
          <cell r="CO6525">
            <v>2911.7240000000002</v>
          </cell>
        </row>
        <row r="6526">
          <cell r="CJ6526" t="str">
            <v xml:space="preserve">NFT-/XUTR/DEUTH02432540165X </v>
          </cell>
          <cell r="CK6526" t="str">
            <v>2024-11-20</v>
          </cell>
          <cell r="CL6526">
            <v>164359.55600000001</v>
          </cell>
        </row>
        <row r="6527">
          <cell r="CJ6527" t="str">
            <v xml:space="preserve">NFT-/XUTR/DEUTH02432540165X </v>
          </cell>
          <cell r="CK6527" t="str">
            <v>2024-11-20</v>
          </cell>
          <cell r="CL6527">
            <v>2466.2080000000001</v>
          </cell>
        </row>
        <row r="6528">
          <cell r="CJ6528" t="str">
            <v xml:space="preserve">NFT-/XUTR/DEUTH02432540165X </v>
          </cell>
          <cell r="CK6528" t="str">
            <v>2024-11-20</v>
          </cell>
          <cell r="CL6528">
            <v>78122.509999999995</v>
          </cell>
          <cell r="CM6528" t="str">
            <v xml:space="preserve">NFT-/XUTR/DEUTH02432567146X </v>
          </cell>
          <cell r="CN6528" t="str">
            <v>2024-11-20</v>
          </cell>
          <cell r="CO6528">
            <v>2911.7240000000002</v>
          </cell>
          <cell r="CP6528" t="str">
            <v xml:space="preserve">NFT-/XUTR/DEUTH02432756454X </v>
          </cell>
          <cell r="CQ6528" t="str">
            <v>2024-11-22</v>
          </cell>
          <cell r="CR6528">
            <v>-78122.509999999995</v>
          </cell>
          <cell r="CV6528" t="str">
            <v xml:space="preserve">NFT-/XUTR/DEUTH02433956210X </v>
          </cell>
          <cell r="CW6528" t="str">
            <v>2024-12-04</v>
          </cell>
          <cell r="CX6528">
            <v>-2911.7240000000002</v>
          </cell>
        </row>
        <row r="6529">
          <cell r="CJ6529" t="str">
            <v xml:space="preserve">NFT-/XUTR/DEUTH02432540165X </v>
          </cell>
          <cell r="CK6529" t="str">
            <v>2024-11-20</v>
          </cell>
          <cell r="CL6529">
            <v>78103.63</v>
          </cell>
          <cell r="CM6529" t="str">
            <v xml:space="preserve">NFT-/XUTR/DEUTH02432567146X </v>
          </cell>
          <cell r="CN6529" t="str">
            <v>2024-11-20</v>
          </cell>
          <cell r="CO6529">
            <v>2911.7240000000002</v>
          </cell>
        </row>
        <row r="6530">
          <cell r="CJ6530" t="str">
            <v xml:space="preserve">NFT-/XUTR/DEUTH02432540165X </v>
          </cell>
          <cell r="CK6530" t="str">
            <v>2024-11-20</v>
          </cell>
          <cell r="CL6530">
            <v>2728.2649999999999</v>
          </cell>
        </row>
        <row r="6532">
          <cell r="CJ6532" t="str">
            <v xml:space="preserve">NFT-/XUTR/DEUTH02432756454X </v>
          </cell>
          <cell r="CK6532" t="str">
            <v>2024-11-22</v>
          </cell>
          <cell r="CL6532">
            <v>7907.7749999999996</v>
          </cell>
          <cell r="CM6532" t="str">
            <v xml:space="preserve">NFT-/XUTR/DEUTH02433956210X </v>
          </cell>
          <cell r="CN6532" t="str">
            <v>2024-12-04</v>
          </cell>
          <cell r="CO6532">
            <v>421.23200000000003</v>
          </cell>
        </row>
        <row r="6533">
          <cell r="CJ6533" t="str">
            <v xml:space="preserve">NFT-/XUTR/DEUTH02432756454X </v>
          </cell>
          <cell r="CK6533" t="str">
            <v>2024-11-22</v>
          </cell>
          <cell r="CL6533">
            <v>5872.9219999999996</v>
          </cell>
        </row>
        <row r="6534">
          <cell r="CJ6534" t="str">
            <v xml:space="preserve">NFT-/XUTR/DEUTH02432756454X </v>
          </cell>
          <cell r="CK6534" t="str">
            <v>2024-11-22</v>
          </cell>
          <cell r="CL6534">
            <v>79393.959000000003</v>
          </cell>
          <cell r="CM6534" t="str">
            <v xml:space="preserve">NFT-/XUTR/DEUTH02433956210X </v>
          </cell>
          <cell r="CN6534" t="str">
            <v>2024-12-04</v>
          </cell>
          <cell r="CO6534">
            <v>2911.723</v>
          </cell>
        </row>
        <row r="6535">
          <cell r="CJ6535" t="str">
            <v xml:space="preserve">NFT-/XUTR/DEUTH02432756454X </v>
          </cell>
          <cell r="CK6535" t="str">
            <v>2024-11-22</v>
          </cell>
          <cell r="CL6535">
            <v>15579.643</v>
          </cell>
          <cell r="CM6535" t="str">
            <v xml:space="preserve">NFT-/XUTR/DEUTH02433956210X </v>
          </cell>
          <cell r="CN6535" t="str">
            <v>2024-12-04</v>
          </cell>
          <cell r="CO6535">
            <v>824.01400000000001</v>
          </cell>
        </row>
        <row r="6536">
          <cell r="CJ6536" t="str">
            <v xml:space="preserve">NFT-/XUTR/DEUTH02432756454X </v>
          </cell>
          <cell r="CK6536" t="str">
            <v>2024-11-22</v>
          </cell>
          <cell r="CL6536">
            <v>78238.98</v>
          </cell>
          <cell r="CM6536" t="str">
            <v xml:space="preserve">NFT-/XUTR/DEUTH02433956210X </v>
          </cell>
          <cell r="CN6536" t="str">
            <v>2024-12-04</v>
          </cell>
          <cell r="CO6536">
            <v>2911.723</v>
          </cell>
        </row>
        <row r="6537">
          <cell r="CJ6537" t="str">
            <v xml:space="preserve">NFT-/XUTR/DEUTH02432756454X </v>
          </cell>
          <cell r="CK6537" t="str">
            <v>2024-11-22</v>
          </cell>
          <cell r="CL6537">
            <v>38621.614999999998</v>
          </cell>
          <cell r="CM6537" t="str">
            <v xml:space="preserve">NFT-/XUTR/DEUTH02433956210X </v>
          </cell>
          <cell r="CN6537" t="str">
            <v>2024-12-04</v>
          </cell>
          <cell r="CO6537">
            <v>2580.7600000000002</v>
          </cell>
        </row>
        <row r="6538">
          <cell r="CJ6538" t="str">
            <v xml:space="preserve">NFT-/XUTR/DEUTH02432756454X </v>
          </cell>
          <cell r="CK6538" t="str">
            <v>2024-11-22</v>
          </cell>
          <cell r="CL6538">
            <v>78268.63</v>
          </cell>
          <cell r="CM6538" t="str">
            <v xml:space="preserve">NFT-/XUTR/DEUTH02433956210X </v>
          </cell>
          <cell r="CN6538" t="str">
            <v>2024-12-04</v>
          </cell>
          <cell r="CO6538">
            <v>2911.7240000000002</v>
          </cell>
        </row>
        <row r="6539">
          <cell r="CJ6539" t="str">
            <v xml:space="preserve">NFT-/XUTR/DEUTH02432756454X </v>
          </cell>
          <cell r="CK6539" t="str">
            <v>2024-11-22</v>
          </cell>
          <cell r="CL6539">
            <v>39136.991999999998</v>
          </cell>
          <cell r="CM6539" t="str">
            <v xml:space="preserve">NFT-/XUTR/DEUTH02433956210X </v>
          </cell>
          <cell r="CN6539" t="str">
            <v>2024-12-04</v>
          </cell>
          <cell r="CO6539">
            <v>2065.384</v>
          </cell>
        </row>
        <row r="6540">
          <cell r="CJ6540" t="str">
            <v xml:space="preserve">NFT-/XUTR/DEUTH02432756454X </v>
          </cell>
          <cell r="CK6540" t="str">
            <v>2024-11-22</v>
          </cell>
          <cell r="CL6540">
            <v>39633.294999999998</v>
          </cell>
          <cell r="CM6540" t="str">
            <v xml:space="preserve">NFT-/XUTR/DEUTH02433956210X </v>
          </cell>
          <cell r="CN6540" t="str">
            <v>2024-12-04</v>
          </cell>
          <cell r="CO6540">
            <v>2106.15</v>
          </cell>
        </row>
        <row r="6541">
          <cell r="CJ6541" t="str">
            <v xml:space="preserve">NFT-/XUTR/DEUTH02432756454X </v>
          </cell>
          <cell r="CK6541" t="str">
            <v>2024-11-22</v>
          </cell>
          <cell r="CL6541">
            <v>162301.402</v>
          </cell>
          <cell r="CM6541" t="str">
            <v xml:space="preserve">NFT-/XUTR/DEUTH02433037112X </v>
          </cell>
          <cell r="CN6541" t="str">
            <v>2024-11-25</v>
          </cell>
          <cell r="CO6541">
            <v>-162301.402</v>
          </cell>
        </row>
        <row r="6542">
          <cell r="CJ6542" t="str">
            <v xml:space="preserve">NFT-/XUTR/DEUTH02432756454X </v>
          </cell>
          <cell r="CK6542" t="str">
            <v>2024-11-22</v>
          </cell>
          <cell r="CL6542">
            <v>39155.872000000003</v>
          </cell>
          <cell r="CM6542" t="str">
            <v xml:space="preserve">NFT-/XUTR/DEUTH02433956210X </v>
          </cell>
          <cell r="CN6542" t="str">
            <v>2024-12-04</v>
          </cell>
          <cell r="CO6542">
            <v>2065.384</v>
          </cell>
        </row>
        <row r="6543">
          <cell r="CJ6543" t="str">
            <v xml:space="preserve">NFT-/XUTR/DEUTH02432756454X </v>
          </cell>
          <cell r="CK6543" t="str">
            <v>2024-11-22</v>
          </cell>
          <cell r="CL6543">
            <v>46738.919000000002</v>
          </cell>
          <cell r="CM6543" t="str">
            <v xml:space="preserve">NFT-/XUTR/DEUTH02433956210X </v>
          </cell>
          <cell r="CN6543" t="str">
            <v>2024-12-04</v>
          </cell>
          <cell r="CO6543">
            <v>2472.0549999999998</v>
          </cell>
        </row>
        <row r="6544">
          <cell r="CJ6544" t="str">
            <v xml:space="preserve">NFT-/XUTR/DEUTH02432756454X </v>
          </cell>
          <cell r="CK6544" t="str">
            <v>2024-11-22</v>
          </cell>
          <cell r="CL6544">
            <v>7907.7749999999996</v>
          </cell>
          <cell r="CM6544" t="str">
            <v xml:space="preserve">NFT-/XUTR/DEUTH02433956210X </v>
          </cell>
          <cell r="CN6544" t="str">
            <v>2024-12-04</v>
          </cell>
          <cell r="CO6544">
            <v>421.23200000000003</v>
          </cell>
        </row>
        <row r="6545">
          <cell r="CJ6545" t="str">
            <v xml:space="preserve">NFT-/XUTR/DEUTH02432756454X </v>
          </cell>
          <cell r="CK6545" t="str">
            <v>2024-11-22</v>
          </cell>
          <cell r="CL6545">
            <v>39633.294999999998</v>
          </cell>
          <cell r="CM6545" t="str">
            <v xml:space="preserve">NFT-/XUTR/DEUTH02433956210X </v>
          </cell>
          <cell r="CN6545" t="str">
            <v>2024-12-04</v>
          </cell>
          <cell r="CO6545">
            <v>2106.15</v>
          </cell>
        </row>
        <row r="6546">
          <cell r="CJ6546" t="str">
            <v xml:space="preserve">NFT-/XUTR/DEUTH02432756454X </v>
          </cell>
          <cell r="CK6546" t="str">
            <v>2024-11-22</v>
          </cell>
          <cell r="CL6546">
            <v>78171.573000000004</v>
          </cell>
          <cell r="CM6546" t="str">
            <v xml:space="preserve">NFT-/XUTR/DEUTH02433956210X </v>
          </cell>
          <cell r="CN6546" t="str">
            <v>2024-12-04</v>
          </cell>
          <cell r="CO6546">
            <v>3008.7820000000002</v>
          </cell>
        </row>
        <row r="6547">
          <cell r="CJ6547" t="str">
            <v xml:space="preserve">NFT-/XUTR/DEUTH02432756454X </v>
          </cell>
          <cell r="CK6547" t="str">
            <v>2024-11-22</v>
          </cell>
          <cell r="CL6547">
            <v>39155.870999999999</v>
          </cell>
          <cell r="CM6547" t="str">
            <v xml:space="preserve">NFT-/XUTR/DEUTH02433956210X </v>
          </cell>
          <cell r="CN6547" t="str">
            <v>2024-12-04</v>
          </cell>
          <cell r="CO6547">
            <v>2065.384</v>
          </cell>
        </row>
        <row r="6548">
          <cell r="CJ6548" t="str">
            <v xml:space="preserve">NFT-/XUTR/DEUTH02432756454X </v>
          </cell>
          <cell r="CK6548" t="str">
            <v>2024-11-22</v>
          </cell>
          <cell r="CL6548">
            <v>63088.837</v>
          </cell>
          <cell r="CM6548" t="str">
            <v xml:space="preserve">NFT-/XUTR/DEUTH02433956210X </v>
          </cell>
          <cell r="CN6548" t="str">
            <v>2024-12-04</v>
          </cell>
          <cell r="CO6548">
            <v>2911.7240000000002</v>
          </cell>
        </row>
        <row r="6549">
          <cell r="CJ6549" t="str">
            <v xml:space="preserve">NFT-/XUTR/DEUTH02432756454X </v>
          </cell>
          <cell r="CK6549" t="str">
            <v>2024-11-22</v>
          </cell>
          <cell r="CL6549">
            <v>7926.6549999999997</v>
          </cell>
          <cell r="CM6549" t="str">
            <v xml:space="preserve">NFT-/XUTR/DEUTH02433956210X </v>
          </cell>
          <cell r="CN6549" t="str">
            <v>2024-12-04</v>
          </cell>
          <cell r="CO6549">
            <v>421.23200000000003</v>
          </cell>
        </row>
        <row r="6550">
          <cell r="CJ6550" t="str">
            <v xml:space="preserve">NFT-/XUTR/DEUTH02432756454X </v>
          </cell>
          <cell r="CK6550" t="str">
            <v>2024-11-22</v>
          </cell>
          <cell r="CL6550">
            <v>8329.0069999999996</v>
          </cell>
        </row>
        <row r="6551">
          <cell r="CJ6551" t="str">
            <v xml:space="preserve">NFT-/XUTR/DEUTH02432756454X </v>
          </cell>
          <cell r="CK6551" t="str">
            <v>2024-11-22</v>
          </cell>
          <cell r="CL6551">
            <v>39155.872000000003</v>
          </cell>
          <cell r="CM6551" t="str">
            <v xml:space="preserve">NFT-/XUTR/DEUTH02433956210X </v>
          </cell>
          <cell r="CN6551" t="str">
            <v>2024-12-04</v>
          </cell>
          <cell r="CO6551">
            <v>2065.384</v>
          </cell>
        </row>
        <row r="6552">
          <cell r="CJ6552" t="str">
            <v xml:space="preserve">NFT-/XUTR/DEUTH02432756454X </v>
          </cell>
          <cell r="CK6552" t="str">
            <v>2024-11-22</v>
          </cell>
          <cell r="CL6552">
            <v>10793.297</v>
          </cell>
          <cell r="CM6552" t="str">
            <v xml:space="preserve">NFT-/XUTR/DEUTH02433956210X </v>
          </cell>
          <cell r="CN6552" t="str">
            <v>2024-12-04</v>
          </cell>
          <cell r="CO6552">
            <v>573.60699999999997</v>
          </cell>
        </row>
        <row r="6553">
          <cell r="CJ6553" t="str">
            <v xml:space="preserve">NFT-/XUTR/DEUTH02432756454X </v>
          </cell>
          <cell r="CK6553" t="str">
            <v>2024-11-22</v>
          </cell>
          <cell r="CL6553">
            <v>7926.6549999999997</v>
          </cell>
          <cell r="CM6553" t="str">
            <v xml:space="preserve">NFT-/XUTR/DEUTH02433956210X </v>
          </cell>
          <cell r="CN6553" t="str">
            <v>2024-12-04</v>
          </cell>
          <cell r="CO6553">
            <v>421.23200000000003</v>
          </cell>
        </row>
        <row r="6554">
          <cell r="CJ6554" t="str">
            <v xml:space="preserve">NFT-/XUTR/DEUTH02432756454X </v>
          </cell>
          <cell r="CK6554" t="str">
            <v>2024-11-22</v>
          </cell>
          <cell r="CL6554">
            <v>7907.7749999999996</v>
          </cell>
          <cell r="CM6554" t="str">
            <v xml:space="preserve">NFT-/XUTR/DEUTH02433956210X </v>
          </cell>
          <cell r="CN6554" t="str">
            <v>2024-12-04</v>
          </cell>
          <cell r="CO6554">
            <v>421.23200000000003</v>
          </cell>
        </row>
        <row r="6555">
          <cell r="CJ6555" t="str">
            <v xml:space="preserve">NFT-/XUTR/DEUTH02432756454X </v>
          </cell>
          <cell r="CK6555" t="str">
            <v>2024-11-22</v>
          </cell>
          <cell r="CL6555">
            <v>15052.598</v>
          </cell>
          <cell r="CM6555" t="str">
            <v xml:space="preserve">NFT-/XUTR/DEUTH02433956210X </v>
          </cell>
          <cell r="CN6555" t="str">
            <v>2024-12-04</v>
          </cell>
          <cell r="CO6555">
            <v>1642.2159999999999</v>
          </cell>
        </row>
        <row r="6556">
          <cell r="CJ6556" t="str">
            <v xml:space="preserve">NFT-/XUTR/DEUTH02432756454X </v>
          </cell>
          <cell r="CK6556" t="str">
            <v>2024-11-22</v>
          </cell>
          <cell r="CL6556">
            <v>78220.100999999995</v>
          </cell>
          <cell r="CM6556" t="str">
            <v xml:space="preserve">NFT-/XUTR/DEUTH02433956210X </v>
          </cell>
          <cell r="CN6556" t="str">
            <v>2024-12-04</v>
          </cell>
          <cell r="CO6556">
            <v>2911.7240000000002</v>
          </cell>
        </row>
        <row r="6557">
          <cell r="CJ6557" t="str">
            <v xml:space="preserve">NFT-/XUTR/DEUTH02432756454X </v>
          </cell>
          <cell r="CK6557" t="str">
            <v>2024-11-22</v>
          </cell>
          <cell r="CL6557">
            <v>39155.872000000003</v>
          </cell>
          <cell r="CM6557" t="str">
            <v xml:space="preserve">NFT-/XUTR/DEUTH02433956210X </v>
          </cell>
          <cell r="CN6557" t="str">
            <v>2024-12-04</v>
          </cell>
          <cell r="CO6557">
            <v>2065.384</v>
          </cell>
        </row>
        <row r="6558">
          <cell r="CJ6558" t="str">
            <v xml:space="preserve">NFT-/XUTR/DEUTH02432756454X </v>
          </cell>
          <cell r="CK6558" t="str">
            <v>2024-11-22</v>
          </cell>
          <cell r="CL6558">
            <v>10812.175999999999</v>
          </cell>
          <cell r="CM6558" t="str">
            <v xml:space="preserve">NFT-/XUTR/DEUTH02433956210X </v>
          </cell>
          <cell r="CN6558" t="str">
            <v>2024-12-04</v>
          </cell>
          <cell r="CO6558">
            <v>573.60799999999995</v>
          </cell>
        </row>
        <row r="6559">
          <cell r="CJ6559" t="str">
            <v xml:space="preserve">NFT-/XUTR/DEUTH02432756454X </v>
          </cell>
          <cell r="CK6559" t="str">
            <v>2024-11-22</v>
          </cell>
          <cell r="CL6559">
            <v>79393.959000000003</v>
          </cell>
          <cell r="CM6559" t="str">
            <v xml:space="preserve">NFT-/XUTR/DEUTH02433956210X </v>
          </cell>
          <cell r="CN6559" t="str">
            <v>2024-12-04</v>
          </cell>
          <cell r="CO6559">
            <v>2911.7240000000002</v>
          </cell>
        </row>
        <row r="6560">
          <cell r="CJ6560" t="str">
            <v xml:space="preserve">NFT-/XUTR/DEUTH02432756454X </v>
          </cell>
          <cell r="CK6560" t="str">
            <v>2024-11-22</v>
          </cell>
          <cell r="CL6560">
            <v>1350.309</v>
          </cell>
        </row>
        <row r="6561">
          <cell r="CJ6561" t="str">
            <v xml:space="preserve">NFT-/XUTR/DEUTH02432756454X </v>
          </cell>
          <cell r="CK6561" t="str">
            <v>2024-11-22</v>
          </cell>
          <cell r="CL6561">
            <v>7926.6540000000005</v>
          </cell>
          <cell r="CM6561" t="str">
            <v xml:space="preserve">NFT-/XUTR/DEUTH02433956210X </v>
          </cell>
          <cell r="CN6561" t="str">
            <v>2024-12-04</v>
          </cell>
          <cell r="CO6561">
            <v>421.233</v>
          </cell>
        </row>
        <row r="6562">
          <cell r="CJ6562" t="str">
            <v xml:space="preserve">NFT-/XUTR/DEUTH02432756454X </v>
          </cell>
          <cell r="CK6562" t="str">
            <v>2024-11-22</v>
          </cell>
          <cell r="CL6562">
            <v>7926.6549999999997</v>
          </cell>
          <cell r="CM6562" t="str">
            <v xml:space="preserve">NFT-/XUTR/DEUTH02433956210X </v>
          </cell>
          <cell r="CN6562" t="str">
            <v>2024-12-04</v>
          </cell>
          <cell r="CO6562">
            <v>421.23200000000003</v>
          </cell>
        </row>
        <row r="6563">
          <cell r="CJ6563" t="str">
            <v xml:space="preserve">NFT-/XUTR/DEUTH02432756454X </v>
          </cell>
          <cell r="CK6563" t="str">
            <v>2024-11-22</v>
          </cell>
          <cell r="CL6563">
            <v>162301.402</v>
          </cell>
          <cell r="CM6563" t="str">
            <v xml:space="preserve">NFT-/XUTR/DEUTH02433037112X </v>
          </cell>
          <cell r="CN6563" t="str">
            <v>2024-11-25</v>
          </cell>
          <cell r="CO6563">
            <v>-162301.402</v>
          </cell>
        </row>
        <row r="6564">
          <cell r="CJ6564" t="str">
            <v xml:space="preserve">NFT-/XUTR/DEUTH02432756454X </v>
          </cell>
          <cell r="CK6564" t="str">
            <v>2024-11-22</v>
          </cell>
          <cell r="CL6564">
            <v>7506.9309999999996</v>
          </cell>
          <cell r="CM6564" t="str">
            <v xml:space="preserve">NFT-/XUTR/DEUTH02433956210X </v>
          </cell>
          <cell r="CN6564" t="str">
            <v>2024-12-04</v>
          </cell>
          <cell r="CO6564">
            <v>822.07600000000002</v>
          </cell>
        </row>
        <row r="6565">
          <cell r="CJ6565" t="str">
            <v xml:space="preserve">NFT-/XUTR/DEUTH02432756454X </v>
          </cell>
          <cell r="CK6565" t="str">
            <v>2024-11-22</v>
          </cell>
          <cell r="CL6565">
            <v>1350.309</v>
          </cell>
        </row>
        <row r="6566">
          <cell r="CJ6566" t="str">
            <v xml:space="preserve">NFT-/XUTR/DEUTH02432756454X </v>
          </cell>
          <cell r="CK6566" t="str">
            <v>2024-11-22</v>
          </cell>
          <cell r="CL6566">
            <v>78086.596000000005</v>
          </cell>
          <cell r="CM6566" t="str">
            <v xml:space="preserve">NFT-/XUTR/DEUTH02433956210X </v>
          </cell>
          <cell r="CN6566" t="str">
            <v>2024-12-04</v>
          </cell>
          <cell r="CO6566">
            <v>3064.11</v>
          </cell>
        </row>
        <row r="6567">
          <cell r="CJ6567" t="str">
            <v xml:space="preserve">NFT-/XUTR/DEUTH02432756454X </v>
          </cell>
          <cell r="CK6567" t="str">
            <v>2024-11-22</v>
          </cell>
          <cell r="CL6567">
            <v>7907.7749999999996</v>
          </cell>
          <cell r="CM6567" t="str">
            <v xml:space="preserve">NFT-/XUTR/DEUTH02433956210X </v>
          </cell>
          <cell r="CN6567" t="str">
            <v>2024-12-04</v>
          </cell>
          <cell r="CO6567">
            <v>421.23200000000003</v>
          </cell>
        </row>
        <row r="6568">
          <cell r="CJ6568" t="str">
            <v xml:space="preserve">NFT-/XUTR/DEUTH02432756454X </v>
          </cell>
          <cell r="CK6568" t="str">
            <v>2024-11-22</v>
          </cell>
          <cell r="CL6568">
            <v>39155.872000000003</v>
          </cell>
          <cell r="CM6568" t="str">
            <v xml:space="preserve">NFT-/XUTR/DEUTH02433956210X </v>
          </cell>
          <cell r="CN6568" t="str">
            <v>2024-12-04</v>
          </cell>
          <cell r="CO6568">
            <v>2065.384</v>
          </cell>
        </row>
        <row r="6569">
          <cell r="CJ6569" t="str">
            <v xml:space="preserve">NFT-/XUTR/DEUTH02432756454X </v>
          </cell>
          <cell r="CK6569" t="str">
            <v>2024-11-22</v>
          </cell>
          <cell r="CL6569">
            <v>7926.6549999999997</v>
          </cell>
          <cell r="CM6569" t="str">
            <v xml:space="preserve">NFT-/XUTR/DEUTH02433956210X </v>
          </cell>
          <cell r="CN6569" t="str">
            <v>2024-12-04</v>
          </cell>
          <cell r="CO6569">
            <v>421.23200000000003</v>
          </cell>
        </row>
        <row r="6570">
          <cell r="CJ6570" t="str">
            <v xml:space="preserve">NFT-/XUTR/DEUTH02432756454X </v>
          </cell>
          <cell r="CK6570" t="str">
            <v>2024-11-22</v>
          </cell>
          <cell r="CL6570">
            <v>7805.3339999999998</v>
          </cell>
          <cell r="CM6570" t="str">
            <v xml:space="preserve">NFT-/XUTR/DEUTH02433956210X </v>
          </cell>
          <cell r="CN6570" t="str">
            <v>2024-12-04</v>
          </cell>
          <cell r="CO6570">
            <v>542.553</v>
          </cell>
        </row>
        <row r="6571">
          <cell r="CJ6571" t="str">
            <v xml:space="preserve">NFT-/XUTR/DEUTH02432756454X </v>
          </cell>
          <cell r="CK6571" t="str">
            <v>2024-11-22</v>
          </cell>
          <cell r="CL6571">
            <v>8329.0069999999996</v>
          </cell>
        </row>
        <row r="6572">
          <cell r="CJ6572" t="str">
            <v xml:space="preserve">NFT-/XUTR/DEUTH02433037112X </v>
          </cell>
          <cell r="CK6572" t="str">
            <v>2024-11-25</v>
          </cell>
          <cell r="CL6572">
            <v>79899.194000000003</v>
          </cell>
        </row>
        <row r="6573">
          <cell r="CJ6573" t="str">
            <v xml:space="preserve">NFT-/XUTR/DEUTH02433037112X </v>
          </cell>
          <cell r="CK6573" t="str">
            <v>2024-11-25</v>
          </cell>
          <cell r="CL6573">
            <v>81063.349000000002</v>
          </cell>
        </row>
        <row r="6574">
          <cell r="CJ6574" t="str">
            <v xml:space="preserve">NFT-/XUTR/DEUTH02433037112X </v>
          </cell>
          <cell r="CK6574" t="str">
            <v>2024-11-25</v>
          </cell>
          <cell r="CL6574">
            <v>1302.0519999999999</v>
          </cell>
        </row>
        <row r="6575">
          <cell r="CJ6575" t="str">
            <v xml:space="preserve">NFT-/XUTR/DEUTH02433037112X </v>
          </cell>
          <cell r="CK6575" t="str">
            <v>2024-11-25</v>
          </cell>
          <cell r="CL6575">
            <v>79899.194000000003</v>
          </cell>
        </row>
        <row r="6576">
          <cell r="CJ6576" t="str">
            <v xml:space="preserve">NFT-/XUTR/DEUTH02433037112X </v>
          </cell>
          <cell r="CK6576" t="str">
            <v>2024-11-25</v>
          </cell>
          <cell r="CL6576">
            <v>159836.14600000001</v>
          </cell>
        </row>
        <row r="6578">
          <cell r="CJ6578" t="str">
            <v xml:space="preserve">NFT-/XUTR/DEUTH02433037112X </v>
          </cell>
          <cell r="CK6578" t="str">
            <v>2024-11-25</v>
          </cell>
          <cell r="CL6578">
            <v>15437.657999999999</v>
          </cell>
        </row>
        <row r="6579">
          <cell r="CJ6579" t="str">
            <v xml:space="preserve">NFT-/XUTR/DEUTH02433037112X </v>
          </cell>
          <cell r="CK6579" t="str">
            <v>2024-11-25</v>
          </cell>
          <cell r="CL6579">
            <v>79918.073999999993</v>
          </cell>
        </row>
        <row r="6580">
          <cell r="CJ6580" t="str">
            <v xml:space="preserve">NFT-/XUTR/DEUTH02433037112X </v>
          </cell>
          <cell r="CK6580" t="str">
            <v>2024-11-25</v>
          </cell>
          <cell r="CL6580">
            <v>8231.4159999999993</v>
          </cell>
        </row>
        <row r="6581">
          <cell r="CJ6581" t="str">
            <v xml:space="preserve">NFT-/XUTR/DEUTH02433037112X </v>
          </cell>
          <cell r="CK6581" t="str">
            <v>2024-11-25</v>
          </cell>
          <cell r="CL6581">
            <v>8212.5360000000001</v>
          </cell>
        </row>
        <row r="6582">
          <cell r="CJ6582" t="str">
            <v xml:space="preserve">NFT-/XUTR/DEUTH02433037112X </v>
          </cell>
          <cell r="CK6582" t="str">
            <v>2024-11-25</v>
          </cell>
          <cell r="CL6582">
            <v>8231.4150000000009</v>
          </cell>
        </row>
        <row r="6583">
          <cell r="CJ6583" t="str">
            <v xml:space="preserve">NFT-/XUTR/DEUTH02433037112X </v>
          </cell>
          <cell r="CK6583" t="str">
            <v>2024-11-25</v>
          </cell>
          <cell r="CL6583">
            <v>8231.4150000000009</v>
          </cell>
        </row>
        <row r="6584">
          <cell r="CJ6584" t="str">
            <v xml:space="preserve">NFT-/XUTR/DEUTH02433037112X </v>
          </cell>
          <cell r="CK6584" t="str">
            <v>2024-11-25</v>
          </cell>
          <cell r="CL6584">
            <v>15456.538</v>
          </cell>
        </row>
        <row r="6585">
          <cell r="CJ6585" t="str">
            <v xml:space="preserve">NFT-/XUTR/DEUTH02433037112X </v>
          </cell>
          <cell r="CK6585" t="str">
            <v>2024-11-25</v>
          </cell>
          <cell r="CL6585">
            <v>81102.176999999996</v>
          </cell>
        </row>
        <row r="6586">
          <cell r="CJ6586" t="str">
            <v xml:space="preserve">NFT-/XUTR/DEUTH02433037112X </v>
          </cell>
          <cell r="CK6586" t="str">
            <v>2024-11-25</v>
          </cell>
          <cell r="CL6586">
            <v>8212.5360000000001</v>
          </cell>
        </row>
        <row r="6587">
          <cell r="CJ6587" t="str">
            <v xml:space="preserve">NFT-/XUTR/DEUTH02433037112X </v>
          </cell>
          <cell r="CK6587" t="str">
            <v>2024-11-25</v>
          </cell>
          <cell r="CL6587">
            <v>8212.5360000000001</v>
          </cell>
        </row>
        <row r="6588">
          <cell r="CJ6588" t="str">
            <v xml:space="preserve">NFT-/XUTR/DEUTH02433037112X </v>
          </cell>
          <cell r="CK6588" t="str">
            <v>2024-11-25</v>
          </cell>
          <cell r="CL6588">
            <v>81044.47</v>
          </cell>
        </row>
        <row r="6589">
          <cell r="CJ6589" t="str">
            <v xml:space="preserve">NFT-/XUTR/DEUTH02433037112X </v>
          </cell>
          <cell r="CK6589" t="str">
            <v>2024-11-25</v>
          </cell>
          <cell r="CL6589">
            <v>80888.649000000005</v>
          </cell>
        </row>
        <row r="6590">
          <cell r="CJ6590" t="str">
            <v xml:space="preserve">NFT-/XUTR/DEUTH02433037112X </v>
          </cell>
          <cell r="CK6590" t="str">
            <v>2024-11-25</v>
          </cell>
          <cell r="CL6590">
            <v>16267.781999999999</v>
          </cell>
          <cell r="CM6590" t="str">
            <v xml:space="preserve">NFT-/XUTR/DEUTH024334A0F3IX </v>
          </cell>
          <cell r="CN6590" t="str">
            <v>2024-11-29</v>
          </cell>
          <cell r="CO6590">
            <v>-16267.781999999999</v>
          </cell>
        </row>
        <row r="6591">
          <cell r="CJ6591" t="str">
            <v xml:space="preserve">NFT-/XUTR/DEUTH02433037112X </v>
          </cell>
          <cell r="CK6591" t="str">
            <v>2024-11-25</v>
          </cell>
          <cell r="CL6591">
            <v>15420.071</v>
          </cell>
        </row>
        <row r="6592">
          <cell r="CJ6592" t="str">
            <v xml:space="preserve">NFT-/XUTR/DEUTH02433037112X </v>
          </cell>
          <cell r="CK6592" t="str">
            <v>2024-11-25</v>
          </cell>
          <cell r="CL6592">
            <v>15850.962</v>
          </cell>
          <cell r="CM6592" t="str">
            <v xml:space="preserve">NFT-/XUTR/DEUTH02433956210X </v>
          </cell>
          <cell r="CN6592" t="str">
            <v>2024-12-04</v>
          </cell>
          <cell r="CO6592">
            <v>397.93200000000002</v>
          </cell>
        </row>
        <row r="6593">
          <cell r="CJ6593" t="str">
            <v xml:space="preserve">NFT-/XUTR/DEUTH02433037112X </v>
          </cell>
          <cell r="CK6593" t="str">
            <v>2024-11-25</v>
          </cell>
          <cell r="CL6593">
            <v>16267.781999999999</v>
          </cell>
        </row>
        <row r="6594">
          <cell r="CJ6594" t="str">
            <v xml:space="preserve">NFT-/XUTR/DEUTH02433037112X </v>
          </cell>
          <cell r="CK6594" t="str">
            <v>2024-11-25</v>
          </cell>
          <cell r="CL6594">
            <v>80888.648000000001</v>
          </cell>
          <cell r="CM6594" t="str">
            <v xml:space="preserve">NFT-/XUTR/DEUTH024334A0F3IX </v>
          </cell>
          <cell r="CN6594" t="str">
            <v>2024-11-29</v>
          </cell>
          <cell r="CO6594">
            <v>-80888.648000000001</v>
          </cell>
        </row>
        <row r="6595">
          <cell r="CJ6595" t="str">
            <v xml:space="preserve">NFT-/XUTR/DEUTH02433037112X </v>
          </cell>
          <cell r="CK6595" t="str">
            <v>2024-11-25</v>
          </cell>
          <cell r="CL6595">
            <v>40512.737999999998</v>
          </cell>
        </row>
        <row r="6596">
          <cell r="CJ6596" t="str">
            <v xml:space="preserve">NFT-/XUTR/DEUTH02433037112X </v>
          </cell>
          <cell r="CK6596" t="str">
            <v>2024-11-25</v>
          </cell>
          <cell r="CL6596">
            <v>64893.578999999998</v>
          </cell>
        </row>
        <row r="6597">
          <cell r="CJ6597" t="str">
            <v xml:space="preserve">NFT-/XUTR/DEUTH02433037112X </v>
          </cell>
          <cell r="CK6597" t="str">
            <v>2024-11-25</v>
          </cell>
          <cell r="CL6597">
            <v>16248.902</v>
          </cell>
        </row>
        <row r="6598">
          <cell r="CJ6598" t="str">
            <v xml:space="preserve">NFT-/XUTR/DEUTH02433037112X </v>
          </cell>
          <cell r="CK6598" t="str">
            <v>2024-11-25</v>
          </cell>
          <cell r="CL6598">
            <v>4880.5339999999997</v>
          </cell>
          <cell r="CM6598" t="str">
            <v xml:space="preserve">NFT-/XUTR/DEUTH02433956210X </v>
          </cell>
          <cell r="CN6598" t="str">
            <v>2024-12-04</v>
          </cell>
          <cell r="CO6598">
            <v>265.93400000000003</v>
          </cell>
        </row>
        <row r="6599">
          <cell r="CJ6599" t="str">
            <v xml:space="preserve">NFT-/XUTR/DEUTH02433037112X </v>
          </cell>
          <cell r="CK6599" t="str">
            <v>2024-11-25</v>
          </cell>
          <cell r="CL6599">
            <v>40493.858</v>
          </cell>
        </row>
        <row r="6600">
          <cell r="CJ6600" t="str">
            <v xml:space="preserve">NFT-/XUTR/DEUTH02433037112X </v>
          </cell>
          <cell r="CK6600" t="str">
            <v>2024-11-25</v>
          </cell>
          <cell r="CL6600">
            <v>16267.781999999999</v>
          </cell>
        </row>
        <row r="6601">
          <cell r="CJ6601" t="str">
            <v xml:space="preserve">NFT-/XUTR/DEUTH02433037112X </v>
          </cell>
          <cell r="CK6601" t="str">
            <v>2024-11-25</v>
          </cell>
          <cell r="CL6601">
            <v>65052.228000000003</v>
          </cell>
        </row>
        <row r="6602">
          <cell r="CJ6602" t="str">
            <v xml:space="preserve">NFT-/XUTR/DEUTH02433037112X </v>
          </cell>
          <cell r="CK6602" t="str">
            <v>2024-11-25</v>
          </cell>
          <cell r="CL6602">
            <v>40493.858</v>
          </cell>
        </row>
        <row r="6603">
          <cell r="CJ6603" t="str">
            <v xml:space="preserve">NFT-/XUTR/DEUTH02433037112X </v>
          </cell>
          <cell r="CK6603" t="str">
            <v>2024-11-25</v>
          </cell>
          <cell r="CL6603">
            <v>40181.775000000001</v>
          </cell>
          <cell r="CM6603" t="str">
            <v xml:space="preserve">NFT-/XUTR/DEUTH02433956210X </v>
          </cell>
          <cell r="CN6603" t="str">
            <v>2024-12-04</v>
          </cell>
          <cell r="CO6603">
            <v>330.964</v>
          </cell>
        </row>
        <row r="6604">
          <cell r="CJ6604" t="str">
            <v xml:space="preserve">NFT-/XUTR/DEUTH02433037112X </v>
          </cell>
          <cell r="CK6604" t="str">
            <v>2024-11-25</v>
          </cell>
          <cell r="CL6604">
            <v>79962.274000000005</v>
          </cell>
          <cell r="CM6604" t="str">
            <v xml:space="preserve">NFT-/XUTR/DEUTH02433956210X </v>
          </cell>
          <cell r="CN6604" t="str">
            <v>2024-12-04</v>
          </cell>
          <cell r="CO6604">
            <v>907.48299999999995</v>
          </cell>
        </row>
        <row r="6605">
          <cell r="CJ6605" t="str">
            <v xml:space="preserve">NFT-/XUTR/DEUTH02433037112X </v>
          </cell>
          <cell r="CK6605" t="str">
            <v>2024-11-25</v>
          </cell>
          <cell r="CL6605">
            <v>40493.858</v>
          </cell>
        </row>
        <row r="6606">
          <cell r="CJ6606" t="str">
            <v xml:space="preserve">NFT-/XUTR/DEUTH02433037112X </v>
          </cell>
          <cell r="CK6606" t="str">
            <v>2024-11-25</v>
          </cell>
          <cell r="CL6606">
            <v>2449.7069999999999</v>
          </cell>
          <cell r="CM6606" t="str">
            <v xml:space="preserve">NFT-/XUTR/DEUTH02433956210X </v>
          </cell>
          <cell r="CN6606" t="str">
            <v>2024-12-04</v>
          </cell>
          <cell r="CO6606">
            <v>132.971</v>
          </cell>
        </row>
        <row r="6607">
          <cell r="CJ6607" t="str">
            <v xml:space="preserve">NFT-/XUTR/DEUTH02433037112X </v>
          </cell>
          <cell r="CK6607" t="str">
            <v>2024-11-25</v>
          </cell>
          <cell r="CL6607">
            <v>1389.3979999999999</v>
          </cell>
        </row>
        <row r="6608">
          <cell r="CJ6608" t="str">
            <v xml:space="preserve">NFT-/XUTR/DEUTH024334A0F3IX </v>
          </cell>
          <cell r="CK6608" t="str">
            <v>2024-11-29</v>
          </cell>
          <cell r="CL6608">
            <v>40882.089</v>
          </cell>
        </row>
        <row r="6609">
          <cell r="CJ6609" t="str">
            <v xml:space="preserve">NFT-/XUTR/DEUTH024334A0F3IX </v>
          </cell>
          <cell r="CK6609" t="str">
            <v>2024-11-29</v>
          </cell>
          <cell r="CL6609">
            <v>5804.98</v>
          </cell>
        </row>
        <row r="6610">
          <cell r="CJ6610" t="str">
            <v xml:space="preserve">NFT-/XUTR/DEUTH024334A0F3IX </v>
          </cell>
          <cell r="CK6610" t="str">
            <v>2024-11-29</v>
          </cell>
          <cell r="CL6610">
            <v>5804.98</v>
          </cell>
        </row>
        <row r="6611">
          <cell r="CJ6611" t="str">
            <v xml:space="preserve">NFT-/XUTR/DEUTH024334A0F3IX </v>
          </cell>
          <cell r="CK6611" t="str">
            <v>2024-11-29</v>
          </cell>
          <cell r="CL6611">
            <v>5746.7489999999998</v>
          </cell>
          <cell r="CM6611" t="str">
            <v xml:space="preserve">NFT-/XUTR/DEUTH02433956210X </v>
          </cell>
          <cell r="CN6611" t="str">
            <v>2024-12-04</v>
          </cell>
          <cell r="CO6611">
            <v>58.231000000000002</v>
          </cell>
        </row>
        <row r="6612">
          <cell r="CJ6612" t="str">
            <v xml:space="preserve">NFT-/XUTR/DEUTH024334A0F3IX </v>
          </cell>
          <cell r="CK6612" t="str">
            <v>2024-11-29</v>
          </cell>
          <cell r="CL6612">
            <v>14991.628000000001</v>
          </cell>
          <cell r="CM6612" t="str">
            <v xml:space="preserve">NFT-/XUTR/DEUTH02433956210X </v>
          </cell>
          <cell r="CN6612" t="str">
            <v>2024-12-04</v>
          </cell>
          <cell r="CO6612">
            <v>574.29</v>
          </cell>
        </row>
        <row r="6613">
          <cell r="CJ6613" t="str">
            <v xml:space="preserve">NFT-/XUTR/DEUTH024334A0F3IX </v>
          </cell>
          <cell r="CK6613" t="str">
            <v>2024-11-29</v>
          </cell>
          <cell r="CL6613">
            <v>40900.968999999997</v>
          </cell>
        </row>
        <row r="6614">
          <cell r="CJ6614" t="str">
            <v xml:space="preserve">NFT-/XUTR/DEUTH024334A0F3IX </v>
          </cell>
          <cell r="CK6614" t="str">
            <v>2024-11-29</v>
          </cell>
          <cell r="CL6614">
            <v>41328.016000000003</v>
          </cell>
        </row>
        <row r="6616">
          <cell r="CJ6616" t="str">
            <v xml:space="preserve">NFT-/XUTR/DEUTH024334A0F3IX </v>
          </cell>
          <cell r="CK6616" t="str">
            <v>2024-11-29</v>
          </cell>
          <cell r="CL6616">
            <v>80559.182000000001</v>
          </cell>
          <cell r="CM6616" t="str">
            <v xml:space="preserve">NFT-/XUTR/DEUTH02433956210X </v>
          </cell>
          <cell r="CN6616" t="str">
            <v>2024-12-04</v>
          </cell>
          <cell r="CO6616">
            <v>970.57500000000005</v>
          </cell>
        </row>
        <row r="6617">
          <cell r="CJ6617" t="str">
            <v xml:space="preserve">NFT-/XUTR/DEUTH024334A0F3IX </v>
          </cell>
          <cell r="CK6617" t="str">
            <v>2024-11-29</v>
          </cell>
          <cell r="CL6617">
            <v>82509.509999999995</v>
          </cell>
        </row>
        <row r="6618">
          <cell r="CJ6618" t="str">
            <v xml:space="preserve">NFT-/XUTR/DEUTH024334A0F3IX </v>
          </cell>
          <cell r="CK6618" t="str">
            <v>2024-11-29</v>
          </cell>
          <cell r="CL6618">
            <v>83179.199999999997</v>
          </cell>
        </row>
        <row r="6619">
          <cell r="CJ6619" t="str">
            <v xml:space="preserve">NFT-/XUTR/DEUTH024334A0F3IX </v>
          </cell>
          <cell r="CK6619" t="str">
            <v>2024-11-29</v>
          </cell>
          <cell r="CL6619">
            <v>15747.587</v>
          </cell>
        </row>
        <row r="6620">
          <cell r="CJ6620" t="str">
            <v xml:space="preserve">NFT-/XUTR/DEUTH024334A0F3IX </v>
          </cell>
          <cell r="CK6620" t="str">
            <v>2024-11-29</v>
          </cell>
          <cell r="CL6620">
            <v>5566.2209999999995</v>
          </cell>
          <cell r="CM6620" t="str">
            <v xml:space="preserve">NFT-/XUTR/DEUTH02433956210X </v>
          </cell>
          <cell r="CN6620" t="str">
            <v>2024-12-04</v>
          </cell>
          <cell r="CO6620">
            <v>296.99700000000001</v>
          </cell>
        </row>
        <row r="6621">
          <cell r="CJ6621" t="str">
            <v xml:space="preserve">NFT-/XUTR/DEUTH024334A0F3IX </v>
          </cell>
          <cell r="CK6621" t="str">
            <v>2024-11-29</v>
          </cell>
          <cell r="CL6621">
            <v>1408.8109999999999</v>
          </cell>
        </row>
        <row r="6622">
          <cell r="CJ6622" t="str">
            <v xml:space="preserve">NFT-/XUTR/DEUTH024334A0F3IX </v>
          </cell>
          <cell r="CK6622" t="str">
            <v>2024-11-29</v>
          </cell>
          <cell r="CL6622">
            <v>1418.5119999999999</v>
          </cell>
          <cell r="CM6622" t="str">
            <v xml:space="preserve">NFT-/XUTR/DEUTH02434152633X </v>
          </cell>
          <cell r="CN6622" t="str">
            <v>2024-12-06</v>
          </cell>
          <cell r="CO6622">
            <v>-1418.5119999999999</v>
          </cell>
        </row>
        <row r="6625">
          <cell r="CJ6625" t="str">
            <v xml:space="preserve">NFT-/XUTR/DEUTH024334A0F3IX </v>
          </cell>
          <cell r="CK6625" t="str">
            <v>2024-11-29</v>
          </cell>
          <cell r="CL6625">
            <v>8367.8340000000007</v>
          </cell>
        </row>
        <row r="6626">
          <cell r="CJ6626" t="str">
            <v xml:space="preserve">NFT-/XUTR/DEUTH024334A0F3IX </v>
          </cell>
          <cell r="CK6626" t="str">
            <v>2024-11-29</v>
          </cell>
          <cell r="CL6626">
            <v>41309.135999999999</v>
          </cell>
          <cell r="CM6626" t="str">
            <v xml:space="preserve">NFT-/XUTR/DEUTH02433727466X </v>
          </cell>
          <cell r="CN6626" t="str">
            <v>2024-12-02</v>
          </cell>
          <cell r="CO6626">
            <v>-41309.135999999999</v>
          </cell>
        </row>
        <row r="6627">
          <cell r="CJ6627" t="str">
            <v xml:space="preserve">NFT-/XUTR/DEUTH024334A0F3IX </v>
          </cell>
          <cell r="CK6627" t="str">
            <v>2024-11-29</v>
          </cell>
          <cell r="CL6627">
            <v>41328.016000000003</v>
          </cell>
          <cell r="CM6627" t="str">
            <v xml:space="preserve">NFT-/XUTR/DEUTH02433956210X </v>
          </cell>
          <cell r="CN6627" t="str">
            <v>2024-12-04</v>
          </cell>
          <cell r="CO6627">
            <v>97.058000000000007</v>
          </cell>
        </row>
        <row r="6628">
          <cell r="CJ6628" t="str">
            <v xml:space="preserve">NFT-/XUTR/DEUTH024334A0F3IX </v>
          </cell>
          <cell r="CK6628" t="str">
            <v>2024-11-29</v>
          </cell>
          <cell r="CL6628">
            <v>7963.5429999999997</v>
          </cell>
          <cell r="CM6628" t="str">
            <v xml:space="preserve">NFT-/XUTR/DEUTH02433956210X </v>
          </cell>
          <cell r="CN6628" t="str">
            <v>2024-12-04</v>
          </cell>
          <cell r="CO6628">
            <v>423.17099999999999</v>
          </cell>
        </row>
        <row r="6629">
          <cell r="CJ6629" t="str">
            <v xml:space="preserve">NFT-/XUTR/DEUTH024334A0F3IX </v>
          </cell>
          <cell r="CK6629" t="str">
            <v>2024-11-29</v>
          </cell>
          <cell r="CL6629">
            <v>82325.63</v>
          </cell>
        </row>
        <row r="6630">
          <cell r="CJ6630" t="str">
            <v xml:space="preserve">NFT-/XUTR/DEUTH024334A0F3IX </v>
          </cell>
          <cell r="CK6630" t="str">
            <v>2024-11-29</v>
          </cell>
          <cell r="CL6630">
            <v>25403.31</v>
          </cell>
        </row>
        <row r="6631">
          <cell r="CJ6631" t="str">
            <v xml:space="preserve">NFT-/XUTR/DEUTH024334A0F3IX </v>
          </cell>
          <cell r="CK6631" t="str">
            <v>2024-11-29</v>
          </cell>
          <cell r="CL6631">
            <v>82694.445999999996</v>
          </cell>
        </row>
        <row r="6632">
          <cell r="CJ6632" t="str">
            <v xml:space="preserve">NFT-/XUTR/DEUTH024334A0F3IX </v>
          </cell>
          <cell r="CK6632" t="str">
            <v>2024-11-29</v>
          </cell>
          <cell r="CL6632">
            <v>82694.445999999996</v>
          </cell>
        </row>
        <row r="6634">
          <cell r="CJ6634" t="str">
            <v xml:space="preserve">NFT-/XUTR/DEUTH024334A0F3IX </v>
          </cell>
          <cell r="CK6634" t="str">
            <v>2024-11-29</v>
          </cell>
          <cell r="CL6634">
            <v>82344.509999999995</v>
          </cell>
          <cell r="CM6634" t="str">
            <v xml:space="preserve">NFT-/XUTR/DEUTH02433727466X </v>
          </cell>
          <cell r="CN6634" t="str">
            <v>2024-12-02</v>
          </cell>
          <cell r="CO6634">
            <v>-82344.509999999995</v>
          </cell>
        </row>
        <row r="6635">
          <cell r="CJ6635" t="str">
            <v xml:space="preserve">NFT-/XUTR/DEUTH024334A0F3IX </v>
          </cell>
          <cell r="CK6635" t="str">
            <v>2024-11-29</v>
          </cell>
          <cell r="CL6635">
            <v>8455.18</v>
          </cell>
        </row>
        <row r="6636">
          <cell r="CJ6636" t="str">
            <v xml:space="preserve">NFT-/XUTR/DEUTH024334A0F3IX </v>
          </cell>
          <cell r="CK6636" t="str">
            <v>2024-11-29</v>
          </cell>
          <cell r="CL6636">
            <v>42351.44</v>
          </cell>
        </row>
        <row r="6637">
          <cell r="CJ6637" t="str">
            <v xml:space="preserve">NFT-/XUTR/DEUTH02433727466X </v>
          </cell>
          <cell r="CK6637" t="str">
            <v>2024-12-02</v>
          </cell>
          <cell r="CL6637">
            <v>2476.4430000000002</v>
          </cell>
          <cell r="CM6637" t="str">
            <v xml:space="preserve">NFT-/XUTR/DEUTH02433944890X </v>
          </cell>
          <cell r="CN6637" t="str">
            <v>2024-12-04</v>
          </cell>
          <cell r="CO6637">
            <v>-2476.4430000000002</v>
          </cell>
        </row>
        <row r="6639">
          <cell r="CJ6639" t="str">
            <v xml:space="preserve">NFT-/XUTR/DEUTH024334A0F3IX </v>
          </cell>
          <cell r="CK6639" t="str">
            <v>2024-11-29</v>
          </cell>
          <cell r="CL6639">
            <v>8474.06</v>
          </cell>
        </row>
        <row r="6640">
          <cell r="CJ6640" t="str">
            <v xml:space="preserve">NFT-/XUTR/DEUTH02433727466X </v>
          </cell>
          <cell r="CK6640" t="str">
            <v>2024-12-02</v>
          </cell>
          <cell r="CL6640">
            <v>8736.116</v>
          </cell>
        </row>
        <row r="6641">
          <cell r="CJ6641" t="str">
            <v xml:space="preserve">NFT-/XUTR/DEUTH02433727466X </v>
          </cell>
          <cell r="CK6641" t="str">
            <v>2024-12-02</v>
          </cell>
          <cell r="CL6641">
            <v>8717.2360000000008</v>
          </cell>
        </row>
        <row r="6642">
          <cell r="CJ6642" t="str">
            <v xml:space="preserve">NFT-/XUTR/DEUTH02433727466X </v>
          </cell>
          <cell r="CK6642" t="str">
            <v>2024-12-02</v>
          </cell>
          <cell r="CL6642">
            <v>2514.7370000000001</v>
          </cell>
        </row>
        <row r="6644">
          <cell r="CJ6644" t="str">
            <v xml:space="preserve">NFT-/XUTR/DEUTH024334A0F3IX </v>
          </cell>
          <cell r="CK6644" t="str">
            <v>2024-11-29</v>
          </cell>
          <cell r="CL6644">
            <v>25403.31</v>
          </cell>
          <cell r="CM6644" t="str">
            <v xml:space="preserve">NFT-/XUTR/DEUTH02433944890X </v>
          </cell>
          <cell r="CN6644" t="str">
            <v>2024-12-04</v>
          </cell>
          <cell r="CO6644">
            <v>-8467.77</v>
          </cell>
          <cell r="CP6644" t="str">
            <v xml:space="preserve">NFT-/XUTR/DEUTH02434452068X </v>
          </cell>
          <cell r="CQ6644" t="str">
            <v>2024-12-09</v>
          </cell>
          <cell r="CR6644">
            <v>-16935.54</v>
          </cell>
        </row>
        <row r="6647">
          <cell r="CJ6647" t="str">
            <v xml:space="preserve">NFT-/XUTR/DEUTH02433727466X </v>
          </cell>
          <cell r="CK6647" t="str">
            <v>2024-12-02</v>
          </cell>
          <cell r="CL6647">
            <v>25694.484</v>
          </cell>
        </row>
        <row r="6649">
          <cell r="CJ6649" t="str">
            <v xml:space="preserve">NFT-/XUTR/DEUTH02433727466X </v>
          </cell>
          <cell r="CK6649" t="str">
            <v>2024-12-02</v>
          </cell>
          <cell r="CL6649">
            <v>40548.652999999998</v>
          </cell>
          <cell r="CM6649" t="str">
            <v xml:space="preserve">NFT-/XUTR/DEUTH02433956210X </v>
          </cell>
          <cell r="CN6649" t="str">
            <v>2024-12-04</v>
          </cell>
          <cell r="CO6649">
            <v>2138.1770000000001</v>
          </cell>
        </row>
        <row r="6650">
          <cell r="CJ6650" t="str">
            <v xml:space="preserve">NFT-/XUTR/DEUTH02433727466X </v>
          </cell>
          <cell r="CK6650" t="str">
            <v>2024-12-02</v>
          </cell>
          <cell r="CL6650">
            <v>42667.94</v>
          </cell>
        </row>
        <row r="6651">
          <cell r="CJ6651" t="str">
            <v xml:space="preserve">NFT-/XUTR/DEUTH02433727466X </v>
          </cell>
          <cell r="CK6651" t="str">
            <v>2024-12-02</v>
          </cell>
          <cell r="CL6651">
            <v>42667.94</v>
          </cell>
        </row>
        <row r="6652">
          <cell r="CJ6652" t="str">
            <v xml:space="preserve">NFT-/XUTR/DEUTH02433727466X </v>
          </cell>
          <cell r="CK6652" t="str">
            <v>2024-12-02</v>
          </cell>
          <cell r="CL6652">
            <v>40559.328000000001</v>
          </cell>
          <cell r="CM6652" t="str">
            <v xml:space="preserve">NFT-/XUTR/DEUTH02433956210X </v>
          </cell>
          <cell r="CN6652" t="str">
            <v>2024-12-04</v>
          </cell>
          <cell r="CO6652">
            <v>2127.5010000000002</v>
          </cell>
        </row>
        <row r="6653">
          <cell r="CJ6653" t="str">
            <v xml:space="preserve">NFT-/XUTR/DEUTH02433727466X </v>
          </cell>
          <cell r="CK6653" t="str">
            <v>2024-12-02</v>
          </cell>
          <cell r="CL6653">
            <v>81092.998000000007</v>
          </cell>
          <cell r="CM6653" t="str">
            <v xml:space="preserve">NFT-/XUTR/DEUTH02433944890X </v>
          </cell>
          <cell r="CN6653" t="str">
            <v>2024-12-04</v>
          </cell>
          <cell r="CO6653">
            <v>-81092.998000000007</v>
          </cell>
        </row>
        <row r="6654">
          <cell r="CJ6654" t="str">
            <v xml:space="preserve">NFT-/XUTR/DEUTH02433727466X </v>
          </cell>
          <cell r="CK6654" t="str">
            <v>2024-12-02</v>
          </cell>
          <cell r="CL6654">
            <v>51090.953999999998</v>
          </cell>
          <cell r="CM6654" t="str">
            <v xml:space="preserve">NFT-/XUTR/DEUTH02433956210X </v>
          </cell>
          <cell r="CN6654" t="str">
            <v>2024-12-04</v>
          </cell>
          <cell r="CO6654">
            <v>2693.3449999999998</v>
          </cell>
        </row>
        <row r="6655">
          <cell r="CJ6655" t="str">
            <v xml:space="preserve">NFT-/XUTR/DEUTH02433727466X </v>
          </cell>
          <cell r="CK6655" t="str">
            <v>2024-12-02</v>
          </cell>
          <cell r="CL6655">
            <v>40548.652999999998</v>
          </cell>
          <cell r="CM6655" t="str">
            <v xml:space="preserve">NFT-/XUTR/DEUTH02433956210X </v>
          </cell>
          <cell r="CN6655" t="str">
            <v>2024-12-04</v>
          </cell>
          <cell r="CO6655">
            <v>2138.1770000000001</v>
          </cell>
        </row>
        <row r="6656">
          <cell r="CJ6656" t="str">
            <v xml:space="preserve">NFT-/XUTR/DEUTH02433727466X </v>
          </cell>
          <cell r="CK6656" t="str">
            <v>2024-12-02</v>
          </cell>
          <cell r="CL6656">
            <v>40548.652999999998</v>
          </cell>
          <cell r="CM6656" t="str">
            <v xml:space="preserve">NFT-/XUTR/DEUTH02433956210X </v>
          </cell>
          <cell r="CN6656" t="str">
            <v>2024-12-04</v>
          </cell>
          <cell r="CO6656">
            <v>2138.1770000000001</v>
          </cell>
        </row>
        <row r="6657">
          <cell r="CJ6657" t="str">
            <v xml:space="preserve">NFT-/XUTR/DEUTH02433727466X </v>
          </cell>
          <cell r="CK6657" t="str">
            <v>2024-12-02</v>
          </cell>
          <cell r="CL6657">
            <v>51090.953999999998</v>
          </cell>
          <cell r="CM6657" t="str">
            <v xml:space="preserve">NFT-/XUTR/DEUTH02433956210X </v>
          </cell>
          <cell r="CN6657" t="str">
            <v>2024-12-04</v>
          </cell>
          <cell r="CO6657">
            <v>2693.3449999999998</v>
          </cell>
        </row>
        <row r="6658">
          <cell r="CJ6658" t="str">
            <v xml:space="preserve">NFT-/XUTR/DEUTH02433727466X </v>
          </cell>
          <cell r="CK6658" t="str">
            <v>2024-12-02</v>
          </cell>
          <cell r="CL6658">
            <v>5591.9840000000004</v>
          </cell>
          <cell r="CM6658" t="str">
            <v xml:space="preserve">NFT-/XUTR/DEUTH02433956210X </v>
          </cell>
          <cell r="CN6658" t="str">
            <v>2024-12-04</v>
          </cell>
          <cell r="CO6658">
            <v>291.173</v>
          </cell>
        </row>
        <row r="6659">
          <cell r="CJ6659" t="str">
            <v xml:space="preserve">NFT-/XUTR/DEUTH02433727466X </v>
          </cell>
          <cell r="CK6659" t="str">
            <v>2024-12-02</v>
          </cell>
          <cell r="CL6659">
            <v>42686.82</v>
          </cell>
          <cell r="CM6659" t="str">
            <v xml:space="preserve">NFT-/XUTR/DEUTH02433944890X </v>
          </cell>
          <cell r="CN6659" t="str">
            <v>2024-12-04</v>
          </cell>
          <cell r="CO6659">
            <v>-42686.82</v>
          </cell>
        </row>
        <row r="6660">
          <cell r="CJ6660" t="str">
            <v xml:space="preserve">NFT-/XUTR/DEUTH02433727466X </v>
          </cell>
          <cell r="CK6660" t="str">
            <v>2024-12-02</v>
          </cell>
          <cell r="CL6660">
            <v>2384.6779999999999</v>
          </cell>
          <cell r="CM6660" t="str">
            <v xml:space="preserve">NFT-/XUTR/DEUTH02433956210X </v>
          </cell>
          <cell r="CN6660" t="str">
            <v>2024-12-04</v>
          </cell>
          <cell r="CO6660">
            <v>130.06</v>
          </cell>
        </row>
        <row r="6661">
          <cell r="CJ6661" t="str">
            <v xml:space="preserve">NFT-/XUTR/DEUTH02433944890X </v>
          </cell>
          <cell r="CK6661" t="str">
            <v>2024-12-04</v>
          </cell>
          <cell r="CL6661">
            <v>170454.23</v>
          </cell>
        </row>
        <row r="6662">
          <cell r="CJ6662" t="str">
            <v xml:space="preserve">NFT-/XUTR/DEUTH02433944890X </v>
          </cell>
          <cell r="CK6662" t="str">
            <v>2024-12-04</v>
          </cell>
          <cell r="CL6662">
            <v>39442.194000000003</v>
          </cell>
          <cell r="CM6662" t="str">
            <v xml:space="preserve">NFT-/XUTR/DEUTH02433956210X </v>
          </cell>
          <cell r="CN6662" t="str">
            <v>2024-12-04</v>
          </cell>
          <cell r="CO6662">
            <v>2079.9360000000001</v>
          </cell>
        </row>
        <row r="6663">
          <cell r="CJ6663" t="str">
            <v xml:space="preserve">NFT-/XUTR/DEUTH02433944890X </v>
          </cell>
          <cell r="CK6663" t="str">
            <v>2024-12-04</v>
          </cell>
          <cell r="CL6663">
            <v>40004.150999999998</v>
          </cell>
          <cell r="CM6663" t="str">
            <v xml:space="preserve">NFT-/XUTR/DEUTH02433956210X </v>
          </cell>
          <cell r="CN6663" t="str">
            <v>2024-12-04</v>
          </cell>
          <cell r="CO6663">
            <v>2110.0259999999998</v>
          </cell>
        </row>
        <row r="6664">
          <cell r="CJ6664" t="str">
            <v xml:space="preserve">NFT-/XUTR/DEUTH02433944890X </v>
          </cell>
          <cell r="CK6664" t="str">
            <v>2024-12-04</v>
          </cell>
          <cell r="CL6664">
            <v>79967.135999999999</v>
          </cell>
          <cell r="CM6664" t="str">
            <v xml:space="preserve">NFT-/XUTR/DEUTH02433956210X </v>
          </cell>
          <cell r="CN6664" t="str">
            <v>2024-12-04</v>
          </cell>
          <cell r="CO6664">
            <v>2911.7240000000002</v>
          </cell>
        </row>
        <row r="6665">
          <cell r="CJ6665" t="str">
            <v xml:space="preserve">NFT-/XUTR/DEUTH02433944890X </v>
          </cell>
          <cell r="CK6665" t="str">
            <v>2024-12-04</v>
          </cell>
          <cell r="CL6665">
            <v>39985.271000000001</v>
          </cell>
          <cell r="CM6665" t="str">
            <v xml:space="preserve">NFT-/XUTR/DEUTH02433956210X </v>
          </cell>
          <cell r="CN6665" t="str">
            <v>2024-12-04</v>
          </cell>
          <cell r="CO6665">
            <v>2110.0259999999998</v>
          </cell>
        </row>
        <row r="6666">
          <cell r="CJ6666" t="str">
            <v xml:space="preserve">NFT-/XUTR/DEUTH02433944890X </v>
          </cell>
          <cell r="CK6666" t="str">
            <v>2024-12-04</v>
          </cell>
          <cell r="CL6666">
            <v>79967.135999999999</v>
          </cell>
          <cell r="CM6666" t="str">
            <v xml:space="preserve">NFT-/XUTR/DEUTH02433956210X </v>
          </cell>
          <cell r="CN6666" t="str">
            <v>2024-12-04</v>
          </cell>
          <cell r="CO6666">
            <v>2911.7240000000002</v>
          </cell>
        </row>
        <row r="6667">
          <cell r="CJ6667" t="str">
            <v xml:space="preserve">NFT-/XUTR/DEUTH02433944890X </v>
          </cell>
          <cell r="CK6667" t="str">
            <v>2024-12-04</v>
          </cell>
          <cell r="CL6667">
            <v>40004.150999999998</v>
          </cell>
          <cell r="CM6667" t="str">
            <v xml:space="preserve">NFT-/XUTR/DEUTH02433956210X </v>
          </cell>
          <cell r="CN6667" t="str">
            <v>2024-12-04</v>
          </cell>
          <cell r="CO6667">
            <v>2110.0259999999998</v>
          </cell>
        </row>
        <row r="6668">
          <cell r="CJ6668" t="str">
            <v xml:space="preserve">NFT-/XUTR/DEUTH02433944890X </v>
          </cell>
          <cell r="CK6668" t="str">
            <v>2024-12-04</v>
          </cell>
          <cell r="CL6668">
            <v>5519.19</v>
          </cell>
          <cell r="CM6668" t="str">
            <v xml:space="preserve">NFT-/XUTR/DEUTH02433956210X </v>
          </cell>
          <cell r="CN6668" t="str">
            <v>2024-12-04</v>
          </cell>
          <cell r="CO6668">
            <v>296.02300000000002</v>
          </cell>
        </row>
        <row r="6669">
          <cell r="CJ6669" t="str">
            <v xml:space="preserve">NFT-/XUTR/DEUTH02433944890X </v>
          </cell>
          <cell r="CK6669" t="str">
            <v>2024-12-04</v>
          </cell>
          <cell r="CL6669">
            <v>39441.22</v>
          </cell>
          <cell r="CM6669" t="str">
            <v xml:space="preserve">NFT-/XUTR/DEUTH02433956210X </v>
          </cell>
          <cell r="CN6669" t="str">
            <v>2024-12-04</v>
          </cell>
          <cell r="CO6669">
            <v>2080.91</v>
          </cell>
        </row>
        <row r="6670">
          <cell r="CJ6670" t="str">
            <v xml:space="preserve">NFT-/XUTR/DEUTH02433944890X </v>
          </cell>
          <cell r="CK6670" t="str">
            <v>2024-12-04</v>
          </cell>
          <cell r="CL6670">
            <v>5538.0709999999999</v>
          </cell>
          <cell r="CM6670" t="str">
            <v xml:space="preserve">NFT-/XUTR/DEUTH02433956210X </v>
          </cell>
          <cell r="CN6670" t="str">
            <v>2024-12-04</v>
          </cell>
          <cell r="CO6670">
            <v>296.024</v>
          </cell>
        </row>
        <row r="6671">
          <cell r="CJ6671" t="str">
            <v xml:space="preserve">NFT-/XUTR/DEUTH02433944890X </v>
          </cell>
          <cell r="CK6671" t="str">
            <v>2024-12-04</v>
          </cell>
          <cell r="CL6671">
            <v>79967.135999999999</v>
          </cell>
          <cell r="CM6671" t="str">
            <v xml:space="preserve">NFT-/XUTR/DEUTH02433956210X </v>
          </cell>
          <cell r="CN6671" t="str">
            <v>2024-12-04</v>
          </cell>
          <cell r="CO6671">
            <v>2911.7240000000002</v>
          </cell>
        </row>
        <row r="6672">
          <cell r="CJ6672" t="str">
            <v xml:space="preserve">NFT-/XUTR/DEUTH02433944890X </v>
          </cell>
          <cell r="CK6672" t="str">
            <v>2024-12-04</v>
          </cell>
          <cell r="CL6672">
            <v>11308.14</v>
          </cell>
        </row>
        <row r="6673">
          <cell r="CJ6673" t="str">
            <v xml:space="preserve">NFT-/XUTR/DEUTH02433944890X </v>
          </cell>
          <cell r="CK6673" t="str">
            <v>2024-12-04</v>
          </cell>
          <cell r="CL6673">
            <v>38520.146999999997</v>
          </cell>
          <cell r="CM6673" t="str">
            <v xml:space="preserve">NFT-/XUTR/DEUTH02433956210X </v>
          </cell>
          <cell r="CN6673" t="str">
            <v>2024-12-04</v>
          </cell>
          <cell r="CO6673">
            <v>3001.9830000000002</v>
          </cell>
        </row>
        <row r="6674">
          <cell r="CJ6674" t="str">
            <v xml:space="preserve">NFT-/XUTR/DEUTH02433944890X </v>
          </cell>
          <cell r="CK6674" t="str">
            <v>2024-12-04</v>
          </cell>
          <cell r="CL6674">
            <v>79967.135999999999</v>
          </cell>
          <cell r="CM6674" t="str">
            <v xml:space="preserve">NFT-/XUTR/DEUTH02433956210X </v>
          </cell>
          <cell r="CN6674" t="str">
            <v>2024-12-04</v>
          </cell>
          <cell r="CO6674">
            <v>2911.7240000000002</v>
          </cell>
        </row>
        <row r="6675">
          <cell r="CJ6675" t="str">
            <v xml:space="preserve">NFT-/XUTR/DEUTH02433944890X </v>
          </cell>
          <cell r="CK6675" t="str">
            <v>2024-12-04</v>
          </cell>
          <cell r="CL6675">
            <v>79967.135999999999</v>
          </cell>
          <cell r="CM6675" t="str">
            <v xml:space="preserve">NFT-/XUTR/DEUTH02433956210X </v>
          </cell>
          <cell r="CN6675" t="str">
            <v>2024-12-04</v>
          </cell>
          <cell r="CO6675">
            <v>2911.7240000000002</v>
          </cell>
        </row>
        <row r="6676">
          <cell r="CJ6676" t="str">
            <v xml:space="preserve">NFT-/XUTR/DEUTH02433944890X </v>
          </cell>
          <cell r="CK6676" t="str">
            <v>2024-12-04</v>
          </cell>
          <cell r="CL6676">
            <v>79986.016000000003</v>
          </cell>
          <cell r="CM6676" t="str">
            <v xml:space="preserve">NFT-/XUTR/DEUTH02433956210X </v>
          </cell>
          <cell r="CN6676" t="str">
            <v>2024-12-04</v>
          </cell>
          <cell r="CO6676">
            <v>2911.7240000000002</v>
          </cell>
        </row>
        <row r="6677">
          <cell r="CJ6677" t="str">
            <v xml:space="preserve">NFT-/XUTR/DEUTH02433944890X </v>
          </cell>
          <cell r="CK6677" t="str">
            <v>2024-12-04</v>
          </cell>
          <cell r="CL6677">
            <v>24305.062000000002</v>
          </cell>
          <cell r="CM6677" t="str">
            <v xml:space="preserve">NFT-/XUTR/DEUTH02433956210X </v>
          </cell>
          <cell r="CN6677" t="str">
            <v>2024-12-04</v>
          </cell>
          <cell r="CO6677">
            <v>1292.8119999999999</v>
          </cell>
        </row>
        <row r="6678">
          <cell r="CJ6678" t="str">
            <v xml:space="preserve">NFT-/XUTR/DEUTH02433944890X </v>
          </cell>
          <cell r="CK6678" t="str">
            <v>2024-12-04</v>
          </cell>
          <cell r="CL6678">
            <v>39985.271000000001</v>
          </cell>
          <cell r="CM6678" t="str">
            <v xml:space="preserve">NFT-/XUTR/DEUTH02433956210X </v>
          </cell>
          <cell r="CN6678" t="str">
            <v>2024-12-04</v>
          </cell>
          <cell r="CO6678">
            <v>2110.0259999999998</v>
          </cell>
        </row>
        <row r="6679">
          <cell r="CJ6679" t="str">
            <v xml:space="preserve">NFT-/XUTR/DEUTH02433944890X </v>
          </cell>
          <cell r="CK6679" t="str">
            <v>2024-12-04</v>
          </cell>
          <cell r="CL6679">
            <v>79967.135999999999</v>
          </cell>
          <cell r="CM6679" t="str">
            <v xml:space="preserve">NFT-/XUTR/DEUTH02433956210X </v>
          </cell>
          <cell r="CN6679" t="str">
            <v>2024-12-04</v>
          </cell>
          <cell r="CO6679">
            <v>2911.7240000000002</v>
          </cell>
        </row>
        <row r="6680">
          <cell r="CJ6680" t="str">
            <v xml:space="preserve">NFT-/XUTR/DEUTH02433944890X </v>
          </cell>
          <cell r="CK6680" t="str">
            <v>2024-12-04</v>
          </cell>
          <cell r="CL6680">
            <v>37894.124000000003</v>
          </cell>
          <cell r="CM6680" t="str">
            <v xml:space="preserve">NFT-/XUTR/DEUTH02433956210X </v>
          </cell>
          <cell r="CN6680" t="str">
            <v>2024-12-04</v>
          </cell>
          <cell r="CO6680">
            <v>4220.0619999999999</v>
          </cell>
        </row>
        <row r="6681">
          <cell r="CJ6681" t="str">
            <v xml:space="preserve">NFT-/XUTR/DEUTH02433944890X </v>
          </cell>
          <cell r="CK6681" t="str">
            <v>2024-12-04</v>
          </cell>
          <cell r="CL6681">
            <v>39423.313999999998</v>
          </cell>
          <cell r="CM6681" t="str">
            <v xml:space="preserve">NFT-/XUTR/DEUTH02433956210X </v>
          </cell>
          <cell r="CN6681" t="str">
            <v>2024-12-04</v>
          </cell>
          <cell r="CO6681">
            <v>2079.9360000000001</v>
          </cell>
        </row>
        <row r="6682">
          <cell r="CJ6682" t="str">
            <v xml:space="preserve">NFT-/XUTR/DEUTH02433944890X </v>
          </cell>
          <cell r="CK6682" t="str">
            <v>2024-12-04</v>
          </cell>
          <cell r="CL6682">
            <v>79015.44</v>
          </cell>
          <cell r="CM6682" t="str">
            <v xml:space="preserve">NFT-/XUTR/DEUTH02433956210X </v>
          </cell>
          <cell r="CN6682" t="str">
            <v>2024-12-04</v>
          </cell>
          <cell r="CO6682">
            <v>3882.299</v>
          </cell>
        </row>
        <row r="6683">
          <cell r="CJ6683" t="str">
            <v xml:space="preserve">NFT-/XUTR/DEUTH02433944890X </v>
          </cell>
          <cell r="CK6683" t="str">
            <v>2024-12-04</v>
          </cell>
          <cell r="CL6683">
            <v>8101.366</v>
          </cell>
          <cell r="CM6683" t="str">
            <v xml:space="preserve">NFT-/XUTR/DEUTH02433956210X </v>
          </cell>
          <cell r="CN6683" t="str">
            <v>2024-12-04</v>
          </cell>
          <cell r="CO6683">
            <v>430.93400000000003</v>
          </cell>
        </row>
        <row r="6684">
          <cell r="CJ6684" t="str">
            <v xml:space="preserve">NFT-/XUTR/DEUTH02433944890X </v>
          </cell>
          <cell r="CK6684" t="str">
            <v>2024-12-04</v>
          </cell>
          <cell r="CL6684">
            <v>42114.186999999998</v>
          </cell>
        </row>
        <row r="6685">
          <cell r="CJ6685" t="str">
            <v xml:space="preserve">NFT-/XUTR/DEUTH02433944890X </v>
          </cell>
          <cell r="CK6685" t="str">
            <v>2024-12-04</v>
          </cell>
          <cell r="CL6685">
            <v>39985.271000000001</v>
          </cell>
          <cell r="CM6685" t="str">
            <v xml:space="preserve">NFT-/XUTR/DEUTH02433956210X </v>
          </cell>
          <cell r="CN6685" t="str">
            <v>2024-12-04</v>
          </cell>
          <cell r="CO6685">
            <v>2110.0259999999998</v>
          </cell>
        </row>
        <row r="6686">
          <cell r="CJ6686" t="str">
            <v xml:space="preserve">NFT-/XUTR/DEUTH02433944890X </v>
          </cell>
          <cell r="CK6686" t="str">
            <v>2024-12-04</v>
          </cell>
          <cell r="CL6686">
            <v>2855.3820000000001</v>
          </cell>
        </row>
        <row r="6687">
          <cell r="CJ6687" t="str">
            <v xml:space="preserve">NFT-/XUTR/DEUTH02433944890X </v>
          </cell>
          <cell r="CK6687" t="str">
            <v>2024-12-04</v>
          </cell>
          <cell r="CL6687">
            <v>81539.459000000003</v>
          </cell>
        </row>
        <row r="6689">
          <cell r="CJ6689" t="str">
            <v xml:space="preserve">NFT-/XUTR/DEUTH02433944890X </v>
          </cell>
          <cell r="CK6689" t="str">
            <v>2024-12-04</v>
          </cell>
          <cell r="CL6689">
            <v>81539.459000000003</v>
          </cell>
          <cell r="CM6689" t="str">
            <v xml:space="preserve">NFT-/XUTR/DEUTH02434152633X </v>
          </cell>
          <cell r="CN6689" t="str">
            <v>2024-12-06</v>
          </cell>
          <cell r="CO6689">
            <v>-81539.459000000003</v>
          </cell>
        </row>
        <row r="6690">
          <cell r="CJ6690" t="str">
            <v xml:space="preserve">NFT-/XUTR/DEUTH02433944890X </v>
          </cell>
          <cell r="CK6690" t="str">
            <v>2024-12-04</v>
          </cell>
          <cell r="CL6690">
            <v>81539.459000000003</v>
          </cell>
        </row>
        <row r="6691">
          <cell r="CJ6691" t="str">
            <v xml:space="preserve">NFT-/XUTR/DEUTH02433944890X </v>
          </cell>
          <cell r="CK6691" t="str">
            <v>2024-12-04</v>
          </cell>
          <cell r="CL6691">
            <v>41434.785000000003</v>
          </cell>
        </row>
        <row r="6692">
          <cell r="CJ6692" t="str">
            <v xml:space="preserve">NFT-/XUTR/DEUTH02433944890X </v>
          </cell>
          <cell r="CK6692" t="str">
            <v>2024-12-04</v>
          </cell>
          <cell r="CL6692">
            <v>5533.22</v>
          </cell>
        </row>
        <row r="6695">
          <cell r="CJ6695" t="str">
            <v xml:space="preserve">NFT-/XUTR/DEUTH02434152633X </v>
          </cell>
          <cell r="CK6695" t="str">
            <v>2024-12-06</v>
          </cell>
          <cell r="CL6695">
            <v>83257.8</v>
          </cell>
        </row>
        <row r="6697">
          <cell r="CJ6697" t="str">
            <v xml:space="preserve">NFT-/XUTR/DEUTH02434152633X </v>
          </cell>
          <cell r="CK6697" t="str">
            <v>2024-12-06</v>
          </cell>
          <cell r="CL6697">
            <v>8425.5310000000009</v>
          </cell>
        </row>
        <row r="6698">
          <cell r="CJ6698" t="str">
            <v xml:space="preserve">NFT-/XUTR/DEUTH02434152633X </v>
          </cell>
          <cell r="CK6698" t="str">
            <v>2024-12-06</v>
          </cell>
          <cell r="CL6698">
            <v>16695.363000000001</v>
          </cell>
        </row>
        <row r="6699">
          <cell r="CJ6699" t="str">
            <v xml:space="preserve">NFT-/XUTR/DEUTH02434152633X </v>
          </cell>
          <cell r="CK6699" t="str">
            <v>2024-12-06</v>
          </cell>
          <cell r="CL6699">
            <v>11144.096</v>
          </cell>
        </row>
        <row r="6700">
          <cell r="CJ6700" t="str">
            <v xml:space="preserve">NFT-/XUTR/DEUTH02434152633X </v>
          </cell>
          <cell r="CK6700" t="str">
            <v>2024-12-06</v>
          </cell>
          <cell r="CL6700">
            <v>8425.5310000000009</v>
          </cell>
        </row>
        <row r="6701">
          <cell r="CJ6701" t="str">
            <v xml:space="preserve">NFT-/XUTR/DEUTH02434152633X </v>
          </cell>
          <cell r="CK6701" t="str">
            <v>2024-12-06</v>
          </cell>
          <cell r="CL6701">
            <v>81585.516000000003</v>
          </cell>
          <cell r="CM6701" t="str">
            <v xml:space="preserve">NFT-/XUTR/DEUTH02434169176X </v>
          </cell>
          <cell r="CN6701" t="str">
            <v>2024-12-06</v>
          </cell>
          <cell r="CO6701">
            <v>361.053</v>
          </cell>
        </row>
        <row r="6702">
          <cell r="CJ6702" t="str">
            <v xml:space="preserve">NFT-/XUTR/DEUTH02434152633X </v>
          </cell>
          <cell r="CK6702" t="str">
            <v>2024-12-06</v>
          </cell>
          <cell r="CL6702">
            <v>8406.6509999999998</v>
          </cell>
        </row>
        <row r="6703">
          <cell r="CJ6703" t="str">
            <v xml:space="preserve">NFT-/XUTR/DEUTH02434152633X </v>
          </cell>
          <cell r="CK6703" t="str">
            <v>2024-12-06</v>
          </cell>
          <cell r="CL6703">
            <v>41483.847000000002</v>
          </cell>
        </row>
        <row r="6704">
          <cell r="CJ6704" t="str">
            <v xml:space="preserve">NFT-/XUTR/DEUTH02434152633X </v>
          </cell>
          <cell r="CK6704" t="str">
            <v>2024-12-06</v>
          </cell>
          <cell r="CL6704">
            <v>81703.923999999999</v>
          </cell>
        </row>
        <row r="6705">
          <cell r="CJ6705" t="str">
            <v xml:space="preserve">NFT-/XUTR/DEUTH02434152633X </v>
          </cell>
          <cell r="CK6705" t="str">
            <v>2024-12-06</v>
          </cell>
          <cell r="CL6705">
            <v>16665.714</v>
          </cell>
        </row>
        <row r="6706">
          <cell r="CJ6706" t="str">
            <v xml:space="preserve">NFT-/XUTR/DEUTH02434452068X </v>
          </cell>
          <cell r="CK6706" t="str">
            <v>2024-12-09</v>
          </cell>
          <cell r="CL6706">
            <v>40584.116999999998</v>
          </cell>
          <cell r="CM6706" t="str">
            <v xml:space="preserve">NFT-/XUTR/DEUTH02434856407X </v>
          </cell>
          <cell r="CN6706" t="str">
            <v>2024-12-13</v>
          </cell>
          <cell r="CO6706">
            <v>-40584.116999999998</v>
          </cell>
        </row>
        <row r="6707">
          <cell r="CJ6707" t="str">
            <v xml:space="preserve">NFT-/XUTR/DEUTH02434452068X </v>
          </cell>
          <cell r="CK6707" t="str">
            <v>2024-12-09</v>
          </cell>
          <cell r="CL6707">
            <v>1256.866</v>
          </cell>
        </row>
        <row r="6708">
          <cell r="CJ6708" t="str">
            <v xml:space="preserve">NFT-/XUTR/DEUTH02434452068X </v>
          </cell>
          <cell r="CK6708" t="str">
            <v>2024-12-09</v>
          </cell>
          <cell r="CL6708">
            <v>40602.997000000003</v>
          </cell>
        </row>
        <row r="6709">
          <cell r="CJ6709" t="str">
            <v xml:space="preserve">NFT-/XUTR/DEUTH02434152633X </v>
          </cell>
          <cell r="CK6709" t="str">
            <v>2024-12-06</v>
          </cell>
          <cell r="CL6709">
            <v>16646.833999999999</v>
          </cell>
        </row>
        <row r="6710">
          <cell r="CJ6710" t="str">
            <v xml:space="preserve">NFT-/XUTR/DEUTH02434152633X </v>
          </cell>
          <cell r="CK6710" t="str">
            <v>2024-12-06</v>
          </cell>
          <cell r="CL6710">
            <v>25199.493999999999</v>
          </cell>
        </row>
        <row r="6711">
          <cell r="CJ6711" t="str">
            <v xml:space="preserve">NFT-/XUTR/DEUTH02434452068X </v>
          </cell>
          <cell r="CK6711" t="str">
            <v>2024-12-09</v>
          </cell>
          <cell r="CL6711">
            <v>39992.07</v>
          </cell>
        </row>
        <row r="6712">
          <cell r="CJ6712" t="str">
            <v xml:space="preserve">NFT-/XUTR/DEUTH02434452068X </v>
          </cell>
          <cell r="CK6712" t="str">
            <v>2024-12-09</v>
          </cell>
          <cell r="CL6712">
            <v>10950.973</v>
          </cell>
        </row>
        <row r="6713">
          <cell r="CJ6713" t="str">
            <v xml:space="preserve">NFT-/XUTR/DEUTH02434452068X </v>
          </cell>
          <cell r="CK6713" t="str">
            <v>2024-12-09</v>
          </cell>
          <cell r="CL6713">
            <v>10620.975</v>
          </cell>
        </row>
        <row r="6714">
          <cell r="CJ6714" t="str">
            <v xml:space="preserve">NFT-/XUTR/DEUTH02434452068X </v>
          </cell>
          <cell r="CK6714" t="str">
            <v>2024-12-09</v>
          </cell>
          <cell r="CL6714">
            <v>5411.4570000000003</v>
          </cell>
        </row>
        <row r="6715">
          <cell r="CJ6715" t="str">
            <v xml:space="preserve">NFT-/XUTR/DEUTH02434152633X </v>
          </cell>
          <cell r="CK6715" t="str">
            <v>2024-12-06</v>
          </cell>
          <cell r="CL6715">
            <v>42011.74</v>
          </cell>
        </row>
        <row r="6716">
          <cell r="CJ6716" t="str">
            <v xml:space="preserve">NFT-/XUTR/DEUTH02434152633X </v>
          </cell>
          <cell r="CK6716" t="str">
            <v>2024-12-06</v>
          </cell>
          <cell r="CL6716">
            <v>33605.612000000001</v>
          </cell>
        </row>
        <row r="6717">
          <cell r="CJ6717" t="str">
            <v xml:space="preserve">NFT-/XUTR/DEUTH02434452068X </v>
          </cell>
          <cell r="CK6717" t="str">
            <v>2024-12-09</v>
          </cell>
          <cell r="CL6717">
            <v>40602.997000000003</v>
          </cell>
        </row>
        <row r="6718">
          <cell r="CJ6718" t="str">
            <v xml:space="preserve">NFT-/XUTR/DEUTH02434452068X </v>
          </cell>
          <cell r="CK6718" t="str">
            <v>2024-12-09</v>
          </cell>
          <cell r="CL6718">
            <v>1237.9860000000001</v>
          </cell>
        </row>
        <row r="6719">
          <cell r="CJ6719" t="str">
            <v xml:space="preserve">NFT-/XUTR/DEUTH02434452068X </v>
          </cell>
          <cell r="CK6719" t="str">
            <v>2024-12-09</v>
          </cell>
          <cell r="CL6719">
            <v>40901.500999999997</v>
          </cell>
        </row>
        <row r="6720">
          <cell r="CJ6720" t="str">
            <v xml:space="preserve">NFT-/XUTR/DEUTH02434452068X </v>
          </cell>
          <cell r="CK6720" t="str">
            <v>2024-12-09</v>
          </cell>
          <cell r="CL6720">
            <v>40010.949999999997</v>
          </cell>
        </row>
        <row r="6721">
          <cell r="CJ6721" t="str">
            <v xml:space="preserve">NFT-/XUTR/DEUTH02434452068X </v>
          </cell>
          <cell r="CK6721" t="str">
            <v>2024-12-09</v>
          </cell>
          <cell r="CL6721">
            <v>1237.9860000000001</v>
          </cell>
        </row>
        <row r="6722">
          <cell r="CJ6722" t="str">
            <v xml:space="preserve">NFT-/XUTR/DEUTH02434452068X </v>
          </cell>
          <cell r="CK6722" t="str">
            <v>2024-12-09</v>
          </cell>
          <cell r="CL6722">
            <v>10620.975</v>
          </cell>
        </row>
        <row r="6723">
          <cell r="CJ6723" t="str">
            <v xml:space="preserve">NFT-/XUTR/DEUTH02434452068X </v>
          </cell>
          <cell r="CK6723" t="str">
            <v>2024-12-09</v>
          </cell>
          <cell r="CL6723">
            <v>39992.07</v>
          </cell>
        </row>
        <row r="6724">
          <cell r="CJ6724" t="str">
            <v xml:space="preserve">NFT-/XUTR/DEUTH02434152633X </v>
          </cell>
          <cell r="CK6724" t="str">
            <v>2024-12-06</v>
          </cell>
          <cell r="CL6724">
            <v>42011.74</v>
          </cell>
        </row>
        <row r="6725">
          <cell r="CJ6725" t="str">
            <v xml:space="preserve">NFT-/XUTR/DEUTH02434152633X </v>
          </cell>
          <cell r="CK6725" t="str">
            <v>2024-12-06</v>
          </cell>
          <cell r="CL6725">
            <v>42011.74</v>
          </cell>
        </row>
        <row r="6726">
          <cell r="CJ6726" t="str">
            <v xml:space="preserve">NFT-/XUTR/DEUTH02434452068X </v>
          </cell>
          <cell r="CK6726" t="str">
            <v>2024-12-09</v>
          </cell>
          <cell r="CL6726">
            <v>41832.17</v>
          </cell>
        </row>
        <row r="6727">
          <cell r="CJ6727" t="str">
            <v xml:space="preserve">NFT-/XUTR/DEUTH02434452068X </v>
          </cell>
          <cell r="CK6727" t="str">
            <v>2024-12-09</v>
          </cell>
          <cell r="CL6727">
            <v>41832.17</v>
          </cell>
        </row>
        <row r="6728">
          <cell r="CJ6728" t="str">
            <v xml:space="preserve">NFT-/XUTR/DEUTH02434452068X </v>
          </cell>
          <cell r="CK6728" t="str">
            <v>2024-12-09</v>
          </cell>
          <cell r="CL6728">
            <v>10602.093999999999</v>
          </cell>
        </row>
        <row r="6729">
          <cell r="CJ6729" t="str">
            <v xml:space="preserve">NFT-/XUTR/DEUTH02434152633X </v>
          </cell>
          <cell r="CK6729" t="str">
            <v>2024-12-06</v>
          </cell>
          <cell r="CL6729">
            <v>25199.493999999999</v>
          </cell>
        </row>
        <row r="6730">
          <cell r="CJ6730" t="str">
            <v xml:space="preserve">NFT-/XUTR/DEUTH02434452068X </v>
          </cell>
          <cell r="CK6730" t="str">
            <v>2024-12-09</v>
          </cell>
          <cell r="CL6730">
            <v>41832.17</v>
          </cell>
        </row>
        <row r="6732">
          <cell r="CJ6732" t="str">
            <v xml:space="preserve">NFT-/XUTR/DEUTH02434452068X </v>
          </cell>
          <cell r="CK6732" t="str">
            <v>2024-12-09</v>
          </cell>
          <cell r="CL6732">
            <v>8351.3320000000003</v>
          </cell>
        </row>
        <row r="6733">
          <cell r="CJ6733" t="str">
            <v xml:space="preserve">NFT-/XUTR/DEUTH02434452068X </v>
          </cell>
          <cell r="CK6733" t="str">
            <v>2024-12-09</v>
          </cell>
          <cell r="CL6733">
            <v>39992.07</v>
          </cell>
        </row>
        <row r="6735">
          <cell r="CJ6735" t="str">
            <v xml:space="preserve">NFT-/XUTR/DEUTH02434452068X </v>
          </cell>
          <cell r="CK6735" t="str">
            <v>2024-12-09</v>
          </cell>
          <cell r="CL6735">
            <v>5411.4570000000003</v>
          </cell>
        </row>
        <row r="6736">
          <cell r="CJ6736" t="str">
            <v xml:space="preserve">NFT-/XUTR/DEUTH02434452068X </v>
          </cell>
          <cell r="CK6736" t="str">
            <v>2024-12-09</v>
          </cell>
          <cell r="CL6736">
            <v>16491.012999999999</v>
          </cell>
        </row>
        <row r="6738">
          <cell r="CJ6738" t="str">
            <v xml:space="preserve">NFT-/XUTR/DEUTH02434452068X </v>
          </cell>
          <cell r="CK6738" t="str">
            <v>2024-12-09</v>
          </cell>
          <cell r="CL6738">
            <v>41832.17</v>
          </cell>
        </row>
        <row r="6739">
          <cell r="CJ6739" t="str">
            <v xml:space="preserve">NFT-/XUTR/DEUTH02434452068X </v>
          </cell>
          <cell r="CK6739" t="str">
            <v>2024-12-09</v>
          </cell>
          <cell r="CL6739">
            <v>2231.3270000000002</v>
          </cell>
        </row>
        <row r="6740">
          <cell r="CJ6740" t="str">
            <v xml:space="preserve">NFT-/XUTR/DEUTH02434452068X </v>
          </cell>
          <cell r="CK6740" t="str">
            <v>2024-12-09</v>
          </cell>
          <cell r="CL6740">
            <v>2231.3270000000002</v>
          </cell>
        </row>
        <row r="6741">
          <cell r="CJ6741" t="str">
            <v xml:space="preserve">NFT-/XUTR/DEUTH02434452068X </v>
          </cell>
          <cell r="CK6741" t="str">
            <v>2024-12-09</v>
          </cell>
          <cell r="CL6741">
            <v>40584.116999999998</v>
          </cell>
        </row>
        <row r="6742">
          <cell r="CJ6742" t="str">
            <v xml:space="preserve">NFT-/XUTR/DEUTH02434452068X </v>
          </cell>
          <cell r="CK6742" t="str">
            <v>2024-12-09</v>
          </cell>
          <cell r="CL6742">
            <v>39992.07</v>
          </cell>
        </row>
        <row r="6743">
          <cell r="CJ6743" t="str">
            <v xml:space="preserve">NFT-/XUTR/DEUTH02434452068X </v>
          </cell>
          <cell r="CK6743" t="str">
            <v>2024-12-09</v>
          </cell>
          <cell r="CL6743">
            <v>15975.637000000001</v>
          </cell>
          <cell r="CM6743" t="str">
            <v xml:space="preserve">NFT-/XUTR/DEUTH02434465268X </v>
          </cell>
          <cell r="CN6743" t="str">
            <v>2024-12-09</v>
          </cell>
          <cell r="CO6743">
            <v>845.36599999999999</v>
          </cell>
        </row>
        <row r="6744">
          <cell r="CJ6744" t="str">
            <v xml:space="preserve">NFT-/XUTR/DEUTH02434452068X </v>
          </cell>
          <cell r="CK6744" t="str">
            <v>2024-12-09</v>
          </cell>
          <cell r="CL6744">
            <v>15956.757</v>
          </cell>
          <cell r="CM6744" t="str">
            <v xml:space="preserve">NFT-/XUTR/DEUTH02434465268X </v>
          </cell>
          <cell r="CN6744" t="str">
            <v>2024-12-09</v>
          </cell>
          <cell r="CO6744">
            <v>845.36599999999999</v>
          </cell>
        </row>
        <row r="6745">
          <cell r="CJ6745" t="str">
            <v xml:space="preserve">NFT-/XUTR/DEUTH02434452068X </v>
          </cell>
          <cell r="CK6745" t="str">
            <v>2024-12-09</v>
          </cell>
          <cell r="CL6745">
            <v>10715.652</v>
          </cell>
          <cell r="CM6745" t="str">
            <v xml:space="preserve">NFT-/XUTR/DEUTH02434465268X </v>
          </cell>
          <cell r="CN6745" t="str">
            <v>2024-12-09</v>
          </cell>
          <cell r="CO6745">
            <v>195.089</v>
          </cell>
        </row>
        <row r="6746">
          <cell r="CJ6746" t="str">
            <v xml:space="preserve">NFT-/XUTR/DEUTH02434452068X </v>
          </cell>
          <cell r="CK6746" t="str">
            <v>2024-12-09</v>
          </cell>
          <cell r="CL6746">
            <v>8464.8909999999996</v>
          </cell>
        </row>
        <row r="6747">
          <cell r="CJ6747" t="str">
            <v xml:space="preserve">NFT-/XUTR/DEUTH02434452068X </v>
          </cell>
          <cell r="CK6747" t="str">
            <v>2024-12-09</v>
          </cell>
          <cell r="CL6747">
            <v>39702.303</v>
          </cell>
          <cell r="CM6747" t="str">
            <v xml:space="preserve">NFT-/XUTR/DEUTH02434465268X </v>
          </cell>
          <cell r="CN6747" t="str">
            <v>2024-12-09</v>
          </cell>
          <cell r="CO6747">
            <v>2188.6439999999998</v>
          </cell>
          <cell r="CP6747" t="str">
            <v xml:space="preserve">NFT-/XUTR/DEUTH02434617888X </v>
          </cell>
          <cell r="CQ6747" t="str">
            <v>2024-12-11</v>
          </cell>
          <cell r="CR6747">
            <v>-39702.303</v>
          </cell>
          <cell r="CS6747" t="str">
            <v xml:space="preserve">NFT-/XUTR/DEUTH02434620589X </v>
          </cell>
          <cell r="CT6747" t="str">
            <v>2024-12-11</v>
          </cell>
          <cell r="CU6747">
            <v>-2188.6439999999998</v>
          </cell>
        </row>
        <row r="6748">
          <cell r="CJ6748" t="str">
            <v xml:space="preserve">NFT-/XUTR/DEUTH02434452068X </v>
          </cell>
          <cell r="CK6748" t="str">
            <v>2024-12-09</v>
          </cell>
          <cell r="CL6748">
            <v>39210.76</v>
          </cell>
          <cell r="CM6748" t="str">
            <v xml:space="preserve">NFT-/XUTR/DEUTH02434465268X </v>
          </cell>
          <cell r="CN6748" t="str">
            <v>2024-12-09</v>
          </cell>
          <cell r="CO6748">
            <v>2069.2600000000002</v>
          </cell>
        </row>
        <row r="6749">
          <cell r="CJ6749" t="str">
            <v xml:space="preserve">NFT-/XUTR/DEUTH02434452068X </v>
          </cell>
          <cell r="CK6749" t="str">
            <v>2024-12-09</v>
          </cell>
          <cell r="CL6749">
            <v>39196.197</v>
          </cell>
          <cell r="CM6749" t="str">
            <v xml:space="preserve">NFT-/XUTR/DEUTH02434465268X </v>
          </cell>
          <cell r="CN6749" t="str">
            <v>2024-12-09</v>
          </cell>
          <cell r="CO6749">
            <v>2083.8220000000001</v>
          </cell>
        </row>
        <row r="6750">
          <cell r="CJ6750" t="str">
            <v xml:space="preserve">NFT-/XUTR/DEUTH02434452068X </v>
          </cell>
          <cell r="CK6750" t="str">
            <v>2024-12-09</v>
          </cell>
          <cell r="CL6750">
            <v>7649.0709999999999</v>
          </cell>
          <cell r="CM6750" t="str">
            <v xml:space="preserve">NFT-/XUTR/DEUTH02434465268X </v>
          </cell>
          <cell r="CN6750" t="str">
            <v>2024-12-09</v>
          </cell>
          <cell r="CO6750">
            <v>834.69</v>
          </cell>
        </row>
        <row r="6751">
          <cell r="CJ6751" t="str">
            <v xml:space="preserve">NFT-/XUTR/DEUTH02434452068X </v>
          </cell>
          <cell r="CK6751" t="str">
            <v>2024-12-09</v>
          </cell>
          <cell r="CL6751">
            <v>16802.121999999999</v>
          </cell>
        </row>
        <row r="6752">
          <cell r="CJ6752" t="str">
            <v xml:space="preserve">NFT-/XUTR/DEUTH02434452068X </v>
          </cell>
          <cell r="CK6752" t="str">
            <v>2024-12-09</v>
          </cell>
          <cell r="CL6752">
            <v>15975.637000000001</v>
          </cell>
          <cell r="CM6752" t="str">
            <v xml:space="preserve">NFT-/XUTR/DEUTH02434465268X </v>
          </cell>
          <cell r="CN6752" t="str">
            <v>2024-12-09</v>
          </cell>
          <cell r="CO6752">
            <v>845.36599999999999</v>
          </cell>
        </row>
        <row r="6753">
          <cell r="CJ6753" t="str">
            <v xml:space="preserve">NFT-/XUTR/DEUTH02434452068X </v>
          </cell>
          <cell r="CK6753" t="str">
            <v>2024-12-09</v>
          </cell>
          <cell r="CL6753">
            <v>15975.637000000001</v>
          </cell>
          <cell r="CM6753" t="str">
            <v xml:space="preserve">NFT-/XUTR/DEUTH02434465268X </v>
          </cell>
          <cell r="CN6753" t="str">
            <v>2024-12-09</v>
          </cell>
          <cell r="CO6753">
            <v>845.36599999999999</v>
          </cell>
        </row>
        <row r="6754">
          <cell r="CJ6754" t="str">
            <v xml:space="preserve">NFT-/XUTR/DEUTH02434452068X </v>
          </cell>
          <cell r="CK6754" t="str">
            <v>2024-12-09</v>
          </cell>
          <cell r="CL6754">
            <v>79549.258000000002</v>
          </cell>
          <cell r="CM6754" t="str">
            <v xml:space="preserve">NFT-/XUTR/DEUTH02434465268X </v>
          </cell>
          <cell r="CN6754" t="str">
            <v>2024-12-09</v>
          </cell>
          <cell r="CO6754">
            <v>2911.7240000000002</v>
          </cell>
        </row>
        <row r="6755">
          <cell r="CJ6755" t="str">
            <v xml:space="preserve">NFT-/XUTR/DEUTH02434452068X </v>
          </cell>
          <cell r="CK6755" t="str">
            <v>2024-12-09</v>
          </cell>
          <cell r="CL6755">
            <v>38307.593000000001</v>
          </cell>
          <cell r="CM6755" t="str">
            <v xml:space="preserve">NFT-/XUTR/DEUTH02434465268X </v>
          </cell>
          <cell r="CN6755" t="str">
            <v>2024-12-09</v>
          </cell>
          <cell r="CO6755">
            <v>2991.3069999999998</v>
          </cell>
        </row>
        <row r="6756">
          <cell r="CJ6756" t="str">
            <v xml:space="preserve">NFT-/XUTR/DEUTH02434452068X </v>
          </cell>
          <cell r="CK6756" t="str">
            <v>2024-12-09</v>
          </cell>
          <cell r="CL6756">
            <v>79607.486999999994</v>
          </cell>
          <cell r="CM6756" t="str">
            <v xml:space="preserve">NFT-/XUTR/DEUTH02434465268X </v>
          </cell>
          <cell r="CN6756" t="str">
            <v>2024-12-09</v>
          </cell>
          <cell r="CO6756">
            <v>2911.7240000000002</v>
          </cell>
          <cell r="CP6756" t="str">
            <v xml:space="preserve">NFT-/XUTR/DEUTH02435174150X </v>
          </cell>
          <cell r="CQ6756" t="str">
            <v>2024-12-16</v>
          </cell>
          <cell r="CR6756">
            <v>-79607.486999999994</v>
          </cell>
          <cell r="CS6756" t="str">
            <v xml:space="preserve">NFT-/XUTR/DEUTH02435178615X </v>
          </cell>
          <cell r="CT6756" t="str">
            <v>2024-12-16</v>
          </cell>
          <cell r="CU6756">
            <v>-2911.7240000000002</v>
          </cell>
        </row>
        <row r="6757">
          <cell r="CJ6757" t="str">
            <v xml:space="preserve">NFT-/XUTR/DEUTH02434452068X </v>
          </cell>
          <cell r="CK6757" t="str">
            <v>2024-12-09</v>
          </cell>
          <cell r="CL6757">
            <v>40278.730000000003</v>
          </cell>
          <cell r="CM6757" t="str">
            <v xml:space="preserve">NFT-/XUTR/DEUTH02434465268X </v>
          </cell>
          <cell r="CN6757" t="str">
            <v>2024-12-09</v>
          </cell>
          <cell r="CO6757">
            <v>2140.1149999999998</v>
          </cell>
        </row>
        <row r="6758">
          <cell r="CJ6758" t="str">
            <v xml:space="preserve">NFT-/XUTR/DEUTH02434452068X </v>
          </cell>
          <cell r="CK6758" t="str">
            <v>2024-12-09</v>
          </cell>
          <cell r="CL6758">
            <v>64166.17</v>
          </cell>
          <cell r="CM6758" t="str">
            <v xml:space="preserve">NFT-/XUTR/DEUTH02434465268X </v>
          </cell>
          <cell r="CN6758" t="str">
            <v>2024-12-09</v>
          </cell>
          <cell r="CO6758">
            <v>2911.7240000000002</v>
          </cell>
        </row>
        <row r="6759">
          <cell r="CJ6759" t="str">
            <v xml:space="preserve">NFT-/XUTR/DEUTH02434452068X </v>
          </cell>
          <cell r="CK6759" t="str">
            <v>2024-12-09</v>
          </cell>
          <cell r="CL6759">
            <v>8483.7710000000006</v>
          </cell>
        </row>
        <row r="6760">
          <cell r="CJ6760" t="str">
            <v xml:space="preserve">NFT-/XUTR/DEUTH02434452068X </v>
          </cell>
          <cell r="CK6760" t="str">
            <v>2024-12-09</v>
          </cell>
          <cell r="CL6760">
            <v>8036.87</v>
          </cell>
          <cell r="CM6760" t="str">
            <v xml:space="preserve">NFT-/XUTR/DEUTH02434465268X </v>
          </cell>
          <cell r="CN6760" t="str">
            <v>2024-12-09</v>
          </cell>
          <cell r="CO6760">
            <v>428.02100000000002</v>
          </cell>
        </row>
        <row r="6761">
          <cell r="CJ6761" t="str">
            <v xml:space="preserve">NFT-/XUTR/DEUTH02434452068X </v>
          </cell>
          <cell r="CK6761" t="str">
            <v>2024-12-09</v>
          </cell>
          <cell r="CL6761">
            <v>39229.64</v>
          </cell>
          <cell r="CM6761" t="str">
            <v xml:space="preserve">NFT-/XUTR/DEUTH02434465268X </v>
          </cell>
          <cell r="CN6761" t="str">
            <v>2024-12-09</v>
          </cell>
          <cell r="CO6761">
            <v>2069.2600000000002</v>
          </cell>
        </row>
        <row r="6762">
          <cell r="CJ6762" t="str">
            <v xml:space="preserve">NFT-/XUTR/DEUTH02434452068X </v>
          </cell>
          <cell r="CK6762" t="str">
            <v>2024-12-09</v>
          </cell>
          <cell r="CL6762">
            <v>16821.002</v>
          </cell>
        </row>
        <row r="6763">
          <cell r="CJ6763" t="str">
            <v xml:space="preserve">NFT-/XUTR/DEUTH02434452068X </v>
          </cell>
          <cell r="CK6763" t="str">
            <v>2024-12-09</v>
          </cell>
          <cell r="CL6763">
            <v>16111.49</v>
          </cell>
          <cell r="CM6763" t="str">
            <v xml:space="preserve">NFT-/XUTR/DEUTH02434465268X </v>
          </cell>
          <cell r="CN6763" t="str">
            <v>2024-12-09</v>
          </cell>
          <cell r="CO6763">
            <v>856.04200000000003</v>
          </cell>
        </row>
        <row r="6764">
          <cell r="CJ6764" t="str">
            <v xml:space="preserve">NFT-/XUTR/DEUTH02434452068X </v>
          </cell>
          <cell r="CK6764" t="str">
            <v>2024-12-09</v>
          </cell>
          <cell r="CL6764">
            <v>39229.64</v>
          </cell>
          <cell r="CM6764" t="str">
            <v xml:space="preserve">NFT-/XUTR/DEUTH02434465268X </v>
          </cell>
          <cell r="CN6764" t="str">
            <v>2024-12-09</v>
          </cell>
          <cell r="CO6764">
            <v>2069.2600000000002</v>
          </cell>
        </row>
        <row r="6765">
          <cell r="CJ6765" t="str">
            <v xml:space="preserve">NFT-/XUTR/DEUTH02434452068X </v>
          </cell>
          <cell r="CK6765" t="str">
            <v>2024-12-09</v>
          </cell>
          <cell r="CL6765">
            <v>39229.64</v>
          </cell>
          <cell r="CM6765" t="str">
            <v xml:space="preserve">NFT-/XUTR/DEUTH02434465268X </v>
          </cell>
          <cell r="CN6765" t="str">
            <v>2024-12-09</v>
          </cell>
          <cell r="CO6765">
            <v>2069.2600000000002</v>
          </cell>
        </row>
        <row r="6767">
          <cell r="CJ6767" t="str">
            <v xml:space="preserve">NFT-/XUTR/DEUTH02434452068X </v>
          </cell>
          <cell r="CK6767" t="str">
            <v>2024-12-09</v>
          </cell>
          <cell r="CL6767">
            <v>15975.637000000001</v>
          </cell>
          <cell r="CM6767" t="str">
            <v xml:space="preserve">NFT-/XUTR/DEUTH02434465268X </v>
          </cell>
          <cell r="CN6767" t="str">
            <v>2024-12-09</v>
          </cell>
          <cell r="CO6767">
            <v>845.36599999999999</v>
          </cell>
        </row>
        <row r="6768">
          <cell r="CJ6768" t="str">
            <v xml:space="preserve">NFT-/XUTR/DEUTH02434452068X </v>
          </cell>
          <cell r="CK6768" t="str">
            <v>2024-12-09</v>
          </cell>
          <cell r="CL6768">
            <v>39773.69</v>
          </cell>
          <cell r="CM6768" t="str">
            <v xml:space="preserve">NFT-/XUTR/DEUTH02434465268X </v>
          </cell>
          <cell r="CN6768" t="str">
            <v>2024-12-09</v>
          </cell>
          <cell r="CO6768">
            <v>2098.386</v>
          </cell>
        </row>
        <row r="6769">
          <cell r="CJ6769" t="str">
            <v xml:space="preserve">NFT-/XUTR/DEUTH02434452068X </v>
          </cell>
          <cell r="CK6769" t="str">
            <v>2024-12-09</v>
          </cell>
          <cell r="CL6769">
            <v>39169.461000000003</v>
          </cell>
          <cell r="CM6769" t="str">
            <v xml:space="preserve">NFT-/XUTR/DEUTH02434465268X </v>
          </cell>
          <cell r="CN6769" t="str">
            <v>2024-12-09</v>
          </cell>
          <cell r="CO6769">
            <v>2129.4389999999999</v>
          </cell>
        </row>
        <row r="6770">
          <cell r="CJ6770" t="str">
            <v xml:space="preserve">NFT-/XUTR/DEUTH02434452068X </v>
          </cell>
          <cell r="CK6770" t="str">
            <v>2024-12-09</v>
          </cell>
          <cell r="CL6770">
            <v>79607.486999999994</v>
          </cell>
          <cell r="CM6770" t="str">
            <v xml:space="preserve">NFT-/XUTR/DEUTH02434465268X </v>
          </cell>
          <cell r="CN6770" t="str">
            <v>2024-12-09</v>
          </cell>
          <cell r="CO6770">
            <v>2911.7240000000002</v>
          </cell>
          <cell r="CP6770" t="str">
            <v xml:space="preserve">NFT-/XUTR/DEUTH02434617888X </v>
          </cell>
          <cell r="CQ6770" t="str">
            <v>2024-12-11</v>
          </cell>
          <cell r="CR6770">
            <v>-79607.486999999994</v>
          </cell>
          <cell r="CS6770" t="str">
            <v xml:space="preserve">NFT-/XUTR/DEUTH02434620589X </v>
          </cell>
          <cell r="CT6770" t="str">
            <v>2024-12-11</v>
          </cell>
          <cell r="CU6770">
            <v>-2911.7240000000002</v>
          </cell>
        </row>
        <row r="6771">
          <cell r="CJ6771" t="str">
            <v xml:space="preserve">NFT-/XUTR/DEUTH02434452068X </v>
          </cell>
          <cell r="CK6771" t="str">
            <v>2024-12-09</v>
          </cell>
          <cell r="CL6771">
            <v>79530.377999999997</v>
          </cell>
          <cell r="CM6771" t="str">
            <v xml:space="preserve">NFT-/XUTR/DEUTH02434465268X </v>
          </cell>
          <cell r="CN6771" t="str">
            <v>2024-12-09</v>
          </cell>
          <cell r="CO6771">
            <v>2911.7240000000002</v>
          </cell>
          <cell r="CP6771" t="str">
            <v xml:space="preserve">NFT-/XUTR/DEUTH02434856407X </v>
          </cell>
          <cell r="CQ6771" t="str">
            <v>2024-12-13</v>
          </cell>
          <cell r="CR6771">
            <v>-79530.377999999997</v>
          </cell>
          <cell r="CS6771" t="str">
            <v xml:space="preserve">NFT-/XUTR/DEUTH02434865905X </v>
          </cell>
          <cell r="CT6771" t="str">
            <v>2024-12-13</v>
          </cell>
          <cell r="CU6771">
            <v>-2911.7240000000002</v>
          </cell>
        </row>
        <row r="6772">
          <cell r="CJ6772" t="str">
            <v xml:space="preserve">NFT-/XUTR/DEUTH02434452068X </v>
          </cell>
          <cell r="CK6772" t="str">
            <v>2024-12-09</v>
          </cell>
          <cell r="CL6772">
            <v>79549.258000000002</v>
          </cell>
          <cell r="CM6772" t="str">
            <v xml:space="preserve">NFT-/XUTR/DEUTH02434465268X </v>
          </cell>
          <cell r="CN6772" t="str">
            <v>2024-12-09</v>
          </cell>
          <cell r="CO6772">
            <v>2911.7240000000002</v>
          </cell>
        </row>
        <row r="6773">
          <cell r="CJ6773" t="str">
            <v xml:space="preserve">NFT-/XUTR/DEUTH02434452068X </v>
          </cell>
          <cell r="CK6773" t="str">
            <v>2024-12-09</v>
          </cell>
          <cell r="CL6773">
            <v>39792.57</v>
          </cell>
          <cell r="CM6773" t="str">
            <v xml:space="preserve">NFT-/XUTR/DEUTH02434465268X </v>
          </cell>
          <cell r="CN6773" t="str">
            <v>2024-12-09</v>
          </cell>
          <cell r="CO6773">
            <v>2098.3850000000002</v>
          </cell>
        </row>
        <row r="6774">
          <cell r="CJ6774" t="str">
            <v xml:space="preserve">NFT-/XUTR/DEUTH02434452068X </v>
          </cell>
          <cell r="CK6774" t="str">
            <v>2024-12-09</v>
          </cell>
          <cell r="CL6774">
            <v>79549.258000000002</v>
          </cell>
          <cell r="CM6774" t="str">
            <v xml:space="preserve">NFT-/XUTR/DEUTH02434465268X </v>
          </cell>
          <cell r="CN6774" t="str">
            <v>2024-12-09</v>
          </cell>
          <cell r="CO6774">
            <v>2911.7240000000002</v>
          </cell>
          <cell r="CP6774" t="str">
            <v xml:space="preserve">NFT-/XUTR/DEUTH02434617888X </v>
          </cell>
          <cell r="CQ6774" t="str">
            <v>2024-12-11</v>
          </cell>
          <cell r="CR6774">
            <v>-79549.258000000002</v>
          </cell>
          <cell r="CS6774" t="str">
            <v xml:space="preserve">NFT-/XUTR/DEUTH02434620589X </v>
          </cell>
          <cell r="CT6774" t="str">
            <v>2024-12-11</v>
          </cell>
          <cell r="CU6774">
            <v>-2911.7240000000002</v>
          </cell>
        </row>
        <row r="6775">
          <cell r="CJ6775" t="str">
            <v xml:space="preserve">NFT-/XUTR/DEUTH02434452068X </v>
          </cell>
          <cell r="CK6775" t="str">
            <v>2024-12-09</v>
          </cell>
          <cell r="CL6775">
            <v>2476.884</v>
          </cell>
          <cell r="CM6775" t="str">
            <v xml:space="preserve">NFT-/XUTR/DEUTH02434465268X </v>
          </cell>
          <cell r="CN6775" t="str">
            <v>2024-12-09</v>
          </cell>
          <cell r="CO6775">
            <v>134.911</v>
          </cell>
        </row>
        <row r="6777">
          <cell r="CJ6777" t="str">
            <v xml:space="preserve">NFT-/XUTR/DEUTH02434452068X </v>
          </cell>
          <cell r="CK6777" t="str">
            <v>2024-12-09</v>
          </cell>
          <cell r="CL6777">
            <v>8483.7710000000006</v>
          </cell>
        </row>
        <row r="6778">
          <cell r="CJ6778" t="str">
            <v xml:space="preserve">NFT-/XUTR/DEUTH02434452068X </v>
          </cell>
          <cell r="CK6778" t="str">
            <v>2024-12-09</v>
          </cell>
          <cell r="CL6778">
            <v>39792.57</v>
          </cell>
          <cell r="CM6778" t="str">
            <v xml:space="preserve">NFT-/XUTR/DEUTH02434465268X </v>
          </cell>
          <cell r="CN6778" t="str">
            <v>2024-12-09</v>
          </cell>
          <cell r="CO6778">
            <v>2098.386</v>
          </cell>
        </row>
        <row r="6779">
          <cell r="CJ6779" t="str">
            <v xml:space="preserve">NFT-/XUTR/DEUTH02434452068X </v>
          </cell>
          <cell r="CK6779" t="str">
            <v>2024-12-09</v>
          </cell>
          <cell r="CL6779">
            <v>15957.731</v>
          </cell>
          <cell r="CM6779" t="str">
            <v xml:space="preserve">NFT-/XUTR/DEUTH02434465268X </v>
          </cell>
          <cell r="CN6779" t="str">
            <v>2024-12-09</v>
          </cell>
          <cell r="CO6779">
            <v>844.40200000000004</v>
          </cell>
        </row>
        <row r="6780">
          <cell r="CJ6780" t="str">
            <v xml:space="preserve">NFT-/XUTR/DEUTH02434452068X </v>
          </cell>
          <cell r="CK6780" t="str">
            <v>2024-12-09</v>
          </cell>
          <cell r="CL6780">
            <v>16111.49</v>
          </cell>
          <cell r="CM6780" t="str">
            <v xml:space="preserve">NFT-/XUTR/DEUTH02434465268X </v>
          </cell>
          <cell r="CN6780" t="str">
            <v>2024-12-09</v>
          </cell>
          <cell r="CO6780">
            <v>856.04200000000003</v>
          </cell>
        </row>
        <row r="6781">
          <cell r="CJ6781" t="str">
            <v xml:space="preserve">NFT-/XUTR/DEUTH02434452068X </v>
          </cell>
          <cell r="CK6781" t="str">
            <v>2024-12-09</v>
          </cell>
          <cell r="CL6781">
            <v>8055.75</v>
          </cell>
          <cell r="CM6781" t="str">
            <v xml:space="preserve">NFT-/XUTR/DEUTH02434465268X </v>
          </cell>
          <cell r="CN6781" t="str">
            <v>2024-12-09</v>
          </cell>
          <cell r="CO6781">
            <v>428.02100000000002</v>
          </cell>
        </row>
        <row r="6782">
          <cell r="CJ6782" t="str">
            <v xml:space="preserve">NFT-/XUTR/DEUTH02434452068X </v>
          </cell>
          <cell r="CK6782" t="str">
            <v>2024-12-09</v>
          </cell>
          <cell r="CL6782">
            <v>39259.288</v>
          </cell>
          <cell r="CM6782" t="str">
            <v xml:space="preserve">NFT-/XUTR/DEUTH02434465268X </v>
          </cell>
          <cell r="CN6782" t="str">
            <v>2024-12-09</v>
          </cell>
          <cell r="CO6782">
            <v>2020.732</v>
          </cell>
          <cell r="CP6782" t="str">
            <v xml:space="preserve">NFT-/XUTR/DEUTH02434617888X </v>
          </cell>
          <cell r="CQ6782" t="str">
            <v>2024-12-11</v>
          </cell>
          <cell r="CR6782">
            <v>-39259.288</v>
          </cell>
          <cell r="CS6782" t="str">
            <v xml:space="preserve">NFT-/XUTR/DEUTH02434620589X </v>
          </cell>
          <cell r="CT6782" t="str">
            <v>2024-12-11</v>
          </cell>
          <cell r="CU6782">
            <v>-2020.732</v>
          </cell>
        </row>
        <row r="6783">
          <cell r="CJ6783" t="str">
            <v xml:space="preserve">NFT-/XUTR/DEUTH02434452068X </v>
          </cell>
          <cell r="CK6783" t="str">
            <v>2024-12-09</v>
          </cell>
          <cell r="CL6783">
            <v>8055.75</v>
          </cell>
          <cell r="CM6783" t="str">
            <v xml:space="preserve">NFT-/XUTR/DEUTH02434465268X </v>
          </cell>
          <cell r="CN6783" t="str">
            <v>2024-12-09</v>
          </cell>
          <cell r="CO6783">
            <v>428.02100000000002</v>
          </cell>
        </row>
        <row r="6784">
          <cell r="CJ6784" t="str">
            <v xml:space="preserve">NFT-/XUTR/DEUTH02434452068X </v>
          </cell>
          <cell r="CK6784" t="str">
            <v>2024-12-09</v>
          </cell>
          <cell r="CL6784">
            <v>15956.757</v>
          </cell>
          <cell r="CM6784" t="str">
            <v xml:space="preserve">NFT-/XUTR/DEUTH02434465268X </v>
          </cell>
          <cell r="CN6784" t="str">
            <v>2024-12-09</v>
          </cell>
          <cell r="CO6784">
            <v>845.36599999999999</v>
          </cell>
        </row>
        <row r="6785">
          <cell r="CJ6785" t="str">
            <v xml:space="preserve">NFT-/XUTR/DEUTH02434452068X </v>
          </cell>
          <cell r="CK6785" t="str">
            <v>2024-12-09</v>
          </cell>
          <cell r="CL6785">
            <v>10379.305</v>
          </cell>
          <cell r="CM6785" t="str">
            <v xml:space="preserve">NFT-/XUTR/DEUTH02434465268X </v>
          </cell>
          <cell r="CN6785" t="str">
            <v>2024-12-09</v>
          </cell>
          <cell r="CO6785">
            <v>550.31799999999998</v>
          </cell>
        </row>
        <row r="6786">
          <cell r="CJ6786" t="str">
            <v xml:space="preserve">NFT-/XUTR/DEUTH02434452068X </v>
          </cell>
          <cell r="CK6786" t="str">
            <v>2024-12-09</v>
          </cell>
          <cell r="CL6786">
            <v>79984.067999999999</v>
          </cell>
          <cell r="CM6786" t="str">
            <v xml:space="preserve">NFT-/XUTR/DEUTH02434465268X </v>
          </cell>
          <cell r="CN6786" t="str">
            <v>2024-12-09</v>
          </cell>
          <cell r="CO6786">
            <v>2476.904</v>
          </cell>
        </row>
        <row r="6787">
          <cell r="CJ6787" t="str">
            <v xml:space="preserve">NFT-/XUTR/DEUTH02434452068X </v>
          </cell>
          <cell r="CK6787" t="str">
            <v>2024-12-09</v>
          </cell>
          <cell r="CL6787">
            <v>39792.57</v>
          </cell>
          <cell r="CM6787" t="str">
            <v xml:space="preserve">NFT-/XUTR/DEUTH02434465268X </v>
          </cell>
          <cell r="CN6787" t="str">
            <v>2024-12-09</v>
          </cell>
          <cell r="CO6787">
            <v>2098.386</v>
          </cell>
        </row>
        <row r="6789">
          <cell r="CJ6789" t="str">
            <v xml:space="preserve">NFT-/XUTR/DEUTH02434452068X </v>
          </cell>
          <cell r="CK6789" t="str">
            <v>2024-12-09</v>
          </cell>
          <cell r="CL6789">
            <v>39515.961000000003</v>
          </cell>
          <cell r="CM6789" t="str">
            <v xml:space="preserve">NFT-/XUTR/DEUTH02434465268X </v>
          </cell>
          <cell r="CN6789" t="str">
            <v>2024-12-09</v>
          </cell>
          <cell r="CO6789">
            <v>2374.9969999999998</v>
          </cell>
        </row>
        <row r="6790">
          <cell r="CJ6790" t="str">
            <v xml:space="preserve">NFT-/XUTR/DEUTH02434452068X </v>
          </cell>
          <cell r="CK6790" t="str">
            <v>2024-12-09</v>
          </cell>
          <cell r="CL6790">
            <v>83626.194000000003</v>
          </cell>
        </row>
        <row r="6791">
          <cell r="CJ6791" t="str">
            <v xml:space="preserve">NFT-/XUTR/DEUTH02434452068X </v>
          </cell>
          <cell r="CK6791" t="str">
            <v>2024-12-09</v>
          </cell>
          <cell r="CL6791">
            <v>11163.5</v>
          </cell>
        </row>
        <row r="6792">
          <cell r="CJ6792" t="str">
            <v xml:space="preserve">NFT-/XUTR/DEUTH02434452068X </v>
          </cell>
          <cell r="CK6792" t="str">
            <v>2024-12-09</v>
          </cell>
          <cell r="CL6792">
            <v>8036.87</v>
          </cell>
          <cell r="CM6792" t="str">
            <v xml:space="preserve">NFT-/XUTR/DEUTH02434465268X </v>
          </cell>
          <cell r="CN6792" t="str">
            <v>2024-12-09</v>
          </cell>
          <cell r="CO6792">
            <v>428.02100000000002</v>
          </cell>
        </row>
        <row r="6794">
          <cell r="CJ6794" t="str">
            <v xml:space="preserve">NFT-/XUTR/DEUTH02434617888X </v>
          </cell>
          <cell r="CK6794" t="str">
            <v>2024-12-11</v>
          </cell>
          <cell r="CL6794">
            <v>15856.253000000001</v>
          </cell>
          <cell r="CM6794" t="str">
            <v xml:space="preserve">NFT-/XUTR/DEUTH02434620589X </v>
          </cell>
          <cell r="CN6794" t="str">
            <v>2024-12-11</v>
          </cell>
          <cell r="CO6794">
            <v>838.577</v>
          </cell>
        </row>
        <row r="6795">
          <cell r="CJ6795" t="str">
            <v xml:space="preserve">NFT-/XUTR/DEUTH02434617888X </v>
          </cell>
          <cell r="CK6795" t="str">
            <v>2024-12-11</v>
          </cell>
          <cell r="CL6795">
            <v>7568.0739999999996</v>
          </cell>
          <cell r="CM6795" t="str">
            <v xml:space="preserve">NFT-/XUTR/DEUTH02434620589X </v>
          </cell>
          <cell r="CN6795" t="str">
            <v>2024-12-11</v>
          </cell>
          <cell r="CO6795">
            <v>828.86599999999999</v>
          </cell>
        </row>
        <row r="6796">
          <cell r="CJ6796" t="str">
            <v xml:space="preserve">NFT-/XUTR/DEUTH02434617888X </v>
          </cell>
          <cell r="CK6796" t="str">
            <v>2024-12-11</v>
          </cell>
          <cell r="CL6796">
            <v>7990.72</v>
          </cell>
          <cell r="CM6796" t="str">
            <v xml:space="preserve">NFT-/XUTR/DEUTH02434620589X </v>
          </cell>
          <cell r="CN6796" t="str">
            <v>2024-12-11</v>
          </cell>
          <cell r="CO6796">
            <v>425.10899999999998</v>
          </cell>
        </row>
        <row r="6797">
          <cell r="CJ6797" t="str">
            <v xml:space="preserve">NFT-/XUTR/DEUTH02434617888X </v>
          </cell>
          <cell r="CK6797" t="str">
            <v>2024-12-11</v>
          </cell>
          <cell r="CL6797">
            <v>39487.81</v>
          </cell>
          <cell r="CM6797" t="str">
            <v xml:space="preserve">NFT-/XUTR/DEUTH02434620589X </v>
          </cell>
          <cell r="CN6797" t="str">
            <v>2024-12-11</v>
          </cell>
          <cell r="CO6797">
            <v>2082.85</v>
          </cell>
        </row>
        <row r="6798">
          <cell r="CJ6798" t="str">
            <v xml:space="preserve">NFT-/XUTR/DEUTH02434617888X </v>
          </cell>
          <cell r="CK6798" t="str">
            <v>2024-12-11</v>
          </cell>
          <cell r="CL6798">
            <v>7990.72</v>
          </cell>
          <cell r="CM6798" t="str">
            <v xml:space="preserve">NFT-/XUTR/DEUTH02434620589X </v>
          </cell>
          <cell r="CN6798" t="str">
            <v>2024-12-11</v>
          </cell>
          <cell r="CO6798">
            <v>425.10899999999998</v>
          </cell>
        </row>
        <row r="6799">
          <cell r="CJ6799" t="str">
            <v xml:space="preserve">NFT-/XUTR/DEUTH02434617888X </v>
          </cell>
          <cell r="CK6799" t="str">
            <v>2024-12-11</v>
          </cell>
          <cell r="CL6799">
            <v>78899.504000000001</v>
          </cell>
          <cell r="CM6799" t="str">
            <v xml:space="preserve">NFT-/XUTR/DEUTH02434620589X </v>
          </cell>
          <cell r="CN6799" t="str">
            <v>2024-12-11</v>
          </cell>
          <cell r="CO6799">
            <v>2911.7240000000002</v>
          </cell>
        </row>
        <row r="6800">
          <cell r="CJ6800" t="str">
            <v xml:space="preserve">NFT-/XUTR/DEUTH02434617888X </v>
          </cell>
          <cell r="CK6800" t="str">
            <v>2024-12-11</v>
          </cell>
          <cell r="CL6800">
            <v>78899.504000000001</v>
          </cell>
          <cell r="CM6800" t="str">
            <v xml:space="preserve">NFT-/XUTR/DEUTH02434620589X </v>
          </cell>
          <cell r="CN6800" t="str">
            <v>2024-12-11</v>
          </cell>
          <cell r="CO6800">
            <v>2911.7240000000002</v>
          </cell>
        </row>
        <row r="6801">
          <cell r="CJ6801" t="str">
            <v xml:space="preserve">NFT-/XUTR/DEUTH02434617888X </v>
          </cell>
          <cell r="CK6801" t="str">
            <v>2024-12-11</v>
          </cell>
          <cell r="CL6801">
            <v>7990.72</v>
          </cell>
          <cell r="CM6801" t="str">
            <v xml:space="preserve">NFT-/XUTR/DEUTH02434620589X </v>
          </cell>
          <cell r="CN6801" t="str">
            <v>2024-12-11</v>
          </cell>
          <cell r="CO6801">
            <v>425.10899999999998</v>
          </cell>
        </row>
        <row r="6802">
          <cell r="CJ6802" t="str">
            <v xml:space="preserve">NFT-/XUTR/DEUTH02434617888X </v>
          </cell>
          <cell r="CK6802" t="str">
            <v>2024-12-11</v>
          </cell>
          <cell r="CL6802">
            <v>39487.81</v>
          </cell>
          <cell r="CM6802" t="str">
            <v xml:space="preserve">NFT-/XUTR/DEUTH02434620589X </v>
          </cell>
          <cell r="CN6802" t="str">
            <v>2024-12-11</v>
          </cell>
          <cell r="CO6802">
            <v>2082.85</v>
          </cell>
        </row>
        <row r="6803">
          <cell r="CJ6803" t="str">
            <v xml:space="preserve">NFT-/XUTR/DEUTH02434617888X </v>
          </cell>
          <cell r="CK6803" t="str">
            <v>2024-12-11</v>
          </cell>
          <cell r="CL6803">
            <v>39487.809000000001</v>
          </cell>
          <cell r="CM6803" t="str">
            <v xml:space="preserve">NFT-/XUTR/DEUTH02434620589X </v>
          </cell>
          <cell r="CN6803" t="str">
            <v>2024-12-11</v>
          </cell>
          <cell r="CO6803">
            <v>2082.8490000000002</v>
          </cell>
          <cell r="CP6803" t="str">
            <v xml:space="preserve">NFT-/XUTR/DEUTH02434856407X </v>
          </cell>
          <cell r="CQ6803" t="str">
            <v>2024-12-13</v>
          </cell>
          <cell r="CR6803">
            <v>-39487.809000000001</v>
          </cell>
          <cell r="CS6803" t="str">
            <v xml:space="preserve">NFT-/XUTR/DEUTH02434865905X </v>
          </cell>
          <cell r="CT6803" t="str">
            <v>2024-12-13</v>
          </cell>
          <cell r="CU6803">
            <v>-2082.8490000000002</v>
          </cell>
        </row>
        <row r="6804">
          <cell r="CJ6804" t="str">
            <v xml:space="preserve">NFT-/XUTR/DEUTH02434617888X </v>
          </cell>
          <cell r="CK6804" t="str">
            <v>2024-12-11</v>
          </cell>
          <cell r="CL6804">
            <v>39468.93</v>
          </cell>
          <cell r="CM6804" t="str">
            <v xml:space="preserve">NFT-/XUTR/DEUTH02434620589X </v>
          </cell>
          <cell r="CN6804" t="str">
            <v>2024-12-11</v>
          </cell>
          <cell r="CO6804">
            <v>2082.85</v>
          </cell>
          <cell r="CP6804" t="str">
            <v xml:space="preserve">NFT-/XUTR/DEUTH02434856407X </v>
          </cell>
          <cell r="CQ6804" t="str">
            <v>2024-12-13</v>
          </cell>
          <cell r="CR6804">
            <v>-39468.93</v>
          </cell>
          <cell r="CS6804" t="str">
            <v xml:space="preserve">NFT-/XUTR/DEUTH02434865905X </v>
          </cell>
          <cell r="CT6804" t="str">
            <v>2024-12-13</v>
          </cell>
          <cell r="CU6804">
            <v>-2082.85</v>
          </cell>
        </row>
        <row r="6805">
          <cell r="CJ6805" t="str">
            <v xml:space="preserve">NFT-/XUTR/DEUTH02434617888X </v>
          </cell>
          <cell r="CK6805" t="str">
            <v>2024-12-11</v>
          </cell>
          <cell r="CL6805">
            <v>39955.535000000003</v>
          </cell>
          <cell r="CM6805" t="str">
            <v xml:space="preserve">NFT-/XUTR/DEUTH02434620589X </v>
          </cell>
          <cell r="CN6805" t="str">
            <v>2024-12-11</v>
          </cell>
          <cell r="CO6805">
            <v>2125.5650000000001</v>
          </cell>
        </row>
        <row r="6806">
          <cell r="CJ6806" t="str">
            <v xml:space="preserve">NFT-/XUTR/DEUTH02434617888X </v>
          </cell>
          <cell r="CK6806" t="str">
            <v>2024-12-11</v>
          </cell>
          <cell r="CL6806">
            <v>31964.812000000002</v>
          </cell>
          <cell r="CM6806" t="str">
            <v xml:space="preserve">NFT-/XUTR/DEUTH02434620589X </v>
          </cell>
          <cell r="CN6806" t="str">
            <v>2024-12-11</v>
          </cell>
          <cell r="CO6806">
            <v>1700.4459999999999</v>
          </cell>
        </row>
        <row r="6807">
          <cell r="CJ6807" t="str">
            <v xml:space="preserve">NFT-/XUTR/DEUTH02434617888X </v>
          </cell>
          <cell r="CK6807" t="str">
            <v>2024-12-11</v>
          </cell>
          <cell r="CL6807">
            <v>39253.902999999998</v>
          </cell>
          <cell r="CM6807" t="str">
            <v xml:space="preserve">NFT-/XUTR/DEUTH02434620589X </v>
          </cell>
          <cell r="CN6807" t="str">
            <v>2024-12-11</v>
          </cell>
          <cell r="CO6807">
            <v>2316.7640000000001</v>
          </cell>
        </row>
        <row r="6808">
          <cell r="CJ6808" t="str">
            <v xml:space="preserve">NFT-/XUTR/DEUTH02434617888X </v>
          </cell>
          <cell r="CK6808" t="str">
            <v>2024-12-11</v>
          </cell>
          <cell r="CL6808">
            <v>39487.809000000001</v>
          </cell>
          <cell r="CM6808" t="str">
            <v xml:space="preserve">NFT-/XUTR/DEUTH02434620589X </v>
          </cell>
          <cell r="CN6808" t="str">
            <v>2024-12-11</v>
          </cell>
          <cell r="CO6808">
            <v>2082.8490000000002</v>
          </cell>
        </row>
        <row r="6809">
          <cell r="CJ6809" t="str">
            <v xml:space="preserve">NFT-/XUTR/DEUTH02434617888X </v>
          </cell>
          <cell r="CK6809" t="str">
            <v>2024-12-11</v>
          </cell>
          <cell r="CL6809">
            <v>78966.911999999997</v>
          </cell>
          <cell r="CM6809" t="str">
            <v xml:space="preserve">NFT-/XUTR/DEUTH02434620589X </v>
          </cell>
          <cell r="CN6809" t="str">
            <v>2024-12-11</v>
          </cell>
          <cell r="CO6809">
            <v>2911.7240000000002</v>
          </cell>
        </row>
        <row r="6810">
          <cell r="CJ6810" t="str">
            <v xml:space="preserve">NFT-/XUTR/DEUTH02434617888X </v>
          </cell>
          <cell r="CK6810" t="str">
            <v>2024-12-11</v>
          </cell>
          <cell r="CL6810">
            <v>39468.93</v>
          </cell>
          <cell r="CM6810" t="str">
            <v xml:space="preserve">NFT-/XUTR/DEUTH02434620589X </v>
          </cell>
          <cell r="CN6810" t="str">
            <v>2024-12-11</v>
          </cell>
          <cell r="CO6810">
            <v>2082.85</v>
          </cell>
        </row>
        <row r="6811">
          <cell r="CJ6811" t="str">
            <v xml:space="preserve">NFT-/XUTR/DEUTH02434617888X </v>
          </cell>
          <cell r="CK6811" t="str">
            <v>2024-12-11</v>
          </cell>
          <cell r="CL6811">
            <v>83645.073999999993</v>
          </cell>
          <cell r="CM6811" t="str">
            <v xml:space="preserve">NFT-/XUTR/DEUTH02434856407X </v>
          </cell>
          <cell r="CN6811" t="str">
            <v>2024-12-13</v>
          </cell>
          <cell r="CO6811">
            <v>-83645.073999999993</v>
          </cell>
        </row>
        <row r="6812">
          <cell r="CJ6812" t="str">
            <v xml:space="preserve">NFT-/XUTR/DEUTH02434617888X </v>
          </cell>
          <cell r="CK6812" t="str">
            <v>2024-12-11</v>
          </cell>
          <cell r="CL6812">
            <v>78242.417000000001</v>
          </cell>
          <cell r="CM6812" t="str">
            <v xml:space="preserve">NFT-/XUTR/DEUTH02434620589X </v>
          </cell>
          <cell r="CN6812" t="str">
            <v>2024-12-11</v>
          </cell>
          <cell r="CO6812">
            <v>3568.8009999999999</v>
          </cell>
        </row>
        <row r="6813">
          <cell r="CJ6813" t="str">
            <v xml:space="preserve">NFT-/XUTR/DEUTH02434617888X </v>
          </cell>
          <cell r="CK6813" t="str">
            <v>2024-12-11</v>
          </cell>
          <cell r="CL6813">
            <v>26309.255000000001</v>
          </cell>
          <cell r="CM6813" t="str">
            <v xml:space="preserve">NFT-/XUTR/DEUTH02434620589X </v>
          </cell>
          <cell r="CN6813" t="str">
            <v>2024-12-11</v>
          </cell>
          <cell r="CO6813">
            <v>1407.33</v>
          </cell>
        </row>
        <row r="6815">
          <cell r="CJ6815" t="str">
            <v xml:space="preserve">NFT-/XUTR/DEUTH02434617888X </v>
          </cell>
          <cell r="CK6815" t="str">
            <v>2024-12-11</v>
          </cell>
          <cell r="CL6815">
            <v>39487.81</v>
          </cell>
          <cell r="CM6815" t="str">
            <v xml:space="preserve">NFT-/XUTR/DEUTH02434620589X </v>
          </cell>
          <cell r="CN6815" t="str">
            <v>2024-12-11</v>
          </cell>
          <cell r="CO6815">
            <v>2082.85</v>
          </cell>
        </row>
        <row r="6816">
          <cell r="CJ6816" t="str">
            <v xml:space="preserve">NFT-/XUTR/DEUTH02434617888X </v>
          </cell>
          <cell r="CK6816" t="str">
            <v>2024-12-11</v>
          </cell>
          <cell r="CL6816">
            <v>39487.809000000001</v>
          </cell>
          <cell r="CM6816" t="str">
            <v xml:space="preserve">NFT-/XUTR/DEUTH02434620589X </v>
          </cell>
          <cell r="CN6816" t="str">
            <v>2024-12-11</v>
          </cell>
          <cell r="CO6816">
            <v>2082.8490000000002</v>
          </cell>
        </row>
        <row r="6817">
          <cell r="CJ6817" t="str">
            <v xml:space="preserve">NFT-/XUTR/DEUTH02434617888X </v>
          </cell>
          <cell r="CK6817" t="str">
            <v>2024-12-11</v>
          </cell>
          <cell r="CL6817">
            <v>78918.383000000002</v>
          </cell>
          <cell r="CM6817" t="str">
            <v xml:space="preserve">NFT-/XUTR/DEUTH02434620589X </v>
          </cell>
          <cell r="CN6817" t="str">
            <v>2024-12-11</v>
          </cell>
          <cell r="CO6817">
            <v>2911.723</v>
          </cell>
        </row>
        <row r="6818">
          <cell r="CJ6818" t="str">
            <v xml:space="preserve">NFT-/XUTR/DEUTH02434617888X </v>
          </cell>
          <cell r="CK6818" t="str">
            <v>2024-12-11</v>
          </cell>
          <cell r="CL6818">
            <v>7568.0739999999996</v>
          </cell>
          <cell r="CM6818" t="str">
            <v xml:space="preserve">NFT-/XUTR/DEUTH02434620589X </v>
          </cell>
          <cell r="CN6818" t="str">
            <v>2024-12-11</v>
          </cell>
          <cell r="CO6818">
            <v>828.86599999999999</v>
          </cell>
        </row>
        <row r="6819">
          <cell r="CJ6819" t="str">
            <v xml:space="preserve">NFT-/XUTR/DEUTH02434617888X </v>
          </cell>
          <cell r="CK6819" t="str">
            <v>2024-12-11</v>
          </cell>
          <cell r="CL6819">
            <v>10581.716</v>
          </cell>
          <cell r="CM6819" t="str">
            <v xml:space="preserve">NFT-/XUTR/DEUTH02434620589X </v>
          </cell>
          <cell r="CN6819" t="str">
            <v>2024-12-11</v>
          </cell>
          <cell r="CO6819">
            <v>561.96699999999998</v>
          </cell>
        </row>
        <row r="6820">
          <cell r="CJ6820" t="str">
            <v xml:space="preserve">NFT-/XUTR/DEUTH02434617888X </v>
          </cell>
          <cell r="CK6820" t="str">
            <v>2024-12-11</v>
          </cell>
          <cell r="CL6820">
            <v>38915.699999999997</v>
          </cell>
          <cell r="CM6820" t="str">
            <v xml:space="preserve">NFT-/XUTR/DEUTH02434620589X </v>
          </cell>
          <cell r="CN6820" t="str">
            <v>2024-12-11</v>
          </cell>
          <cell r="CO6820">
            <v>2053.7339999999999</v>
          </cell>
        </row>
        <row r="6821">
          <cell r="CJ6821" t="str">
            <v xml:space="preserve">NFT-/XUTR/DEUTH02434617888X </v>
          </cell>
          <cell r="CK6821" t="str">
            <v>2024-12-11</v>
          </cell>
          <cell r="CL6821">
            <v>38915.699999999997</v>
          </cell>
          <cell r="CM6821" t="str">
            <v xml:space="preserve">NFT-/XUTR/DEUTH02434620589X </v>
          </cell>
          <cell r="CN6821" t="str">
            <v>2024-12-11</v>
          </cell>
          <cell r="CO6821">
            <v>2053.7339999999999</v>
          </cell>
        </row>
        <row r="6822">
          <cell r="CJ6822" t="str">
            <v xml:space="preserve">NFT-/XUTR/DEUTH02434617888X </v>
          </cell>
          <cell r="CK6822" t="str">
            <v>2024-12-11</v>
          </cell>
          <cell r="CL6822">
            <v>7816.5420000000004</v>
          </cell>
          <cell r="CM6822" t="str">
            <v xml:space="preserve">NFT-/XUTR/DEUTH02434620589X </v>
          </cell>
          <cell r="CN6822" t="str">
            <v>2024-12-11</v>
          </cell>
          <cell r="CO6822">
            <v>580.40700000000004</v>
          </cell>
          <cell r="CP6822" t="str">
            <v xml:space="preserve">NFT-/XUTR/DEUTH02434856407X </v>
          </cell>
          <cell r="CQ6822" t="str">
            <v>2024-12-13</v>
          </cell>
          <cell r="CR6822">
            <v>-7816.5420000000004</v>
          </cell>
          <cell r="CS6822" t="str">
            <v xml:space="preserve">NFT-/XUTR/DEUTH02434865905X </v>
          </cell>
          <cell r="CT6822" t="str">
            <v>2024-12-13</v>
          </cell>
          <cell r="CU6822">
            <v>-580.40700000000004</v>
          </cell>
        </row>
        <row r="6823">
          <cell r="CJ6823" t="str">
            <v xml:space="preserve">NFT-/XUTR/DEUTH02434617888X </v>
          </cell>
          <cell r="CK6823" t="str">
            <v>2024-12-11</v>
          </cell>
          <cell r="CL6823">
            <v>39487.81</v>
          </cell>
          <cell r="CM6823" t="str">
            <v xml:space="preserve">NFT-/XUTR/DEUTH02434620589X </v>
          </cell>
          <cell r="CN6823" t="str">
            <v>2024-12-11</v>
          </cell>
          <cell r="CO6823">
            <v>2082.85</v>
          </cell>
        </row>
        <row r="6824">
          <cell r="CJ6824" t="str">
            <v xml:space="preserve">NFT-/XUTR/DEUTH02434617888X </v>
          </cell>
          <cell r="CK6824" t="str">
            <v>2024-12-11</v>
          </cell>
          <cell r="CL6824">
            <v>15856.253000000001</v>
          </cell>
          <cell r="CM6824" t="str">
            <v xml:space="preserve">NFT-/XUTR/DEUTH02434620589X </v>
          </cell>
          <cell r="CN6824" t="str">
            <v>2024-12-11</v>
          </cell>
          <cell r="CO6824">
            <v>838.577</v>
          </cell>
        </row>
        <row r="6825">
          <cell r="CJ6825" t="str">
            <v xml:space="preserve">NFT-/XUTR/DEUTH02434617888X </v>
          </cell>
          <cell r="CK6825" t="str">
            <v>2024-12-11</v>
          </cell>
          <cell r="CL6825">
            <v>15856.252</v>
          </cell>
          <cell r="CM6825" t="str">
            <v xml:space="preserve">NFT-/XUTR/DEUTH02434620589X </v>
          </cell>
          <cell r="CN6825" t="str">
            <v>2024-12-11</v>
          </cell>
          <cell r="CO6825">
            <v>838.577</v>
          </cell>
        </row>
        <row r="6827">
          <cell r="CJ6827" t="str">
            <v xml:space="preserve">NFT-/XUTR/DEUTH02434617888X </v>
          </cell>
          <cell r="CK6827" t="str">
            <v>2024-12-11</v>
          </cell>
          <cell r="CL6827">
            <v>83645.073999999993</v>
          </cell>
          <cell r="CM6827" t="str">
            <v xml:space="preserve">NFT-/XUTR/DEUTH02434856407X </v>
          </cell>
          <cell r="CN6827" t="str">
            <v>2024-12-13</v>
          </cell>
          <cell r="CO6827">
            <v>-83645.073999999993</v>
          </cell>
        </row>
        <row r="6828">
          <cell r="CJ6828" t="str">
            <v xml:space="preserve">NFT-/XUTR/DEUTH02434617888X </v>
          </cell>
          <cell r="CK6828" t="str">
            <v>2024-12-11</v>
          </cell>
          <cell r="CL6828">
            <v>38915.699999999997</v>
          </cell>
          <cell r="CM6828" t="str">
            <v xml:space="preserve">NFT-/XUTR/DEUTH02434620589X </v>
          </cell>
          <cell r="CN6828" t="str">
            <v>2024-12-11</v>
          </cell>
          <cell r="CO6828">
            <v>2053.7339999999999</v>
          </cell>
        </row>
        <row r="6829">
          <cell r="CJ6829" t="str">
            <v xml:space="preserve">NFT-/XUTR/DEUTH02434617888X </v>
          </cell>
          <cell r="CK6829" t="str">
            <v>2024-12-11</v>
          </cell>
          <cell r="CL6829">
            <v>10276.955</v>
          </cell>
          <cell r="CM6829" t="str">
            <v xml:space="preserve">NFT-/XUTR/DEUTH02434620589X </v>
          </cell>
          <cell r="CN6829" t="str">
            <v>2024-12-11</v>
          </cell>
          <cell r="CO6829">
            <v>546.42999999999995</v>
          </cell>
        </row>
        <row r="6830">
          <cell r="CJ6830" t="str">
            <v xml:space="preserve">NFT-/XUTR/DEUTH02434617888X </v>
          </cell>
          <cell r="CK6830" t="str">
            <v>2024-12-11</v>
          </cell>
          <cell r="CL6830">
            <v>15837.373</v>
          </cell>
          <cell r="CM6830" t="str">
            <v xml:space="preserve">NFT-/XUTR/DEUTH02434620589X </v>
          </cell>
          <cell r="CN6830" t="str">
            <v>2024-12-11</v>
          </cell>
          <cell r="CO6830">
            <v>838.577</v>
          </cell>
        </row>
        <row r="6831">
          <cell r="CJ6831" t="str">
            <v xml:space="preserve">NFT-/XUTR/DEUTH02434617888X </v>
          </cell>
          <cell r="CK6831" t="str">
            <v>2024-12-11</v>
          </cell>
          <cell r="CL6831">
            <v>78899.504000000001</v>
          </cell>
          <cell r="CM6831" t="str">
            <v xml:space="preserve">NFT-/XUTR/DEUTH02434620589X </v>
          </cell>
          <cell r="CN6831" t="str">
            <v>2024-12-11</v>
          </cell>
          <cell r="CO6831">
            <v>2911.7240000000002</v>
          </cell>
        </row>
        <row r="6832">
          <cell r="CJ6832" t="str">
            <v xml:space="preserve">NFT-/XUTR/DEUTH02434617888X </v>
          </cell>
          <cell r="CK6832" t="str">
            <v>2024-12-11</v>
          </cell>
          <cell r="CL6832">
            <v>39487.81</v>
          </cell>
          <cell r="CM6832" t="str">
            <v xml:space="preserve">NFT-/XUTR/DEUTH02434620589X </v>
          </cell>
          <cell r="CN6832" t="str">
            <v>2024-12-11</v>
          </cell>
          <cell r="CO6832">
            <v>2082.85</v>
          </cell>
        </row>
        <row r="6833">
          <cell r="CJ6833" t="str">
            <v xml:space="preserve">NFT-/XUTR/DEUTH02434617888X </v>
          </cell>
          <cell r="CK6833" t="str">
            <v>2024-12-11</v>
          </cell>
          <cell r="CL6833">
            <v>39450.930999999997</v>
          </cell>
          <cell r="CM6833" t="str">
            <v xml:space="preserve">NFT-/XUTR/DEUTH02434620589X </v>
          </cell>
          <cell r="CN6833" t="str">
            <v>2024-12-11</v>
          </cell>
          <cell r="CO6833">
            <v>2119.7370000000001</v>
          </cell>
        </row>
        <row r="6834">
          <cell r="CJ6834" t="str">
            <v xml:space="preserve">NFT-/XUTR/DEUTH02434617888X </v>
          </cell>
          <cell r="CK6834" t="str">
            <v>2024-12-11</v>
          </cell>
          <cell r="CL6834">
            <v>8034.9219999999996</v>
          </cell>
          <cell r="CM6834" t="str">
            <v xml:space="preserve">NFT-/XUTR/DEUTH02434620589X </v>
          </cell>
          <cell r="CN6834" t="str">
            <v>2024-12-11</v>
          </cell>
          <cell r="CO6834">
            <v>362.02699999999999</v>
          </cell>
        </row>
        <row r="6835">
          <cell r="CJ6835" t="str">
            <v xml:space="preserve">NFT-/XUTR/DEUTH02434617888X </v>
          </cell>
          <cell r="CK6835" t="str">
            <v>2024-12-11</v>
          </cell>
          <cell r="CL6835">
            <v>39487.81</v>
          </cell>
          <cell r="CM6835" t="str">
            <v xml:space="preserve">NFT-/XUTR/DEUTH02434620589X </v>
          </cell>
          <cell r="CN6835" t="str">
            <v>2024-12-11</v>
          </cell>
          <cell r="CO6835">
            <v>2082.85</v>
          </cell>
        </row>
        <row r="6836">
          <cell r="CJ6836" t="str">
            <v xml:space="preserve">NFT-/XUTR/DEUTH02434617888X </v>
          </cell>
          <cell r="CK6836" t="str">
            <v>2024-12-11</v>
          </cell>
          <cell r="CL6836">
            <v>39955.535000000003</v>
          </cell>
          <cell r="CM6836" t="str">
            <v xml:space="preserve">NFT-/XUTR/DEUTH02434620589X </v>
          </cell>
          <cell r="CN6836" t="str">
            <v>2024-12-11</v>
          </cell>
          <cell r="CO6836">
            <v>2125.5650000000001</v>
          </cell>
        </row>
        <row r="6837">
          <cell r="CJ6837" t="str">
            <v xml:space="preserve">NFT-/XUTR/DEUTH02434617888X </v>
          </cell>
          <cell r="CK6837" t="str">
            <v>2024-12-11</v>
          </cell>
          <cell r="CL6837">
            <v>38915.699999999997</v>
          </cell>
          <cell r="CM6837" t="str">
            <v xml:space="preserve">NFT-/XUTR/DEUTH02434620589X </v>
          </cell>
          <cell r="CN6837" t="str">
            <v>2024-12-11</v>
          </cell>
          <cell r="CO6837">
            <v>2053.7339999999999</v>
          </cell>
        </row>
        <row r="6838">
          <cell r="CJ6838" t="str">
            <v xml:space="preserve">NFT-/XUTR/DEUTH02434617888X </v>
          </cell>
          <cell r="CK6838" t="str">
            <v>2024-12-11</v>
          </cell>
          <cell r="CL6838">
            <v>39487.81</v>
          </cell>
          <cell r="CM6838" t="str">
            <v xml:space="preserve">NFT-/XUTR/DEUTH02434620589X </v>
          </cell>
          <cell r="CN6838" t="str">
            <v>2024-12-11</v>
          </cell>
          <cell r="CO6838">
            <v>2082.85</v>
          </cell>
        </row>
        <row r="6839">
          <cell r="CJ6839" t="str">
            <v xml:space="preserve">NFT-/XUTR/DEUTH02434617888X </v>
          </cell>
          <cell r="CK6839" t="str">
            <v>2024-12-11</v>
          </cell>
          <cell r="CL6839">
            <v>8160.57</v>
          </cell>
          <cell r="CM6839" t="str">
            <v xml:space="preserve">NFT-/XUTR/DEUTH02434620589X </v>
          </cell>
          <cell r="CN6839" t="str">
            <v>2024-12-11</v>
          </cell>
          <cell r="CO6839">
            <v>255.25899999999999</v>
          </cell>
        </row>
        <row r="6840">
          <cell r="CJ6840" t="str">
            <v xml:space="preserve">NFT-/XUTR/DEUTH02434617888X </v>
          </cell>
          <cell r="CK6840" t="str">
            <v>2024-12-11</v>
          </cell>
          <cell r="CL6840">
            <v>26309.255000000001</v>
          </cell>
          <cell r="CM6840" t="str">
            <v xml:space="preserve">NFT-/XUTR/DEUTH02434620589X </v>
          </cell>
          <cell r="CN6840" t="str">
            <v>2024-12-11</v>
          </cell>
          <cell r="CO6840">
            <v>1407.33</v>
          </cell>
        </row>
        <row r="6841">
          <cell r="CJ6841" t="str">
            <v xml:space="preserve">NFT-/XUTR/DEUTH02434617888X </v>
          </cell>
          <cell r="CK6841" t="str">
            <v>2024-12-11</v>
          </cell>
          <cell r="CL6841">
            <v>39487.809000000001</v>
          </cell>
          <cell r="CM6841" t="str">
            <v xml:space="preserve">NFT-/XUTR/DEUTH02434620589X </v>
          </cell>
          <cell r="CN6841" t="str">
            <v>2024-12-11</v>
          </cell>
          <cell r="CO6841">
            <v>2082.8490000000002</v>
          </cell>
        </row>
        <row r="6842">
          <cell r="CJ6842" t="str">
            <v xml:space="preserve">NFT-/XUTR/DEUTH02434617888X </v>
          </cell>
          <cell r="CK6842" t="str">
            <v>2024-12-11</v>
          </cell>
          <cell r="CL6842">
            <v>7990.72</v>
          </cell>
          <cell r="CM6842" t="str">
            <v xml:space="preserve">NFT-/XUTR/DEUTH02434620589X </v>
          </cell>
          <cell r="CN6842" t="str">
            <v>2024-12-11</v>
          </cell>
          <cell r="CO6842">
            <v>425.10899999999998</v>
          </cell>
        </row>
        <row r="6843">
          <cell r="CJ6843" t="str">
            <v xml:space="preserve">NFT-/XUTR/DEUTH02434617888X </v>
          </cell>
          <cell r="CK6843" t="str">
            <v>2024-12-11</v>
          </cell>
          <cell r="CL6843">
            <v>78899.504000000001</v>
          </cell>
          <cell r="CM6843" t="str">
            <v xml:space="preserve">NFT-/XUTR/DEUTH02434620589X </v>
          </cell>
          <cell r="CN6843" t="str">
            <v>2024-12-11</v>
          </cell>
          <cell r="CO6843">
            <v>2911.7240000000002</v>
          </cell>
        </row>
        <row r="6844">
          <cell r="CJ6844" t="str">
            <v xml:space="preserve">NFT-/XUTR/DEUTH02434617888X </v>
          </cell>
          <cell r="CK6844" t="str">
            <v>2024-12-11</v>
          </cell>
          <cell r="CL6844">
            <v>15856.253000000001</v>
          </cell>
          <cell r="CM6844" t="str">
            <v xml:space="preserve">NFT-/XUTR/DEUTH02434620589X </v>
          </cell>
          <cell r="CN6844" t="str">
            <v>2024-12-11</v>
          </cell>
          <cell r="CO6844">
            <v>838.577</v>
          </cell>
        </row>
        <row r="6845">
          <cell r="CJ6845" t="str">
            <v xml:space="preserve">NFT-/XUTR/DEUTH02434617888X </v>
          </cell>
          <cell r="CK6845" t="str">
            <v>2024-12-11</v>
          </cell>
          <cell r="CL6845">
            <v>38934.58</v>
          </cell>
          <cell r="CM6845" t="str">
            <v xml:space="preserve">NFT-/XUTR/DEUTH02434620589X </v>
          </cell>
          <cell r="CN6845" t="str">
            <v>2024-12-11</v>
          </cell>
          <cell r="CO6845">
            <v>2053.7339999999999</v>
          </cell>
        </row>
        <row r="6846">
          <cell r="CJ6846" t="str">
            <v xml:space="preserve">NFT-/XUTR/DEUTH02434617888X </v>
          </cell>
          <cell r="CK6846" t="str">
            <v>2024-12-11</v>
          </cell>
          <cell r="CL6846">
            <v>7990.72</v>
          </cell>
          <cell r="CM6846" t="str">
            <v xml:space="preserve">NFT-/XUTR/DEUTH02434620589X </v>
          </cell>
          <cell r="CN6846" t="str">
            <v>2024-12-11</v>
          </cell>
          <cell r="CO6846">
            <v>425.10899999999998</v>
          </cell>
          <cell r="CP6846" t="str">
            <v xml:space="preserve">NFT-/XUTR/DEUTH02434856407X </v>
          </cell>
          <cell r="CQ6846" t="str">
            <v>2024-12-13</v>
          </cell>
          <cell r="CR6846">
            <v>-7990.72</v>
          </cell>
          <cell r="CS6846" t="str">
            <v xml:space="preserve">NFT-/XUTR/DEUTH02434865905X </v>
          </cell>
          <cell r="CT6846" t="str">
            <v>2024-12-13</v>
          </cell>
          <cell r="CU6846">
            <v>-425.10899999999998</v>
          </cell>
        </row>
        <row r="6847">
          <cell r="CJ6847" t="str">
            <v xml:space="preserve">NFT-/XUTR/DEUTH02434617888X </v>
          </cell>
          <cell r="CK6847" t="str">
            <v>2024-12-11</v>
          </cell>
          <cell r="CL6847">
            <v>78918.384000000005</v>
          </cell>
          <cell r="CM6847" t="str">
            <v xml:space="preserve">NFT-/XUTR/DEUTH02434620589X </v>
          </cell>
          <cell r="CN6847" t="str">
            <v>2024-12-11</v>
          </cell>
          <cell r="CO6847">
            <v>2911.7240000000002</v>
          </cell>
        </row>
        <row r="6848">
          <cell r="CJ6848" t="str">
            <v xml:space="preserve">NFT-/XUTR/DEUTH02434617888X </v>
          </cell>
          <cell r="CK6848" t="str">
            <v>2024-12-11</v>
          </cell>
          <cell r="CL6848">
            <v>78918.383000000002</v>
          </cell>
          <cell r="CM6848" t="str">
            <v xml:space="preserve">NFT-/XUTR/DEUTH02434620589X </v>
          </cell>
          <cell r="CN6848" t="str">
            <v>2024-12-11</v>
          </cell>
          <cell r="CO6848">
            <v>2911.723</v>
          </cell>
        </row>
        <row r="6849">
          <cell r="CJ6849" t="str">
            <v xml:space="preserve">NFT-/XUTR/DEUTH02434617888X </v>
          </cell>
          <cell r="CK6849" t="str">
            <v>2024-12-11</v>
          </cell>
          <cell r="CL6849">
            <v>15982.406000000001</v>
          </cell>
          <cell r="CM6849" t="str">
            <v xml:space="preserve">NFT-/XUTR/DEUTH02434620589X </v>
          </cell>
          <cell r="CN6849" t="str">
            <v>2024-12-11</v>
          </cell>
          <cell r="CO6849">
            <v>850.22799999999995</v>
          </cell>
        </row>
        <row r="6850">
          <cell r="CJ6850" t="str">
            <v xml:space="preserve">NFT-/XUTR/DEUTH02434617888X </v>
          </cell>
          <cell r="CK6850" t="str">
            <v>2024-12-11</v>
          </cell>
          <cell r="CL6850">
            <v>7990.72</v>
          </cell>
          <cell r="CM6850" t="str">
            <v xml:space="preserve">NFT-/XUTR/DEUTH02434620589X </v>
          </cell>
          <cell r="CN6850" t="str">
            <v>2024-12-11</v>
          </cell>
          <cell r="CO6850">
            <v>425.10899999999998</v>
          </cell>
        </row>
        <row r="6851">
          <cell r="CJ6851" t="str">
            <v xml:space="preserve">NFT-/XUTR/DEUTH02434617888X </v>
          </cell>
          <cell r="CK6851" t="str">
            <v>2024-12-11</v>
          </cell>
          <cell r="CL6851">
            <v>41551.779000000002</v>
          </cell>
        </row>
        <row r="6852">
          <cell r="CJ6852" t="str">
            <v xml:space="preserve">NFT-/XUTR/DEUTH02434617888X </v>
          </cell>
          <cell r="CK6852" t="str">
            <v>2024-12-11</v>
          </cell>
          <cell r="CL6852">
            <v>15901.438</v>
          </cell>
          <cell r="CM6852" t="str">
            <v xml:space="preserve">NFT-/XUTR/DEUTH02434620589X </v>
          </cell>
          <cell r="CN6852" t="str">
            <v>2024-12-11</v>
          </cell>
          <cell r="CO6852">
            <v>842.46299999999997</v>
          </cell>
        </row>
        <row r="6853">
          <cell r="CJ6853" t="str">
            <v xml:space="preserve">NFT-/XUTR/DEUTH02434617888X </v>
          </cell>
          <cell r="CK6853" t="str">
            <v>2024-12-11</v>
          </cell>
          <cell r="CL6853">
            <v>39072.936000000002</v>
          </cell>
          <cell r="CM6853" t="str">
            <v xml:space="preserve">NFT-/XUTR/DEUTH02434620589X </v>
          </cell>
          <cell r="CN6853" t="str">
            <v>2024-12-11</v>
          </cell>
          <cell r="CO6853">
            <v>2061.4969999999998</v>
          </cell>
        </row>
        <row r="6854">
          <cell r="CJ6854" t="str">
            <v xml:space="preserve">NFT-/XUTR/DEUTH02434617888X </v>
          </cell>
          <cell r="CK6854" t="str">
            <v>2024-12-11</v>
          </cell>
          <cell r="CL6854">
            <v>8312.9470000000001</v>
          </cell>
          <cell r="CM6854" t="str">
            <v xml:space="preserve">NFT-/XUTR/DEUTH02434620589X </v>
          </cell>
          <cell r="CN6854" t="str">
            <v>2024-12-11</v>
          </cell>
          <cell r="CO6854">
            <v>102.88200000000001</v>
          </cell>
        </row>
        <row r="6855">
          <cell r="CJ6855" t="str">
            <v xml:space="preserve">NFT-/XUTR/DEUTH02434617888X </v>
          </cell>
          <cell r="CK6855" t="str">
            <v>2024-12-11</v>
          </cell>
          <cell r="CL6855">
            <v>79239.205000000002</v>
          </cell>
          <cell r="CM6855" t="str">
            <v xml:space="preserve">NFT-/XUTR/DEUTH02434620589X </v>
          </cell>
          <cell r="CN6855" t="str">
            <v>2024-12-11</v>
          </cell>
          <cell r="CO6855">
            <v>2911.7240000000002</v>
          </cell>
        </row>
        <row r="6856">
          <cell r="CJ6856" t="str">
            <v xml:space="preserve">NFT-/XUTR/DEUTH02434617888X </v>
          </cell>
          <cell r="CK6856" t="str">
            <v>2024-12-11</v>
          </cell>
          <cell r="CL6856">
            <v>82169.808999999994</v>
          </cell>
          <cell r="CM6856" t="str">
            <v xml:space="preserve">NFT-/XUTR/DEUTH02434856407X </v>
          </cell>
          <cell r="CN6856" t="str">
            <v>2024-12-13</v>
          </cell>
          <cell r="CO6856">
            <v>-82169.808999999994</v>
          </cell>
        </row>
        <row r="6857">
          <cell r="CJ6857" t="str">
            <v xml:space="preserve">NFT-/XUTR/DEUTH02434617888X </v>
          </cell>
          <cell r="CK6857" t="str">
            <v>2024-12-11</v>
          </cell>
          <cell r="CL6857">
            <v>39072.936000000002</v>
          </cell>
          <cell r="CM6857" t="str">
            <v xml:space="preserve">NFT-/XUTR/DEUTH02434620589X </v>
          </cell>
          <cell r="CN6857" t="str">
            <v>2024-12-11</v>
          </cell>
          <cell r="CO6857">
            <v>2061.4969999999998</v>
          </cell>
        </row>
        <row r="6858">
          <cell r="CJ6858" t="str">
            <v xml:space="preserve">NFT-/XUTR/DEUTH02434617888X </v>
          </cell>
          <cell r="CK6858" t="str">
            <v>2024-12-11</v>
          </cell>
          <cell r="CL6858">
            <v>24083.771000000001</v>
          </cell>
          <cell r="CM6858" t="str">
            <v xml:space="preserve">NFT-/XUTR/DEUTH02434620589X </v>
          </cell>
          <cell r="CN6858" t="str">
            <v>2024-12-11</v>
          </cell>
          <cell r="CO6858">
            <v>1281.1610000000001</v>
          </cell>
        </row>
        <row r="6859">
          <cell r="CJ6859" t="str">
            <v xml:space="preserve">NFT-/XUTR/DEUTH02434617888X </v>
          </cell>
          <cell r="CK6859" t="str">
            <v>2024-12-11</v>
          </cell>
          <cell r="CL6859">
            <v>8454.6560000000009</v>
          </cell>
          <cell r="CM6859" t="str">
            <v xml:space="preserve">NFT-/XUTR/DEUTH02434856407X </v>
          </cell>
          <cell r="CN6859" t="str">
            <v>2024-12-13</v>
          </cell>
          <cell r="CO6859">
            <v>-8454.6560000000009</v>
          </cell>
        </row>
        <row r="6860">
          <cell r="CJ6860" t="str">
            <v xml:space="preserve">NFT-/XUTR/DEUTH02434617888X </v>
          </cell>
          <cell r="CK6860" t="str">
            <v>2024-12-11</v>
          </cell>
          <cell r="CL6860">
            <v>39066.578000000001</v>
          </cell>
          <cell r="CM6860" t="str">
            <v xml:space="preserve">NFT-/XUTR/DEUTH02434620589X </v>
          </cell>
          <cell r="CN6860" t="str">
            <v>2024-12-11</v>
          </cell>
          <cell r="CO6860">
            <v>2678.7829999999999</v>
          </cell>
        </row>
        <row r="6861">
          <cell r="CJ6861" t="str">
            <v xml:space="preserve">NFT-/XUTR/DEUTH02434617888X </v>
          </cell>
          <cell r="CK6861" t="str">
            <v>2024-12-11</v>
          </cell>
          <cell r="CL6861">
            <v>15920.308000000001</v>
          </cell>
          <cell r="CM6861" t="str">
            <v xml:space="preserve">NFT-/XUTR/DEUTH02434620589X </v>
          </cell>
          <cell r="CN6861" t="str">
            <v>2024-12-11</v>
          </cell>
          <cell r="CO6861">
            <v>842.46299999999997</v>
          </cell>
        </row>
        <row r="6862">
          <cell r="CJ6862" t="str">
            <v xml:space="preserve">NFT-/XUTR/DEUTH02434617888X </v>
          </cell>
          <cell r="CK6862" t="str">
            <v>2024-12-11</v>
          </cell>
          <cell r="CL6862">
            <v>79239.205000000002</v>
          </cell>
          <cell r="CM6862" t="str">
            <v xml:space="preserve">NFT-/XUTR/DEUTH02434620589X </v>
          </cell>
          <cell r="CN6862" t="str">
            <v>2024-12-11</v>
          </cell>
          <cell r="CO6862">
            <v>2911.7240000000002</v>
          </cell>
        </row>
        <row r="6863">
          <cell r="CJ6863" t="str">
            <v xml:space="preserve">NFT-/XUTR/DEUTH02434617888X </v>
          </cell>
          <cell r="CK6863" t="str">
            <v>2024-12-11</v>
          </cell>
          <cell r="CL6863">
            <v>39072.936000000002</v>
          </cell>
          <cell r="CM6863" t="str">
            <v xml:space="preserve">NFT-/XUTR/DEUTH02434620589X </v>
          </cell>
          <cell r="CN6863" t="str">
            <v>2024-12-11</v>
          </cell>
          <cell r="CO6863">
            <v>2061.4969999999998</v>
          </cell>
        </row>
        <row r="6864">
          <cell r="CJ6864" t="str">
            <v xml:space="preserve">NFT-/XUTR/DEUTH02434617888X </v>
          </cell>
          <cell r="CK6864" t="str">
            <v>2024-12-11</v>
          </cell>
          <cell r="CL6864">
            <v>39072.936000000002</v>
          </cell>
          <cell r="CM6864" t="str">
            <v xml:space="preserve">NFT-/XUTR/DEUTH02434620589X </v>
          </cell>
          <cell r="CN6864" t="str">
            <v>2024-12-11</v>
          </cell>
          <cell r="CO6864">
            <v>2061.4969999999998</v>
          </cell>
        </row>
        <row r="6865">
          <cell r="CJ6865" t="str">
            <v xml:space="preserve">NFT-/XUTR/DEUTH02434617888X </v>
          </cell>
          <cell r="CK6865" t="str">
            <v>2024-12-11</v>
          </cell>
          <cell r="CL6865">
            <v>15920.796</v>
          </cell>
          <cell r="CM6865" t="str">
            <v xml:space="preserve">NFT-/XUTR/DEUTH02434620589X </v>
          </cell>
          <cell r="CN6865" t="str">
            <v>2024-12-11</v>
          </cell>
          <cell r="CO6865">
            <v>842.46299999999997</v>
          </cell>
        </row>
        <row r="6866">
          <cell r="CJ6866" t="str">
            <v xml:space="preserve">NFT-/XUTR/DEUTH02434617888X </v>
          </cell>
          <cell r="CK6866" t="str">
            <v>2024-12-11</v>
          </cell>
          <cell r="CL6866">
            <v>1417.989</v>
          </cell>
          <cell r="CM6866" t="str">
            <v xml:space="preserve">NFT-/XUTR/DEUTH02500675317X </v>
          </cell>
          <cell r="CN6866" t="str">
            <v>2025-01-06</v>
          </cell>
          <cell r="CO6866">
            <v>-1417.989</v>
          </cell>
        </row>
        <row r="6868">
          <cell r="CJ6868" t="str">
            <v xml:space="preserve">NFT-/XUTR/DEUTH02434617888X </v>
          </cell>
          <cell r="CK6868" t="str">
            <v>2024-12-11</v>
          </cell>
          <cell r="CL6868">
            <v>41745.370000000003</v>
          </cell>
          <cell r="CM6868" t="str">
            <v xml:space="preserve">NFT-/XUTR/DEUTH02434856407X </v>
          </cell>
          <cell r="CN6868" t="str">
            <v>2024-12-13</v>
          </cell>
          <cell r="CO6868">
            <v>-41745.370000000003</v>
          </cell>
        </row>
        <row r="6869">
          <cell r="CJ6869" t="str">
            <v xml:space="preserve">NFT-/XUTR/DEUTH02434617888X </v>
          </cell>
          <cell r="CK6869" t="str">
            <v>2024-12-11</v>
          </cell>
          <cell r="CL6869">
            <v>39634.892999999996</v>
          </cell>
          <cell r="CM6869" t="str">
            <v xml:space="preserve">NFT-/XUTR/DEUTH02434620589X </v>
          </cell>
          <cell r="CN6869" t="str">
            <v>2024-12-11</v>
          </cell>
          <cell r="CO6869">
            <v>2091.587</v>
          </cell>
        </row>
        <row r="6870">
          <cell r="CJ6870" t="str">
            <v xml:space="preserve">NFT-/XUTR/DEUTH02434617888X </v>
          </cell>
          <cell r="CK6870" t="str">
            <v>2024-12-11</v>
          </cell>
          <cell r="CL6870">
            <v>15893.141</v>
          </cell>
          <cell r="CM6870" t="str">
            <v xml:space="preserve">NFT-/XUTR/DEUTH02434620589X </v>
          </cell>
          <cell r="CN6870" t="str">
            <v>2024-12-11</v>
          </cell>
          <cell r="CO6870">
            <v>869.63</v>
          </cell>
        </row>
        <row r="6871">
          <cell r="CJ6871" t="str">
            <v xml:space="preserve">NFT-/XUTR/DEUTH02434617888X </v>
          </cell>
          <cell r="CK6871" t="str">
            <v>2024-12-11</v>
          </cell>
          <cell r="CL6871">
            <v>15136.619000000001</v>
          </cell>
          <cell r="CM6871" t="str">
            <v xml:space="preserve">NFT-/XUTR/DEUTH02434620589X </v>
          </cell>
          <cell r="CN6871" t="str">
            <v>2024-12-11</v>
          </cell>
          <cell r="CO6871">
            <v>1607.2729999999999</v>
          </cell>
        </row>
        <row r="6873">
          <cell r="CJ6873" t="str">
            <v xml:space="preserve">NFT-/XUTR/DEUTH02434617888X </v>
          </cell>
          <cell r="CK6873" t="str">
            <v>2024-12-11</v>
          </cell>
          <cell r="CL6873">
            <v>79239.205000000002</v>
          </cell>
          <cell r="CM6873" t="str">
            <v xml:space="preserve">NFT-/XUTR/DEUTH02434620589X </v>
          </cell>
          <cell r="CN6873" t="str">
            <v>2024-12-11</v>
          </cell>
          <cell r="CO6873">
            <v>2911.7240000000002</v>
          </cell>
        </row>
        <row r="6874">
          <cell r="CJ6874" t="str">
            <v xml:space="preserve">NFT-/XUTR/DEUTH02434617888X </v>
          </cell>
          <cell r="CK6874" t="str">
            <v>2024-12-11</v>
          </cell>
          <cell r="CL6874">
            <v>79297.436000000002</v>
          </cell>
          <cell r="CM6874" t="str">
            <v xml:space="preserve">NFT-/XUTR/DEUTH02434620589X </v>
          </cell>
          <cell r="CN6874" t="str">
            <v>2024-12-11</v>
          </cell>
          <cell r="CO6874">
            <v>2911.7240000000002</v>
          </cell>
        </row>
        <row r="6875">
          <cell r="CJ6875" t="str">
            <v xml:space="preserve">NFT-/XUTR/DEUTH02434617888X </v>
          </cell>
          <cell r="CK6875" t="str">
            <v>2024-12-11</v>
          </cell>
          <cell r="CL6875">
            <v>8435.7759999999998</v>
          </cell>
        </row>
        <row r="6876">
          <cell r="CJ6876" t="str">
            <v xml:space="preserve">NFT-/XUTR/DEUTH02434856407X </v>
          </cell>
          <cell r="CK6876" t="str">
            <v>2024-12-13</v>
          </cell>
          <cell r="CL6876">
            <v>38882.175000000003</v>
          </cell>
          <cell r="CM6876" t="str">
            <v xml:space="preserve">NFT-/XUTR/DEUTH02434865905X </v>
          </cell>
          <cell r="CN6876" t="str">
            <v>2024-12-13</v>
          </cell>
          <cell r="CO6876">
            <v>2911.7240000000002</v>
          </cell>
        </row>
        <row r="6877">
          <cell r="CJ6877" t="str">
            <v xml:space="preserve">NFT-/XUTR/DEUTH02434856407X </v>
          </cell>
          <cell r="CK6877" t="str">
            <v>2024-12-13</v>
          </cell>
          <cell r="CL6877">
            <v>7866.4859999999999</v>
          </cell>
          <cell r="CM6877" t="str">
            <v xml:space="preserve">NFT-/XUTR/DEUTH02434865905X </v>
          </cell>
          <cell r="CN6877" t="str">
            <v>2024-12-13</v>
          </cell>
          <cell r="CO6877">
            <v>597.87199999999996</v>
          </cell>
        </row>
        <row r="6878">
          <cell r="CJ6878" t="str">
            <v xml:space="preserve">NFT-/XUTR/DEUTH02434856407X </v>
          </cell>
          <cell r="CK6878" t="str">
            <v>2024-12-13</v>
          </cell>
          <cell r="CL6878">
            <v>38863.294999999998</v>
          </cell>
          <cell r="CM6878" t="str">
            <v xml:space="preserve">NFT-/XUTR/DEUTH02434865905X </v>
          </cell>
          <cell r="CN6878" t="str">
            <v>2024-12-13</v>
          </cell>
          <cell r="CO6878">
            <v>2911.7240000000002</v>
          </cell>
        </row>
        <row r="6879">
          <cell r="CJ6879" t="str">
            <v xml:space="preserve">NFT-/XUTR/DEUTH02434856407X </v>
          </cell>
          <cell r="CK6879" t="str">
            <v>2024-12-13</v>
          </cell>
          <cell r="CL6879">
            <v>79260.555999999997</v>
          </cell>
          <cell r="CM6879" t="str">
            <v xml:space="preserve">NFT-/XUTR/DEUTH02434865905X </v>
          </cell>
          <cell r="CN6879" t="str">
            <v>2024-12-13</v>
          </cell>
          <cell r="CO6879">
            <v>2987.4290000000001</v>
          </cell>
        </row>
        <row r="6880">
          <cell r="CJ6880" t="str">
            <v xml:space="preserve">NFT-/XUTR/DEUTH02434856407X </v>
          </cell>
          <cell r="CK6880" t="str">
            <v>2024-12-13</v>
          </cell>
          <cell r="CL6880">
            <v>7866.4859999999999</v>
          </cell>
          <cell r="CM6880" t="str">
            <v xml:space="preserve">NFT-/XUTR/DEUTH02434865905X </v>
          </cell>
          <cell r="CN6880" t="str">
            <v>2024-12-13</v>
          </cell>
          <cell r="CO6880">
            <v>597.87199999999996</v>
          </cell>
        </row>
        <row r="6881">
          <cell r="CJ6881" t="str">
            <v xml:space="preserve">NFT-/XUTR/DEUTH02434856407X </v>
          </cell>
          <cell r="CK6881" t="str">
            <v>2024-12-13</v>
          </cell>
          <cell r="CL6881">
            <v>8018.42</v>
          </cell>
          <cell r="CM6881" t="str">
            <v xml:space="preserve">NFT-/XUTR/DEUTH02434865905X </v>
          </cell>
          <cell r="CN6881" t="str">
            <v>2024-12-13</v>
          </cell>
          <cell r="CO6881">
            <v>427.05700000000002</v>
          </cell>
        </row>
        <row r="6882">
          <cell r="CJ6882" t="str">
            <v xml:space="preserve">NFT-/XUTR/DEUTH02434856407X </v>
          </cell>
          <cell r="CK6882" t="str">
            <v>2024-12-13</v>
          </cell>
          <cell r="CL6882">
            <v>82266.865999999995</v>
          </cell>
          <cell r="CM6882" t="str">
            <v xml:space="preserve">NFT-/XUTR/DEUTH02435367773X </v>
          </cell>
          <cell r="CN6882" t="str">
            <v>2024-12-18</v>
          </cell>
          <cell r="CO6882">
            <v>-82266.865999999995</v>
          </cell>
        </row>
        <row r="6883">
          <cell r="CJ6883" t="str">
            <v xml:space="preserve">NFT-/XUTR/DEUTH02434856407X </v>
          </cell>
          <cell r="CK6883" t="str">
            <v>2024-12-13</v>
          </cell>
          <cell r="CL6883">
            <v>23599.448</v>
          </cell>
          <cell r="CM6883" t="str">
            <v xml:space="preserve">NFT-/XUTR/DEUTH02434865905X </v>
          </cell>
          <cell r="CN6883" t="str">
            <v>2024-12-13</v>
          </cell>
          <cell r="CO6883">
            <v>1793.626</v>
          </cell>
        </row>
        <row r="6884">
          <cell r="CJ6884" t="str">
            <v xml:space="preserve">NFT-/XUTR/DEUTH02434856407X </v>
          </cell>
          <cell r="CK6884" t="str">
            <v>2024-12-13</v>
          </cell>
          <cell r="CL6884">
            <v>83450.960999999996</v>
          </cell>
        </row>
        <row r="6886">
          <cell r="CJ6886" t="str">
            <v xml:space="preserve">NFT-/XUTR/DEUTH02434856407X </v>
          </cell>
          <cell r="CK6886" t="str">
            <v>2024-12-13</v>
          </cell>
          <cell r="CL6886">
            <v>38882.175000000003</v>
          </cell>
          <cell r="CM6886" t="str">
            <v xml:space="preserve">NFT-/XUTR/DEUTH02434865905X </v>
          </cell>
          <cell r="CN6886" t="str">
            <v>2024-12-13</v>
          </cell>
          <cell r="CO6886">
            <v>2911.7240000000002</v>
          </cell>
        </row>
        <row r="6887">
          <cell r="CJ6887" t="str">
            <v xml:space="preserve">NFT-/XUTR/DEUTH02434856407X </v>
          </cell>
          <cell r="CK6887" t="str">
            <v>2024-12-13</v>
          </cell>
          <cell r="CL6887">
            <v>38863.294999999998</v>
          </cell>
          <cell r="CM6887" t="str">
            <v xml:space="preserve">NFT-/XUTR/DEUTH02434865905X </v>
          </cell>
          <cell r="CN6887" t="str">
            <v>2024-12-13</v>
          </cell>
          <cell r="CO6887">
            <v>2911.7240000000002</v>
          </cell>
        </row>
        <row r="6888">
          <cell r="CJ6888" t="str">
            <v xml:space="preserve">NFT-/XUTR/DEUTH02434856407X </v>
          </cell>
          <cell r="CK6888" t="str">
            <v>2024-12-13</v>
          </cell>
          <cell r="CL6888">
            <v>7829.5969999999998</v>
          </cell>
          <cell r="CM6888" t="str">
            <v xml:space="preserve">NFT-/XUTR/DEUTH02434865905X </v>
          </cell>
          <cell r="CN6888" t="str">
            <v>2024-12-13</v>
          </cell>
          <cell r="CO6888">
            <v>634.76099999999997</v>
          </cell>
        </row>
        <row r="6889">
          <cell r="CJ6889" t="str">
            <v xml:space="preserve">NFT-/XUTR/DEUTH02434856407X </v>
          </cell>
          <cell r="CK6889" t="str">
            <v>2024-12-13</v>
          </cell>
          <cell r="CL6889">
            <v>10526.829</v>
          </cell>
          <cell r="CM6889" t="str">
            <v xml:space="preserve">NFT-/XUTR/DEUTH02434865905X </v>
          </cell>
          <cell r="CN6889" t="str">
            <v>2024-12-13</v>
          </cell>
          <cell r="CO6889">
            <v>558.08100000000002</v>
          </cell>
        </row>
        <row r="6890">
          <cell r="CJ6890" t="str">
            <v xml:space="preserve">NFT-/XUTR/DEUTH02434856407X </v>
          </cell>
          <cell r="CK6890" t="str">
            <v>2024-12-13</v>
          </cell>
          <cell r="CL6890">
            <v>80520.354999999996</v>
          </cell>
          <cell r="CM6890" t="str">
            <v xml:space="preserve">NFT-/XUTR/DEUTH02434865905X </v>
          </cell>
          <cell r="CN6890" t="str">
            <v>2024-12-13</v>
          </cell>
          <cell r="CO6890">
            <v>2911.7240000000002</v>
          </cell>
        </row>
        <row r="6891">
          <cell r="CJ6891" t="str">
            <v xml:space="preserve">NFT-/XUTR/DEUTH02434856407X </v>
          </cell>
          <cell r="CK6891" t="str">
            <v>2024-12-13</v>
          </cell>
          <cell r="CL6891">
            <v>7801.99</v>
          </cell>
          <cell r="CM6891" t="str">
            <v xml:space="preserve">NFT-/XUTR/DEUTH02434865905X </v>
          </cell>
          <cell r="CN6891" t="str">
            <v>2024-12-13</v>
          </cell>
          <cell r="CO6891">
            <v>643.48699999999997</v>
          </cell>
        </row>
        <row r="6892">
          <cell r="CJ6892" t="str">
            <v xml:space="preserve">NFT-/XUTR/DEUTH02434856407X </v>
          </cell>
          <cell r="CK6892" t="str">
            <v>2024-12-13</v>
          </cell>
          <cell r="CL6892">
            <v>38833.646000000001</v>
          </cell>
          <cell r="CM6892" t="str">
            <v xml:space="preserve">NFT-/XUTR/DEUTH02434865905X </v>
          </cell>
          <cell r="CN6892" t="str">
            <v>2024-12-13</v>
          </cell>
          <cell r="CO6892">
            <v>2960.252</v>
          </cell>
        </row>
        <row r="6893">
          <cell r="CJ6893" t="str">
            <v xml:space="preserve">NFT-/XUTR/DEUTH02434856407X </v>
          </cell>
          <cell r="CK6893" t="str">
            <v>2024-12-13</v>
          </cell>
          <cell r="CL6893">
            <v>8017.4560000000001</v>
          </cell>
          <cell r="CM6893" t="str">
            <v xml:space="preserve">NFT-/XUTR/DEUTH02434865905X </v>
          </cell>
          <cell r="CN6893" t="str">
            <v>2024-12-13</v>
          </cell>
          <cell r="CO6893">
            <v>428.02100000000002</v>
          </cell>
        </row>
        <row r="6895">
          <cell r="CJ6895" t="str">
            <v xml:space="preserve">NFT-/XUTR/DEUTH02434856407X </v>
          </cell>
          <cell r="CK6895" t="str">
            <v>2024-12-13</v>
          </cell>
          <cell r="CL6895">
            <v>15919.878000000001</v>
          </cell>
          <cell r="CM6895" t="str">
            <v xml:space="preserve">NFT-/XUTR/DEUTH02434865905X </v>
          </cell>
          <cell r="CN6895" t="str">
            <v>2024-12-13</v>
          </cell>
          <cell r="CO6895">
            <v>843.428</v>
          </cell>
        </row>
        <row r="6896">
          <cell r="CJ6896" t="str">
            <v xml:space="preserve">NFT-/XUTR/DEUTH02434856407X </v>
          </cell>
          <cell r="CK6896" t="str">
            <v>2024-12-13</v>
          </cell>
          <cell r="CL6896">
            <v>8018.42</v>
          </cell>
          <cell r="CM6896" t="str">
            <v xml:space="preserve">NFT-/XUTR/DEUTH02434865905X </v>
          </cell>
          <cell r="CN6896" t="str">
            <v>2024-12-13</v>
          </cell>
          <cell r="CO6896">
            <v>427.05700000000002</v>
          </cell>
        </row>
        <row r="6897">
          <cell r="CJ6897" t="str">
            <v xml:space="preserve">NFT-/XUTR/DEUTH02434856407X </v>
          </cell>
          <cell r="CK6897" t="str">
            <v>2024-12-13</v>
          </cell>
          <cell r="CL6897">
            <v>8036.3360000000002</v>
          </cell>
          <cell r="CM6897" t="str">
            <v xml:space="preserve">NFT-/XUTR/DEUTH02434865905X </v>
          </cell>
          <cell r="CN6897" t="str">
            <v>2024-12-13</v>
          </cell>
          <cell r="CO6897">
            <v>428.02100000000002</v>
          </cell>
        </row>
        <row r="6898">
          <cell r="CJ6898" t="str">
            <v xml:space="preserve">NFT-/XUTR/DEUTH02434856407X </v>
          </cell>
          <cell r="CK6898" t="str">
            <v>2024-12-13</v>
          </cell>
          <cell r="CL6898">
            <v>39700.364000000001</v>
          </cell>
          <cell r="CM6898" t="str">
            <v xml:space="preserve">NFT-/XUTR/DEUTH02434865905X </v>
          </cell>
          <cell r="CN6898" t="str">
            <v>2024-12-13</v>
          </cell>
          <cell r="CO6898">
            <v>2093.5349999999999</v>
          </cell>
        </row>
        <row r="6899">
          <cell r="CJ6899" t="str">
            <v xml:space="preserve">NFT-/XUTR/DEUTH02434856407X </v>
          </cell>
          <cell r="CK6899" t="str">
            <v>2024-12-13</v>
          </cell>
          <cell r="CL6899">
            <v>15919.878000000001</v>
          </cell>
          <cell r="CM6899" t="str">
            <v xml:space="preserve">NFT-/XUTR/DEUTH02434865905X </v>
          </cell>
          <cell r="CN6899" t="str">
            <v>2024-12-13</v>
          </cell>
          <cell r="CO6899">
            <v>843.428</v>
          </cell>
        </row>
        <row r="6900">
          <cell r="CJ6900" t="str">
            <v xml:space="preserve">NFT-/XUTR/DEUTH02434856407X </v>
          </cell>
          <cell r="CK6900" t="str">
            <v>2024-12-13</v>
          </cell>
          <cell r="CL6900">
            <v>39118.553</v>
          </cell>
          <cell r="CM6900" t="str">
            <v xml:space="preserve">NFT-/XUTR/DEUTH02434865905X </v>
          </cell>
          <cell r="CN6900" t="str">
            <v>2024-12-13</v>
          </cell>
          <cell r="CO6900">
            <v>2064.41</v>
          </cell>
        </row>
        <row r="6901">
          <cell r="CJ6901" t="str">
            <v xml:space="preserve">NFT-/XUTR/DEUTH02434856407X </v>
          </cell>
          <cell r="CK6901" t="str">
            <v>2024-12-13</v>
          </cell>
          <cell r="CL6901">
            <v>5911.7489999999998</v>
          </cell>
        </row>
        <row r="6902">
          <cell r="CJ6902" t="str">
            <v xml:space="preserve">NFT-/XUTR/DEUTH02434856407X </v>
          </cell>
          <cell r="CK6902" t="str">
            <v>2024-12-13</v>
          </cell>
          <cell r="CL6902">
            <v>15732.972</v>
          </cell>
          <cell r="CM6902" t="str">
            <v xml:space="preserve">NFT-/XUTR/DEUTH02434865905X </v>
          </cell>
          <cell r="CN6902" t="str">
            <v>2024-12-13</v>
          </cell>
          <cell r="CO6902">
            <v>1195.7439999999999</v>
          </cell>
        </row>
        <row r="6903">
          <cell r="CJ6903" t="str">
            <v xml:space="preserve">NFT-/XUTR/DEUTH02434856407X </v>
          </cell>
          <cell r="CK6903" t="str">
            <v>2024-12-13</v>
          </cell>
          <cell r="CL6903">
            <v>7847.6059999999998</v>
          </cell>
          <cell r="CM6903" t="str">
            <v xml:space="preserve">NFT-/XUTR/DEUTH02434865905X </v>
          </cell>
          <cell r="CN6903" t="str">
            <v>2024-12-13</v>
          </cell>
          <cell r="CO6903">
            <v>597.87199999999996</v>
          </cell>
        </row>
        <row r="6904">
          <cell r="CJ6904" t="str">
            <v xml:space="preserve">NFT-/XUTR/DEUTH02434856407X </v>
          </cell>
          <cell r="CK6904" t="str">
            <v>2024-12-13</v>
          </cell>
          <cell r="CL6904">
            <v>78414.216</v>
          </cell>
          <cell r="CM6904" t="str">
            <v xml:space="preserve">NFT-/XUTR/DEUTH02434865905X </v>
          </cell>
          <cell r="CN6904" t="str">
            <v>2024-12-13</v>
          </cell>
          <cell r="CO6904">
            <v>3882.299</v>
          </cell>
        </row>
        <row r="6905">
          <cell r="CJ6905" t="str">
            <v xml:space="preserve">NFT-/XUTR/DEUTH02434856407X </v>
          </cell>
          <cell r="CK6905" t="str">
            <v>2024-12-13</v>
          </cell>
          <cell r="CL6905">
            <v>5892.8689999999997</v>
          </cell>
        </row>
        <row r="6906">
          <cell r="CJ6906" t="str">
            <v xml:space="preserve">NFT-/XUTR/DEUTH02434856407X </v>
          </cell>
          <cell r="CK6906" t="str">
            <v>2024-12-13</v>
          </cell>
          <cell r="CL6906">
            <v>78678.212</v>
          </cell>
          <cell r="CM6906" t="str">
            <v xml:space="preserve">NFT-/XUTR/DEUTH02434865905X </v>
          </cell>
          <cell r="CN6906" t="str">
            <v>2024-12-13</v>
          </cell>
          <cell r="CO6906">
            <v>3676.5340000000001</v>
          </cell>
          <cell r="CP6906" t="str">
            <v xml:space="preserve">NFT-/XUTR/DEUTH02435367773X </v>
          </cell>
          <cell r="CQ6906" t="str">
            <v>2024-12-18</v>
          </cell>
          <cell r="CR6906">
            <v>-78678.212</v>
          </cell>
          <cell r="CS6906" t="str">
            <v xml:space="preserve">NFT-/XUTR/DEUTH02435368219X </v>
          </cell>
          <cell r="CT6906" t="str">
            <v>2024-12-18</v>
          </cell>
          <cell r="CU6906">
            <v>-3676.5340000000001</v>
          </cell>
        </row>
        <row r="6907">
          <cell r="CJ6907" t="str">
            <v xml:space="preserve">NFT-/XUTR/DEUTH02434856407X </v>
          </cell>
          <cell r="CK6907" t="str">
            <v>2024-12-13</v>
          </cell>
          <cell r="CL6907">
            <v>24111.91</v>
          </cell>
          <cell r="CM6907" t="str">
            <v xml:space="preserve">NFT-/XUTR/DEUTH02434865905X </v>
          </cell>
          <cell r="CN6907" t="str">
            <v>2024-12-13</v>
          </cell>
          <cell r="CO6907">
            <v>1281.1610000000001</v>
          </cell>
        </row>
        <row r="6908">
          <cell r="CJ6908" t="str">
            <v xml:space="preserve">NFT-/XUTR/DEUTH02434856407X </v>
          </cell>
          <cell r="CK6908" t="str">
            <v>2024-12-13</v>
          </cell>
          <cell r="CL6908">
            <v>39146.694000000003</v>
          </cell>
          <cell r="CM6908" t="str">
            <v xml:space="preserve">NFT-/XUTR/DEUTH02434865905X </v>
          </cell>
          <cell r="CN6908" t="str">
            <v>2024-12-13</v>
          </cell>
          <cell r="CO6908">
            <v>2065.384</v>
          </cell>
        </row>
        <row r="6909">
          <cell r="CJ6909" t="str">
            <v xml:space="preserve">NFT-/XUTR/DEUTH02434856407X </v>
          </cell>
          <cell r="CK6909" t="str">
            <v>2024-12-13</v>
          </cell>
          <cell r="CL6909">
            <v>8039.25</v>
          </cell>
          <cell r="CM6909" t="str">
            <v xml:space="preserve">NFT-/XUTR/DEUTH02434865905X </v>
          </cell>
          <cell r="CN6909" t="str">
            <v>2024-12-13</v>
          </cell>
          <cell r="CO6909">
            <v>425.10899999999998</v>
          </cell>
        </row>
        <row r="6910">
          <cell r="CJ6910" t="str">
            <v xml:space="preserve">NFT-/XUTR/DEUTH02434856407X </v>
          </cell>
          <cell r="CK6910" t="str">
            <v>2024-12-13</v>
          </cell>
          <cell r="CL6910">
            <v>32149.22</v>
          </cell>
          <cell r="CM6910" t="str">
            <v xml:space="preserve">NFT-/XUTR/DEUTH02434865905X </v>
          </cell>
          <cell r="CN6910" t="str">
            <v>2024-12-13</v>
          </cell>
          <cell r="CO6910">
            <v>1708.2080000000001</v>
          </cell>
        </row>
        <row r="6911">
          <cell r="CJ6911" t="str">
            <v xml:space="preserve">NFT-/XUTR/DEUTH02434856407X </v>
          </cell>
          <cell r="CK6911" t="str">
            <v>2024-12-13</v>
          </cell>
          <cell r="CL6911">
            <v>39219.497000000003</v>
          </cell>
          <cell r="CM6911" t="str">
            <v xml:space="preserve">NFT-/XUTR/DEUTH02434865905X </v>
          </cell>
          <cell r="CN6911" t="str">
            <v>2024-12-13</v>
          </cell>
          <cell r="CO6911">
            <v>1992.5909999999999</v>
          </cell>
        </row>
        <row r="6912">
          <cell r="CJ6912" t="str">
            <v xml:space="preserve">NFT-/XUTR/DEUTH02434856407X </v>
          </cell>
          <cell r="CK6912" t="str">
            <v>2024-12-13</v>
          </cell>
          <cell r="CL6912">
            <v>40186.519999999997</v>
          </cell>
          <cell r="CM6912" t="str">
            <v xml:space="preserve">NFT-/XUTR/DEUTH02434865905X </v>
          </cell>
          <cell r="CN6912" t="str">
            <v>2024-12-13</v>
          </cell>
          <cell r="CO6912">
            <v>2135.2649999999999</v>
          </cell>
        </row>
        <row r="6913">
          <cell r="CJ6913" t="str">
            <v xml:space="preserve">NFT-/XUTR/DEUTH02434856407X </v>
          </cell>
          <cell r="CK6913" t="str">
            <v>2024-12-13</v>
          </cell>
          <cell r="CL6913">
            <v>8445.4779999999992</v>
          </cell>
          <cell r="CM6913" t="str">
            <v xml:space="preserve">NFT-/XUTR/DEUTH02435578930X </v>
          </cell>
          <cell r="CN6913" t="str">
            <v>2024-12-20</v>
          </cell>
          <cell r="CO6913">
            <v>-8445.4779999999992</v>
          </cell>
        </row>
        <row r="6914">
          <cell r="CJ6914" t="str">
            <v xml:space="preserve">NFT-/XUTR/DEUTH02434856407X </v>
          </cell>
          <cell r="CK6914" t="str">
            <v>2024-12-13</v>
          </cell>
          <cell r="CL6914">
            <v>38882.699000000001</v>
          </cell>
          <cell r="CM6914" t="str">
            <v xml:space="preserve">NFT-/XUTR/DEUTH02434865905X </v>
          </cell>
          <cell r="CN6914" t="str">
            <v>2024-12-13</v>
          </cell>
          <cell r="CO6914">
            <v>2911.7240000000002</v>
          </cell>
        </row>
        <row r="6915">
          <cell r="CJ6915" t="str">
            <v xml:space="preserve">NFT-/XUTR/DEUTH02434856407X </v>
          </cell>
          <cell r="CK6915" t="str">
            <v>2024-12-13</v>
          </cell>
          <cell r="CL6915">
            <v>38901.578999999998</v>
          </cell>
          <cell r="CM6915" t="str">
            <v xml:space="preserve">NFT-/XUTR/DEUTH02434865905X </v>
          </cell>
          <cell r="CN6915" t="str">
            <v>2024-12-13</v>
          </cell>
          <cell r="CO6915">
            <v>2911.7240000000002</v>
          </cell>
        </row>
        <row r="6916">
          <cell r="CJ6916" t="str">
            <v xml:space="preserve">NFT-/XUTR/DEUTH02434856407X </v>
          </cell>
          <cell r="CK6916" t="str">
            <v>2024-12-13</v>
          </cell>
          <cell r="CL6916">
            <v>38901.578999999998</v>
          </cell>
          <cell r="CM6916" t="str">
            <v xml:space="preserve">NFT-/XUTR/DEUTH02434865905X </v>
          </cell>
          <cell r="CN6916" t="str">
            <v>2024-12-13</v>
          </cell>
          <cell r="CO6916">
            <v>2911.7240000000002</v>
          </cell>
        </row>
        <row r="6917">
          <cell r="CJ6917" t="str">
            <v xml:space="preserve">NFT-/XUTR/DEUTH02434856407X </v>
          </cell>
          <cell r="CK6917" t="str">
            <v>2024-12-13</v>
          </cell>
          <cell r="CL6917">
            <v>8018.42</v>
          </cell>
          <cell r="CM6917" t="str">
            <v xml:space="preserve">NFT-/XUTR/DEUTH02434865905X </v>
          </cell>
          <cell r="CN6917" t="str">
            <v>2024-12-13</v>
          </cell>
          <cell r="CO6917">
            <v>427.05700000000002</v>
          </cell>
        </row>
        <row r="6918">
          <cell r="CJ6918" t="str">
            <v xml:space="preserve">NFT-/XUTR/DEUTH02434856407X </v>
          </cell>
          <cell r="CK6918" t="str">
            <v>2024-12-13</v>
          </cell>
          <cell r="CL6918">
            <v>38338.646999999997</v>
          </cell>
          <cell r="CM6918" t="str">
            <v xml:space="preserve">NFT-/XUTR/DEUTH02434865905X </v>
          </cell>
          <cell r="CN6918" t="str">
            <v>2024-12-13</v>
          </cell>
          <cell r="CO6918">
            <v>2892.3110000000001</v>
          </cell>
        </row>
        <row r="6919">
          <cell r="CJ6919" t="str">
            <v xml:space="preserve">NFT-/XUTR/DEUTH02434856407X </v>
          </cell>
          <cell r="CK6919" t="str">
            <v>2024-12-13</v>
          </cell>
          <cell r="CL6919">
            <v>15929.58</v>
          </cell>
          <cell r="CM6919" t="str">
            <v xml:space="preserve">NFT-/XUTR/DEUTH02434865905X </v>
          </cell>
          <cell r="CN6919" t="str">
            <v>2024-12-13</v>
          </cell>
          <cell r="CO6919">
            <v>843.428</v>
          </cell>
        </row>
        <row r="6921">
          <cell r="CJ6921" t="str">
            <v xml:space="preserve">NFT-/XUTR/DEUTH02434856407X </v>
          </cell>
          <cell r="CK6921" t="str">
            <v>2024-12-13</v>
          </cell>
          <cell r="CL6921">
            <v>39165.574000000001</v>
          </cell>
          <cell r="CM6921" t="str">
            <v xml:space="preserve">NFT-/XUTR/DEUTH02434865905X </v>
          </cell>
          <cell r="CN6921" t="str">
            <v>2024-12-13</v>
          </cell>
          <cell r="CO6921">
            <v>2065.384</v>
          </cell>
        </row>
        <row r="6922">
          <cell r="CJ6922" t="str">
            <v xml:space="preserve">NFT-/XUTR/DEUTH02434856407X </v>
          </cell>
          <cell r="CK6922" t="str">
            <v>2024-12-13</v>
          </cell>
          <cell r="CL6922">
            <v>16055.73</v>
          </cell>
          <cell r="CM6922" t="str">
            <v xml:space="preserve">NFT-/XUTR/DEUTH02434865905X </v>
          </cell>
          <cell r="CN6922" t="str">
            <v>2024-12-13</v>
          </cell>
          <cell r="CO6922">
            <v>854.10400000000004</v>
          </cell>
        </row>
        <row r="6923">
          <cell r="CJ6923" t="str">
            <v xml:space="preserve">NFT-/XUTR/DEUTH02434856407X </v>
          </cell>
          <cell r="CK6923" t="str">
            <v>2024-12-13</v>
          </cell>
          <cell r="CL6923">
            <v>8037.3010000000004</v>
          </cell>
          <cell r="CM6923" t="str">
            <v xml:space="preserve">NFT-/XUTR/DEUTH02434865905X </v>
          </cell>
          <cell r="CN6923" t="str">
            <v>2024-12-13</v>
          </cell>
          <cell r="CO6923">
            <v>427.05700000000002</v>
          </cell>
        </row>
        <row r="6924">
          <cell r="CJ6924" t="str">
            <v xml:space="preserve">NFT-/XUTR/DEUTH02434856407X </v>
          </cell>
          <cell r="CK6924" t="str">
            <v>2024-12-13</v>
          </cell>
          <cell r="CL6924">
            <v>39699.923000000003</v>
          </cell>
          <cell r="CM6924" t="str">
            <v xml:space="preserve">NFT-/XUTR/DEUTH02434865905X </v>
          </cell>
          <cell r="CN6924" t="str">
            <v>2024-12-13</v>
          </cell>
          <cell r="CO6924">
            <v>2094.4989999999998</v>
          </cell>
        </row>
        <row r="6926">
          <cell r="CJ6926" t="str">
            <v xml:space="preserve">NFT-/XUTR/DEUTH02434856407X </v>
          </cell>
          <cell r="CK6926" t="str">
            <v>2024-12-13</v>
          </cell>
          <cell r="CL6926">
            <v>8445.4779999999992</v>
          </cell>
        </row>
        <row r="6927">
          <cell r="CJ6927" t="str">
            <v xml:space="preserve">NFT-/XUTR/DEUTH02434856407X </v>
          </cell>
          <cell r="CK6927" t="str">
            <v>2024-12-13</v>
          </cell>
          <cell r="CL6927">
            <v>8037.3</v>
          </cell>
          <cell r="CM6927" t="str">
            <v xml:space="preserve">NFT-/XUTR/DEUTH02434865905X </v>
          </cell>
          <cell r="CN6927" t="str">
            <v>2024-12-13</v>
          </cell>
          <cell r="CO6927">
            <v>427.05700000000002</v>
          </cell>
        </row>
        <row r="6928">
          <cell r="CJ6928" t="str">
            <v xml:space="preserve">NFT-/XUTR/DEUTH02434856407X </v>
          </cell>
          <cell r="CK6928" t="str">
            <v>2024-12-13</v>
          </cell>
          <cell r="CL6928">
            <v>38901.578999999998</v>
          </cell>
          <cell r="CM6928" t="str">
            <v xml:space="preserve">NFT-/XUTR/DEUTH02434865905X </v>
          </cell>
          <cell r="CN6928" t="str">
            <v>2024-12-13</v>
          </cell>
          <cell r="CO6928">
            <v>2911.7240000000002</v>
          </cell>
        </row>
        <row r="6929">
          <cell r="CJ6929" t="str">
            <v xml:space="preserve">NFT-/XUTR/DEUTH02434856407X </v>
          </cell>
          <cell r="CK6929" t="str">
            <v>2024-12-13</v>
          </cell>
          <cell r="CL6929">
            <v>79403.671000000002</v>
          </cell>
          <cell r="CM6929" t="str">
            <v xml:space="preserve">NFT-/XUTR/DEUTH02434865905X </v>
          </cell>
          <cell r="CN6929" t="str">
            <v>2024-12-13</v>
          </cell>
          <cell r="CO6929">
            <v>2911.7240000000002</v>
          </cell>
        </row>
        <row r="6930">
          <cell r="CJ6930" t="str">
            <v xml:space="preserve">NFT-/XUTR/DEUTH02434856407X </v>
          </cell>
          <cell r="CK6930" t="str">
            <v>2024-12-13</v>
          </cell>
          <cell r="CL6930">
            <v>38901.578999999998</v>
          </cell>
          <cell r="CM6930" t="str">
            <v xml:space="preserve">NFT-/XUTR/DEUTH02434865905X </v>
          </cell>
          <cell r="CN6930" t="str">
            <v>2024-12-13</v>
          </cell>
          <cell r="CO6930">
            <v>2911.7240000000002</v>
          </cell>
        </row>
        <row r="6931">
          <cell r="CJ6931" t="str">
            <v xml:space="preserve">NFT-/XUTR/DEUTH02434856407X </v>
          </cell>
          <cell r="CK6931" t="str">
            <v>2024-12-13</v>
          </cell>
          <cell r="CL6931">
            <v>39718.803</v>
          </cell>
          <cell r="CM6931" t="str">
            <v xml:space="preserve">NFT-/XUTR/DEUTH02434865905X </v>
          </cell>
          <cell r="CN6931" t="str">
            <v>2024-12-13</v>
          </cell>
          <cell r="CO6931">
            <v>2094.4989999999998</v>
          </cell>
          <cell r="CP6931" t="str">
            <v xml:space="preserve">NFT-/XUTR/DEUTH02435174150X </v>
          </cell>
          <cell r="CQ6931" t="str">
            <v>2024-12-16</v>
          </cell>
          <cell r="CR6931">
            <v>-39718.803</v>
          </cell>
          <cell r="CS6931" t="str">
            <v xml:space="preserve">NFT-/XUTR/DEUTH02435178615X </v>
          </cell>
          <cell r="CT6931" t="str">
            <v>2024-12-16</v>
          </cell>
          <cell r="CU6931">
            <v>-2094.4989999999998</v>
          </cell>
        </row>
        <row r="6932">
          <cell r="CJ6932" t="str">
            <v xml:space="preserve">NFT-/XUTR/DEUTH02434856407X </v>
          </cell>
          <cell r="CK6932" t="str">
            <v>2024-12-13</v>
          </cell>
          <cell r="CL6932">
            <v>7847.6059999999998</v>
          </cell>
          <cell r="CM6932" t="str">
            <v xml:space="preserve">NFT-/XUTR/DEUTH02434865905X </v>
          </cell>
          <cell r="CN6932" t="str">
            <v>2024-12-13</v>
          </cell>
          <cell r="CO6932">
            <v>597.87199999999996</v>
          </cell>
        </row>
        <row r="6933">
          <cell r="CJ6933" t="str">
            <v xml:space="preserve">NFT-/XUTR/DEUTH02434856407X </v>
          </cell>
          <cell r="CK6933" t="str">
            <v>2024-12-13</v>
          </cell>
          <cell r="CL6933">
            <v>7847.6059999999998</v>
          </cell>
          <cell r="CM6933" t="str">
            <v xml:space="preserve">NFT-/XUTR/DEUTH02434865905X </v>
          </cell>
          <cell r="CN6933" t="str">
            <v>2024-12-13</v>
          </cell>
          <cell r="CO6933">
            <v>597.87199999999996</v>
          </cell>
        </row>
        <row r="6934">
          <cell r="CJ6934" t="str">
            <v xml:space="preserve">NFT-/XUTR/DEUTH02434856407X </v>
          </cell>
          <cell r="CK6934" t="str">
            <v>2024-12-13</v>
          </cell>
          <cell r="CL6934">
            <v>39718.803</v>
          </cell>
          <cell r="CM6934" t="str">
            <v xml:space="preserve">NFT-/XUTR/DEUTH02434865905X </v>
          </cell>
          <cell r="CN6934" t="str">
            <v>2024-12-13</v>
          </cell>
          <cell r="CO6934">
            <v>2094.4989999999998</v>
          </cell>
        </row>
        <row r="6935">
          <cell r="CJ6935" t="str">
            <v xml:space="preserve">NFT-/XUTR/DEUTH02435174150X </v>
          </cell>
          <cell r="CK6935" t="str">
            <v>2024-12-16</v>
          </cell>
          <cell r="CL6935">
            <v>40470.999000000003</v>
          </cell>
          <cell r="CM6935" t="str">
            <v xml:space="preserve">NFT-/XUTR/DEUTH02435178615X </v>
          </cell>
          <cell r="CN6935" t="str">
            <v>2024-12-16</v>
          </cell>
          <cell r="CO6935">
            <v>1254.9480000000001</v>
          </cell>
        </row>
        <row r="6936">
          <cell r="CJ6936" t="str">
            <v xml:space="preserve">NFT-/XUTR/DEUTH02435174150X </v>
          </cell>
          <cell r="CK6936" t="str">
            <v>2024-12-16</v>
          </cell>
          <cell r="CL6936">
            <v>7210.375</v>
          </cell>
          <cell r="CM6936" t="str">
            <v xml:space="preserve">NFT-/XUTR/DEUTH02435178615X </v>
          </cell>
          <cell r="CN6936" t="str">
            <v>2024-12-16</v>
          </cell>
          <cell r="CO6936">
            <v>1244.2719999999999</v>
          </cell>
        </row>
        <row r="6937">
          <cell r="CJ6937" t="str">
            <v xml:space="preserve">NFT-/XUTR/DEUTH02435174150X </v>
          </cell>
          <cell r="CK6937" t="str">
            <v>2024-12-16</v>
          </cell>
          <cell r="CL6937">
            <v>7345.2849999999999</v>
          </cell>
          <cell r="CM6937" t="str">
            <v xml:space="preserve">NFT-/XUTR/DEUTH02435178615X </v>
          </cell>
          <cell r="CN6937" t="str">
            <v>2024-12-16</v>
          </cell>
          <cell r="CO6937">
            <v>1109.3720000000001</v>
          </cell>
        </row>
        <row r="6938">
          <cell r="CJ6938" t="str">
            <v xml:space="preserve">NFT-/XUTR/DEUTH02435174150X </v>
          </cell>
          <cell r="CK6938" t="str">
            <v>2024-12-16</v>
          </cell>
          <cell r="CL6938">
            <v>7557.8389999999999</v>
          </cell>
          <cell r="CM6938" t="str">
            <v xml:space="preserve">NFT-/XUTR/DEUTH02435178615X </v>
          </cell>
          <cell r="CN6938" t="str">
            <v>2024-12-16</v>
          </cell>
          <cell r="CO6938">
            <v>896.80600000000004</v>
          </cell>
          <cell r="CP6938" t="str">
            <v xml:space="preserve">NFT-/XUTR/DEUTH02435367773X </v>
          </cell>
          <cell r="CQ6938" t="str">
            <v>2024-12-18</v>
          </cell>
          <cell r="CR6938">
            <v>-7557.8389999999999</v>
          </cell>
          <cell r="CS6938" t="str">
            <v xml:space="preserve">NFT-/XUTR/DEUTH02435368219X </v>
          </cell>
          <cell r="CT6938" t="str">
            <v>2024-12-18</v>
          </cell>
          <cell r="CU6938">
            <v>-896.80600000000004</v>
          </cell>
        </row>
        <row r="6939">
          <cell r="CJ6939" t="str">
            <v xml:space="preserve">NFT-/XUTR/DEUTH02435174150X </v>
          </cell>
          <cell r="CK6939" t="str">
            <v>2024-12-16</v>
          </cell>
          <cell r="CL6939">
            <v>38702.883999999998</v>
          </cell>
          <cell r="CM6939" t="str">
            <v xml:space="preserve">NFT-/XUTR/DEUTH02435178615X </v>
          </cell>
          <cell r="CN6939" t="str">
            <v>2024-12-16</v>
          </cell>
          <cell r="CO6939">
            <v>3013.6329999999998</v>
          </cell>
        </row>
        <row r="6940">
          <cell r="CJ6940" t="str">
            <v xml:space="preserve">NFT-/XUTR/DEUTH02435174150X </v>
          </cell>
          <cell r="CK6940" t="str">
            <v>2024-12-16</v>
          </cell>
          <cell r="CL6940">
            <v>15695.402</v>
          </cell>
          <cell r="CM6940" t="str">
            <v xml:space="preserve">NFT-/XUTR/DEUTH02435178615X </v>
          </cell>
          <cell r="CN6940" t="str">
            <v>2024-12-16</v>
          </cell>
          <cell r="CO6940">
            <v>1057.931</v>
          </cell>
        </row>
        <row r="6941">
          <cell r="CJ6941" t="str">
            <v xml:space="preserve">NFT-/XUTR/DEUTH02435174150X </v>
          </cell>
          <cell r="CK6941" t="str">
            <v>2024-12-16</v>
          </cell>
          <cell r="CL6941">
            <v>15267.652</v>
          </cell>
          <cell r="CM6941" t="str">
            <v xml:space="preserve">NFT-/XUTR/DEUTH02435178615X </v>
          </cell>
          <cell r="CN6941" t="str">
            <v>2024-12-16</v>
          </cell>
          <cell r="CO6941">
            <v>1476.24</v>
          </cell>
        </row>
        <row r="6942">
          <cell r="CJ6942" t="str">
            <v xml:space="preserve">NFT-/XUTR/DEUTH02435174150X </v>
          </cell>
          <cell r="CK6942" t="str">
            <v>2024-12-16</v>
          </cell>
          <cell r="CL6942">
            <v>39635.334000000003</v>
          </cell>
          <cell r="CM6942" t="str">
            <v xml:space="preserve">NFT-/XUTR/DEUTH02435178615X </v>
          </cell>
          <cell r="CN6942" t="str">
            <v>2024-12-16</v>
          </cell>
          <cell r="CO6942">
            <v>2090.623</v>
          </cell>
        </row>
        <row r="6943">
          <cell r="CJ6943" t="str">
            <v xml:space="preserve">NFT-/XUTR/DEUTH02435174150X </v>
          </cell>
          <cell r="CK6943" t="str">
            <v>2024-12-16</v>
          </cell>
          <cell r="CL6943">
            <v>7345.2849999999999</v>
          </cell>
          <cell r="CM6943" t="str">
            <v xml:space="preserve">NFT-/XUTR/DEUTH02435178615X </v>
          </cell>
          <cell r="CN6943" t="str">
            <v>2024-12-16</v>
          </cell>
          <cell r="CO6943">
            <v>1109.3720000000001</v>
          </cell>
        </row>
        <row r="6944">
          <cell r="CJ6944" t="str">
            <v xml:space="preserve">NFT-/XUTR/DEUTH02435174150X </v>
          </cell>
          <cell r="CK6944" t="str">
            <v>2024-12-16</v>
          </cell>
          <cell r="CL6944">
            <v>7264.7280000000001</v>
          </cell>
          <cell r="CM6944" t="str">
            <v xml:space="preserve">NFT-/XUTR/DEUTH02435178615X </v>
          </cell>
          <cell r="CN6944" t="str">
            <v>2024-12-16</v>
          </cell>
          <cell r="CO6944">
            <v>1170.5150000000001</v>
          </cell>
        </row>
        <row r="6947">
          <cell r="CJ6947" t="str">
            <v xml:space="preserve">NFT-/XUTR/DEUTH02435174150X </v>
          </cell>
          <cell r="CK6947" t="str">
            <v>2024-12-16</v>
          </cell>
          <cell r="CL6947">
            <v>7345.2849999999999</v>
          </cell>
          <cell r="CM6947" t="str">
            <v xml:space="preserve">NFT-/XUTR/DEUTH02435178615X </v>
          </cell>
          <cell r="CN6947" t="str">
            <v>2024-12-16</v>
          </cell>
          <cell r="CO6947">
            <v>1109.3720000000001</v>
          </cell>
        </row>
        <row r="6948">
          <cell r="CJ6948" t="str">
            <v xml:space="preserve">NFT-/XUTR/DEUTH02435174150X </v>
          </cell>
          <cell r="CK6948" t="str">
            <v>2024-12-16</v>
          </cell>
          <cell r="CL6948">
            <v>79287.199999999997</v>
          </cell>
          <cell r="CM6948" t="str">
            <v xml:space="preserve">NFT-/XUTR/DEUTH02435178615X </v>
          </cell>
          <cell r="CN6948" t="str">
            <v>2024-12-16</v>
          </cell>
          <cell r="CO6948">
            <v>2911.7240000000002</v>
          </cell>
        </row>
        <row r="6949">
          <cell r="CJ6949" t="str">
            <v xml:space="preserve">NFT-/XUTR/DEUTH02435174150X </v>
          </cell>
          <cell r="CK6949" t="str">
            <v>2024-12-16</v>
          </cell>
          <cell r="CL6949">
            <v>7326.4049999999997</v>
          </cell>
          <cell r="CM6949" t="str">
            <v xml:space="preserve">NFT-/XUTR/DEUTH02435178615X </v>
          </cell>
          <cell r="CN6949" t="str">
            <v>2024-12-16</v>
          </cell>
          <cell r="CO6949">
            <v>1109.3720000000001</v>
          </cell>
        </row>
        <row r="6950">
          <cell r="CJ6950" t="str">
            <v xml:space="preserve">NFT-/XUTR/DEUTH02435174150X </v>
          </cell>
          <cell r="CK6950" t="str">
            <v>2024-12-16</v>
          </cell>
          <cell r="CL6950">
            <v>15286.531999999999</v>
          </cell>
          <cell r="CM6950" t="str">
            <v xml:space="preserve">NFT-/XUTR/DEUTH02435178615X </v>
          </cell>
          <cell r="CN6950" t="str">
            <v>2024-12-16</v>
          </cell>
          <cell r="CO6950">
            <v>1476.24</v>
          </cell>
        </row>
        <row r="6953">
          <cell r="CJ6953" t="str">
            <v xml:space="preserve">NFT-/XUTR/DEUTH02435174150X </v>
          </cell>
          <cell r="CK6953" t="str">
            <v>2024-12-16</v>
          </cell>
          <cell r="CL6953">
            <v>39635.334999999999</v>
          </cell>
          <cell r="CM6953" t="str">
            <v xml:space="preserve">NFT-/XUTR/DEUTH02435178615X </v>
          </cell>
          <cell r="CN6953" t="str">
            <v>2024-12-16</v>
          </cell>
          <cell r="CO6953">
            <v>2090.623</v>
          </cell>
        </row>
        <row r="6954">
          <cell r="CJ6954" t="str">
            <v xml:space="preserve">NFT-/XUTR/DEUTH02435174150X </v>
          </cell>
          <cell r="CK6954" t="str">
            <v>2024-12-16</v>
          </cell>
          <cell r="CL6954">
            <v>39635.334999999999</v>
          </cell>
          <cell r="CM6954" t="str">
            <v xml:space="preserve">NFT-/XUTR/DEUTH02435178615X </v>
          </cell>
          <cell r="CN6954" t="str">
            <v>2024-12-16</v>
          </cell>
          <cell r="CO6954">
            <v>2090.623</v>
          </cell>
        </row>
        <row r="6955">
          <cell r="CJ6955" t="str">
            <v xml:space="preserve">NFT-/XUTR/DEUTH02435174150X </v>
          </cell>
          <cell r="CK6955" t="str">
            <v>2024-12-16</v>
          </cell>
          <cell r="CL6955">
            <v>7305.0519999999997</v>
          </cell>
          <cell r="CM6955" t="str">
            <v xml:space="preserve">NFT-/XUTR/DEUTH02435178615X </v>
          </cell>
          <cell r="CN6955" t="str">
            <v>2024-12-16</v>
          </cell>
          <cell r="CO6955">
            <v>1130.7249999999999</v>
          </cell>
        </row>
        <row r="6956">
          <cell r="CJ6956" t="str">
            <v xml:space="preserve">NFT-/XUTR/DEUTH02435174150X </v>
          </cell>
          <cell r="CK6956" t="str">
            <v>2024-12-16</v>
          </cell>
          <cell r="CL6956">
            <v>7601.5159999999996</v>
          </cell>
          <cell r="CM6956" t="str">
            <v xml:space="preserve">NFT-/XUTR/DEUTH02435178615X </v>
          </cell>
          <cell r="CN6956" t="str">
            <v>2024-12-16</v>
          </cell>
          <cell r="CO6956">
            <v>853.14</v>
          </cell>
        </row>
        <row r="6957">
          <cell r="CJ6957" t="str">
            <v xml:space="preserve">NFT-/XUTR/DEUTH02435174150X </v>
          </cell>
          <cell r="CK6957" t="str">
            <v>2024-12-16</v>
          </cell>
          <cell r="CL6957">
            <v>39543.127999999997</v>
          </cell>
          <cell r="CM6957" t="str">
            <v xml:space="preserve">NFT-/XUTR/DEUTH02435178615X </v>
          </cell>
          <cell r="CN6957" t="str">
            <v>2024-12-16</v>
          </cell>
          <cell r="CO6957">
            <v>2182.819</v>
          </cell>
        </row>
        <row r="6958">
          <cell r="CJ6958" t="str">
            <v xml:space="preserve">NFT-/XUTR/DEUTH02435174150X </v>
          </cell>
          <cell r="CK6958" t="str">
            <v>2024-12-16</v>
          </cell>
          <cell r="CL6958">
            <v>7245.848</v>
          </cell>
          <cell r="CM6958" t="str">
            <v xml:space="preserve">NFT-/XUTR/DEUTH02435178615X </v>
          </cell>
          <cell r="CN6958" t="str">
            <v>2024-12-16</v>
          </cell>
          <cell r="CO6958">
            <v>1170.5150000000001</v>
          </cell>
        </row>
        <row r="6959">
          <cell r="CJ6959" t="str">
            <v xml:space="preserve">NFT-/XUTR/DEUTH02435174150X </v>
          </cell>
          <cell r="CK6959" t="str">
            <v>2024-12-16</v>
          </cell>
          <cell r="CL6959">
            <v>7345.2849999999999</v>
          </cell>
          <cell r="CM6959" t="str">
            <v xml:space="preserve">NFT-/XUTR/DEUTH02435178615X </v>
          </cell>
          <cell r="CN6959" t="str">
            <v>2024-12-16</v>
          </cell>
          <cell r="CO6959">
            <v>1109.3720000000001</v>
          </cell>
        </row>
        <row r="6960">
          <cell r="CJ6960" t="str">
            <v xml:space="preserve">NFT-/XUTR/DEUTH02435174150X </v>
          </cell>
          <cell r="CK6960" t="str">
            <v>2024-12-16</v>
          </cell>
          <cell r="CL6960">
            <v>7601.5159999999996</v>
          </cell>
          <cell r="CM6960" t="str">
            <v xml:space="preserve">NFT-/XUTR/DEUTH02435178615X </v>
          </cell>
          <cell r="CN6960" t="str">
            <v>2024-12-16</v>
          </cell>
          <cell r="CO6960">
            <v>853.14</v>
          </cell>
        </row>
        <row r="6961">
          <cell r="CJ6961" t="str">
            <v xml:space="preserve">NFT-/XUTR/DEUTH02435174150X </v>
          </cell>
          <cell r="CK6961" t="str">
            <v>2024-12-16</v>
          </cell>
          <cell r="CL6961">
            <v>79486.698999999993</v>
          </cell>
          <cell r="CM6961" t="str">
            <v xml:space="preserve">NFT-/XUTR/DEUTH02435178615X </v>
          </cell>
          <cell r="CN6961" t="str">
            <v>2024-12-16</v>
          </cell>
          <cell r="CO6961">
            <v>2460.4029999999998</v>
          </cell>
        </row>
        <row r="6962">
          <cell r="CJ6962" t="str">
            <v xml:space="preserve">NFT-/XUTR/DEUTH02435174150X </v>
          </cell>
          <cell r="CK6962" t="str">
            <v>2024-12-16</v>
          </cell>
          <cell r="CL6962">
            <v>82140.683000000005</v>
          </cell>
        </row>
        <row r="6963">
          <cell r="CJ6963" t="str">
            <v xml:space="preserve">NFT-/XUTR/DEUTH02435174150X </v>
          </cell>
          <cell r="CK6963" t="str">
            <v>2024-12-16</v>
          </cell>
          <cell r="CL6963">
            <v>41707.076000000001</v>
          </cell>
        </row>
        <row r="6964">
          <cell r="CJ6964" t="str">
            <v xml:space="preserve">NFT-/XUTR/DEUTH02435174150X </v>
          </cell>
          <cell r="CK6964" t="str">
            <v>2024-12-16</v>
          </cell>
          <cell r="CL6964">
            <v>79673.490999999995</v>
          </cell>
          <cell r="CM6964" t="str">
            <v xml:space="preserve">NFT-/XUTR/DEUTH02435178615X </v>
          </cell>
          <cell r="CN6964" t="str">
            <v>2024-12-16</v>
          </cell>
          <cell r="CO6964">
            <v>2467.2020000000002</v>
          </cell>
        </row>
        <row r="6965">
          <cell r="CJ6965" t="str">
            <v xml:space="preserve">NFT-/XUTR/DEUTH02435174150X </v>
          </cell>
          <cell r="CK6965" t="str">
            <v>2024-12-16</v>
          </cell>
          <cell r="CL6965">
            <v>1447.104</v>
          </cell>
        </row>
        <row r="6966">
          <cell r="CJ6966" t="str">
            <v xml:space="preserve">NFT-/XUTR/DEUTH02435174150X </v>
          </cell>
          <cell r="CK6966" t="str">
            <v>2024-12-16</v>
          </cell>
          <cell r="CL6966">
            <v>7345.2849999999999</v>
          </cell>
          <cell r="CM6966" t="str">
            <v xml:space="preserve">NFT-/XUTR/DEUTH02435178615X </v>
          </cell>
          <cell r="CN6966" t="str">
            <v>2024-12-16</v>
          </cell>
          <cell r="CO6966">
            <v>1109.3720000000001</v>
          </cell>
        </row>
        <row r="6967">
          <cell r="CJ6967" t="str">
            <v xml:space="preserve">NFT-/XUTR/DEUTH02435174150X </v>
          </cell>
          <cell r="CK6967" t="str">
            <v>2024-12-16</v>
          </cell>
          <cell r="CL6967">
            <v>7535.5119999999997</v>
          </cell>
          <cell r="CM6967" t="str">
            <v xml:space="preserve">NFT-/XUTR/DEUTH02435178615X </v>
          </cell>
          <cell r="CN6967" t="str">
            <v>2024-12-16</v>
          </cell>
          <cell r="CO6967">
            <v>919.13300000000004</v>
          </cell>
        </row>
        <row r="6968">
          <cell r="CJ6968" t="str">
            <v xml:space="preserve">NFT-/XUTR/DEUTH02435174150X </v>
          </cell>
          <cell r="CK6968" t="str">
            <v>2024-12-16</v>
          </cell>
          <cell r="CL6968">
            <v>39635.334999999999</v>
          </cell>
          <cell r="CM6968" t="str">
            <v xml:space="preserve">NFT-/XUTR/DEUTH02435178615X </v>
          </cell>
          <cell r="CN6968" t="str">
            <v>2024-12-16</v>
          </cell>
          <cell r="CO6968">
            <v>2090.623</v>
          </cell>
        </row>
        <row r="6969">
          <cell r="CJ6969" t="str">
            <v xml:space="preserve">NFT-/XUTR/DEUTH02435174150X </v>
          </cell>
          <cell r="CK6969" t="str">
            <v>2024-12-16</v>
          </cell>
          <cell r="CL6969">
            <v>39354.838000000003</v>
          </cell>
          <cell r="CM6969" t="str">
            <v xml:space="preserve">NFT-/XUTR/DEUTH02435178615X </v>
          </cell>
          <cell r="CN6969" t="str">
            <v>2024-12-16</v>
          </cell>
          <cell r="CO6969">
            <v>2371.1190000000001</v>
          </cell>
        </row>
        <row r="6970">
          <cell r="CJ6970" t="str">
            <v xml:space="preserve">NFT-/XUTR/DEUTH02435174150X </v>
          </cell>
          <cell r="CK6970" t="str">
            <v>2024-12-16</v>
          </cell>
          <cell r="CL6970">
            <v>7557.8389999999999</v>
          </cell>
          <cell r="CM6970" t="str">
            <v xml:space="preserve">NFT-/XUTR/DEUTH02435178615X </v>
          </cell>
          <cell r="CN6970" t="str">
            <v>2024-12-16</v>
          </cell>
          <cell r="CO6970">
            <v>896.80600000000004</v>
          </cell>
        </row>
        <row r="6971">
          <cell r="CJ6971" t="str">
            <v xml:space="preserve">NFT-/XUTR/DEUTH02435174150X </v>
          </cell>
          <cell r="CK6971" t="str">
            <v>2024-12-16</v>
          </cell>
          <cell r="CL6971">
            <v>8008.7190000000001</v>
          </cell>
          <cell r="CM6971" t="str">
            <v xml:space="preserve">NFT-/XUTR/DEUTH02435178615X </v>
          </cell>
          <cell r="CN6971" t="str">
            <v>2024-12-16</v>
          </cell>
          <cell r="CO6971">
            <v>427.05700000000002</v>
          </cell>
        </row>
        <row r="6972">
          <cell r="CJ6972" t="str">
            <v xml:space="preserve">NFT-/XUTR/DEUTH02435174150X </v>
          </cell>
          <cell r="CK6972" t="str">
            <v>2024-12-16</v>
          </cell>
          <cell r="CL6972">
            <v>6981.3190000000004</v>
          </cell>
          <cell r="CM6972" t="str">
            <v xml:space="preserve">NFT-/XUTR/DEUTH02435178615X </v>
          </cell>
          <cell r="CN6972" t="str">
            <v>2024-12-16</v>
          </cell>
          <cell r="CO6972">
            <v>1473.328</v>
          </cell>
        </row>
        <row r="6973">
          <cell r="CJ6973" t="str">
            <v xml:space="preserve">NFT-/XUTR/DEUTH02435174150X </v>
          </cell>
          <cell r="CK6973" t="str">
            <v>2024-12-16</v>
          </cell>
          <cell r="CL6973">
            <v>8435.7759999999998</v>
          </cell>
        </row>
        <row r="6974">
          <cell r="CJ6974" t="str">
            <v xml:space="preserve">NFT-/XUTR/DEUTH02435174150X </v>
          </cell>
          <cell r="CK6974" t="str">
            <v>2024-12-16</v>
          </cell>
          <cell r="CL6974">
            <v>7345.2849999999999</v>
          </cell>
          <cell r="CM6974" t="str">
            <v xml:space="preserve">NFT-/XUTR/DEUTH02435178615X </v>
          </cell>
          <cell r="CN6974" t="str">
            <v>2024-12-16</v>
          </cell>
          <cell r="CO6974">
            <v>1109.3720000000001</v>
          </cell>
        </row>
        <row r="6975">
          <cell r="CJ6975" t="str">
            <v xml:space="preserve">NFT-/XUTR/DEUTH02435174150X </v>
          </cell>
          <cell r="CK6975" t="str">
            <v>2024-12-16</v>
          </cell>
          <cell r="CL6975">
            <v>7326.4049999999997</v>
          </cell>
          <cell r="CM6975" t="str">
            <v xml:space="preserve">NFT-/XUTR/DEUTH02435178615X </v>
          </cell>
          <cell r="CN6975" t="str">
            <v>2024-12-16</v>
          </cell>
          <cell r="CO6975">
            <v>1109.3720000000001</v>
          </cell>
        </row>
        <row r="6976">
          <cell r="CJ6976" t="str">
            <v xml:space="preserve">NFT-/XUTR/DEUTH02435174150X </v>
          </cell>
          <cell r="CK6976" t="str">
            <v>2024-12-16</v>
          </cell>
          <cell r="CL6976">
            <v>7990.28</v>
          </cell>
          <cell r="CM6976" t="str">
            <v xml:space="preserve">NFT-/XUTR/DEUTH02435178615X </v>
          </cell>
          <cell r="CN6976" t="str">
            <v>2024-12-16</v>
          </cell>
          <cell r="CO6976">
            <v>426.08300000000003</v>
          </cell>
        </row>
        <row r="6977">
          <cell r="CJ6977" t="str">
            <v xml:space="preserve">NFT-/XUTR/DEUTH02435174150X </v>
          </cell>
          <cell r="CK6977" t="str">
            <v>2024-12-16</v>
          </cell>
          <cell r="CL6977">
            <v>38430.853000000003</v>
          </cell>
          <cell r="CM6977" t="str">
            <v xml:space="preserve">NFT-/XUTR/DEUTH02435178615X </v>
          </cell>
          <cell r="CN6977" t="str">
            <v>2024-12-16</v>
          </cell>
          <cell r="CO6977">
            <v>3207.7469999999998</v>
          </cell>
        </row>
        <row r="6978">
          <cell r="CJ6978" t="str">
            <v xml:space="preserve">NFT-/XUTR/DEUTH02435174150X </v>
          </cell>
          <cell r="CK6978" t="str">
            <v>2024-12-16</v>
          </cell>
          <cell r="CL6978">
            <v>63758.536999999997</v>
          </cell>
          <cell r="CM6978" t="str">
            <v xml:space="preserve">NFT-/XUTR/DEUTH02435178615X </v>
          </cell>
          <cell r="CN6978" t="str">
            <v>2024-12-16</v>
          </cell>
          <cell r="CO6978">
            <v>2911.7240000000002</v>
          </cell>
        </row>
        <row r="6979">
          <cell r="CJ6979" t="str">
            <v xml:space="preserve">NFT-/XUTR/DEUTH02435174150X </v>
          </cell>
          <cell r="CK6979" t="str">
            <v>2024-12-16</v>
          </cell>
          <cell r="CL6979">
            <v>10774.857</v>
          </cell>
          <cell r="CM6979" t="str">
            <v xml:space="preserve">NFT-/XUTR/DEUTH02435178615X </v>
          </cell>
          <cell r="CN6979" t="str">
            <v>2024-12-16</v>
          </cell>
          <cell r="CO6979">
            <v>572.64300000000003</v>
          </cell>
        </row>
        <row r="6980">
          <cell r="CJ6980" t="str">
            <v xml:space="preserve">NFT-/XUTR/DEUTH02435174150X </v>
          </cell>
          <cell r="CK6980" t="str">
            <v>2024-12-16</v>
          </cell>
          <cell r="CL6980">
            <v>38659.468000000001</v>
          </cell>
          <cell r="CM6980" t="str">
            <v xml:space="preserve">NFT-/XUTR/DEUTH02435178615X </v>
          </cell>
          <cell r="CN6980" t="str">
            <v>2024-12-16</v>
          </cell>
          <cell r="CO6980">
            <v>2960.252</v>
          </cell>
        </row>
        <row r="6981">
          <cell r="CJ6981" t="str">
            <v xml:space="preserve">NFT-/XUTR/DEUTH02435174150X </v>
          </cell>
          <cell r="CK6981" t="str">
            <v>2024-12-16</v>
          </cell>
          <cell r="CL6981">
            <v>38702.612999999998</v>
          </cell>
          <cell r="CM6981" t="str">
            <v xml:space="preserve">NFT-/XUTR/DEUTH02435178615X </v>
          </cell>
          <cell r="CN6981" t="str">
            <v>2024-12-16</v>
          </cell>
          <cell r="CO6981">
            <v>2935.9870000000001</v>
          </cell>
        </row>
        <row r="6982">
          <cell r="CJ6982" t="str">
            <v xml:space="preserve">NFT-/XUTR/DEUTH02435174150X </v>
          </cell>
          <cell r="CK6982" t="str">
            <v>2024-12-16</v>
          </cell>
          <cell r="CL6982">
            <v>7839.31</v>
          </cell>
          <cell r="CM6982" t="str">
            <v xml:space="preserve">NFT-/XUTR/DEUTH02435178615X </v>
          </cell>
          <cell r="CN6982" t="str">
            <v>2024-12-16</v>
          </cell>
          <cell r="CO6982">
            <v>595.93299999999999</v>
          </cell>
        </row>
        <row r="6983">
          <cell r="CJ6983" t="str">
            <v xml:space="preserve">NFT-/XUTR/DEUTH02435174150X </v>
          </cell>
          <cell r="CK6983" t="str">
            <v>2024-12-16</v>
          </cell>
          <cell r="CL6983">
            <v>38654.082999999999</v>
          </cell>
          <cell r="CM6983" t="str">
            <v xml:space="preserve">NFT-/XUTR/DEUTH02435178615X </v>
          </cell>
          <cell r="CN6983" t="str">
            <v>2024-12-16</v>
          </cell>
          <cell r="CO6983">
            <v>2984.5169999999998</v>
          </cell>
        </row>
        <row r="6984">
          <cell r="CJ6984" t="str">
            <v xml:space="preserve">NFT-/XUTR/DEUTH02435174150X </v>
          </cell>
          <cell r="CK6984" t="str">
            <v>2024-12-16</v>
          </cell>
          <cell r="CL6984">
            <v>1418.5119999999999</v>
          </cell>
          <cell r="CM6984" t="str">
            <v xml:space="preserve">NFT-/XUTR/DEUTH02435367773X </v>
          </cell>
          <cell r="CN6984" t="str">
            <v>2024-12-18</v>
          </cell>
          <cell r="CO6984">
            <v>-1418.5119999999999</v>
          </cell>
        </row>
        <row r="6985">
          <cell r="CJ6985" t="str">
            <v xml:space="preserve">NFT-/XUTR/DEUTH02435174150X </v>
          </cell>
          <cell r="CK6985" t="str">
            <v>2024-12-16</v>
          </cell>
          <cell r="CL6985">
            <v>38726.875999999997</v>
          </cell>
          <cell r="CM6985" t="str">
            <v xml:space="preserve">NFT-/XUTR/DEUTH02435178615X </v>
          </cell>
          <cell r="CN6985" t="str">
            <v>2024-12-16</v>
          </cell>
          <cell r="CO6985">
            <v>2911.723</v>
          </cell>
        </row>
        <row r="6986">
          <cell r="CJ6986" t="str">
            <v xml:space="preserve">NFT-/XUTR/DEUTH02435174150X </v>
          </cell>
          <cell r="CK6986" t="str">
            <v>2024-12-16</v>
          </cell>
          <cell r="CL6986">
            <v>41638.601000000002</v>
          </cell>
        </row>
        <row r="6987">
          <cell r="CJ6987" t="str">
            <v xml:space="preserve">NFT-/XUTR/DEUTH02435174150X </v>
          </cell>
          <cell r="CK6987" t="str">
            <v>2024-12-16</v>
          </cell>
          <cell r="CL6987">
            <v>7327.8190000000004</v>
          </cell>
          <cell r="CM6987" t="str">
            <v xml:space="preserve">NFT-/XUTR/DEUTH02435178615X </v>
          </cell>
          <cell r="CN6987" t="str">
            <v>2024-12-16</v>
          </cell>
          <cell r="CO6987">
            <v>1107.423</v>
          </cell>
        </row>
        <row r="6988">
          <cell r="CJ6988" t="str">
            <v xml:space="preserve">NFT-/XUTR/DEUTH02435174150X </v>
          </cell>
          <cell r="CK6988" t="str">
            <v>2024-12-16</v>
          </cell>
          <cell r="CL6988">
            <v>38999.61</v>
          </cell>
          <cell r="CM6988" t="str">
            <v xml:space="preserve">NFT-/XUTR/DEUTH02435178615X </v>
          </cell>
          <cell r="CN6988" t="str">
            <v>2024-12-16</v>
          </cell>
          <cell r="CO6988">
            <v>2056.6469999999999</v>
          </cell>
        </row>
        <row r="6989">
          <cell r="CJ6989" t="str">
            <v xml:space="preserve">NFT-/XUTR/DEUTH02435174150X </v>
          </cell>
          <cell r="CK6989" t="str">
            <v>2024-12-16</v>
          </cell>
          <cell r="CL6989">
            <v>38726.875999999997</v>
          </cell>
          <cell r="CM6989" t="str">
            <v xml:space="preserve">NFT-/XUTR/DEUTH02435178615X </v>
          </cell>
          <cell r="CN6989" t="str">
            <v>2024-12-16</v>
          </cell>
          <cell r="CO6989">
            <v>2911.7240000000002</v>
          </cell>
        </row>
        <row r="6990">
          <cell r="CJ6990" t="str">
            <v xml:space="preserve">NFT-/XUTR/DEUTH02435174150X </v>
          </cell>
          <cell r="CK6990" t="str">
            <v>2024-12-16</v>
          </cell>
          <cell r="CL6990">
            <v>16000.404</v>
          </cell>
          <cell r="CM6990" t="str">
            <v xml:space="preserve">NFT-/XUTR/DEUTH02435178615X </v>
          </cell>
          <cell r="CN6990" t="str">
            <v>2024-12-16</v>
          </cell>
          <cell r="CO6990">
            <v>852.16600000000005</v>
          </cell>
        </row>
        <row r="6991">
          <cell r="CJ6991" t="str">
            <v xml:space="preserve">NFT-/XUTR/DEUTH02435174150X </v>
          </cell>
          <cell r="CK6991" t="str">
            <v>2024-12-16</v>
          </cell>
          <cell r="CL6991">
            <v>5565.2479999999996</v>
          </cell>
          <cell r="CM6991" t="str">
            <v xml:space="preserve">NFT-/XUTR/DEUTH02435178615X </v>
          </cell>
          <cell r="CN6991" t="str">
            <v>2024-12-16</v>
          </cell>
          <cell r="CO6991">
            <v>297.97199999999998</v>
          </cell>
        </row>
        <row r="6992">
          <cell r="CJ6992" t="str">
            <v xml:space="preserve">NFT-/XUTR/DEUTH02435174150X </v>
          </cell>
          <cell r="CK6992" t="str">
            <v>2024-12-16</v>
          </cell>
          <cell r="CL6992">
            <v>2496.297</v>
          </cell>
          <cell r="CM6992" t="str">
            <v xml:space="preserve">NFT-/XUTR/DEUTH02435178615X </v>
          </cell>
          <cell r="CN6992" t="str">
            <v>2024-12-16</v>
          </cell>
          <cell r="CO6992">
            <v>134.91</v>
          </cell>
        </row>
        <row r="6993">
          <cell r="CJ6993" t="str">
            <v xml:space="preserve">NFT-/XUTR/DEUTH02435174150X </v>
          </cell>
          <cell r="CK6993" t="str">
            <v>2024-12-16</v>
          </cell>
          <cell r="CL6993">
            <v>7308.9390000000003</v>
          </cell>
          <cell r="CM6993" t="str">
            <v xml:space="preserve">NFT-/XUTR/DEUTH02435178615X </v>
          </cell>
          <cell r="CN6993" t="str">
            <v>2024-12-16</v>
          </cell>
          <cell r="CO6993">
            <v>1107.424</v>
          </cell>
        </row>
        <row r="6994">
          <cell r="CJ6994" t="str">
            <v xml:space="preserve">NFT-/XUTR/DEUTH02435174150X </v>
          </cell>
          <cell r="CK6994" t="str">
            <v>2024-12-16</v>
          </cell>
          <cell r="CL6994">
            <v>38726.875999999997</v>
          </cell>
          <cell r="CM6994" t="str">
            <v xml:space="preserve">NFT-/XUTR/DEUTH02435178615X </v>
          </cell>
          <cell r="CN6994" t="str">
            <v>2024-12-16</v>
          </cell>
          <cell r="CO6994">
            <v>2911.7240000000002</v>
          </cell>
        </row>
        <row r="6995">
          <cell r="CJ6995" t="str">
            <v xml:space="preserve">NFT-/XUTR/DEUTH02435174150X </v>
          </cell>
          <cell r="CK6995" t="str">
            <v>2024-12-16</v>
          </cell>
          <cell r="CL6995">
            <v>38707.995999999999</v>
          </cell>
          <cell r="CM6995" t="str">
            <v xml:space="preserve">NFT-/XUTR/DEUTH02435178615X </v>
          </cell>
          <cell r="CN6995" t="str">
            <v>2024-12-16</v>
          </cell>
          <cell r="CO6995">
            <v>2911.7240000000002</v>
          </cell>
        </row>
        <row r="6996">
          <cell r="CJ6996" t="str">
            <v xml:space="preserve">NFT-/XUTR/DEUTH02435174150X </v>
          </cell>
          <cell r="CK6996" t="str">
            <v>2024-12-16</v>
          </cell>
          <cell r="CL6996">
            <v>38999.61</v>
          </cell>
          <cell r="CM6996" t="str">
            <v xml:space="preserve">NFT-/XUTR/DEUTH02435178615X </v>
          </cell>
          <cell r="CN6996" t="str">
            <v>2024-12-16</v>
          </cell>
          <cell r="CO6996">
            <v>2056.6469999999999</v>
          </cell>
        </row>
        <row r="6997">
          <cell r="CJ6997" t="str">
            <v xml:space="preserve">NFT-/XUTR/DEUTH02435174150X </v>
          </cell>
          <cell r="CK6997" t="str">
            <v>2024-12-16</v>
          </cell>
          <cell r="CL6997">
            <v>38726.875999999997</v>
          </cell>
          <cell r="CM6997" t="str">
            <v xml:space="preserve">NFT-/XUTR/DEUTH02435178615X </v>
          </cell>
          <cell r="CN6997" t="str">
            <v>2024-12-16</v>
          </cell>
          <cell r="CO6997">
            <v>2911.723</v>
          </cell>
        </row>
        <row r="6998">
          <cell r="CJ6998" t="str">
            <v xml:space="preserve">NFT-/XUTR/DEUTH02435174150X </v>
          </cell>
          <cell r="CK6998" t="str">
            <v>2024-12-16</v>
          </cell>
          <cell r="CL6998">
            <v>7964.5079999999998</v>
          </cell>
          <cell r="CM6998" t="str">
            <v xml:space="preserve">NFT-/XUTR/DEUTH02435178615X </v>
          </cell>
          <cell r="CN6998" t="str">
            <v>2024-12-16</v>
          </cell>
          <cell r="CO6998">
            <v>470.72500000000002</v>
          </cell>
        </row>
        <row r="6999">
          <cell r="CJ6999" t="str">
            <v xml:space="preserve">NFT-/XUTR/DEUTH02435174150X </v>
          </cell>
          <cell r="CK6999" t="str">
            <v>2024-12-16</v>
          </cell>
          <cell r="CL6999">
            <v>39533.959000000003</v>
          </cell>
          <cell r="CM6999" t="str">
            <v xml:space="preserve">NFT-/XUTR/DEUTH02435178615X </v>
          </cell>
          <cell r="CN6999" t="str">
            <v>2024-12-16</v>
          </cell>
          <cell r="CO6999">
            <v>2085.7620000000002</v>
          </cell>
        </row>
        <row r="7000">
          <cell r="CJ7000" t="str">
            <v xml:space="preserve">NFT-/XUTR/DEUTH02435174150X </v>
          </cell>
          <cell r="CK7000" t="str">
            <v>2024-12-16</v>
          </cell>
          <cell r="CL7000">
            <v>40669</v>
          </cell>
          <cell r="CM7000" t="str">
            <v xml:space="preserve">NFT-/XUTR/DEUTH02435178615X </v>
          </cell>
          <cell r="CN7000" t="str">
            <v>2024-12-16</v>
          </cell>
          <cell r="CO7000">
            <v>969.6</v>
          </cell>
        </row>
        <row r="7001">
          <cell r="CJ7001" t="str">
            <v xml:space="preserve">NFT-/XUTR/DEUTH02435174150X </v>
          </cell>
          <cell r="CK7001" t="str">
            <v>2024-12-16</v>
          </cell>
          <cell r="CL7001">
            <v>38452.205000000002</v>
          </cell>
          <cell r="CM7001" t="str">
            <v xml:space="preserve">NFT-/XUTR/DEUTH02435178615X </v>
          </cell>
          <cell r="CN7001" t="str">
            <v>2024-12-16</v>
          </cell>
          <cell r="CO7001">
            <v>3186.395</v>
          </cell>
        </row>
        <row r="7002">
          <cell r="CJ7002" t="str">
            <v xml:space="preserve">NFT-/XUTR/DEUTH02435174150X </v>
          </cell>
          <cell r="CK7002" t="str">
            <v>2024-12-16</v>
          </cell>
          <cell r="CL7002">
            <v>39464.078999999998</v>
          </cell>
          <cell r="CM7002" t="str">
            <v xml:space="preserve">NFT-/XUTR/DEUTH02435178615X </v>
          </cell>
          <cell r="CN7002" t="str">
            <v>2024-12-16</v>
          </cell>
          <cell r="CO7002">
            <v>2155.643</v>
          </cell>
        </row>
        <row r="7003">
          <cell r="CJ7003" t="str">
            <v xml:space="preserve">NFT-/XUTR/DEUTH02435174150X </v>
          </cell>
          <cell r="CK7003" t="str">
            <v>2024-12-16</v>
          </cell>
          <cell r="CL7003">
            <v>2225.0619999999999</v>
          </cell>
          <cell r="CM7003" t="str">
            <v xml:space="preserve">NFT-/XUTR/DEUTH02435178615X </v>
          </cell>
          <cell r="CN7003" t="str">
            <v>2024-12-16</v>
          </cell>
          <cell r="CO7003">
            <v>251.381</v>
          </cell>
        </row>
        <row r="7004">
          <cell r="CJ7004" t="str">
            <v xml:space="preserve">NFT-/XUTR/DEUTH02435174150X </v>
          </cell>
          <cell r="CK7004" t="str">
            <v>2024-12-16</v>
          </cell>
          <cell r="CL7004">
            <v>1270.9880000000001</v>
          </cell>
          <cell r="CM7004" t="str">
            <v xml:space="preserve">NFT-/XUTR/DEUTH02435178615X </v>
          </cell>
          <cell r="CN7004" t="str">
            <v>2024-12-16</v>
          </cell>
          <cell r="CO7004">
            <v>147.524</v>
          </cell>
        </row>
        <row r="7005">
          <cell r="CJ7005" t="str">
            <v xml:space="preserve">NFT-/XUTR/DEUTH02435174150X </v>
          </cell>
          <cell r="CK7005" t="str">
            <v>2024-12-16</v>
          </cell>
          <cell r="CL7005">
            <v>78981.464999999997</v>
          </cell>
          <cell r="CM7005" t="str">
            <v xml:space="preserve">NFT-/XUTR/DEUTH02435178615X </v>
          </cell>
          <cell r="CN7005" t="str">
            <v>2024-12-16</v>
          </cell>
          <cell r="CO7005">
            <v>2984.5160000000001</v>
          </cell>
        </row>
        <row r="7006">
          <cell r="CJ7006" t="str">
            <v xml:space="preserve">NFT-/XUTR/DEUTH02435174150X </v>
          </cell>
          <cell r="CK7006" t="str">
            <v>2024-12-16</v>
          </cell>
          <cell r="CL7006">
            <v>38726.875999999997</v>
          </cell>
          <cell r="CM7006" t="str">
            <v xml:space="preserve">NFT-/XUTR/DEUTH02435178615X </v>
          </cell>
          <cell r="CN7006" t="str">
            <v>2024-12-16</v>
          </cell>
          <cell r="CO7006">
            <v>2911.7240000000002</v>
          </cell>
        </row>
        <row r="7007">
          <cell r="CJ7007" t="str">
            <v xml:space="preserve">NFT-/XUTR/DEUTH02435174150X </v>
          </cell>
          <cell r="CK7007" t="str">
            <v>2024-12-16</v>
          </cell>
          <cell r="CL7007">
            <v>78760.172999999995</v>
          </cell>
          <cell r="CM7007" t="str">
            <v xml:space="preserve">NFT-/XUTR/DEUTH02435178615X </v>
          </cell>
          <cell r="CN7007" t="str">
            <v>2024-12-16</v>
          </cell>
          <cell r="CO7007">
            <v>3205.8090000000002</v>
          </cell>
        </row>
        <row r="7008">
          <cell r="CJ7008" t="str">
            <v xml:space="preserve">NFT-/XUTR/DEUTH02435174150X </v>
          </cell>
          <cell r="CK7008" t="str">
            <v>2024-12-16</v>
          </cell>
          <cell r="CL7008">
            <v>39331.548000000003</v>
          </cell>
          <cell r="CM7008" t="str">
            <v xml:space="preserve">NFT-/XUTR/DEUTH02435178615X </v>
          </cell>
          <cell r="CN7008" t="str">
            <v>2024-12-16</v>
          </cell>
          <cell r="CO7008">
            <v>2307.0520000000001</v>
          </cell>
        </row>
        <row r="7009">
          <cell r="CJ7009" t="str">
            <v xml:space="preserve">NFT-/XUTR/DEUTH02435174150X </v>
          </cell>
          <cell r="CK7009" t="str">
            <v>2024-12-16</v>
          </cell>
          <cell r="CL7009">
            <v>7288.5519999999997</v>
          </cell>
          <cell r="CM7009" t="str">
            <v xml:space="preserve">NFT-/XUTR/DEUTH02435178615X </v>
          </cell>
          <cell r="CN7009" t="str">
            <v>2024-12-16</v>
          </cell>
          <cell r="CO7009">
            <v>1127.81</v>
          </cell>
        </row>
        <row r="7010">
          <cell r="CJ7010" t="str">
            <v xml:space="preserve">NFT-/XUTR/DEUTH02435174150X </v>
          </cell>
          <cell r="CK7010" t="str">
            <v>2024-12-16</v>
          </cell>
          <cell r="CL7010">
            <v>78899.504000000001</v>
          </cell>
          <cell r="CM7010" t="str">
            <v xml:space="preserve">NFT-/XUTR/DEUTH02435178615X </v>
          </cell>
          <cell r="CN7010" t="str">
            <v>2024-12-16</v>
          </cell>
          <cell r="CO7010">
            <v>3105.8389999999999</v>
          </cell>
        </row>
        <row r="7012">
          <cell r="CJ7012" t="str">
            <v xml:space="preserve">NFT-/XUTR/DEUTH02435174150X </v>
          </cell>
          <cell r="CK7012" t="str">
            <v>2024-12-16</v>
          </cell>
          <cell r="CL7012">
            <v>5250.3440000000001</v>
          </cell>
          <cell r="CM7012" t="str">
            <v xml:space="preserve">NFT-/XUTR/DEUTH02435178615X </v>
          </cell>
          <cell r="CN7012" t="str">
            <v>2024-12-16</v>
          </cell>
          <cell r="CO7012">
            <v>593.995</v>
          </cell>
        </row>
        <row r="7013">
          <cell r="CJ7013" t="str">
            <v xml:space="preserve">NFT-/XUTR/DEUTH02435174150X </v>
          </cell>
          <cell r="CK7013" t="str">
            <v>2024-12-16</v>
          </cell>
          <cell r="CL7013">
            <v>7307.4319999999998</v>
          </cell>
          <cell r="CM7013" t="str">
            <v xml:space="preserve">NFT-/XUTR/DEUTH02435178615X </v>
          </cell>
          <cell r="CN7013" t="str">
            <v>2024-12-16</v>
          </cell>
          <cell r="CO7013">
            <v>1127.8119999999999</v>
          </cell>
        </row>
        <row r="7014">
          <cell r="CJ7014" t="str">
            <v xml:space="preserve">NFT-/XUTR/DEUTH02435174150X </v>
          </cell>
          <cell r="CK7014" t="str">
            <v>2024-12-16</v>
          </cell>
          <cell r="CL7014">
            <v>7752.4880000000003</v>
          </cell>
          <cell r="CM7014" t="str">
            <v xml:space="preserve">NFT-/XUTR/DEUTH02435178615X </v>
          </cell>
          <cell r="CN7014" t="str">
            <v>2024-12-16</v>
          </cell>
          <cell r="CO7014">
            <v>663.87599999999998</v>
          </cell>
        </row>
        <row r="7015">
          <cell r="CJ7015" t="str">
            <v xml:space="preserve">NFT-/XUTR/DEUTH02435174150X </v>
          </cell>
          <cell r="CK7015" t="str">
            <v>2024-12-16</v>
          </cell>
          <cell r="CL7015">
            <v>7839.31</v>
          </cell>
          <cell r="CM7015" t="str">
            <v xml:space="preserve">NFT-/XUTR/DEUTH02435178615X </v>
          </cell>
          <cell r="CN7015" t="str">
            <v>2024-12-16</v>
          </cell>
          <cell r="CO7015">
            <v>595.93299999999999</v>
          </cell>
        </row>
        <row r="7016">
          <cell r="CJ7016" t="str">
            <v xml:space="preserve">NFT-/XUTR/DEUTH02435174150X </v>
          </cell>
          <cell r="CK7016" t="str">
            <v>2024-12-16</v>
          </cell>
          <cell r="CL7016">
            <v>7139.0889999999999</v>
          </cell>
          <cell r="CM7016" t="str">
            <v xml:space="preserve">NFT-/XUTR/DEUTH02435178615X </v>
          </cell>
          <cell r="CN7016" t="str">
            <v>2024-12-16</v>
          </cell>
          <cell r="CO7016">
            <v>1277.2750000000001</v>
          </cell>
        </row>
        <row r="7017">
          <cell r="CJ7017" t="str">
            <v xml:space="preserve">NFT-/XUTR/DEUTH02435174150X </v>
          </cell>
          <cell r="CK7017" t="str">
            <v>2024-12-16</v>
          </cell>
          <cell r="CL7017">
            <v>39533.959000000003</v>
          </cell>
          <cell r="CM7017" t="str">
            <v xml:space="preserve">NFT-/XUTR/DEUTH02435178615X </v>
          </cell>
          <cell r="CN7017" t="str">
            <v>2024-12-16</v>
          </cell>
          <cell r="CO7017">
            <v>2085.7620000000002</v>
          </cell>
        </row>
        <row r="7018">
          <cell r="CJ7018" t="str">
            <v xml:space="preserve">NFT-/XUTR/DEUTH02435174150X </v>
          </cell>
          <cell r="CK7018" t="str">
            <v>2024-12-16</v>
          </cell>
          <cell r="CL7018">
            <v>79112.498000000007</v>
          </cell>
          <cell r="CM7018" t="str">
            <v xml:space="preserve">NFT-/XUTR/DEUTH02435178615X </v>
          </cell>
          <cell r="CN7018" t="str">
            <v>2024-12-16</v>
          </cell>
          <cell r="CO7018">
            <v>2911.7240000000002</v>
          </cell>
        </row>
        <row r="7019">
          <cell r="CJ7019" t="str">
            <v xml:space="preserve">NFT-/XUTR/DEUTH02435174150X </v>
          </cell>
          <cell r="CK7019" t="str">
            <v>2024-12-16</v>
          </cell>
          <cell r="CL7019">
            <v>38707.995999999999</v>
          </cell>
          <cell r="CM7019" t="str">
            <v xml:space="preserve">NFT-/XUTR/DEUTH02435178615X </v>
          </cell>
          <cell r="CN7019" t="str">
            <v>2024-12-16</v>
          </cell>
          <cell r="CO7019">
            <v>2911.7240000000002</v>
          </cell>
        </row>
        <row r="7020">
          <cell r="CJ7020" t="str">
            <v xml:space="preserve">NFT-/XUTR/DEUTH02435174150X </v>
          </cell>
          <cell r="CK7020" t="str">
            <v>2024-12-16</v>
          </cell>
          <cell r="CL7020">
            <v>38726.875999999997</v>
          </cell>
          <cell r="CM7020" t="str">
            <v xml:space="preserve">NFT-/XUTR/DEUTH02435178615X </v>
          </cell>
          <cell r="CN7020" t="str">
            <v>2024-12-16</v>
          </cell>
          <cell r="CO7020">
            <v>2911.7240000000002</v>
          </cell>
          <cell r="CP7020" t="str">
            <v xml:space="preserve">NFT-/XUTR/DEUTH02435367773X </v>
          </cell>
          <cell r="CQ7020" t="str">
            <v>2024-12-18</v>
          </cell>
          <cell r="CR7020">
            <v>-38726.875999999997</v>
          </cell>
          <cell r="CS7020" t="str">
            <v xml:space="preserve">NFT-/XUTR/DEUTH02435368219X </v>
          </cell>
          <cell r="CT7020" t="str">
            <v>2024-12-18</v>
          </cell>
          <cell r="CU7020">
            <v>-2911.7240000000002</v>
          </cell>
        </row>
        <row r="7021">
          <cell r="CJ7021" t="str">
            <v xml:space="preserve">NFT-/XUTR/DEUTH02435174150X </v>
          </cell>
          <cell r="CK7021" t="str">
            <v>2024-12-16</v>
          </cell>
          <cell r="CL7021">
            <v>79112.498000000007</v>
          </cell>
          <cell r="CM7021" t="str">
            <v xml:space="preserve">NFT-/XUTR/DEUTH02435178615X </v>
          </cell>
          <cell r="CN7021" t="str">
            <v>2024-12-16</v>
          </cell>
          <cell r="CO7021">
            <v>2911.7240000000002</v>
          </cell>
        </row>
        <row r="7022">
          <cell r="CJ7022" t="str">
            <v xml:space="preserve">NFT-/XUTR/DEUTH02435174150X </v>
          </cell>
          <cell r="CK7022" t="str">
            <v>2024-12-16</v>
          </cell>
          <cell r="CL7022">
            <v>5844.3389999999999</v>
          </cell>
        </row>
        <row r="7023">
          <cell r="CJ7023" t="str">
            <v xml:space="preserve">NFT-/XUTR/DEUTH02435174150X </v>
          </cell>
          <cell r="CK7023" t="str">
            <v>2024-12-16</v>
          </cell>
          <cell r="CL7023">
            <v>79485.725000000006</v>
          </cell>
          <cell r="CM7023" t="str">
            <v xml:space="preserve">NFT-/XUTR/DEUTH02435178615X </v>
          </cell>
          <cell r="CN7023" t="str">
            <v>2024-12-16</v>
          </cell>
          <cell r="CO7023">
            <v>2461.377</v>
          </cell>
        </row>
        <row r="7024">
          <cell r="CJ7024" t="str">
            <v xml:space="preserve">NFT-/XUTR/DEUTH02435174150X </v>
          </cell>
          <cell r="CK7024" t="str">
            <v>2024-12-16</v>
          </cell>
          <cell r="CL7024">
            <v>15878.84</v>
          </cell>
          <cell r="CM7024" t="str">
            <v xml:space="preserve">NFT-/XUTR/DEUTH02435178615X </v>
          </cell>
          <cell r="CN7024" t="str">
            <v>2024-12-16</v>
          </cell>
          <cell r="CO7024">
            <v>835.66399999999999</v>
          </cell>
        </row>
        <row r="7025">
          <cell r="CJ7025" t="str">
            <v xml:space="preserve">NFT-/XUTR/DEUTH02435174150X </v>
          </cell>
          <cell r="CK7025" t="str">
            <v>2024-12-16</v>
          </cell>
          <cell r="CL7025">
            <v>39553.101999999999</v>
          </cell>
          <cell r="CM7025" t="str">
            <v xml:space="preserve">NFT-/XUTR/DEUTH02435178615X </v>
          </cell>
          <cell r="CN7025" t="str">
            <v>2024-12-16</v>
          </cell>
          <cell r="CO7025">
            <v>2076.06</v>
          </cell>
        </row>
        <row r="7026">
          <cell r="CJ7026" t="str">
            <v xml:space="preserve">NFT-/XUTR/DEUTH02435174150X </v>
          </cell>
          <cell r="CK7026" t="str">
            <v>2024-12-16</v>
          </cell>
          <cell r="CL7026">
            <v>7963.5429999999997</v>
          </cell>
          <cell r="CM7026" t="str">
            <v xml:space="preserve">NFT-/XUTR/DEUTH02435178615X </v>
          </cell>
          <cell r="CN7026" t="str">
            <v>2024-12-16</v>
          </cell>
          <cell r="CO7026">
            <v>471.69799999999998</v>
          </cell>
        </row>
        <row r="7027">
          <cell r="CJ7027" t="str">
            <v xml:space="preserve">NFT-/XUTR/DEUTH02435174150X </v>
          </cell>
          <cell r="CK7027" t="str">
            <v>2024-12-16</v>
          </cell>
          <cell r="CL7027">
            <v>78381.214000000007</v>
          </cell>
          <cell r="CM7027" t="str">
            <v xml:space="preserve">NFT-/XUTR/DEUTH02435178615X </v>
          </cell>
          <cell r="CN7027" t="str">
            <v>2024-12-16</v>
          </cell>
          <cell r="CO7027">
            <v>3565.8879999999999</v>
          </cell>
        </row>
        <row r="7028">
          <cell r="CJ7028" t="str">
            <v xml:space="preserve">NFT-/XUTR/DEUTH02435174150X </v>
          </cell>
          <cell r="CK7028" t="str">
            <v>2024-12-16</v>
          </cell>
          <cell r="CL7028">
            <v>81540.433000000005</v>
          </cell>
          <cell r="CM7028" t="str">
            <v xml:space="preserve">NFT-/XUTR/DEUTH02435178615X </v>
          </cell>
          <cell r="CN7028" t="str">
            <v>2024-12-16</v>
          </cell>
          <cell r="CO7028">
            <v>464.91</v>
          </cell>
        </row>
        <row r="7029">
          <cell r="CJ7029" t="str">
            <v xml:space="preserve">NFT-/XUTR/DEUTH02435174150X </v>
          </cell>
          <cell r="CK7029" t="str">
            <v>2024-12-16</v>
          </cell>
          <cell r="CL7029">
            <v>38176.559999999998</v>
          </cell>
          <cell r="CM7029" t="str">
            <v xml:space="preserve">NFT-/XUTR/DEUTH02435178615X </v>
          </cell>
          <cell r="CN7029" t="str">
            <v>2024-12-16</v>
          </cell>
          <cell r="CO7029">
            <v>2879.6959999999999</v>
          </cell>
        </row>
        <row r="7030">
          <cell r="CJ7030" t="str">
            <v xml:space="preserve">NFT-/XUTR/DEUTH02435174150X </v>
          </cell>
          <cell r="CK7030" t="str">
            <v>2024-12-16</v>
          </cell>
          <cell r="CL7030">
            <v>8416.3619999999992</v>
          </cell>
        </row>
        <row r="7031">
          <cell r="CJ7031" t="str">
            <v xml:space="preserve">NFT-/XUTR/DEUTH02435174150X </v>
          </cell>
          <cell r="CK7031" t="str">
            <v>2024-12-16</v>
          </cell>
          <cell r="CL7031">
            <v>38999.61</v>
          </cell>
          <cell r="CM7031" t="str">
            <v xml:space="preserve">NFT-/XUTR/DEUTH02435178615X </v>
          </cell>
          <cell r="CN7031" t="str">
            <v>2024-12-16</v>
          </cell>
          <cell r="CO7031">
            <v>2056.6469999999999</v>
          </cell>
        </row>
        <row r="7032">
          <cell r="CJ7032" t="str">
            <v xml:space="preserve">NFT-/XUTR/DEUTH02435174150X </v>
          </cell>
          <cell r="CK7032" t="str">
            <v>2024-12-16</v>
          </cell>
          <cell r="CL7032">
            <v>41619.720999999998</v>
          </cell>
        </row>
        <row r="7033">
          <cell r="CJ7033" t="str">
            <v xml:space="preserve">NFT-/XUTR/DEUTH02435174150X </v>
          </cell>
          <cell r="CK7033" t="str">
            <v>2024-12-16</v>
          </cell>
          <cell r="CL7033">
            <v>79485.725000000006</v>
          </cell>
          <cell r="CM7033" t="str">
            <v xml:space="preserve">NFT-/XUTR/DEUTH02435178615X </v>
          </cell>
          <cell r="CN7033" t="str">
            <v>2024-12-16</v>
          </cell>
          <cell r="CO7033">
            <v>2461.377</v>
          </cell>
        </row>
        <row r="7034">
          <cell r="CJ7034" t="str">
            <v xml:space="preserve">NFT-/XUTR/DEUTH02435174150X </v>
          </cell>
          <cell r="CK7034" t="str">
            <v>2024-12-16</v>
          </cell>
          <cell r="CL7034">
            <v>39533.959000000003</v>
          </cell>
          <cell r="CM7034" t="str">
            <v xml:space="preserve">NFT-/XUTR/DEUTH02435178615X </v>
          </cell>
          <cell r="CN7034" t="str">
            <v>2024-12-16</v>
          </cell>
          <cell r="CO7034">
            <v>2085.7620000000002</v>
          </cell>
        </row>
        <row r="7035">
          <cell r="CJ7035" t="str">
            <v xml:space="preserve">NFT-/XUTR/DEUTH02435174150X </v>
          </cell>
          <cell r="CK7035" t="str">
            <v>2024-12-16</v>
          </cell>
          <cell r="CL7035">
            <v>79035.377999999997</v>
          </cell>
          <cell r="CM7035" t="str">
            <v xml:space="preserve">NFT-/XUTR/DEUTH02435178615X </v>
          </cell>
          <cell r="CN7035" t="str">
            <v>2024-12-16</v>
          </cell>
          <cell r="CO7035">
            <v>2911.7240000000002</v>
          </cell>
        </row>
        <row r="7036">
          <cell r="CJ7036" t="str">
            <v xml:space="preserve">NFT-/XUTR/DEUTH02435174150X </v>
          </cell>
          <cell r="CK7036" t="str">
            <v>2024-12-16</v>
          </cell>
          <cell r="CL7036">
            <v>39552.839999999997</v>
          </cell>
          <cell r="CM7036" t="str">
            <v xml:space="preserve">NFT-/XUTR/DEUTH02435178615X </v>
          </cell>
          <cell r="CN7036" t="str">
            <v>2024-12-16</v>
          </cell>
          <cell r="CO7036">
            <v>2085.7620000000002</v>
          </cell>
        </row>
        <row r="7037">
          <cell r="CJ7037" t="str">
            <v xml:space="preserve">NFT-/XUTR/DEUTH02435174150X </v>
          </cell>
          <cell r="CK7037" t="str">
            <v>2024-12-16</v>
          </cell>
          <cell r="CL7037">
            <v>8160.1310000000003</v>
          </cell>
          <cell r="CM7037" t="str">
            <v xml:space="preserve">NFT-/XUTR/DEUTH02435178615X </v>
          </cell>
          <cell r="CN7037" t="str">
            <v>2024-12-16</v>
          </cell>
          <cell r="CO7037">
            <v>256.23200000000003</v>
          </cell>
        </row>
        <row r="7038">
          <cell r="CJ7038" t="str">
            <v xml:space="preserve">NFT-/XUTR/DEUTH02435174150X </v>
          </cell>
          <cell r="CK7038" t="str">
            <v>2024-12-16</v>
          </cell>
          <cell r="CL7038">
            <v>7771.3680000000004</v>
          </cell>
          <cell r="CM7038" t="str">
            <v xml:space="preserve">NFT-/XUTR/DEUTH02435178615X </v>
          </cell>
          <cell r="CN7038" t="str">
            <v>2024-12-16</v>
          </cell>
          <cell r="CO7038">
            <v>663.87599999999998</v>
          </cell>
        </row>
        <row r="7039">
          <cell r="CJ7039" t="str">
            <v xml:space="preserve">NFT-/XUTR/DEUTH02435174150X </v>
          </cell>
          <cell r="CK7039" t="str">
            <v>2024-12-16</v>
          </cell>
          <cell r="CL7039">
            <v>41638.601000000002</v>
          </cell>
        </row>
        <row r="7040">
          <cell r="CJ7040" t="str">
            <v xml:space="preserve">NFT-/XUTR/DEUTH02435174150X </v>
          </cell>
          <cell r="CK7040" t="str">
            <v>2024-12-16</v>
          </cell>
          <cell r="CL7040">
            <v>38726.875999999997</v>
          </cell>
          <cell r="CM7040" t="str">
            <v xml:space="preserve">NFT-/XUTR/DEUTH02435178615X </v>
          </cell>
          <cell r="CN7040" t="str">
            <v>2024-12-16</v>
          </cell>
          <cell r="CO7040">
            <v>2911.723</v>
          </cell>
        </row>
        <row r="7041">
          <cell r="CJ7041" t="str">
            <v xml:space="preserve">NFT-/XUTR/DEUTH02435174150X </v>
          </cell>
          <cell r="CK7041" t="str">
            <v>2024-12-16</v>
          </cell>
          <cell r="CL7041">
            <v>7306.4679999999998</v>
          </cell>
          <cell r="CM7041" t="str">
            <v xml:space="preserve">NFT-/XUTR/DEUTH02435178615X </v>
          </cell>
          <cell r="CN7041" t="str">
            <v>2024-12-16</v>
          </cell>
          <cell r="CO7041">
            <v>1128.7750000000001</v>
          </cell>
        </row>
        <row r="7042">
          <cell r="CJ7042" t="str">
            <v xml:space="preserve">NFT-/XUTR/DEUTH02435174150X </v>
          </cell>
          <cell r="CK7042" t="str">
            <v>2024-12-16</v>
          </cell>
          <cell r="CL7042">
            <v>7839.31</v>
          </cell>
          <cell r="CM7042" t="str">
            <v xml:space="preserve">NFT-/XUTR/DEUTH02435178615X </v>
          </cell>
          <cell r="CN7042" t="str">
            <v>2024-12-16</v>
          </cell>
          <cell r="CO7042">
            <v>595.93299999999999</v>
          </cell>
        </row>
        <row r="7043">
          <cell r="CJ7043" t="str">
            <v xml:space="preserve">NFT-/XUTR/DEUTH02435174150X </v>
          </cell>
          <cell r="CK7043" t="str">
            <v>2024-12-16</v>
          </cell>
          <cell r="CL7043">
            <v>8435.2420000000002</v>
          </cell>
        </row>
        <row r="7044">
          <cell r="CJ7044" t="str">
            <v xml:space="preserve">NFT-/XUTR/DEUTH02435174150X </v>
          </cell>
          <cell r="CK7044" t="str">
            <v>2024-12-16</v>
          </cell>
          <cell r="CL7044">
            <v>23517.919999999998</v>
          </cell>
          <cell r="CM7044" t="str">
            <v xml:space="preserve">NFT-/XUTR/DEUTH02435178615X </v>
          </cell>
          <cell r="CN7044" t="str">
            <v>2024-12-16</v>
          </cell>
          <cell r="CO7044">
            <v>1787.799</v>
          </cell>
        </row>
        <row r="7045">
          <cell r="CJ7045" t="str">
            <v xml:space="preserve">NFT-/XUTR/DEUTH02435174150X </v>
          </cell>
          <cell r="CK7045" t="str">
            <v>2024-12-16</v>
          </cell>
          <cell r="CL7045">
            <v>38610.94</v>
          </cell>
          <cell r="CM7045" t="str">
            <v xml:space="preserve">NFT-/XUTR/DEUTH02435178615X </v>
          </cell>
          <cell r="CN7045" t="str">
            <v>2024-12-16</v>
          </cell>
          <cell r="CO7045">
            <v>3008.7820000000002</v>
          </cell>
        </row>
        <row r="7046">
          <cell r="CJ7046" t="str">
            <v xml:space="preserve">NFT-/XUTR/DEUTH02435174150X </v>
          </cell>
          <cell r="CK7046" t="str">
            <v>2024-12-16</v>
          </cell>
          <cell r="CL7046">
            <v>38999.61</v>
          </cell>
          <cell r="CM7046" t="str">
            <v xml:space="preserve">NFT-/XUTR/DEUTH02435178615X </v>
          </cell>
          <cell r="CN7046" t="str">
            <v>2024-12-16</v>
          </cell>
          <cell r="CO7046">
            <v>2056.6469999999999</v>
          </cell>
        </row>
        <row r="7047">
          <cell r="CJ7047" t="str">
            <v xml:space="preserve">NFT-/XUTR/DEUTH02435174150X </v>
          </cell>
          <cell r="CK7047" t="str">
            <v>2024-12-16</v>
          </cell>
          <cell r="CL7047">
            <v>38726.875999999997</v>
          </cell>
          <cell r="CM7047" t="str">
            <v xml:space="preserve">NFT-/XUTR/DEUTH02435178615X </v>
          </cell>
          <cell r="CN7047" t="str">
            <v>2024-12-16</v>
          </cell>
          <cell r="CO7047">
            <v>2911.7240000000002</v>
          </cell>
        </row>
        <row r="7048">
          <cell r="CJ7048" t="str">
            <v xml:space="preserve">NFT-/XUTR/DEUTH02435174150X </v>
          </cell>
          <cell r="CK7048" t="str">
            <v>2024-12-16</v>
          </cell>
          <cell r="CL7048">
            <v>15864.55</v>
          </cell>
          <cell r="CM7048" t="str">
            <v xml:space="preserve">NFT-/XUTR/DEUTH02435178615X </v>
          </cell>
          <cell r="CN7048" t="str">
            <v>2024-12-16</v>
          </cell>
          <cell r="CO7048">
            <v>840.51499999999999</v>
          </cell>
        </row>
        <row r="7049">
          <cell r="CJ7049" t="str">
            <v xml:space="preserve">NFT-/XUTR/DEUTH02435174150X </v>
          </cell>
          <cell r="CK7049" t="str">
            <v>2024-12-16</v>
          </cell>
          <cell r="CL7049">
            <v>39552.839</v>
          </cell>
          <cell r="CM7049" t="str">
            <v xml:space="preserve">NFT-/XUTR/DEUTH02435178615X </v>
          </cell>
          <cell r="CN7049" t="str">
            <v>2024-12-16</v>
          </cell>
          <cell r="CO7049">
            <v>2085.7620000000002</v>
          </cell>
        </row>
        <row r="7050">
          <cell r="CJ7050" t="str">
            <v xml:space="preserve">NFT-/XUTR/DEUTH02435174150X </v>
          </cell>
          <cell r="CK7050" t="str">
            <v>2024-12-16</v>
          </cell>
          <cell r="CL7050">
            <v>7816.0190000000002</v>
          </cell>
          <cell r="CM7050" t="str">
            <v xml:space="preserve">NFT-/XUTR/DEUTH02435178615X </v>
          </cell>
          <cell r="CN7050" t="str">
            <v>2024-12-16</v>
          </cell>
          <cell r="CO7050">
            <v>619.22400000000005</v>
          </cell>
        </row>
        <row r="7051">
          <cell r="CJ7051" t="str">
            <v xml:space="preserve">NFT-/XUTR/DEUTH02435174150X </v>
          </cell>
          <cell r="CK7051" t="str">
            <v>2024-12-16</v>
          </cell>
          <cell r="CL7051">
            <v>39552.839</v>
          </cell>
          <cell r="CM7051" t="str">
            <v xml:space="preserve">NFT-/XUTR/DEUTH02435178615X </v>
          </cell>
          <cell r="CN7051" t="str">
            <v>2024-12-16</v>
          </cell>
          <cell r="CO7051">
            <v>2085.7620000000002</v>
          </cell>
        </row>
        <row r="7052">
          <cell r="CJ7052" t="str">
            <v xml:space="preserve">NFT-/XUTR/DEUTH02435174150X </v>
          </cell>
          <cell r="CK7052" t="str">
            <v>2024-12-16</v>
          </cell>
          <cell r="CL7052">
            <v>38726.875999999997</v>
          </cell>
          <cell r="CM7052" t="str">
            <v xml:space="preserve">NFT-/XUTR/DEUTH02435178615X </v>
          </cell>
          <cell r="CN7052" t="str">
            <v>2024-12-16</v>
          </cell>
          <cell r="CO7052">
            <v>2911.7240000000002</v>
          </cell>
        </row>
        <row r="7053">
          <cell r="CJ7053" t="str">
            <v xml:space="preserve">NFT-/XUTR/DEUTH02435174150X </v>
          </cell>
          <cell r="CK7053" t="str">
            <v>2024-12-16</v>
          </cell>
          <cell r="CL7053">
            <v>7327.8190000000004</v>
          </cell>
          <cell r="CM7053" t="str">
            <v xml:space="preserve">NFT-/XUTR/DEUTH02435178615X </v>
          </cell>
          <cell r="CN7053" t="str">
            <v>2024-12-16</v>
          </cell>
          <cell r="CO7053">
            <v>1107.423</v>
          </cell>
        </row>
        <row r="7054">
          <cell r="CJ7054" t="str">
            <v xml:space="preserve">NFT-/XUTR/DEUTH02435174150X </v>
          </cell>
          <cell r="CK7054" t="str">
            <v>2024-12-16</v>
          </cell>
          <cell r="CL7054">
            <v>41608.080000000002</v>
          </cell>
          <cell r="CM7054" t="str">
            <v xml:space="preserve">NFT-/XUTR/DEUTH02435178615X </v>
          </cell>
          <cell r="CN7054" t="str">
            <v>2024-12-16</v>
          </cell>
          <cell r="CO7054">
            <v>11.65</v>
          </cell>
        </row>
        <row r="7055">
          <cell r="CJ7055" t="str">
            <v xml:space="preserve">NFT-/XUTR/DEUTH02435174150X </v>
          </cell>
          <cell r="CK7055" t="str">
            <v>2024-12-16</v>
          </cell>
          <cell r="CL7055">
            <v>79112.498000000007</v>
          </cell>
          <cell r="CM7055" t="str">
            <v xml:space="preserve">NFT-/XUTR/DEUTH02435178615X </v>
          </cell>
          <cell r="CN7055" t="str">
            <v>2024-12-16</v>
          </cell>
          <cell r="CO7055">
            <v>2911.7240000000002</v>
          </cell>
        </row>
        <row r="7056">
          <cell r="CJ7056" t="str">
            <v xml:space="preserve">NFT-/XUTR/DEUTH02435174150X </v>
          </cell>
          <cell r="CK7056" t="str">
            <v>2024-12-16</v>
          </cell>
          <cell r="CL7056">
            <v>39533.959000000003</v>
          </cell>
          <cell r="CM7056" t="str">
            <v xml:space="preserve">NFT-/XUTR/DEUTH02435178615X </v>
          </cell>
          <cell r="CN7056" t="str">
            <v>2024-12-16</v>
          </cell>
          <cell r="CO7056">
            <v>2085.7620000000002</v>
          </cell>
        </row>
        <row r="7057">
          <cell r="CJ7057" t="str">
            <v xml:space="preserve">NFT-/XUTR/DEUTH02435174150X </v>
          </cell>
          <cell r="CK7057" t="str">
            <v>2024-12-16</v>
          </cell>
          <cell r="CL7057">
            <v>7076.9709999999995</v>
          </cell>
          <cell r="CM7057" t="str">
            <v xml:space="preserve">NFT-/XUTR/DEUTH02435178615X </v>
          </cell>
          <cell r="CN7057" t="str">
            <v>2024-12-16</v>
          </cell>
          <cell r="CO7057">
            <v>1339.3910000000001</v>
          </cell>
        </row>
        <row r="7058">
          <cell r="CJ7058" t="str">
            <v xml:space="preserve">NFT-/XUTR/DEUTH02435174150X </v>
          </cell>
          <cell r="CK7058" t="str">
            <v>2024-12-16</v>
          </cell>
          <cell r="CL7058">
            <v>7839.31</v>
          </cell>
          <cell r="CM7058" t="str">
            <v xml:space="preserve">NFT-/XUTR/DEUTH02435178615X </v>
          </cell>
          <cell r="CN7058" t="str">
            <v>2024-12-16</v>
          </cell>
          <cell r="CO7058">
            <v>595.93299999999999</v>
          </cell>
        </row>
        <row r="7059">
          <cell r="CJ7059" t="str">
            <v xml:space="preserve">NFT-/XUTR/DEUTH02435174150X </v>
          </cell>
          <cell r="CK7059" t="str">
            <v>2024-12-16</v>
          </cell>
          <cell r="CL7059">
            <v>38726.875999999997</v>
          </cell>
          <cell r="CM7059" t="str">
            <v xml:space="preserve">NFT-/XUTR/DEUTH02435178615X </v>
          </cell>
          <cell r="CN7059" t="str">
            <v>2024-12-16</v>
          </cell>
          <cell r="CO7059">
            <v>2911.7240000000002</v>
          </cell>
          <cell r="CP7059" t="str">
            <v xml:space="preserve">NFT-/XUTR/DEUTH02435367773X </v>
          </cell>
          <cell r="CQ7059" t="str">
            <v>2024-12-18</v>
          </cell>
          <cell r="CR7059">
            <v>-38726.875999999997</v>
          </cell>
          <cell r="CS7059" t="str">
            <v xml:space="preserve">NFT-/XUTR/DEUTH02435368219X </v>
          </cell>
          <cell r="CT7059" t="str">
            <v>2024-12-18</v>
          </cell>
          <cell r="CU7059">
            <v>-2911.7240000000002</v>
          </cell>
        </row>
        <row r="7060">
          <cell r="CJ7060" t="str">
            <v xml:space="preserve">NFT-/XUTR/DEUTH02435174150X </v>
          </cell>
          <cell r="CK7060" t="str">
            <v>2024-12-16</v>
          </cell>
          <cell r="CL7060">
            <v>15248.68</v>
          </cell>
          <cell r="CM7060" t="str">
            <v xml:space="preserve">NFT-/XUTR/DEUTH02435178615X </v>
          </cell>
          <cell r="CN7060" t="str">
            <v>2024-12-16</v>
          </cell>
          <cell r="CO7060">
            <v>1475.2760000000001</v>
          </cell>
        </row>
        <row r="7061">
          <cell r="CJ7061" t="str">
            <v xml:space="preserve">NFT-/XUTR/DEUTH02435174150X </v>
          </cell>
          <cell r="CK7061" t="str">
            <v>2024-12-16</v>
          </cell>
          <cell r="CL7061">
            <v>38726.875999999997</v>
          </cell>
          <cell r="CM7061" t="str">
            <v xml:space="preserve">NFT-/XUTR/DEUTH02435178615X </v>
          </cell>
          <cell r="CN7061" t="str">
            <v>2024-12-16</v>
          </cell>
          <cell r="CO7061">
            <v>2911.7240000000002</v>
          </cell>
        </row>
        <row r="7062">
          <cell r="CJ7062" t="str">
            <v xml:space="preserve">NFT-/XUTR/DEUTH02435174150X </v>
          </cell>
          <cell r="CK7062" t="str">
            <v>2024-12-16</v>
          </cell>
          <cell r="CL7062">
            <v>79005.729000000007</v>
          </cell>
          <cell r="CM7062" t="str">
            <v xml:space="preserve">NFT-/XUTR/DEUTH02435178615X </v>
          </cell>
          <cell r="CN7062" t="str">
            <v>2024-12-16</v>
          </cell>
          <cell r="CO7062">
            <v>2960.252</v>
          </cell>
        </row>
        <row r="7063">
          <cell r="CJ7063" t="str">
            <v xml:space="preserve">NFT-/XUTR/DEUTH02435174150X </v>
          </cell>
          <cell r="CK7063" t="str">
            <v>2024-12-16</v>
          </cell>
          <cell r="CL7063">
            <v>10033.338</v>
          </cell>
          <cell r="CM7063" t="str">
            <v xml:space="preserve">NFT-/XUTR/DEUTH02435178615X </v>
          </cell>
          <cell r="CN7063" t="str">
            <v>2024-12-16</v>
          </cell>
          <cell r="CO7063">
            <v>1314.163</v>
          </cell>
        </row>
        <row r="7064">
          <cell r="CJ7064" t="str">
            <v xml:space="preserve">NFT-/XUTR/DEUTH02435174150X </v>
          </cell>
          <cell r="CK7064" t="str">
            <v>2024-12-16</v>
          </cell>
          <cell r="CL7064">
            <v>7327.8190000000004</v>
          </cell>
          <cell r="CM7064" t="str">
            <v xml:space="preserve">NFT-/XUTR/DEUTH02435178615X </v>
          </cell>
          <cell r="CN7064" t="str">
            <v>2024-12-16</v>
          </cell>
          <cell r="CO7064">
            <v>1107.423</v>
          </cell>
        </row>
        <row r="7065">
          <cell r="CJ7065" t="str">
            <v xml:space="preserve">NFT-/XUTR/DEUTH02435174150X </v>
          </cell>
          <cell r="CK7065" t="str">
            <v>2024-12-16</v>
          </cell>
          <cell r="CL7065">
            <v>39533.959000000003</v>
          </cell>
          <cell r="CM7065" t="str">
            <v xml:space="preserve">NFT-/XUTR/DEUTH02435178615X </v>
          </cell>
          <cell r="CN7065" t="str">
            <v>2024-12-16</v>
          </cell>
          <cell r="CO7065">
            <v>2085.7620000000002</v>
          </cell>
        </row>
        <row r="7066">
          <cell r="CJ7066" t="str">
            <v xml:space="preserve">NFT-/XUTR/DEUTH02435174150X </v>
          </cell>
          <cell r="CK7066" t="str">
            <v>2024-12-16</v>
          </cell>
          <cell r="CL7066">
            <v>41056.256000000001</v>
          </cell>
        </row>
        <row r="7067">
          <cell r="CJ7067" t="str">
            <v xml:space="preserve">NFT-/XUTR/DEUTH02435174150X </v>
          </cell>
          <cell r="CK7067" t="str">
            <v>2024-12-16</v>
          </cell>
          <cell r="CL7067">
            <v>38726.875999999997</v>
          </cell>
          <cell r="CM7067" t="str">
            <v xml:space="preserve">NFT-/XUTR/DEUTH02435178615X </v>
          </cell>
          <cell r="CN7067" t="str">
            <v>2024-12-16</v>
          </cell>
          <cell r="CO7067">
            <v>2911.7240000000002</v>
          </cell>
        </row>
        <row r="7068">
          <cell r="CJ7068" t="str">
            <v xml:space="preserve">NFT-/XUTR/DEUTH02435174150X </v>
          </cell>
          <cell r="CK7068" t="str">
            <v>2024-12-16</v>
          </cell>
          <cell r="CL7068">
            <v>39264.480000000003</v>
          </cell>
          <cell r="CM7068" t="str">
            <v xml:space="preserve">NFT-/XUTR/DEUTH02435178615X </v>
          </cell>
          <cell r="CN7068" t="str">
            <v>2024-12-16</v>
          </cell>
          <cell r="CO7068">
            <v>2911.72</v>
          </cell>
        </row>
        <row r="7069">
          <cell r="CJ7069" t="str">
            <v xml:space="preserve">NFT-/XUTR/DEUTH02435174150X </v>
          </cell>
          <cell r="CK7069" t="str">
            <v>2024-12-16</v>
          </cell>
          <cell r="CL7069">
            <v>38726.875999999997</v>
          </cell>
          <cell r="CM7069" t="str">
            <v xml:space="preserve">NFT-/XUTR/DEUTH02435178615X </v>
          </cell>
          <cell r="CN7069" t="str">
            <v>2024-12-16</v>
          </cell>
          <cell r="CO7069">
            <v>2911.7240000000002</v>
          </cell>
        </row>
        <row r="7070">
          <cell r="CJ7070" t="str">
            <v xml:space="preserve">NFT-/XUTR/DEUTH02435174150X </v>
          </cell>
          <cell r="CK7070" t="str">
            <v>2024-12-16</v>
          </cell>
          <cell r="CL7070">
            <v>38726.875999999997</v>
          </cell>
          <cell r="CM7070" t="str">
            <v xml:space="preserve">NFT-/XUTR/DEUTH02435178615X </v>
          </cell>
          <cell r="CN7070" t="str">
            <v>2024-12-16</v>
          </cell>
          <cell r="CO7070">
            <v>2911.7240000000002</v>
          </cell>
        </row>
        <row r="7071">
          <cell r="CJ7071" t="str">
            <v xml:space="preserve">NFT-/XUTR/DEUTH02435174150X </v>
          </cell>
          <cell r="CK7071" t="str">
            <v>2024-12-16</v>
          </cell>
          <cell r="CL7071">
            <v>7642.2820000000002</v>
          </cell>
          <cell r="CM7071" t="str">
            <v xml:space="preserve">NFT-/XUTR/DEUTH02435178615X </v>
          </cell>
          <cell r="CN7071" t="str">
            <v>2024-12-16</v>
          </cell>
          <cell r="CO7071">
            <v>792.96100000000001</v>
          </cell>
        </row>
        <row r="7072">
          <cell r="CJ7072" t="str">
            <v xml:space="preserve">NFT-/XUTR/DEUTH02435367773X </v>
          </cell>
          <cell r="CK7072" t="str">
            <v>2024-12-18</v>
          </cell>
          <cell r="CL7072">
            <v>15952.346</v>
          </cell>
          <cell r="CM7072" t="str">
            <v xml:space="preserve">NFT-/XUTR/DEUTH02435368219X </v>
          </cell>
          <cell r="CN7072" t="str">
            <v>2024-12-18</v>
          </cell>
          <cell r="CO7072">
            <v>1023.955</v>
          </cell>
        </row>
        <row r="7073">
          <cell r="CJ7073" t="str">
            <v xml:space="preserve">NFT-/XUTR/DEUTH02435367773X </v>
          </cell>
          <cell r="CK7073" t="str">
            <v>2024-12-18</v>
          </cell>
          <cell r="CL7073">
            <v>7829.1670000000004</v>
          </cell>
          <cell r="CM7073" t="str">
            <v xml:space="preserve">NFT-/XUTR/DEUTH02435368219X </v>
          </cell>
          <cell r="CN7073" t="str">
            <v>2024-12-18</v>
          </cell>
          <cell r="CO7073">
            <v>596.90800000000002</v>
          </cell>
        </row>
        <row r="7074">
          <cell r="CJ7074" t="str">
            <v xml:space="preserve">NFT-/XUTR/DEUTH02435367773X </v>
          </cell>
          <cell r="CK7074" t="str">
            <v>2024-12-18</v>
          </cell>
          <cell r="CL7074">
            <v>63903.59</v>
          </cell>
          <cell r="CM7074" t="str">
            <v xml:space="preserve">NFT-/XUTR/DEUTH02435368219X </v>
          </cell>
          <cell r="CN7074" t="str">
            <v>2024-12-18</v>
          </cell>
          <cell r="CO7074">
            <v>2911.7240000000002</v>
          </cell>
        </row>
        <row r="7075">
          <cell r="CJ7075" t="str">
            <v xml:space="preserve">NFT-/XUTR/DEUTH02435367773X </v>
          </cell>
          <cell r="CK7075" t="str">
            <v>2024-12-18</v>
          </cell>
          <cell r="CL7075">
            <v>39547.548000000003</v>
          </cell>
          <cell r="CM7075" t="str">
            <v xml:space="preserve">NFT-/XUTR/DEUTH02435368219X </v>
          </cell>
          <cell r="CN7075" t="str">
            <v>2024-12-18</v>
          </cell>
          <cell r="CO7075">
            <v>2159.529</v>
          </cell>
        </row>
        <row r="7076">
          <cell r="CJ7076" t="str">
            <v xml:space="preserve">NFT-/XUTR/DEUTH02435367773X </v>
          </cell>
          <cell r="CK7076" t="str">
            <v>2024-12-18</v>
          </cell>
          <cell r="CL7076">
            <v>1457.34</v>
          </cell>
        </row>
        <row r="7077">
          <cell r="CJ7077" t="str">
            <v xml:space="preserve">NFT-/XUTR/DEUTH02435367773X </v>
          </cell>
          <cell r="CK7077" t="str">
            <v>2024-12-18</v>
          </cell>
          <cell r="CL7077">
            <v>7848.0469999999996</v>
          </cell>
          <cell r="CM7077" t="str">
            <v xml:space="preserve">NFT-/XUTR/DEUTH02435368219X </v>
          </cell>
          <cell r="CN7077" t="str">
            <v>2024-12-18</v>
          </cell>
          <cell r="CO7077">
            <v>596.90800000000002</v>
          </cell>
        </row>
        <row r="7078">
          <cell r="CJ7078" t="str">
            <v xml:space="preserve">NFT-/XUTR/DEUTH02435367773X </v>
          </cell>
          <cell r="CK7078" t="str">
            <v>2024-12-18</v>
          </cell>
          <cell r="CL7078">
            <v>63860.445</v>
          </cell>
          <cell r="CM7078" t="str">
            <v xml:space="preserve">NFT-/XUTR/DEUTH02435368219X </v>
          </cell>
          <cell r="CN7078" t="str">
            <v>2024-12-18</v>
          </cell>
          <cell r="CO7078">
            <v>2935.989</v>
          </cell>
        </row>
        <row r="7079">
          <cell r="CJ7079" t="str">
            <v xml:space="preserve">NFT-/XUTR/DEUTH02435367773X </v>
          </cell>
          <cell r="CK7079" t="str">
            <v>2024-12-18</v>
          </cell>
          <cell r="CL7079">
            <v>41707.076000000001</v>
          </cell>
        </row>
        <row r="7080">
          <cell r="CJ7080" t="str">
            <v xml:space="preserve">NFT-/XUTR/DEUTH02435367773X </v>
          </cell>
          <cell r="CK7080" t="str">
            <v>2024-12-18</v>
          </cell>
          <cell r="CL7080">
            <v>79219.258000000002</v>
          </cell>
          <cell r="CM7080" t="str">
            <v xml:space="preserve">NFT-/XUTR/DEUTH02435368219X </v>
          </cell>
          <cell r="CN7080" t="str">
            <v>2024-12-18</v>
          </cell>
          <cell r="CO7080">
            <v>2911.7240000000002</v>
          </cell>
        </row>
        <row r="7081">
          <cell r="CJ7081" t="str">
            <v xml:space="preserve">NFT-/XUTR/DEUTH02435367773X </v>
          </cell>
          <cell r="CK7081" t="str">
            <v>2024-12-18</v>
          </cell>
          <cell r="CL7081">
            <v>40215.64</v>
          </cell>
          <cell r="CM7081" t="str">
            <v xml:space="preserve">NFT-/XUTR/DEUTH02435368219X </v>
          </cell>
          <cell r="CN7081" t="str">
            <v>2024-12-18</v>
          </cell>
          <cell r="CO7081">
            <v>2591.44</v>
          </cell>
        </row>
        <row r="7082">
          <cell r="CJ7082" t="str">
            <v xml:space="preserve">NFT-/XUTR/DEUTH02435367773X </v>
          </cell>
          <cell r="CK7082" t="str">
            <v>2024-12-18</v>
          </cell>
          <cell r="CL7082">
            <v>38814.232000000004</v>
          </cell>
          <cell r="CM7082" t="str">
            <v xml:space="preserve">NFT-/XUTR/DEUTH02435368219X </v>
          </cell>
          <cell r="CN7082" t="str">
            <v>2024-12-18</v>
          </cell>
          <cell r="CO7082">
            <v>2911.7240000000002</v>
          </cell>
          <cell r="CP7082" t="str">
            <v xml:space="preserve">NFT-/XUTR/DEUTH02500370901X </v>
          </cell>
          <cell r="CQ7082" t="str">
            <v>2025-01-03</v>
          </cell>
          <cell r="CR7082">
            <v>-38814.232000000004</v>
          </cell>
          <cell r="CS7082" t="str">
            <v xml:space="preserve">NFT-/XUTR/DEUTH02500685844X </v>
          </cell>
          <cell r="CT7082" t="str">
            <v>2025-01-06</v>
          </cell>
          <cell r="CU7082">
            <v>-2911.7240000000002</v>
          </cell>
        </row>
        <row r="7083">
          <cell r="CJ7083" t="str">
            <v xml:space="preserve">NFT-/XUTR/DEUTH02435367773X </v>
          </cell>
          <cell r="CK7083" t="str">
            <v>2024-12-18</v>
          </cell>
          <cell r="CL7083">
            <v>80374.769</v>
          </cell>
          <cell r="CM7083" t="str">
            <v xml:space="preserve">NFT-/XUTR/DEUTH02435368219X </v>
          </cell>
          <cell r="CN7083" t="str">
            <v>2024-12-18</v>
          </cell>
          <cell r="CO7083">
            <v>2911.7240000000002</v>
          </cell>
        </row>
        <row r="7084">
          <cell r="CJ7084" t="str">
            <v xml:space="preserve">NFT-/XUTR/DEUTH02435367773X </v>
          </cell>
          <cell r="CK7084" t="str">
            <v>2024-12-18</v>
          </cell>
          <cell r="CL7084">
            <v>38814.232000000004</v>
          </cell>
          <cell r="CM7084" t="str">
            <v xml:space="preserve">NFT-/XUTR/DEUTH02435368219X </v>
          </cell>
          <cell r="CN7084" t="str">
            <v>2024-12-18</v>
          </cell>
          <cell r="CO7084">
            <v>2911.7240000000002</v>
          </cell>
        </row>
        <row r="7085">
          <cell r="CJ7085" t="str">
            <v xml:space="preserve">NFT-/XUTR/DEUTH02435367773X </v>
          </cell>
          <cell r="CK7085" t="str">
            <v>2024-12-18</v>
          </cell>
          <cell r="CL7085">
            <v>16569.138999999999</v>
          </cell>
          <cell r="CM7085" t="str">
            <v xml:space="preserve">NFT-/XUTR/DEUTH02435368219X </v>
          </cell>
          <cell r="CN7085" t="str">
            <v>2024-12-18</v>
          </cell>
          <cell r="CO7085">
            <v>885.16700000000003</v>
          </cell>
        </row>
        <row r="7086">
          <cell r="CJ7086" t="str">
            <v xml:space="preserve">NFT-/XUTR/DEUTH02435367773X </v>
          </cell>
          <cell r="CK7086" t="str">
            <v>2024-12-18</v>
          </cell>
          <cell r="CL7086">
            <v>8444.9449999999997</v>
          </cell>
        </row>
        <row r="7087">
          <cell r="CJ7087" t="str">
            <v xml:space="preserve">NFT-/XUTR/DEUTH02435367773X </v>
          </cell>
          <cell r="CK7087" t="str">
            <v>2024-12-18</v>
          </cell>
          <cell r="CL7087">
            <v>6019.04</v>
          </cell>
        </row>
        <row r="7088">
          <cell r="CJ7088" t="str">
            <v xml:space="preserve">NFT-/XUTR/DEUTH02435367773X </v>
          </cell>
          <cell r="CK7088" t="str">
            <v>2024-12-18</v>
          </cell>
          <cell r="CL7088">
            <v>7999.982</v>
          </cell>
          <cell r="CM7088" t="str">
            <v xml:space="preserve">NFT-/XUTR/DEUTH02435368219X </v>
          </cell>
          <cell r="CN7088" t="str">
            <v>2024-12-18</v>
          </cell>
          <cell r="CO7088">
            <v>426.08300000000003</v>
          </cell>
        </row>
        <row r="7089">
          <cell r="CJ7089" t="str">
            <v xml:space="preserve">NFT-/XUTR/DEUTH02435367773X </v>
          </cell>
          <cell r="CK7089" t="str">
            <v>2024-12-18</v>
          </cell>
          <cell r="CL7089">
            <v>82160.63</v>
          </cell>
        </row>
        <row r="7092">
          <cell r="CJ7092" t="str">
            <v xml:space="preserve">NFT-/XUTR/DEUTH02435367773X </v>
          </cell>
          <cell r="CK7092" t="str">
            <v>2024-12-18</v>
          </cell>
          <cell r="CL7092">
            <v>82112.101999999999</v>
          </cell>
        </row>
        <row r="7093">
          <cell r="CJ7093" t="str">
            <v xml:space="preserve">NFT-/XUTR/DEUTH02435367773X </v>
          </cell>
          <cell r="CK7093" t="str">
            <v>2024-12-18</v>
          </cell>
          <cell r="CL7093">
            <v>7848.0469999999996</v>
          </cell>
          <cell r="CM7093" t="str">
            <v xml:space="preserve">NFT-/XUTR/DEUTH02435368219X </v>
          </cell>
          <cell r="CN7093" t="str">
            <v>2024-12-18</v>
          </cell>
          <cell r="CO7093">
            <v>596.90800000000002</v>
          </cell>
        </row>
        <row r="7094">
          <cell r="CJ7094" t="str">
            <v xml:space="preserve">NFT-/XUTR/DEUTH02435367773X </v>
          </cell>
          <cell r="CK7094" t="str">
            <v>2024-12-18</v>
          </cell>
          <cell r="CL7094">
            <v>7761.2250000000004</v>
          </cell>
          <cell r="CM7094" t="str">
            <v xml:space="preserve">NFT-/XUTR/DEUTH02435368219X </v>
          </cell>
          <cell r="CN7094" t="str">
            <v>2024-12-18</v>
          </cell>
          <cell r="CO7094">
            <v>664.84</v>
          </cell>
        </row>
        <row r="7095">
          <cell r="CJ7095" t="str">
            <v xml:space="preserve">NFT-/XUTR/DEUTH02435367773X </v>
          </cell>
          <cell r="CK7095" t="str">
            <v>2024-12-18</v>
          </cell>
          <cell r="CL7095">
            <v>38814.232000000004</v>
          </cell>
          <cell r="CM7095" t="str">
            <v xml:space="preserve">NFT-/XUTR/DEUTH02435368219X </v>
          </cell>
          <cell r="CN7095" t="str">
            <v>2024-12-18</v>
          </cell>
          <cell r="CO7095">
            <v>2911.7240000000002</v>
          </cell>
        </row>
        <row r="7096">
          <cell r="CJ7096" t="str">
            <v xml:space="preserve">NFT-/XUTR/DEUTH02435367773X </v>
          </cell>
          <cell r="CK7096" t="str">
            <v>2024-12-18</v>
          </cell>
          <cell r="CL7096">
            <v>80335.418999999994</v>
          </cell>
          <cell r="CM7096" t="str">
            <v xml:space="preserve">NFT-/XUTR/DEUTH02435368219X </v>
          </cell>
          <cell r="CN7096" t="str">
            <v>2024-12-18</v>
          </cell>
          <cell r="CO7096">
            <v>2911.7240000000002</v>
          </cell>
        </row>
        <row r="7097">
          <cell r="CJ7097" t="str">
            <v xml:space="preserve">NFT-/XUTR/DEUTH02435367773X </v>
          </cell>
          <cell r="CK7097" t="str">
            <v>2024-12-18</v>
          </cell>
          <cell r="CL7097">
            <v>31886.777999999998</v>
          </cell>
          <cell r="CM7097" t="str">
            <v xml:space="preserve">NFT-/XUTR/DEUTH02435368219X </v>
          </cell>
          <cell r="CN7097" t="str">
            <v>2024-12-18</v>
          </cell>
          <cell r="CO7097">
            <v>2045.97</v>
          </cell>
        </row>
        <row r="7098">
          <cell r="CJ7098" t="str">
            <v xml:space="preserve">NFT-/XUTR/DEUTH02435367773X </v>
          </cell>
          <cell r="CK7098" t="str">
            <v>2024-12-18</v>
          </cell>
          <cell r="CL7098">
            <v>82130.982000000004</v>
          </cell>
          <cell r="CM7098" t="str">
            <v xml:space="preserve">NFT-/XUTR/DEUTH02435578930X </v>
          </cell>
          <cell r="CN7098" t="str">
            <v>2024-12-20</v>
          </cell>
          <cell r="CO7098">
            <v>-82130.982000000004</v>
          </cell>
        </row>
        <row r="7099">
          <cell r="CJ7099" t="str">
            <v xml:space="preserve">NFT-/XUTR/DEUTH02435367773X </v>
          </cell>
          <cell r="CK7099" t="str">
            <v>2024-12-18</v>
          </cell>
          <cell r="CL7099">
            <v>39538.277000000002</v>
          </cell>
          <cell r="CM7099" t="str">
            <v xml:space="preserve">NFT-/XUTR/DEUTH02435368219X </v>
          </cell>
          <cell r="CN7099" t="str">
            <v>2024-12-18</v>
          </cell>
          <cell r="CO7099">
            <v>2187.6799999999998</v>
          </cell>
        </row>
        <row r="7100">
          <cell r="CJ7100" t="str">
            <v xml:space="preserve">NFT-/XUTR/DEUTH02435367773X </v>
          </cell>
          <cell r="CK7100" t="str">
            <v>2024-12-18</v>
          </cell>
          <cell r="CL7100">
            <v>7829.1670000000004</v>
          </cell>
          <cell r="CM7100" t="str">
            <v xml:space="preserve">NFT-/XUTR/DEUTH02435368219X </v>
          </cell>
          <cell r="CN7100" t="str">
            <v>2024-12-18</v>
          </cell>
          <cell r="CO7100">
            <v>596.90800000000002</v>
          </cell>
        </row>
        <row r="7101">
          <cell r="CJ7101" t="str">
            <v xml:space="preserve">NFT-/XUTR/DEUTH02435367773X </v>
          </cell>
          <cell r="CK7101" t="str">
            <v>2024-12-18</v>
          </cell>
          <cell r="CL7101">
            <v>8561.4150000000009</v>
          </cell>
        </row>
        <row r="7102">
          <cell r="CJ7102" t="str">
            <v xml:space="preserve">NFT-/XUTR/DEUTH02435367773X </v>
          </cell>
          <cell r="CK7102" t="str">
            <v>2024-12-18</v>
          </cell>
          <cell r="CL7102">
            <v>79200.377999999997</v>
          </cell>
          <cell r="CM7102" t="str">
            <v xml:space="preserve">NFT-/XUTR/DEUTH02435368219X </v>
          </cell>
          <cell r="CN7102" t="str">
            <v>2024-12-18</v>
          </cell>
          <cell r="CO7102">
            <v>2911.7240000000002</v>
          </cell>
        </row>
        <row r="7103">
          <cell r="CJ7103" t="str">
            <v xml:space="preserve">NFT-/XUTR/DEUTH02435367773X </v>
          </cell>
          <cell r="CK7103" t="str">
            <v>2024-12-18</v>
          </cell>
          <cell r="CL7103">
            <v>38814.233</v>
          </cell>
          <cell r="CM7103" t="str">
            <v xml:space="preserve">NFT-/XUTR/DEUTH02435368219X </v>
          </cell>
          <cell r="CN7103" t="str">
            <v>2024-12-18</v>
          </cell>
          <cell r="CO7103">
            <v>2911.723</v>
          </cell>
        </row>
        <row r="7104">
          <cell r="CJ7104" t="str">
            <v xml:space="preserve">NFT-/XUTR/DEUTH02435367773X </v>
          </cell>
          <cell r="CK7104" t="str">
            <v>2024-12-18</v>
          </cell>
          <cell r="CL7104">
            <v>7829.1670000000004</v>
          </cell>
          <cell r="CM7104" t="str">
            <v xml:space="preserve">NFT-/XUTR/DEUTH02435368219X </v>
          </cell>
          <cell r="CN7104" t="str">
            <v>2024-12-18</v>
          </cell>
          <cell r="CO7104">
            <v>596.90800000000002</v>
          </cell>
        </row>
        <row r="7105">
          <cell r="CJ7105" t="str">
            <v xml:space="preserve">NFT-/XUTR/DEUTH02435367773X </v>
          </cell>
          <cell r="CK7105" t="str">
            <v>2024-12-18</v>
          </cell>
          <cell r="CL7105">
            <v>39718.803</v>
          </cell>
          <cell r="CM7105" t="str">
            <v xml:space="preserve">NFT-/XUTR/DEUTH02435368219X </v>
          </cell>
          <cell r="CN7105" t="str">
            <v>2024-12-18</v>
          </cell>
          <cell r="CO7105">
            <v>2540.9690000000001</v>
          </cell>
        </row>
        <row r="7106">
          <cell r="CJ7106" t="str">
            <v xml:space="preserve">NFT-/XUTR/DEUTH02435367773X </v>
          </cell>
          <cell r="CK7106" t="str">
            <v>2024-12-18</v>
          </cell>
          <cell r="CL7106">
            <v>7999.982</v>
          </cell>
          <cell r="CM7106" t="str">
            <v xml:space="preserve">NFT-/XUTR/DEUTH02435368219X </v>
          </cell>
          <cell r="CN7106" t="str">
            <v>2024-12-18</v>
          </cell>
          <cell r="CO7106">
            <v>426.08300000000003</v>
          </cell>
        </row>
        <row r="7107">
          <cell r="CJ7107" t="str">
            <v xml:space="preserve">NFT-/XUTR/DEUTH02435367773X </v>
          </cell>
          <cell r="CK7107" t="str">
            <v>2024-12-18</v>
          </cell>
          <cell r="CL7107">
            <v>38814.232000000004</v>
          </cell>
          <cell r="CM7107" t="str">
            <v xml:space="preserve">NFT-/XUTR/DEUTH02435368219X </v>
          </cell>
          <cell r="CN7107" t="str">
            <v>2024-12-18</v>
          </cell>
          <cell r="CO7107">
            <v>2911.7240000000002</v>
          </cell>
        </row>
        <row r="7108">
          <cell r="CJ7108" t="str">
            <v xml:space="preserve">NFT-/XUTR/DEUTH02435578930X </v>
          </cell>
          <cell r="CK7108" t="str">
            <v>2024-12-20</v>
          </cell>
          <cell r="CL7108">
            <v>40038.127</v>
          </cell>
          <cell r="CM7108" t="str">
            <v xml:space="preserve">NFT-/XUTR/DEUTH02435599641X </v>
          </cell>
          <cell r="CN7108" t="str">
            <v>2024-12-20</v>
          </cell>
          <cell r="CO7108">
            <v>2561.3470000000002</v>
          </cell>
        </row>
        <row r="7109">
          <cell r="CJ7109" t="str">
            <v xml:space="preserve">NFT-/XUTR/DEUTH02435578930X </v>
          </cell>
          <cell r="CK7109" t="str">
            <v>2024-12-20</v>
          </cell>
          <cell r="CL7109">
            <v>83369.438999999998</v>
          </cell>
          <cell r="CM7109" t="str">
            <v xml:space="preserve">NFT-/XUTR/DEUTH02435599641X </v>
          </cell>
          <cell r="CN7109" t="str">
            <v>2024-12-20</v>
          </cell>
          <cell r="CO7109">
            <v>489.17399999999998</v>
          </cell>
        </row>
        <row r="7110">
          <cell r="CJ7110" t="str">
            <v xml:space="preserve">NFT-/XUTR/DEUTH02435578930X </v>
          </cell>
          <cell r="CK7110" t="str">
            <v>2024-12-20</v>
          </cell>
          <cell r="CL7110">
            <v>8629.357</v>
          </cell>
        </row>
        <row r="7111">
          <cell r="CJ7111" t="str">
            <v xml:space="preserve">NFT-/XUTR/DEUTH02435578930X </v>
          </cell>
          <cell r="CK7111" t="str">
            <v>2024-12-20</v>
          </cell>
          <cell r="CL7111">
            <v>40038.127</v>
          </cell>
          <cell r="CM7111" t="str">
            <v xml:space="preserve">NFT-/XUTR/DEUTH02435599641X </v>
          </cell>
          <cell r="CN7111" t="str">
            <v>2024-12-20</v>
          </cell>
          <cell r="CO7111">
            <v>2561.3470000000002</v>
          </cell>
        </row>
        <row r="7112">
          <cell r="CJ7112" t="str">
            <v xml:space="preserve">NFT-/XUTR/DEUTH02435578930X </v>
          </cell>
          <cell r="CK7112" t="str">
            <v>2024-12-20</v>
          </cell>
          <cell r="CL7112">
            <v>8106.2179999999998</v>
          </cell>
          <cell r="CM7112" t="str">
            <v xml:space="preserve">NFT-/XUTR/DEUTH02435599641X </v>
          </cell>
          <cell r="CN7112" t="str">
            <v>2024-12-20</v>
          </cell>
          <cell r="CO7112">
            <v>523.14</v>
          </cell>
        </row>
        <row r="7113">
          <cell r="CJ7113" t="str">
            <v xml:space="preserve">NFT-/XUTR/DEUTH02435578930X </v>
          </cell>
          <cell r="CK7113" t="str">
            <v>2024-12-20</v>
          </cell>
          <cell r="CL7113">
            <v>6018.5069999999996</v>
          </cell>
        </row>
        <row r="7114">
          <cell r="CJ7114" t="str">
            <v xml:space="preserve">NFT-/XUTR/DEUTH02435578930X </v>
          </cell>
          <cell r="CK7114" t="str">
            <v>2024-12-20</v>
          </cell>
          <cell r="CL7114">
            <v>7982.9570000000003</v>
          </cell>
          <cell r="CM7114" t="str">
            <v xml:space="preserve">NFT-/XUTR/DEUTH02435599641X </v>
          </cell>
          <cell r="CN7114" t="str">
            <v>2024-12-20</v>
          </cell>
          <cell r="CO7114">
            <v>646.4</v>
          </cell>
        </row>
        <row r="7115">
          <cell r="CJ7115" t="str">
            <v xml:space="preserve">NFT-/XUTR/DEUTH02435578930X </v>
          </cell>
          <cell r="CK7115" t="str">
            <v>2024-12-20</v>
          </cell>
          <cell r="CL7115">
            <v>40038.127</v>
          </cell>
          <cell r="CM7115" t="str">
            <v xml:space="preserve">NFT-/XUTR/DEUTH02435599641X </v>
          </cell>
          <cell r="CN7115" t="str">
            <v>2024-12-20</v>
          </cell>
          <cell r="CO7115">
            <v>2561.3470000000002</v>
          </cell>
        </row>
        <row r="7116">
          <cell r="CJ7116" t="str">
            <v xml:space="preserve">NFT-/XUTR/DEUTH02435578930X </v>
          </cell>
          <cell r="CK7116" t="str">
            <v>2024-12-20</v>
          </cell>
          <cell r="CL7116">
            <v>16080.457</v>
          </cell>
          <cell r="CM7116" t="str">
            <v xml:space="preserve">NFT-/XUTR/DEUTH02435599641X </v>
          </cell>
          <cell r="CN7116" t="str">
            <v>2024-12-20</v>
          </cell>
          <cell r="CO7116">
            <v>1031.7180000000001</v>
          </cell>
        </row>
        <row r="7117">
          <cell r="CJ7117" t="str">
            <v xml:space="preserve">NFT-/XUTR/DEUTH02435578930X </v>
          </cell>
          <cell r="CK7117" t="str">
            <v>2024-12-20</v>
          </cell>
          <cell r="CL7117">
            <v>40534.964999999997</v>
          </cell>
          <cell r="CM7117" t="str">
            <v xml:space="preserve">NFT-/XUTR/DEUTH02435599641X </v>
          </cell>
          <cell r="CN7117" t="str">
            <v>2024-12-20</v>
          </cell>
          <cell r="CO7117">
            <v>2610.85</v>
          </cell>
        </row>
        <row r="7118">
          <cell r="CJ7118" t="str">
            <v xml:space="preserve">NFT-/XUTR/DEUTH02435578930X </v>
          </cell>
          <cell r="CK7118" t="str">
            <v>2024-12-20</v>
          </cell>
          <cell r="CL7118">
            <v>40038.127</v>
          </cell>
          <cell r="CM7118" t="str">
            <v xml:space="preserve">NFT-/XUTR/DEUTH02435599641X </v>
          </cell>
          <cell r="CN7118" t="str">
            <v>2024-12-20</v>
          </cell>
          <cell r="CO7118">
            <v>2561.3470000000002</v>
          </cell>
        </row>
        <row r="7119">
          <cell r="CJ7119" t="str">
            <v xml:space="preserve">NFT-/XUTR/DEUTH02435578930X </v>
          </cell>
          <cell r="CK7119" t="str">
            <v>2024-12-20</v>
          </cell>
          <cell r="CL7119">
            <v>32146.883999999998</v>
          </cell>
          <cell r="CM7119" t="str">
            <v xml:space="preserve">NFT-/XUTR/DEUTH02435599641X </v>
          </cell>
          <cell r="CN7119" t="str">
            <v>2024-12-20</v>
          </cell>
          <cell r="CO7119">
            <v>2057.62</v>
          </cell>
        </row>
        <row r="7121">
          <cell r="CJ7121" t="str">
            <v xml:space="preserve">NFT-/XUTR/DEUTH02435578930X </v>
          </cell>
          <cell r="CK7121" t="str">
            <v>2024-12-20</v>
          </cell>
          <cell r="CL7121">
            <v>40038.127</v>
          </cell>
          <cell r="CM7121" t="str">
            <v xml:space="preserve">NFT-/XUTR/DEUTH02435599641X </v>
          </cell>
          <cell r="CN7121" t="str">
            <v>2024-12-20</v>
          </cell>
          <cell r="CO7121">
            <v>2561.3470000000002</v>
          </cell>
        </row>
        <row r="7122">
          <cell r="CJ7122" t="str">
            <v xml:space="preserve">NFT-/XUTR/DEUTH02435578930X </v>
          </cell>
          <cell r="CK7122" t="str">
            <v>2024-12-20</v>
          </cell>
          <cell r="CL7122">
            <v>40038.127</v>
          </cell>
          <cell r="CM7122" t="str">
            <v xml:space="preserve">NFT-/XUTR/DEUTH02435599641X </v>
          </cell>
          <cell r="CN7122" t="str">
            <v>2024-12-20</v>
          </cell>
          <cell r="CO7122">
            <v>2561.3470000000002</v>
          </cell>
        </row>
        <row r="7123">
          <cell r="CJ7123" t="str">
            <v xml:space="preserve">NFT-/XUTR/DEUTH02435578930X </v>
          </cell>
          <cell r="CK7123" t="str">
            <v>2024-12-20</v>
          </cell>
          <cell r="CL7123">
            <v>16061.576999999999</v>
          </cell>
          <cell r="CM7123" t="str">
            <v xml:space="preserve">NFT-/XUTR/DEUTH02435599641X </v>
          </cell>
          <cell r="CN7123" t="str">
            <v>2024-12-20</v>
          </cell>
          <cell r="CO7123">
            <v>1031.7180000000001</v>
          </cell>
        </row>
        <row r="7124">
          <cell r="CJ7124" t="str">
            <v xml:space="preserve">NFT-/XUTR/DEUTH02435578930X </v>
          </cell>
          <cell r="CK7124" t="str">
            <v>2024-12-20</v>
          </cell>
          <cell r="CL7124">
            <v>8087.3379999999997</v>
          </cell>
          <cell r="CM7124" t="str">
            <v xml:space="preserve">NFT-/XUTR/DEUTH02435599641X </v>
          </cell>
          <cell r="CN7124" t="str">
            <v>2024-12-20</v>
          </cell>
          <cell r="CO7124">
            <v>523.14</v>
          </cell>
        </row>
        <row r="7125">
          <cell r="CJ7125" t="str">
            <v xml:space="preserve">NFT-/XUTR/DEUTH02435578930X </v>
          </cell>
          <cell r="CK7125" t="str">
            <v>2024-12-20</v>
          </cell>
          <cell r="CL7125">
            <v>8106.2179999999998</v>
          </cell>
          <cell r="CM7125" t="str">
            <v xml:space="preserve">NFT-/XUTR/DEUTH02435599641X </v>
          </cell>
          <cell r="CN7125" t="str">
            <v>2024-12-20</v>
          </cell>
          <cell r="CO7125">
            <v>523.14</v>
          </cell>
        </row>
        <row r="7126">
          <cell r="CJ7126" t="str">
            <v xml:space="preserve">NFT-/XUTR/DEUTH02435578930X </v>
          </cell>
          <cell r="CK7126" t="str">
            <v>2024-12-20</v>
          </cell>
          <cell r="CL7126">
            <v>8087.3379999999997</v>
          </cell>
          <cell r="CM7126" t="str">
            <v xml:space="preserve">NFT-/XUTR/DEUTH02435599641X </v>
          </cell>
          <cell r="CN7126" t="str">
            <v>2024-12-20</v>
          </cell>
          <cell r="CO7126">
            <v>523.14</v>
          </cell>
        </row>
        <row r="7127">
          <cell r="CJ7127" t="str">
            <v xml:space="preserve">NFT-/XUTR/DEUTH02435578930X </v>
          </cell>
          <cell r="CK7127" t="str">
            <v>2024-12-20</v>
          </cell>
          <cell r="CL7127">
            <v>40038.127</v>
          </cell>
          <cell r="CM7127" t="str">
            <v xml:space="preserve">NFT-/XUTR/DEUTH02435599641X </v>
          </cell>
          <cell r="CN7127" t="str">
            <v>2024-12-20</v>
          </cell>
          <cell r="CO7127">
            <v>2561.3470000000002</v>
          </cell>
        </row>
        <row r="7128">
          <cell r="CJ7128" t="str">
            <v xml:space="preserve">NFT-/XUTR/DEUTH02435578930X </v>
          </cell>
          <cell r="CK7128" t="str">
            <v>2024-12-20</v>
          </cell>
          <cell r="CL7128">
            <v>42580.593999999997</v>
          </cell>
        </row>
        <row r="7129">
          <cell r="CJ7129" t="str">
            <v xml:space="preserve">NFT-/XUTR/DEUTH02435578930X </v>
          </cell>
          <cell r="CK7129" t="str">
            <v>2024-12-20</v>
          </cell>
          <cell r="CL7129">
            <v>42977.991999999998</v>
          </cell>
        </row>
        <row r="7130">
          <cell r="CJ7130" t="str">
            <v xml:space="preserve">NFT-/XUTR/DEUTH02435578930X </v>
          </cell>
          <cell r="CK7130" t="str">
            <v>2024-12-20</v>
          </cell>
          <cell r="CL7130">
            <v>171618.91800000001</v>
          </cell>
          <cell r="CM7130" t="str">
            <v xml:space="preserve">NFT-/XUTR/DEUTH02435857292X </v>
          </cell>
          <cell r="CN7130" t="str">
            <v>2024-12-23</v>
          </cell>
          <cell r="CO7130">
            <v>-171618.91800000001</v>
          </cell>
        </row>
        <row r="7131">
          <cell r="CJ7131" t="str">
            <v xml:space="preserve">NFT-/XUTR/DEUTH02435578930X </v>
          </cell>
          <cell r="CK7131" t="str">
            <v>2024-12-20</v>
          </cell>
          <cell r="CL7131">
            <v>34496.652000000002</v>
          </cell>
        </row>
        <row r="7132">
          <cell r="CJ7132" t="str">
            <v xml:space="preserve">NFT-/XUTR/DEUTH02435578930X </v>
          </cell>
          <cell r="CK7132" t="str">
            <v>2024-12-20</v>
          </cell>
          <cell r="CL7132">
            <v>8678.42</v>
          </cell>
        </row>
        <row r="7133">
          <cell r="CJ7133" t="str">
            <v xml:space="preserve">NFT-/XUTR/DEUTH02435578930X </v>
          </cell>
          <cell r="CK7133" t="str">
            <v>2024-12-20</v>
          </cell>
          <cell r="CL7133">
            <v>17394.59</v>
          </cell>
        </row>
        <row r="7134">
          <cell r="CJ7134" t="str">
            <v xml:space="preserve">NFT-/XUTR/DEUTH02435578930X </v>
          </cell>
          <cell r="CK7134" t="str">
            <v>2024-12-20</v>
          </cell>
          <cell r="CL7134">
            <v>42977.991999999998</v>
          </cell>
        </row>
        <row r="7135">
          <cell r="CJ7135" t="str">
            <v xml:space="preserve">NFT-/XUTR/DEUTH02435857292X </v>
          </cell>
          <cell r="CK7135" t="str">
            <v>2024-12-23</v>
          </cell>
          <cell r="CL7135">
            <v>83859.135999999999</v>
          </cell>
        </row>
        <row r="7136">
          <cell r="CJ7136" t="str">
            <v xml:space="preserve">NFT-/XUTR/DEUTH02435857292X </v>
          </cell>
          <cell r="CK7136" t="str">
            <v>2024-12-23</v>
          </cell>
          <cell r="CL7136">
            <v>5295.4279999999999</v>
          </cell>
          <cell r="CM7136" t="str">
            <v xml:space="preserve">NFT-/XUTR/DEUTH02435878630X </v>
          </cell>
          <cell r="CN7136" t="str">
            <v>2024-12-23</v>
          </cell>
          <cell r="CO7136">
            <v>596.90700000000004</v>
          </cell>
        </row>
        <row r="7137">
          <cell r="CJ7137" t="str">
            <v xml:space="preserve">NFT-/XUTR/DEUTH02435857292X </v>
          </cell>
          <cell r="CK7137" t="str">
            <v>2024-12-23</v>
          </cell>
          <cell r="CL7137">
            <v>42590.296000000002</v>
          </cell>
        </row>
        <row r="7138">
          <cell r="CJ7138" t="str">
            <v xml:space="preserve">NFT-/XUTR/DEUTH02435857292X </v>
          </cell>
          <cell r="CK7138" t="str">
            <v>2024-12-23</v>
          </cell>
          <cell r="CL7138">
            <v>17112.174999999999</v>
          </cell>
        </row>
        <row r="7139">
          <cell r="CJ7139" t="str">
            <v xml:space="preserve">NFT-/XUTR/DEUTH02435857292X </v>
          </cell>
          <cell r="CK7139" t="str">
            <v>2024-12-23</v>
          </cell>
          <cell r="CL7139">
            <v>8025.6610000000001</v>
          </cell>
          <cell r="CM7139" t="str">
            <v xml:space="preserve">NFT-/XUTR/DEUTH02435878630X </v>
          </cell>
          <cell r="CN7139" t="str">
            <v>2024-12-23</v>
          </cell>
          <cell r="CO7139">
            <v>603.69600000000003</v>
          </cell>
        </row>
        <row r="7141">
          <cell r="CJ7141" t="str">
            <v xml:space="preserve">NFT-/XUTR/DEUTH02435857292X </v>
          </cell>
          <cell r="CK7141" t="str">
            <v>2024-12-23</v>
          </cell>
          <cell r="CL7141">
            <v>16233.366</v>
          </cell>
          <cell r="CM7141" t="str">
            <v xml:space="preserve">NFT-/XUTR/DEUTH02435878630X </v>
          </cell>
          <cell r="CN7141" t="str">
            <v>2024-12-23</v>
          </cell>
          <cell r="CO7141">
            <v>859.92899999999997</v>
          </cell>
          <cell r="CP7141" t="str">
            <v xml:space="preserve">NFT-/XUTR/DEUTH02500370901X </v>
          </cell>
          <cell r="CQ7141" t="str">
            <v>2025-01-03</v>
          </cell>
          <cell r="CR7141">
            <v>-16233.366</v>
          </cell>
          <cell r="CS7141" t="str">
            <v xml:space="preserve">NFT-/XUTR/DEUTH02500685844X </v>
          </cell>
          <cell r="CT7141" t="str">
            <v>2025-01-06</v>
          </cell>
          <cell r="CU7141">
            <v>-859.92899999999997</v>
          </cell>
        </row>
        <row r="7142">
          <cell r="CJ7142" t="str">
            <v xml:space="preserve">NFT-/XUTR/DEUTH02435857292X </v>
          </cell>
          <cell r="CK7142" t="str">
            <v>2024-12-23</v>
          </cell>
          <cell r="CL7142">
            <v>40456.006000000001</v>
          </cell>
          <cell r="CM7142" t="str">
            <v xml:space="preserve">NFT-/XUTR/DEUTH02435878630X </v>
          </cell>
          <cell r="CN7142" t="str">
            <v>2024-12-23</v>
          </cell>
          <cell r="CO7142">
            <v>2134.29</v>
          </cell>
        </row>
        <row r="7143">
          <cell r="CJ7143" t="str">
            <v xml:space="preserve">NFT-/XUTR/DEUTH02435857292X </v>
          </cell>
          <cell r="CK7143" t="str">
            <v>2024-12-23</v>
          </cell>
          <cell r="CL7143">
            <v>7496.6959999999999</v>
          </cell>
          <cell r="CM7143" t="str">
            <v xml:space="preserve">NFT-/XUTR/DEUTH02435878630X </v>
          </cell>
          <cell r="CN7143" t="str">
            <v>2024-12-23</v>
          </cell>
          <cell r="CO7143">
            <v>1132.663</v>
          </cell>
        </row>
        <row r="7144">
          <cell r="CJ7144" t="str">
            <v xml:space="preserve">NFT-/XUTR/DEUTH02435857292X </v>
          </cell>
          <cell r="CK7144" t="str">
            <v>2024-12-23</v>
          </cell>
          <cell r="CL7144">
            <v>8174.683</v>
          </cell>
          <cell r="CM7144" t="str">
            <v xml:space="preserve">NFT-/XUTR/DEUTH02435878630X </v>
          </cell>
          <cell r="CN7144" t="str">
            <v>2024-12-23</v>
          </cell>
          <cell r="CO7144">
            <v>435.78399999999999</v>
          </cell>
        </row>
        <row r="7145">
          <cell r="CJ7145" t="str">
            <v xml:space="preserve">NFT-/XUTR/DEUTH02435857292X </v>
          </cell>
          <cell r="CK7145" t="str">
            <v>2024-12-23</v>
          </cell>
          <cell r="CL7145">
            <v>7240.4629999999997</v>
          </cell>
          <cell r="CM7145" t="str">
            <v xml:space="preserve">NFT-/XUTR/DEUTH02435878630X </v>
          </cell>
          <cell r="CN7145" t="str">
            <v>2024-12-23</v>
          </cell>
          <cell r="CO7145">
            <v>1291.836</v>
          </cell>
        </row>
        <row r="7146">
          <cell r="CJ7146" t="str">
            <v xml:space="preserve">NFT-/XUTR/DEUTH02435857292X </v>
          </cell>
          <cell r="CK7146" t="str">
            <v>2024-12-23</v>
          </cell>
          <cell r="CL7146">
            <v>7322.9579999999996</v>
          </cell>
          <cell r="CM7146" t="str">
            <v xml:space="preserve">NFT-/XUTR/DEUTH02435878630X </v>
          </cell>
          <cell r="CN7146" t="str">
            <v>2024-12-23</v>
          </cell>
          <cell r="CO7146">
            <v>1306.3889999999999</v>
          </cell>
        </row>
        <row r="7147">
          <cell r="CJ7147" t="str">
            <v xml:space="preserve">NFT-/XUTR/DEUTH02435857292X </v>
          </cell>
          <cell r="CK7147" t="str">
            <v>2024-12-23</v>
          </cell>
          <cell r="CL7147">
            <v>7322.9579999999996</v>
          </cell>
          <cell r="CM7147" t="str">
            <v xml:space="preserve">NFT-/XUTR/DEUTH02435878630X </v>
          </cell>
          <cell r="CN7147" t="str">
            <v>2024-12-23</v>
          </cell>
          <cell r="CO7147">
            <v>1306.3889999999999</v>
          </cell>
        </row>
        <row r="7149">
          <cell r="CJ7149" t="str">
            <v xml:space="preserve">NFT-/XUTR/DEUTH02435857292X </v>
          </cell>
          <cell r="CK7149" t="str">
            <v>2024-12-23</v>
          </cell>
          <cell r="CL7149">
            <v>32486.588</v>
          </cell>
          <cell r="CM7149" t="str">
            <v xml:space="preserve">NFT-/XUTR/DEUTH02435878630X </v>
          </cell>
          <cell r="CN7149" t="str">
            <v>2024-12-23</v>
          </cell>
          <cell r="CO7149">
            <v>1719.8579999999999</v>
          </cell>
        </row>
        <row r="7150">
          <cell r="CJ7150" t="str">
            <v xml:space="preserve">NFT-/XUTR/DEUTH02435857292X </v>
          </cell>
          <cell r="CK7150" t="str">
            <v>2024-12-23</v>
          </cell>
          <cell r="CL7150">
            <v>6873.5860000000002</v>
          </cell>
          <cell r="CM7150" t="str">
            <v xml:space="preserve">NFT-/XUTR/DEUTH02435878630X </v>
          </cell>
          <cell r="CN7150" t="str">
            <v>2024-12-23</v>
          </cell>
          <cell r="CO7150">
            <v>1658.7149999999999</v>
          </cell>
        </row>
        <row r="7151">
          <cell r="CJ7151" t="str">
            <v xml:space="preserve">NFT-/XUTR/DEUTH02435857292X </v>
          </cell>
          <cell r="CK7151" t="str">
            <v>2024-12-23</v>
          </cell>
          <cell r="CL7151">
            <v>32760.137999999999</v>
          </cell>
          <cell r="CM7151" t="str">
            <v xml:space="preserve">NFT-/XUTR/DEUTH02435878630X </v>
          </cell>
          <cell r="CN7151" t="str">
            <v>2024-12-23</v>
          </cell>
          <cell r="CO7151">
            <v>1739.27</v>
          </cell>
        </row>
        <row r="7152">
          <cell r="CJ7152" t="str">
            <v xml:space="preserve">NFT-/XUTR/DEUTH02435857292X </v>
          </cell>
          <cell r="CK7152" t="str">
            <v>2024-12-23</v>
          </cell>
          <cell r="CL7152">
            <v>16249.44</v>
          </cell>
          <cell r="CM7152" t="str">
            <v xml:space="preserve">NFT-/XUTR/DEUTH02435878630X </v>
          </cell>
          <cell r="CN7152" t="str">
            <v>2024-12-23</v>
          </cell>
          <cell r="CO7152">
            <v>858.95500000000004</v>
          </cell>
        </row>
        <row r="7153">
          <cell r="CJ7153" t="str">
            <v xml:space="preserve">NFT-/XUTR/DEUTH02435857292X </v>
          </cell>
          <cell r="CK7153" t="str">
            <v>2024-12-23</v>
          </cell>
          <cell r="CL7153">
            <v>7322.9579999999996</v>
          </cell>
          <cell r="CM7153" t="str">
            <v xml:space="preserve">NFT-/XUTR/DEUTH02435878630X </v>
          </cell>
          <cell r="CN7153" t="str">
            <v>2024-12-23</v>
          </cell>
          <cell r="CO7153">
            <v>1306.3889999999999</v>
          </cell>
          <cell r="CP7153" t="str">
            <v xml:space="preserve">NFT-/XUTR/DEUTH02500370901X </v>
          </cell>
          <cell r="CQ7153" t="str">
            <v>2025-01-03</v>
          </cell>
          <cell r="CR7153">
            <v>-7322.9579999999996</v>
          </cell>
          <cell r="CS7153" t="str">
            <v xml:space="preserve">NFT-/XUTR/DEUTH02500685844X </v>
          </cell>
          <cell r="CT7153" t="str">
            <v>2025-01-06</v>
          </cell>
          <cell r="CU7153">
            <v>-1306.3889999999999</v>
          </cell>
        </row>
        <row r="7154">
          <cell r="CJ7154" t="str">
            <v xml:space="preserve">NFT-/XUTR/DEUTH02435857292X </v>
          </cell>
          <cell r="CK7154" t="str">
            <v>2024-12-23</v>
          </cell>
          <cell r="CL7154">
            <v>14946.831</v>
          </cell>
          <cell r="CM7154" t="str">
            <v xml:space="preserve">NFT-/XUTR/DEUTH02435878630X </v>
          </cell>
          <cell r="CN7154" t="str">
            <v>2024-12-23</v>
          </cell>
          <cell r="CO7154">
            <v>2165.3539999999998</v>
          </cell>
        </row>
        <row r="7155">
          <cell r="CJ7155" t="str">
            <v xml:space="preserve">NFT-/XUTR/DEUTH02435857292X </v>
          </cell>
          <cell r="CK7155" t="str">
            <v>2024-12-23</v>
          </cell>
          <cell r="CL7155">
            <v>7221.5839999999998</v>
          </cell>
          <cell r="CM7155" t="str">
            <v xml:space="preserve">NFT-/XUTR/DEUTH02435878630X </v>
          </cell>
          <cell r="CN7155" t="str">
            <v>2024-12-23</v>
          </cell>
          <cell r="CO7155">
            <v>1291.837</v>
          </cell>
        </row>
        <row r="7156">
          <cell r="CJ7156" t="str">
            <v xml:space="preserve">NFT-/XUTR/DEUTH02435857292X </v>
          </cell>
          <cell r="CK7156" t="str">
            <v>2024-12-23</v>
          </cell>
          <cell r="CL7156">
            <v>7221.5839999999998</v>
          </cell>
          <cell r="CM7156" t="str">
            <v xml:space="preserve">NFT-/XUTR/DEUTH02435878630X </v>
          </cell>
          <cell r="CN7156" t="str">
            <v>2024-12-23</v>
          </cell>
          <cell r="CO7156">
            <v>1291.837</v>
          </cell>
        </row>
        <row r="7157">
          <cell r="CJ7157" t="str">
            <v xml:space="preserve">NFT-/XUTR/DEUTH02435857292X </v>
          </cell>
          <cell r="CK7157" t="str">
            <v>2024-12-23</v>
          </cell>
          <cell r="CL7157">
            <v>7672.9049999999997</v>
          </cell>
          <cell r="CM7157" t="str">
            <v xml:space="preserve">NFT-/XUTR/DEUTH02435878630X </v>
          </cell>
          <cell r="CN7157" t="str">
            <v>2024-12-23</v>
          </cell>
          <cell r="CO7157">
            <v>840.51499999999999</v>
          </cell>
        </row>
        <row r="7158">
          <cell r="CJ7158" t="str">
            <v xml:space="preserve">NFT-/XUTR/DEUTH02435857292X </v>
          </cell>
          <cell r="CK7158" t="str">
            <v>2024-12-23</v>
          </cell>
          <cell r="CL7158">
            <v>7221.5839999999998</v>
          </cell>
          <cell r="CM7158" t="str">
            <v xml:space="preserve">NFT-/XUTR/DEUTH02435878630X </v>
          </cell>
          <cell r="CN7158" t="str">
            <v>2024-12-23</v>
          </cell>
          <cell r="CO7158">
            <v>1291.837</v>
          </cell>
        </row>
        <row r="7159">
          <cell r="CJ7159" t="str">
            <v xml:space="preserve">NFT-/XUTR/DEUTH02435857292X </v>
          </cell>
          <cell r="CK7159" t="str">
            <v>2024-12-23</v>
          </cell>
          <cell r="CL7159">
            <v>7240.4639999999999</v>
          </cell>
          <cell r="CM7159" t="str">
            <v xml:space="preserve">NFT-/XUTR/DEUTH02435878630X </v>
          </cell>
          <cell r="CN7159" t="str">
            <v>2024-12-23</v>
          </cell>
          <cell r="CO7159">
            <v>1291.837</v>
          </cell>
        </row>
        <row r="7160">
          <cell r="CJ7160" t="str">
            <v xml:space="preserve">NFT-/XUTR/DEUTH02435857292X </v>
          </cell>
          <cell r="CK7160" t="str">
            <v>2024-12-23</v>
          </cell>
          <cell r="CL7160">
            <v>7240.4639999999999</v>
          </cell>
          <cell r="CM7160" t="str">
            <v xml:space="preserve">NFT-/XUTR/DEUTH02435878630X </v>
          </cell>
          <cell r="CN7160" t="str">
            <v>2024-12-23</v>
          </cell>
          <cell r="CO7160">
            <v>1291.837</v>
          </cell>
        </row>
        <row r="7161">
          <cell r="CJ7161" t="str">
            <v xml:space="preserve">NFT-/XUTR/DEUTH02435857292X </v>
          </cell>
          <cell r="CK7161" t="str">
            <v>2024-12-23</v>
          </cell>
          <cell r="CL7161">
            <v>81218.638000000006</v>
          </cell>
          <cell r="CM7161" t="str">
            <v xml:space="preserve">NFT-/XUTR/DEUTH02435878630X </v>
          </cell>
          <cell r="CN7161" t="str">
            <v>2024-12-23</v>
          </cell>
          <cell r="CO7161">
            <v>2911.7240000000002</v>
          </cell>
          <cell r="CP7161" t="str">
            <v xml:space="preserve">NFT-/XUTR/DEUTH02500370901X </v>
          </cell>
          <cell r="CQ7161" t="str">
            <v>2025-01-03</v>
          </cell>
          <cell r="CR7161">
            <v>-81218.638000000006</v>
          </cell>
          <cell r="CS7161" t="str">
            <v xml:space="preserve">NFT-/XUTR/DEUTH02500685844X </v>
          </cell>
          <cell r="CT7161" t="str">
            <v>2025-01-06</v>
          </cell>
          <cell r="CU7161">
            <v>-2911.7240000000002</v>
          </cell>
        </row>
        <row r="7162">
          <cell r="CJ7162" t="str">
            <v xml:space="preserve">NFT-/XUTR/DEUTH02435857292X </v>
          </cell>
          <cell r="CK7162" t="str">
            <v>2024-12-23</v>
          </cell>
          <cell r="CL7162">
            <v>7240.4639999999999</v>
          </cell>
          <cell r="CM7162" t="str">
            <v xml:space="preserve">NFT-/XUTR/DEUTH02435878630X </v>
          </cell>
          <cell r="CN7162" t="str">
            <v>2024-12-23</v>
          </cell>
          <cell r="CO7162">
            <v>1291.837</v>
          </cell>
        </row>
        <row r="7163">
          <cell r="CJ7163" t="str">
            <v xml:space="preserve">NFT-/XUTR/DEUTH02435857292X </v>
          </cell>
          <cell r="CK7163" t="str">
            <v>2024-12-23</v>
          </cell>
          <cell r="CL7163">
            <v>6873.5860000000002</v>
          </cell>
          <cell r="CM7163" t="str">
            <v xml:space="preserve">NFT-/XUTR/DEUTH02435878630X </v>
          </cell>
          <cell r="CN7163" t="str">
            <v>2024-12-23</v>
          </cell>
          <cell r="CO7163">
            <v>1658.7149999999999</v>
          </cell>
        </row>
        <row r="7164">
          <cell r="CJ7164" t="str">
            <v xml:space="preserve">NFT-/XUTR/DEUTH02435857292X </v>
          </cell>
          <cell r="CK7164" t="str">
            <v>2024-12-23</v>
          </cell>
          <cell r="CL7164">
            <v>80248.062000000005</v>
          </cell>
          <cell r="CM7164" t="str">
            <v xml:space="preserve">NFT-/XUTR/DEUTH02435878630X </v>
          </cell>
          <cell r="CN7164" t="str">
            <v>2024-12-23</v>
          </cell>
          <cell r="CO7164">
            <v>3882.299</v>
          </cell>
        </row>
        <row r="7165">
          <cell r="CJ7165" t="str">
            <v xml:space="preserve">NFT-/XUTR/DEUTH02435857292X </v>
          </cell>
          <cell r="CK7165" t="str">
            <v>2024-12-23</v>
          </cell>
          <cell r="CL7165">
            <v>16899.18</v>
          </cell>
        </row>
        <row r="7166">
          <cell r="CJ7166" t="str">
            <v xml:space="preserve">NFT-/XUTR/DEUTH02435857292X </v>
          </cell>
          <cell r="CK7166" t="str">
            <v>2024-12-23</v>
          </cell>
          <cell r="CL7166">
            <v>7221.5839999999998</v>
          </cell>
          <cell r="CM7166" t="str">
            <v xml:space="preserve">NFT-/XUTR/DEUTH02435878630X </v>
          </cell>
          <cell r="CN7166" t="str">
            <v>2024-12-23</v>
          </cell>
          <cell r="CO7166">
            <v>1291.837</v>
          </cell>
        </row>
        <row r="7167">
          <cell r="CJ7167" t="str">
            <v xml:space="preserve">NFT-/XUTR/DEUTH02435857292X </v>
          </cell>
          <cell r="CK7167" t="str">
            <v>2024-12-23</v>
          </cell>
          <cell r="CL7167">
            <v>7221.5839999999998</v>
          </cell>
          <cell r="CM7167" t="str">
            <v xml:space="preserve">NFT-/XUTR/DEUTH02435878630X </v>
          </cell>
          <cell r="CN7167" t="str">
            <v>2024-12-23</v>
          </cell>
          <cell r="CO7167">
            <v>1291.837</v>
          </cell>
        </row>
        <row r="7168">
          <cell r="CJ7168" t="str">
            <v xml:space="preserve">NFT-/XUTR/DEUTH02435857292X </v>
          </cell>
          <cell r="CK7168" t="str">
            <v>2024-12-23</v>
          </cell>
          <cell r="CL7168">
            <v>7221.5839999999998</v>
          </cell>
          <cell r="CM7168" t="str">
            <v xml:space="preserve">NFT-/XUTR/DEUTH02435878630X </v>
          </cell>
          <cell r="CN7168" t="str">
            <v>2024-12-23</v>
          </cell>
          <cell r="CO7168">
            <v>1291.837</v>
          </cell>
        </row>
        <row r="7169">
          <cell r="CJ7169" t="str">
            <v xml:space="preserve">NFT-/XUTR/DEUTH02435857292X </v>
          </cell>
          <cell r="CK7169" t="str">
            <v>2024-12-23</v>
          </cell>
          <cell r="CL7169">
            <v>7221.5839999999998</v>
          </cell>
          <cell r="CM7169" t="str">
            <v xml:space="preserve">NFT-/XUTR/DEUTH02435878630X </v>
          </cell>
          <cell r="CN7169" t="str">
            <v>2024-12-23</v>
          </cell>
          <cell r="CO7169">
            <v>1291.837</v>
          </cell>
        </row>
        <row r="7170">
          <cell r="CJ7170" t="str">
            <v xml:space="preserve">NFT-/XUTR/DEUTH02435857292X </v>
          </cell>
          <cell r="CK7170" t="str">
            <v>2024-12-23</v>
          </cell>
          <cell r="CL7170">
            <v>7221.5839999999998</v>
          </cell>
          <cell r="CM7170" t="str">
            <v xml:space="preserve">NFT-/XUTR/DEUTH02435878630X </v>
          </cell>
          <cell r="CN7170" t="str">
            <v>2024-12-23</v>
          </cell>
          <cell r="CO7170">
            <v>1291.837</v>
          </cell>
        </row>
        <row r="7171">
          <cell r="CJ7171" t="str">
            <v xml:space="preserve">NFT-/XUTR/DEUTH02435857292X </v>
          </cell>
          <cell r="CK7171" t="str">
            <v>2024-12-23</v>
          </cell>
          <cell r="CL7171">
            <v>7221.5839999999998</v>
          </cell>
          <cell r="CM7171" t="str">
            <v xml:space="preserve">NFT-/XUTR/DEUTH02435878630X </v>
          </cell>
          <cell r="CN7171" t="str">
            <v>2024-12-23</v>
          </cell>
          <cell r="CO7171">
            <v>1291.837</v>
          </cell>
        </row>
        <row r="7172">
          <cell r="CJ7172" t="str">
            <v xml:space="preserve">NFT-/XUTR/DEUTH02435857292X </v>
          </cell>
          <cell r="CK7172" t="str">
            <v>2024-12-23</v>
          </cell>
          <cell r="CL7172">
            <v>38540.093999999997</v>
          </cell>
          <cell r="CM7172" t="str">
            <v xml:space="preserve">NFT-/XUTR/DEUTH02435878630X </v>
          </cell>
          <cell r="CN7172" t="str">
            <v>2024-12-23</v>
          </cell>
          <cell r="CO7172">
            <v>3574.627</v>
          </cell>
        </row>
        <row r="7173">
          <cell r="CJ7173" t="str">
            <v xml:space="preserve">NFT-/XUTR/DEUTH02435857292X </v>
          </cell>
          <cell r="CK7173" t="str">
            <v>2024-12-23</v>
          </cell>
          <cell r="CL7173">
            <v>7240.4639999999999</v>
          </cell>
          <cell r="CM7173" t="str">
            <v xml:space="preserve">NFT-/XUTR/DEUTH02435878630X </v>
          </cell>
          <cell r="CN7173" t="str">
            <v>2024-12-23</v>
          </cell>
          <cell r="CO7173">
            <v>1291.837</v>
          </cell>
        </row>
        <row r="7174">
          <cell r="CJ7174" t="str">
            <v xml:space="preserve">NFT-/XUTR/DEUTH02435857292X </v>
          </cell>
          <cell r="CK7174" t="str">
            <v>2024-12-23</v>
          </cell>
          <cell r="CL7174">
            <v>7221.5839999999998</v>
          </cell>
          <cell r="CM7174" t="str">
            <v xml:space="preserve">NFT-/XUTR/DEUTH02435878630X </v>
          </cell>
          <cell r="CN7174" t="str">
            <v>2024-12-23</v>
          </cell>
          <cell r="CO7174">
            <v>1291.837</v>
          </cell>
        </row>
        <row r="7175">
          <cell r="CJ7175" t="str">
            <v xml:space="preserve">NFT-/XUTR/DEUTH02435857292X </v>
          </cell>
          <cell r="CK7175" t="str">
            <v>2024-12-23</v>
          </cell>
          <cell r="CL7175">
            <v>8513.42</v>
          </cell>
        </row>
        <row r="7176">
          <cell r="CJ7176" t="str">
            <v xml:space="preserve">NFT-/XUTR/DEUTH02435857292X </v>
          </cell>
          <cell r="CK7176" t="str">
            <v>2024-12-23</v>
          </cell>
          <cell r="CL7176">
            <v>7652.518</v>
          </cell>
          <cell r="CM7176" t="str">
            <v xml:space="preserve">NFT-/XUTR/DEUTH02435878630X </v>
          </cell>
          <cell r="CN7176" t="str">
            <v>2024-12-23</v>
          </cell>
          <cell r="CO7176">
            <v>860.90300000000002</v>
          </cell>
        </row>
        <row r="7177">
          <cell r="CJ7177" t="str">
            <v xml:space="preserve">NFT-/XUTR/DEUTH02435857292X </v>
          </cell>
          <cell r="CK7177" t="str">
            <v>2024-12-23</v>
          </cell>
          <cell r="CL7177">
            <v>7214.2610000000004</v>
          </cell>
          <cell r="CM7177" t="str">
            <v xml:space="preserve">NFT-/XUTR/DEUTH02435878630X </v>
          </cell>
          <cell r="CN7177" t="str">
            <v>2024-12-23</v>
          </cell>
          <cell r="CO7177">
            <v>1318.038</v>
          </cell>
        </row>
        <row r="7178">
          <cell r="CJ7178" t="str">
            <v xml:space="preserve">NFT-/XUTR/DEUTH02435857292X </v>
          </cell>
          <cell r="CK7178" t="str">
            <v>2024-12-23</v>
          </cell>
          <cell r="CL7178">
            <v>8532.2999999999993</v>
          </cell>
          <cell r="CM7178" t="str">
            <v xml:space="preserve">NFT-/XUTR/DEUTH02500370901X </v>
          </cell>
          <cell r="CN7178" t="str">
            <v>2025-01-03</v>
          </cell>
          <cell r="CO7178">
            <v>-8532.2999999999993</v>
          </cell>
        </row>
        <row r="7179">
          <cell r="CJ7179" t="str">
            <v xml:space="preserve">NFT-/XUTR/DEUTH02435857292X </v>
          </cell>
          <cell r="CK7179" t="str">
            <v>2024-12-23</v>
          </cell>
          <cell r="CL7179">
            <v>7240.4629999999997</v>
          </cell>
          <cell r="CM7179" t="str">
            <v xml:space="preserve">NFT-/XUTR/DEUTH02435878630X </v>
          </cell>
          <cell r="CN7179" t="str">
            <v>2024-12-23</v>
          </cell>
          <cell r="CO7179">
            <v>1291.836</v>
          </cell>
        </row>
        <row r="7180">
          <cell r="CJ7180" t="str">
            <v xml:space="preserve">NFT-/XUTR/DEUTH02435857292X </v>
          </cell>
          <cell r="CK7180" t="str">
            <v>2024-12-23</v>
          </cell>
          <cell r="CL7180">
            <v>7221.5839999999998</v>
          </cell>
          <cell r="CM7180" t="str">
            <v xml:space="preserve">NFT-/XUTR/DEUTH02435878630X </v>
          </cell>
          <cell r="CN7180" t="str">
            <v>2024-12-23</v>
          </cell>
          <cell r="CO7180">
            <v>1291.837</v>
          </cell>
        </row>
        <row r="7181">
          <cell r="CJ7181" t="str">
            <v xml:space="preserve">NFT-/XUTR/DEUTH02435857292X </v>
          </cell>
          <cell r="CK7181" t="str">
            <v>2024-12-23</v>
          </cell>
          <cell r="CL7181">
            <v>14705.684999999999</v>
          </cell>
          <cell r="CM7181" t="str">
            <v xml:space="preserve">NFT-/XUTR/DEUTH02435878630X </v>
          </cell>
          <cell r="CN7181" t="str">
            <v>2024-12-23</v>
          </cell>
          <cell r="CO7181">
            <v>2193.4960000000001</v>
          </cell>
        </row>
        <row r="7182">
          <cell r="CJ7182" t="str">
            <v xml:space="preserve">NFT-/XUTR/DEUTH02435857292X </v>
          </cell>
          <cell r="CK7182" t="str">
            <v>2024-12-23</v>
          </cell>
          <cell r="CL7182">
            <v>7240.4639999999999</v>
          </cell>
          <cell r="CM7182" t="str">
            <v xml:space="preserve">NFT-/XUTR/DEUTH02435878630X </v>
          </cell>
          <cell r="CN7182" t="str">
            <v>2024-12-23</v>
          </cell>
          <cell r="CO7182">
            <v>1291.837</v>
          </cell>
        </row>
        <row r="7183">
          <cell r="CJ7183" t="str">
            <v xml:space="preserve">NFT-/XUTR/DEUTH02435857292X </v>
          </cell>
          <cell r="CK7183" t="str">
            <v>2024-12-23</v>
          </cell>
          <cell r="CL7183">
            <v>16048.962</v>
          </cell>
          <cell r="CM7183" t="str">
            <v xml:space="preserve">NFT-/XUTR/DEUTH02435878630X </v>
          </cell>
          <cell r="CN7183" t="str">
            <v>2024-12-23</v>
          </cell>
          <cell r="CO7183">
            <v>850.22799999999995</v>
          </cell>
        </row>
        <row r="7184">
          <cell r="CJ7184" t="str">
            <v xml:space="preserve">NFT-/XUTR/DEUTH02435857292X </v>
          </cell>
          <cell r="CK7184" t="str">
            <v>2024-12-23</v>
          </cell>
          <cell r="CL7184">
            <v>7221.5839999999998</v>
          </cell>
          <cell r="CM7184" t="str">
            <v xml:space="preserve">NFT-/XUTR/DEUTH02435878630X </v>
          </cell>
          <cell r="CN7184" t="str">
            <v>2024-12-23</v>
          </cell>
          <cell r="CO7184">
            <v>1291.837</v>
          </cell>
        </row>
        <row r="7185">
          <cell r="CJ7185" t="str">
            <v xml:space="preserve">NFT-/XUTR/DEUTH02435857292X </v>
          </cell>
          <cell r="CK7185" t="str">
            <v>2024-12-23</v>
          </cell>
          <cell r="CL7185">
            <v>6854.7060000000001</v>
          </cell>
          <cell r="CM7185" t="str">
            <v xml:space="preserve">NFT-/XUTR/DEUTH02435878630X </v>
          </cell>
          <cell r="CN7185" t="str">
            <v>2024-12-23</v>
          </cell>
          <cell r="CO7185">
            <v>1658.7149999999999</v>
          </cell>
        </row>
        <row r="7186">
          <cell r="CJ7186" t="str">
            <v xml:space="preserve">NFT-/XUTR/DEUTH02435857292X </v>
          </cell>
          <cell r="CK7186" t="str">
            <v>2024-12-23</v>
          </cell>
          <cell r="CL7186">
            <v>8140.7169999999996</v>
          </cell>
          <cell r="CM7186" t="str">
            <v xml:space="preserve">NFT-/XUTR/DEUTH02435878630X </v>
          </cell>
          <cell r="CN7186" t="str">
            <v>2024-12-23</v>
          </cell>
          <cell r="CO7186">
            <v>372.70299999999997</v>
          </cell>
        </row>
        <row r="7187">
          <cell r="CJ7187" t="str">
            <v xml:space="preserve">NFT-/XUTR/DEUTH02435857292X </v>
          </cell>
          <cell r="CK7187" t="str">
            <v>2024-12-23</v>
          </cell>
          <cell r="CL7187">
            <v>40508.75</v>
          </cell>
          <cell r="CM7187" t="str">
            <v xml:space="preserve">NFT-/XUTR/DEUTH02435878630X </v>
          </cell>
          <cell r="CN7187" t="str">
            <v>2024-12-23</v>
          </cell>
          <cell r="CO7187">
            <v>2154.6799999999998</v>
          </cell>
        </row>
        <row r="7188">
          <cell r="CJ7188" t="str">
            <v xml:space="preserve">NFT-/XUTR/DEUTH02435857292X </v>
          </cell>
          <cell r="CK7188" t="str">
            <v>2024-12-23</v>
          </cell>
          <cell r="CL7188">
            <v>7240.4639999999999</v>
          </cell>
          <cell r="CM7188" t="str">
            <v xml:space="preserve">NFT-/XUTR/DEUTH02435878630X </v>
          </cell>
          <cell r="CN7188" t="str">
            <v>2024-12-23</v>
          </cell>
          <cell r="CO7188">
            <v>1291.837</v>
          </cell>
        </row>
        <row r="7189">
          <cell r="CJ7189" t="str">
            <v xml:space="preserve">NFT-/XUTR/DEUTH02435857292X </v>
          </cell>
          <cell r="CK7189" t="str">
            <v>2024-12-23</v>
          </cell>
          <cell r="CL7189">
            <v>7240.4639999999999</v>
          </cell>
          <cell r="CM7189" t="str">
            <v xml:space="preserve">NFT-/XUTR/DEUTH02435878630X </v>
          </cell>
          <cell r="CN7189" t="str">
            <v>2024-12-23</v>
          </cell>
          <cell r="CO7189">
            <v>1291.837</v>
          </cell>
        </row>
        <row r="7190">
          <cell r="CJ7190" t="str">
            <v xml:space="preserve">NFT-/XUTR/DEUTH02435857292X </v>
          </cell>
          <cell r="CK7190" t="str">
            <v>2024-12-23</v>
          </cell>
          <cell r="CL7190">
            <v>39953.682999999997</v>
          </cell>
          <cell r="CM7190" t="str">
            <v xml:space="preserve">NFT-/XUTR/DEUTH02435878630X </v>
          </cell>
          <cell r="CN7190" t="str">
            <v>2024-12-23</v>
          </cell>
          <cell r="CO7190">
            <v>2179.9059999999999</v>
          </cell>
        </row>
        <row r="7191">
          <cell r="CJ7191" t="str">
            <v xml:space="preserve">NFT-/XUTR/DEUTH02435857292X </v>
          </cell>
          <cell r="CK7191" t="str">
            <v>2024-12-23</v>
          </cell>
          <cell r="CL7191">
            <v>7671.3980000000001</v>
          </cell>
          <cell r="CM7191" t="str">
            <v xml:space="preserve">NFT-/XUTR/DEUTH02435878630X </v>
          </cell>
          <cell r="CN7191" t="str">
            <v>2024-12-23</v>
          </cell>
          <cell r="CO7191">
            <v>860.90300000000002</v>
          </cell>
        </row>
        <row r="7192">
          <cell r="CJ7192" t="str">
            <v xml:space="preserve">NFT-/XUTR/DEUTH02435857292X </v>
          </cell>
          <cell r="CK7192" t="str">
            <v>2024-12-23</v>
          </cell>
          <cell r="CL7192">
            <v>7929.567</v>
          </cell>
          <cell r="CM7192" t="str">
            <v xml:space="preserve">NFT-/XUTR/DEUTH02435878630X </v>
          </cell>
          <cell r="CN7192" t="str">
            <v>2024-12-23</v>
          </cell>
          <cell r="CO7192">
            <v>602.72299999999996</v>
          </cell>
        </row>
        <row r="7193">
          <cell r="CJ7193" t="str">
            <v xml:space="preserve">NFT-/XUTR/DEUTH02435857292X </v>
          </cell>
          <cell r="CK7193" t="str">
            <v>2024-12-23</v>
          </cell>
          <cell r="CL7193">
            <v>7068.674</v>
          </cell>
          <cell r="CM7193" t="str">
            <v xml:space="preserve">NFT-/XUTR/DEUTH02435878630X </v>
          </cell>
          <cell r="CN7193" t="str">
            <v>2024-12-23</v>
          </cell>
          <cell r="CO7193">
            <v>1463.626</v>
          </cell>
        </row>
        <row r="7194">
          <cell r="CJ7194" t="str">
            <v xml:space="preserve">NFT-/XUTR/DEUTH02435857292X </v>
          </cell>
          <cell r="CK7194" t="str">
            <v>2024-12-23</v>
          </cell>
          <cell r="CL7194">
            <v>7221.5839999999998</v>
          </cell>
          <cell r="CM7194" t="str">
            <v xml:space="preserve">NFT-/XUTR/DEUTH02435878630X </v>
          </cell>
          <cell r="CN7194" t="str">
            <v>2024-12-23</v>
          </cell>
          <cell r="CO7194">
            <v>1291.837</v>
          </cell>
        </row>
        <row r="7195">
          <cell r="CJ7195" t="str">
            <v xml:space="preserve">NFT-/XUTR/DEUTH02435857292X </v>
          </cell>
          <cell r="CK7195" t="str">
            <v>2024-12-23</v>
          </cell>
          <cell r="CL7195">
            <v>7068.674</v>
          </cell>
          <cell r="CM7195" t="str">
            <v xml:space="preserve">NFT-/XUTR/DEUTH02435878630X </v>
          </cell>
          <cell r="CN7195" t="str">
            <v>2024-12-23</v>
          </cell>
          <cell r="CO7195">
            <v>1463.626</v>
          </cell>
        </row>
        <row r="7196">
          <cell r="CJ7196" t="str">
            <v xml:space="preserve">NFT-/XUTR/DEUTH02435857292X </v>
          </cell>
          <cell r="CK7196" t="str">
            <v>2024-12-23</v>
          </cell>
          <cell r="CL7196">
            <v>7049.7939999999999</v>
          </cell>
          <cell r="CM7196" t="str">
            <v xml:space="preserve">NFT-/XUTR/DEUTH02435878630X </v>
          </cell>
          <cell r="CN7196" t="str">
            <v>2024-12-23</v>
          </cell>
          <cell r="CO7196">
            <v>1463.625</v>
          </cell>
        </row>
        <row r="7197">
          <cell r="CJ7197" t="str">
            <v xml:space="preserve">NFT-/XUTR/DEUTH02435857292X </v>
          </cell>
          <cell r="CK7197" t="str">
            <v>2024-12-23</v>
          </cell>
          <cell r="CL7197">
            <v>39221.875</v>
          </cell>
          <cell r="CM7197" t="str">
            <v xml:space="preserve">NFT-/XUTR/DEUTH02435878630X </v>
          </cell>
          <cell r="CN7197" t="str">
            <v>2024-12-23</v>
          </cell>
          <cell r="CO7197">
            <v>2911.723</v>
          </cell>
        </row>
        <row r="7198">
          <cell r="CJ7198" t="str">
            <v xml:space="preserve">NFT-/XUTR/DEUTH02435857292X </v>
          </cell>
          <cell r="CK7198" t="str">
            <v>2024-12-23</v>
          </cell>
          <cell r="CL7198">
            <v>14738.687</v>
          </cell>
          <cell r="CM7198" t="str">
            <v xml:space="preserve">NFT-/XUTR/DEUTH02435878630X </v>
          </cell>
          <cell r="CN7198" t="str">
            <v>2024-12-23</v>
          </cell>
          <cell r="CO7198">
            <v>2160.5039999999999</v>
          </cell>
        </row>
        <row r="7199">
          <cell r="CJ7199" t="str">
            <v xml:space="preserve">NFT-/XUTR/DEUTH02435857292X </v>
          </cell>
          <cell r="CK7199" t="str">
            <v>2024-12-23</v>
          </cell>
          <cell r="CL7199">
            <v>7068.674</v>
          </cell>
          <cell r="CM7199" t="str">
            <v xml:space="preserve">NFT-/XUTR/DEUTH02435878630X </v>
          </cell>
          <cell r="CN7199" t="str">
            <v>2024-12-23</v>
          </cell>
          <cell r="CO7199">
            <v>1463.626</v>
          </cell>
          <cell r="CP7199" t="str">
            <v xml:space="preserve">NFT-/XUTR/DEUTH02500370901X </v>
          </cell>
          <cell r="CQ7199" t="str">
            <v>2025-01-03</v>
          </cell>
          <cell r="CR7199">
            <v>-7068.674</v>
          </cell>
          <cell r="CS7199" t="str">
            <v xml:space="preserve">NFT-/XUTR/DEUTH02500685844X </v>
          </cell>
          <cell r="CT7199" t="str">
            <v>2025-01-06</v>
          </cell>
          <cell r="CU7199">
            <v>-1463.626</v>
          </cell>
        </row>
        <row r="7200">
          <cell r="CJ7200" t="str">
            <v xml:space="preserve">NFT-/XUTR/DEUTH02435857292X </v>
          </cell>
          <cell r="CK7200" t="str">
            <v>2024-12-23</v>
          </cell>
          <cell r="CL7200">
            <v>14738.687</v>
          </cell>
          <cell r="CM7200" t="str">
            <v xml:space="preserve">NFT-/XUTR/DEUTH02435878630X </v>
          </cell>
          <cell r="CN7200" t="str">
            <v>2024-12-23</v>
          </cell>
          <cell r="CO7200">
            <v>2160.5039999999999</v>
          </cell>
        </row>
        <row r="7201">
          <cell r="CJ7201" t="str">
            <v xml:space="preserve">NFT-/XUTR/DEUTH02435857292X </v>
          </cell>
          <cell r="CK7201" t="str">
            <v>2024-12-23</v>
          </cell>
          <cell r="CL7201">
            <v>7091.9650000000001</v>
          </cell>
          <cell r="CM7201" t="str">
            <v xml:space="preserve">NFT-/XUTR/DEUTH02435878630X </v>
          </cell>
          <cell r="CN7201" t="str">
            <v>2024-12-23</v>
          </cell>
          <cell r="CO7201">
            <v>1440.335</v>
          </cell>
        </row>
        <row r="7202">
          <cell r="CJ7202" t="str">
            <v xml:space="preserve">NFT-/XUTR/DEUTH02435857292X </v>
          </cell>
          <cell r="CK7202" t="str">
            <v>2024-12-23</v>
          </cell>
          <cell r="CL7202">
            <v>39202.995999999999</v>
          </cell>
          <cell r="CM7202" t="str">
            <v xml:space="preserve">NFT-/XUTR/DEUTH02435878630X </v>
          </cell>
          <cell r="CN7202" t="str">
            <v>2024-12-23</v>
          </cell>
          <cell r="CO7202">
            <v>2911.7240000000002</v>
          </cell>
        </row>
        <row r="7203">
          <cell r="CJ7203" t="str">
            <v xml:space="preserve">NFT-/XUTR/DEUTH02435857292X </v>
          </cell>
          <cell r="CK7203" t="str">
            <v>2024-12-23</v>
          </cell>
          <cell r="CL7203">
            <v>39221.875999999997</v>
          </cell>
          <cell r="CM7203" t="str">
            <v xml:space="preserve">NFT-/XUTR/DEUTH02435878630X </v>
          </cell>
          <cell r="CN7203" t="str">
            <v>2024-12-23</v>
          </cell>
          <cell r="CO7203">
            <v>2911.7240000000002</v>
          </cell>
        </row>
        <row r="7204">
          <cell r="CJ7204" t="str">
            <v xml:space="preserve">NFT-/XUTR/DEUTH02435857292X </v>
          </cell>
          <cell r="CK7204" t="str">
            <v>2024-12-23</v>
          </cell>
          <cell r="CL7204">
            <v>6710.5249999999996</v>
          </cell>
          <cell r="CM7204" t="str">
            <v xml:space="preserve">NFT-/XUTR/DEUTH02435878630X </v>
          </cell>
          <cell r="CN7204" t="str">
            <v>2024-12-23</v>
          </cell>
          <cell r="CO7204">
            <v>1821.7660000000001</v>
          </cell>
        </row>
        <row r="7205">
          <cell r="CJ7205" t="str">
            <v xml:space="preserve">NFT-/XUTR/DEUTH02435857292X </v>
          </cell>
          <cell r="CK7205" t="str">
            <v>2024-12-23</v>
          </cell>
          <cell r="CL7205">
            <v>39221.875999999997</v>
          </cell>
          <cell r="CM7205" t="str">
            <v xml:space="preserve">NFT-/XUTR/DEUTH02435878630X </v>
          </cell>
          <cell r="CN7205" t="str">
            <v>2024-12-23</v>
          </cell>
          <cell r="CO7205">
            <v>2911.7240000000002</v>
          </cell>
        </row>
        <row r="7206">
          <cell r="CJ7206" t="str">
            <v xml:space="preserve">NFT-/XUTR/DEUTH02435857292X </v>
          </cell>
          <cell r="CK7206" t="str">
            <v>2024-12-23</v>
          </cell>
          <cell r="CL7206">
            <v>39221.875999999997</v>
          </cell>
          <cell r="CM7206" t="str">
            <v xml:space="preserve">NFT-/XUTR/DEUTH02435878630X </v>
          </cell>
          <cell r="CN7206" t="str">
            <v>2024-12-23</v>
          </cell>
          <cell r="CO7206">
            <v>2911.7240000000002</v>
          </cell>
        </row>
        <row r="7207">
          <cell r="CJ7207" t="str">
            <v xml:space="preserve">NFT-/XUTR/DEUTH02435857292X </v>
          </cell>
          <cell r="CK7207" t="str">
            <v>2024-12-23</v>
          </cell>
          <cell r="CL7207">
            <v>6691.6540000000005</v>
          </cell>
          <cell r="CM7207" t="str">
            <v xml:space="preserve">NFT-/XUTR/DEUTH02435878630X </v>
          </cell>
          <cell r="CN7207" t="str">
            <v>2024-12-23</v>
          </cell>
          <cell r="CO7207">
            <v>1821.7670000000001</v>
          </cell>
        </row>
        <row r="7208">
          <cell r="CJ7208" t="str">
            <v xml:space="preserve">NFT-/XUTR/DEUTH02435857292X </v>
          </cell>
          <cell r="CK7208" t="str">
            <v>2024-12-23</v>
          </cell>
          <cell r="CL7208">
            <v>39092.35</v>
          </cell>
          <cell r="CM7208" t="str">
            <v xml:space="preserve">NFT-/XUTR/DEUTH02435878630X </v>
          </cell>
          <cell r="CN7208" t="str">
            <v>2024-12-23</v>
          </cell>
          <cell r="CO7208">
            <v>3022.37</v>
          </cell>
        </row>
        <row r="7209">
          <cell r="CJ7209" t="str">
            <v xml:space="preserve">NFT-/XUTR/DEUTH02435857292X </v>
          </cell>
          <cell r="CK7209" t="str">
            <v>2024-12-23</v>
          </cell>
          <cell r="CL7209">
            <v>39221.875999999997</v>
          </cell>
          <cell r="CM7209" t="str">
            <v xml:space="preserve">NFT-/XUTR/DEUTH02435878630X </v>
          </cell>
          <cell r="CN7209" t="str">
            <v>2024-12-23</v>
          </cell>
          <cell r="CO7209">
            <v>2911.7240000000002</v>
          </cell>
        </row>
        <row r="7210">
          <cell r="CJ7210" t="str">
            <v xml:space="preserve">NFT-/XUTR/DEUTH02435857292X </v>
          </cell>
          <cell r="CK7210" t="str">
            <v>2024-12-23</v>
          </cell>
          <cell r="CL7210">
            <v>39202.995999999999</v>
          </cell>
          <cell r="CM7210" t="str">
            <v xml:space="preserve">NFT-/XUTR/DEUTH02435878630X </v>
          </cell>
          <cell r="CN7210" t="str">
            <v>2024-12-23</v>
          </cell>
          <cell r="CO7210">
            <v>2911.7240000000002</v>
          </cell>
        </row>
        <row r="7211">
          <cell r="CJ7211" t="str">
            <v xml:space="preserve">NFT-/XUTR/DEUTH02435857292X </v>
          </cell>
          <cell r="CK7211" t="str">
            <v>2024-12-23</v>
          </cell>
          <cell r="CL7211">
            <v>14685.308000000001</v>
          </cell>
          <cell r="CM7211" t="str">
            <v xml:space="preserve">NFT-/XUTR/DEUTH02435878630X </v>
          </cell>
          <cell r="CN7211" t="str">
            <v>2024-12-23</v>
          </cell>
          <cell r="CO7211">
            <v>2213.884</v>
          </cell>
        </row>
        <row r="7212">
          <cell r="CJ7212" t="str">
            <v xml:space="preserve">NFT-/XUTR/DEUTH02435857292X </v>
          </cell>
          <cell r="CK7212" t="str">
            <v>2024-12-23</v>
          </cell>
          <cell r="CL7212">
            <v>14757.566999999999</v>
          </cell>
          <cell r="CM7212" t="str">
            <v xml:space="preserve">NFT-/XUTR/DEUTH02435878630X </v>
          </cell>
          <cell r="CN7212" t="str">
            <v>2024-12-23</v>
          </cell>
          <cell r="CO7212">
            <v>2160.5039999999999</v>
          </cell>
        </row>
        <row r="7213">
          <cell r="CJ7213" t="str">
            <v xml:space="preserve">NFT-/XUTR/DEUTH02435857292X </v>
          </cell>
          <cell r="CK7213" t="str">
            <v>2024-12-23</v>
          </cell>
          <cell r="CL7213">
            <v>13966.544</v>
          </cell>
          <cell r="CM7213" t="str">
            <v xml:space="preserve">NFT-/XUTR/DEUTH02435878630X </v>
          </cell>
          <cell r="CN7213" t="str">
            <v>2024-12-23</v>
          </cell>
          <cell r="CO7213">
            <v>2951.5160000000001</v>
          </cell>
        </row>
        <row r="7214">
          <cell r="CJ7214" t="str">
            <v xml:space="preserve">NFT-/XUTR/DEUTH02435857292X </v>
          </cell>
          <cell r="CK7214" t="str">
            <v>2024-12-23</v>
          </cell>
          <cell r="CL7214">
            <v>39202.995999999999</v>
          </cell>
          <cell r="CM7214" t="str">
            <v xml:space="preserve">NFT-/XUTR/DEUTH02435878630X </v>
          </cell>
          <cell r="CN7214" t="str">
            <v>2024-12-23</v>
          </cell>
          <cell r="CO7214">
            <v>2911.7240000000002</v>
          </cell>
        </row>
        <row r="7215">
          <cell r="CJ7215" t="str">
            <v xml:space="preserve">NFT-/XUTR/DEUTH02435857292X </v>
          </cell>
          <cell r="CK7215" t="str">
            <v>2024-12-23</v>
          </cell>
          <cell r="CL7215">
            <v>16067.842000000001</v>
          </cell>
          <cell r="CM7215" t="str">
            <v xml:space="preserve">NFT-/XUTR/DEUTH02435878630X </v>
          </cell>
          <cell r="CN7215" t="str">
            <v>2024-12-23</v>
          </cell>
          <cell r="CO7215">
            <v>850.22799999999995</v>
          </cell>
        </row>
        <row r="7216">
          <cell r="CJ7216" t="str">
            <v xml:space="preserve">NFT-/XUTR/DEUTH02435857292X </v>
          </cell>
          <cell r="CK7216" t="str">
            <v>2024-12-23</v>
          </cell>
          <cell r="CL7216">
            <v>8082.4859999999999</v>
          </cell>
          <cell r="CM7216" t="str">
            <v xml:space="preserve">NFT-/XUTR/DEUTH02435878630X </v>
          </cell>
          <cell r="CN7216" t="str">
            <v>2024-12-23</v>
          </cell>
          <cell r="CO7216">
            <v>430.93400000000003</v>
          </cell>
        </row>
        <row r="7217">
          <cell r="CJ7217" t="str">
            <v xml:space="preserve">NFT-/XUTR/DEUTH02435857292X </v>
          </cell>
          <cell r="CK7217" t="str">
            <v>2024-12-23</v>
          </cell>
          <cell r="CL7217">
            <v>15728.141</v>
          </cell>
          <cell r="CM7217" t="str">
            <v xml:space="preserve">NFT-/XUTR/DEUTH02435878630X </v>
          </cell>
          <cell r="CN7217" t="str">
            <v>2024-12-23</v>
          </cell>
          <cell r="CO7217">
            <v>1189.9290000000001</v>
          </cell>
        </row>
        <row r="7218">
          <cell r="CJ7218" t="str">
            <v xml:space="preserve">NFT-/XUTR/DEUTH02435857292X </v>
          </cell>
          <cell r="CK7218" t="str">
            <v>2024-12-23</v>
          </cell>
          <cell r="CL7218">
            <v>13966.544</v>
          </cell>
          <cell r="CM7218" t="str">
            <v xml:space="preserve">NFT-/XUTR/DEUTH02435878630X </v>
          </cell>
          <cell r="CN7218" t="str">
            <v>2024-12-23</v>
          </cell>
          <cell r="CO7218">
            <v>2951.5169999999998</v>
          </cell>
        </row>
        <row r="7219">
          <cell r="CJ7219" t="str">
            <v xml:space="preserve">NFT-/XUTR/DEUTH02435857292X </v>
          </cell>
          <cell r="CK7219" t="str">
            <v>2024-12-23</v>
          </cell>
          <cell r="CL7219">
            <v>16056.727000000001</v>
          </cell>
          <cell r="CM7219" t="str">
            <v xml:space="preserve">NFT-/XUTR/DEUTH02435878630X </v>
          </cell>
          <cell r="CN7219" t="str">
            <v>2024-12-23</v>
          </cell>
          <cell r="CO7219">
            <v>842.46299999999997</v>
          </cell>
        </row>
        <row r="7220">
          <cell r="CJ7220" t="str">
            <v xml:space="preserve">NFT-/XUTR/DEUTH02435857292X </v>
          </cell>
          <cell r="CK7220" t="str">
            <v>2024-12-23</v>
          </cell>
          <cell r="CL7220">
            <v>7049.7939999999999</v>
          </cell>
          <cell r="CM7220" t="str">
            <v xml:space="preserve">NFT-/XUTR/DEUTH02435878630X </v>
          </cell>
          <cell r="CN7220" t="str">
            <v>2024-12-23</v>
          </cell>
          <cell r="CO7220">
            <v>1463.625</v>
          </cell>
        </row>
        <row r="7221">
          <cell r="CJ7221" t="str">
            <v xml:space="preserve">NFT-/XUTR/DEUTH02435857292X </v>
          </cell>
          <cell r="CK7221" t="str">
            <v>2024-12-23</v>
          </cell>
          <cell r="CL7221">
            <v>6710.5249999999996</v>
          </cell>
          <cell r="CM7221" t="str">
            <v xml:space="preserve">NFT-/XUTR/DEUTH02435878630X </v>
          </cell>
          <cell r="CN7221" t="str">
            <v>2024-12-23</v>
          </cell>
          <cell r="CO7221">
            <v>1821.7660000000001</v>
          </cell>
        </row>
        <row r="7222">
          <cell r="CJ7222" t="str">
            <v xml:space="preserve">NFT-/XUTR/DEUTH02435857292X </v>
          </cell>
          <cell r="CK7222" t="str">
            <v>2024-12-23</v>
          </cell>
          <cell r="CL7222">
            <v>6710.5249999999996</v>
          </cell>
          <cell r="CM7222" t="str">
            <v xml:space="preserve">NFT-/XUTR/DEUTH02435878630X </v>
          </cell>
          <cell r="CN7222" t="str">
            <v>2024-12-23</v>
          </cell>
          <cell r="CO7222">
            <v>1821.7660000000001</v>
          </cell>
        </row>
        <row r="7223">
          <cell r="CJ7223" t="str">
            <v xml:space="preserve">NFT-/XUTR/DEUTH02435857292X </v>
          </cell>
          <cell r="CK7223" t="str">
            <v>2024-12-23</v>
          </cell>
          <cell r="CL7223">
            <v>14757.566999999999</v>
          </cell>
          <cell r="CM7223" t="str">
            <v xml:space="preserve">NFT-/XUTR/DEUTH02435878630X </v>
          </cell>
          <cell r="CN7223" t="str">
            <v>2024-12-23</v>
          </cell>
          <cell r="CO7223">
            <v>2160.5039999999999</v>
          </cell>
        </row>
        <row r="7224">
          <cell r="CJ7224" t="str">
            <v xml:space="preserve">NFT-/XUTR/DEUTH02435857292X </v>
          </cell>
          <cell r="CK7224" t="str">
            <v>2024-12-23</v>
          </cell>
          <cell r="CL7224">
            <v>15709.261</v>
          </cell>
          <cell r="CM7224" t="str">
            <v xml:space="preserve">NFT-/XUTR/DEUTH02435878630X </v>
          </cell>
          <cell r="CN7224" t="str">
            <v>2024-12-23</v>
          </cell>
          <cell r="CO7224">
            <v>1189.9290000000001</v>
          </cell>
        </row>
        <row r="7225">
          <cell r="CJ7225" t="str">
            <v xml:space="preserve">NFT-/XUTR/DEUTH02435857292X </v>
          </cell>
          <cell r="CK7225" t="str">
            <v>2024-12-23</v>
          </cell>
          <cell r="CL7225">
            <v>15709.261</v>
          </cell>
          <cell r="CM7225" t="str">
            <v xml:space="preserve">NFT-/XUTR/DEUTH02435878630X </v>
          </cell>
          <cell r="CN7225" t="str">
            <v>2024-12-23</v>
          </cell>
          <cell r="CO7225">
            <v>1189.9290000000001</v>
          </cell>
        </row>
        <row r="7226">
          <cell r="CJ7226" t="str">
            <v xml:space="preserve">NFT-/XUTR/DEUTH02435857292X </v>
          </cell>
          <cell r="CK7226" t="str">
            <v>2024-12-23</v>
          </cell>
          <cell r="CL7226">
            <v>38610.94</v>
          </cell>
          <cell r="CM7226" t="str">
            <v xml:space="preserve">NFT-/XUTR/DEUTH02435878630X </v>
          </cell>
          <cell r="CN7226" t="str">
            <v>2024-12-23</v>
          </cell>
          <cell r="CO7226">
            <v>2911.7240000000002</v>
          </cell>
        </row>
        <row r="7227">
          <cell r="CJ7227" t="str">
            <v xml:space="preserve">NFT-/XUTR/DEUTH02435857292X </v>
          </cell>
          <cell r="CK7227" t="str">
            <v>2024-12-23</v>
          </cell>
          <cell r="CL7227">
            <v>7221.5839999999998</v>
          </cell>
          <cell r="CM7227" t="str">
            <v xml:space="preserve">NFT-/XUTR/DEUTH02435878630X </v>
          </cell>
          <cell r="CN7227" t="str">
            <v>2024-12-23</v>
          </cell>
          <cell r="CO7227">
            <v>1291.837</v>
          </cell>
        </row>
        <row r="7228">
          <cell r="CJ7228" t="str">
            <v xml:space="preserve">NFT-/XUTR/DEUTH02435857292X </v>
          </cell>
          <cell r="CK7228" t="str">
            <v>2024-12-23</v>
          </cell>
          <cell r="CL7228">
            <v>7068.674</v>
          </cell>
          <cell r="CM7228" t="str">
            <v xml:space="preserve">NFT-/XUTR/DEUTH02435878630X </v>
          </cell>
          <cell r="CN7228" t="str">
            <v>2024-12-23</v>
          </cell>
          <cell r="CO7228">
            <v>1463.626</v>
          </cell>
        </row>
        <row r="7229">
          <cell r="CJ7229" t="str">
            <v xml:space="preserve">NFT-/XUTR/DEUTH02435857292X </v>
          </cell>
          <cell r="CK7229" t="str">
            <v>2024-12-23</v>
          </cell>
          <cell r="CL7229">
            <v>7068.674</v>
          </cell>
          <cell r="CM7229" t="str">
            <v xml:space="preserve">NFT-/XUTR/DEUTH02435878630X </v>
          </cell>
          <cell r="CN7229" t="str">
            <v>2024-12-23</v>
          </cell>
          <cell r="CO7229">
            <v>1463.626</v>
          </cell>
        </row>
        <row r="7230">
          <cell r="CJ7230" t="str">
            <v xml:space="preserve">NFT-/XUTR/DEUTH02435857292X </v>
          </cell>
          <cell r="CK7230" t="str">
            <v>2024-12-23</v>
          </cell>
          <cell r="CL7230">
            <v>6988.1180000000004</v>
          </cell>
          <cell r="CM7230" t="str">
            <v xml:space="preserve">NFT-/XUTR/DEUTH02435878630X </v>
          </cell>
          <cell r="CN7230" t="str">
            <v>2024-12-23</v>
          </cell>
          <cell r="CO7230">
            <v>1544.183</v>
          </cell>
        </row>
        <row r="7231">
          <cell r="CJ7231" t="str">
            <v xml:space="preserve">NFT-/XUTR/DEUTH02435857292X </v>
          </cell>
          <cell r="CK7231" t="str">
            <v>2024-12-23</v>
          </cell>
          <cell r="CL7231">
            <v>39221.875999999997</v>
          </cell>
          <cell r="CM7231" t="str">
            <v xml:space="preserve">NFT-/XUTR/DEUTH02435878630X </v>
          </cell>
          <cell r="CN7231" t="str">
            <v>2024-12-23</v>
          </cell>
          <cell r="CO7231">
            <v>2911.7240000000002</v>
          </cell>
        </row>
        <row r="7232">
          <cell r="CJ7232" t="str">
            <v xml:space="preserve">NFT-/XUTR/DEUTH02435857292X </v>
          </cell>
          <cell r="CK7232" t="str">
            <v>2024-12-23</v>
          </cell>
          <cell r="CL7232">
            <v>7049.7939999999999</v>
          </cell>
          <cell r="CM7232" t="str">
            <v xml:space="preserve">NFT-/XUTR/DEUTH02435878630X </v>
          </cell>
          <cell r="CN7232" t="str">
            <v>2024-12-23</v>
          </cell>
          <cell r="CO7232">
            <v>1463.625</v>
          </cell>
        </row>
        <row r="7233">
          <cell r="CJ7233" t="str">
            <v xml:space="preserve">NFT-/XUTR/DEUTH02435857292X </v>
          </cell>
          <cell r="CK7233" t="str">
            <v>2024-12-23</v>
          </cell>
          <cell r="CL7233">
            <v>15736.87</v>
          </cell>
          <cell r="CM7233" t="str">
            <v xml:space="preserve">NFT-/XUTR/DEUTH02435878630X </v>
          </cell>
          <cell r="CN7233" t="str">
            <v>2024-12-23</v>
          </cell>
          <cell r="CO7233">
            <v>1181.19</v>
          </cell>
        </row>
        <row r="7234">
          <cell r="CJ7234" t="str">
            <v xml:space="preserve">NFT-/XUTR/DEUTH02435857292X </v>
          </cell>
          <cell r="CK7234" t="str">
            <v>2024-12-23</v>
          </cell>
          <cell r="CL7234">
            <v>14738.687</v>
          </cell>
          <cell r="CM7234" t="str">
            <v xml:space="preserve">NFT-/XUTR/DEUTH02435878630X </v>
          </cell>
          <cell r="CN7234" t="str">
            <v>2024-12-23</v>
          </cell>
          <cell r="CO7234">
            <v>2160.5039999999999</v>
          </cell>
        </row>
        <row r="7235">
          <cell r="CJ7235" t="str">
            <v xml:space="preserve">NFT-/XUTR/DEUTH02435857292X </v>
          </cell>
          <cell r="CK7235" t="str">
            <v>2024-12-23</v>
          </cell>
          <cell r="CL7235">
            <v>79333.790999999997</v>
          </cell>
          <cell r="CM7235" t="str">
            <v xml:space="preserve">NFT-/XUTR/DEUTH02435878630X </v>
          </cell>
          <cell r="CN7235" t="str">
            <v>2024-12-23</v>
          </cell>
          <cell r="CO7235">
            <v>3602.7759999999998</v>
          </cell>
        </row>
        <row r="7236">
          <cell r="CJ7236" t="str">
            <v xml:space="preserve">NFT-/XUTR/DEUTH02435857292X </v>
          </cell>
          <cell r="CK7236" t="str">
            <v>2024-12-23</v>
          </cell>
          <cell r="CL7236">
            <v>39221.875999999997</v>
          </cell>
          <cell r="CM7236" t="str">
            <v xml:space="preserve">NFT-/XUTR/DEUTH02435878630X </v>
          </cell>
          <cell r="CN7236" t="str">
            <v>2024-12-23</v>
          </cell>
          <cell r="CO7236">
            <v>2911.7240000000002</v>
          </cell>
        </row>
        <row r="7237">
          <cell r="CJ7237" t="str">
            <v xml:space="preserve">NFT-/XUTR/DEUTH02435857292X </v>
          </cell>
          <cell r="CK7237" t="str">
            <v>2024-12-23</v>
          </cell>
          <cell r="CL7237">
            <v>14738.687</v>
          </cell>
          <cell r="CM7237" t="str">
            <v xml:space="preserve">NFT-/XUTR/DEUTH02435878630X </v>
          </cell>
          <cell r="CN7237" t="str">
            <v>2024-12-23</v>
          </cell>
          <cell r="CO7237">
            <v>2160.5039999999999</v>
          </cell>
        </row>
        <row r="7238">
          <cell r="CJ7238" t="str">
            <v xml:space="preserve">NFT-/XUTR/DEUTH02435857292X </v>
          </cell>
          <cell r="CK7238" t="str">
            <v>2024-12-23</v>
          </cell>
          <cell r="CL7238">
            <v>15260.32</v>
          </cell>
          <cell r="CM7238" t="str">
            <v xml:space="preserve">NFT-/XUTR/DEUTH02435878630X </v>
          </cell>
          <cell r="CN7238" t="str">
            <v>2024-12-23</v>
          </cell>
          <cell r="CO7238">
            <v>1657.742</v>
          </cell>
        </row>
        <row r="7239">
          <cell r="CJ7239" t="str">
            <v xml:space="preserve">NFT-/XUTR/DEUTH02435857292X </v>
          </cell>
          <cell r="CK7239" t="str">
            <v>2024-12-23</v>
          </cell>
          <cell r="CL7239">
            <v>7068.674</v>
          </cell>
          <cell r="CM7239" t="str">
            <v xml:space="preserve">NFT-/XUTR/DEUTH02435878630X </v>
          </cell>
          <cell r="CN7239" t="str">
            <v>2024-12-23</v>
          </cell>
          <cell r="CO7239">
            <v>1463.625</v>
          </cell>
        </row>
        <row r="7240">
          <cell r="CJ7240" t="str">
            <v xml:space="preserve">NFT-/XUTR/DEUTH02435857292X </v>
          </cell>
          <cell r="CK7240" t="str">
            <v>2024-12-23</v>
          </cell>
          <cell r="CL7240">
            <v>39600.394</v>
          </cell>
          <cell r="CM7240" t="str">
            <v xml:space="preserve">NFT-/XUTR/DEUTH02435878630X </v>
          </cell>
          <cell r="CN7240" t="str">
            <v>2024-12-23</v>
          </cell>
          <cell r="CO7240">
            <v>2533.1959999999999</v>
          </cell>
        </row>
        <row r="7241">
          <cell r="CJ7241" t="str">
            <v xml:space="preserve">NFT-/XUTR/DEUTH02435857292X </v>
          </cell>
          <cell r="CK7241" t="str">
            <v>2024-12-23</v>
          </cell>
          <cell r="CL7241">
            <v>7049.7939999999999</v>
          </cell>
          <cell r="CM7241" t="str">
            <v xml:space="preserve">NFT-/XUTR/DEUTH02435878630X </v>
          </cell>
          <cell r="CN7241" t="str">
            <v>2024-12-23</v>
          </cell>
          <cell r="CO7241">
            <v>1463.625</v>
          </cell>
        </row>
        <row r="7242">
          <cell r="CJ7242" t="str">
            <v xml:space="preserve">NFT-/XUTR/DEUTH02435857292X </v>
          </cell>
          <cell r="CK7242" t="str">
            <v>2024-12-23</v>
          </cell>
          <cell r="CL7242">
            <v>16048.962</v>
          </cell>
          <cell r="CM7242" t="str">
            <v xml:space="preserve">NFT-/XUTR/DEUTH02435878630X </v>
          </cell>
          <cell r="CN7242" t="str">
            <v>2024-12-23</v>
          </cell>
          <cell r="CO7242">
            <v>850.22799999999995</v>
          </cell>
        </row>
        <row r="7243">
          <cell r="CJ7243" t="str">
            <v xml:space="preserve">NFT-/XUTR/DEUTH02435857292X </v>
          </cell>
          <cell r="CK7243" t="str">
            <v>2024-12-23</v>
          </cell>
          <cell r="CL7243">
            <v>7154.0810000000001</v>
          </cell>
          <cell r="CM7243" t="str">
            <v xml:space="preserve">NFT-/XUTR/DEUTH02435878630X </v>
          </cell>
          <cell r="CN7243" t="str">
            <v>2024-12-23</v>
          </cell>
          <cell r="CO7243">
            <v>1378.2180000000001</v>
          </cell>
        </row>
        <row r="7244">
          <cell r="CJ7244" t="str">
            <v xml:space="preserve">NFT-/XUTR/DEUTH02435857292X </v>
          </cell>
          <cell r="CK7244" t="str">
            <v>2024-12-23</v>
          </cell>
          <cell r="CL7244">
            <v>8532.2999999999993</v>
          </cell>
        </row>
        <row r="7245">
          <cell r="CJ7245" t="str">
            <v xml:space="preserve">NFT-/XUTR/DEUTH02435857292X </v>
          </cell>
          <cell r="CK7245" t="str">
            <v>2024-12-23</v>
          </cell>
          <cell r="CL7245">
            <v>38629.82</v>
          </cell>
          <cell r="CM7245" t="str">
            <v xml:space="preserve">NFT-/XUTR/DEUTH02435878630X </v>
          </cell>
          <cell r="CN7245" t="str">
            <v>2024-12-23</v>
          </cell>
          <cell r="CO7245">
            <v>2911.7240000000002</v>
          </cell>
        </row>
        <row r="7246">
          <cell r="CJ7246" t="str">
            <v xml:space="preserve">NFT-/XUTR/DEUTH02435857292X </v>
          </cell>
          <cell r="CK7246" t="str">
            <v>2024-12-23</v>
          </cell>
          <cell r="CL7246">
            <v>39446.603999999999</v>
          </cell>
          <cell r="CM7246" t="str">
            <v xml:space="preserve">NFT-/XUTR/DEUTH02435878630X </v>
          </cell>
          <cell r="CN7246" t="str">
            <v>2024-12-23</v>
          </cell>
          <cell r="CO7246">
            <v>2076.06</v>
          </cell>
        </row>
        <row r="7247">
          <cell r="CJ7247" t="str">
            <v xml:space="preserve">NFT-/XUTR/DEUTH02435857292X </v>
          </cell>
          <cell r="CK7247" t="str">
            <v>2024-12-23</v>
          </cell>
          <cell r="CL7247">
            <v>11346.967000000001</v>
          </cell>
        </row>
        <row r="7248">
          <cell r="CJ7248" t="str">
            <v xml:space="preserve">NFT-/XUTR/DEUTH02435857292X </v>
          </cell>
          <cell r="CK7248" t="str">
            <v>2024-12-23</v>
          </cell>
          <cell r="CL7248">
            <v>39221.875999999997</v>
          </cell>
          <cell r="CM7248" t="str">
            <v xml:space="preserve">NFT-/XUTR/DEUTH02435878630X </v>
          </cell>
          <cell r="CN7248" t="str">
            <v>2024-12-23</v>
          </cell>
          <cell r="CO7248">
            <v>2911.7240000000002</v>
          </cell>
        </row>
        <row r="7249">
          <cell r="CJ7249" t="str">
            <v xml:space="preserve">NFT-/XUTR/DEUTH02435857292X </v>
          </cell>
          <cell r="CK7249" t="str">
            <v>2024-12-23</v>
          </cell>
          <cell r="CL7249">
            <v>6691.6540000000005</v>
          </cell>
          <cell r="CM7249" t="str">
            <v xml:space="preserve">NFT-/XUTR/DEUTH02435878630X </v>
          </cell>
          <cell r="CN7249" t="str">
            <v>2024-12-23</v>
          </cell>
          <cell r="CO7249">
            <v>1821.7670000000001</v>
          </cell>
        </row>
        <row r="7250">
          <cell r="CJ7250" t="str">
            <v xml:space="preserve">NFT-/XUTR/DEUTH02435857292X </v>
          </cell>
          <cell r="CK7250" t="str">
            <v>2024-12-23</v>
          </cell>
          <cell r="CL7250">
            <v>5275.0510000000004</v>
          </cell>
          <cell r="CM7250" t="str">
            <v xml:space="preserve">NFT-/XUTR/DEUTH02435878630X </v>
          </cell>
          <cell r="CN7250" t="str">
            <v>2024-12-23</v>
          </cell>
          <cell r="CO7250">
            <v>578.45699999999999</v>
          </cell>
        </row>
        <row r="7251">
          <cell r="CJ7251" t="str">
            <v xml:space="preserve">NFT-/XUTR/DEUTH02435857292X </v>
          </cell>
          <cell r="CK7251" t="str">
            <v>2024-12-23</v>
          </cell>
          <cell r="CL7251">
            <v>39221.875999999997</v>
          </cell>
          <cell r="CM7251" t="str">
            <v xml:space="preserve">NFT-/XUTR/DEUTH02435878630X </v>
          </cell>
          <cell r="CN7251" t="str">
            <v>2024-12-23</v>
          </cell>
          <cell r="CO7251">
            <v>2911.7240000000002</v>
          </cell>
        </row>
        <row r="7252">
          <cell r="CJ7252" t="str">
            <v xml:space="preserve">NFT-/XUTR/DEUTH02435857292X </v>
          </cell>
          <cell r="CK7252" t="str">
            <v>2024-12-23</v>
          </cell>
          <cell r="CL7252">
            <v>14757.566999999999</v>
          </cell>
          <cell r="CM7252" t="str">
            <v xml:space="preserve">NFT-/XUTR/DEUTH02435878630X </v>
          </cell>
          <cell r="CN7252" t="str">
            <v>2024-12-23</v>
          </cell>
          <cell r="CO7252">
            <v>2160.5030000000002</v>
          </cell>
        </row>
        <row r="7253">
          <cell r="CJ7253" t="str">
            <v xml:space="preserve">NFT-/XUTR/DEUTH02435857292X </v>
          </cell>
          <cell r="CK7253" t="str">
            <v>2024-12-23</v>
          </cell>
          <cell r="CL7253">
            <v>7049.7939999999999</v>
          </cell>
          <cell r="CM7253" t="str">
            <v xml:space="preserve">NFT-/XUTR/DEUTH02435878630X </v>
          </cell>
          <cell r="CN7253" t="str">
            <v>2024-12-23</v>
          </cell>
          <cell r="CO7253">
            <v>1463.625</v>
          </cell>
        </row>
        <row r="7254">
          <cell r="CJ7254" t="str">
            <v xml:space="preserve">NFT-/XUTR/DEUTH02435857292X </v>
          </cell>
          <cell r="CK7254" t="str">
            <v>2024-12-23</v>
          </cell>
          <cell r="CL7254">
            <v>39202.995999999999</v>
          </cell>
          <cell r="CM7254" t="str">
            <v xml:space="preserve">NFT-/XUTR/DEUTH02435878630X </v>
          </cell>
          <cell r="CN7254" t="str">
            <v>2024-12-23</v>
          </cell>
          <cell r="CO7254">
            <v>2911.7240000000002</v>
          </cell>
        </row>
        <row r="7255">
          <cell r="CJ7255" t="str">
            <v xml:space="preserve">NFT-/XUTR/DEUTH02435857292X </v>
          </cell>
          <cell r="CK7255" t="str">
            <v>2024-12-23</v>
          </cell>
          <cell r="CL7255">
            <v>15728.142</v>
          </cell>
          <cell r="CM7255" t="str">
            <v xml:space="preserve">NFT-/XUTR/DEUTH02435878630X </v>
          </cell>
          <cell r="CN7255" t="str">
            <v>2024-12-23</v>
          </cell>
          <cell r="CO7255">
            <v>1189.9280000000001</v>
          </cell>
        </row>
        <row r="7256">
          <cell r="CJ7256" t="str">
            <v xml:space="preserve">NFT-/XUTR/DEUTH02435857292X </v>
          </cell>
          <cell r="CK7256" t="str">
            <v>2024-12-23</v>
          </cell>
          <cell r="CL7256">
            <v>38629.82</v>
          </cell>
          <cell r="CM7256" t="str">
            <v xml:space="preserve">NFT-/XUTR/DEUTH02435878630X </v>
          </cell>
          <cell r="CN7256" t="str">
            <v>2024-12-23</v>
          </cell>
          <cell r="CO7256">
            <v>2911.723</v>
          </cell>
        </row>
        <row r="7257">
          <cell r="CJ7257" t="str">
            <v xml:space="preserve">NFT-/XUTR/DEUTH02435857292X </v>
          </cell>
          <cell r="CK7257" t="str">
            <v>2024-12-23</v>
          </cell>
          <cell r="CL7257">
            <v>6691.6540000000005</v>
          </cell>
          <cell r="CM7257" t="str">
            <v xml:space="preserve">NFT-/XUTR/DEUTH02435878630X </v>
          </cell>
          <cell r="CN7257" t="str">
            <v>2024-12-23</v>
          </cell>
          <cell r="CO7257">
            <v>1821.7670000000001</v>
          </cell>
        </row>
        <row r="7258">
          <cell r="CJ7258" t="str">
            <v xml:space="preserve">NFT-/XUTR/DEUTH02435857292X </v>
          </cell>
          <cell r="CK7258" t="str">
            <v>2024-12-23</v>
          </cell>
          <cell r="CL7258">
            <v>7049.7939999999999</v>
          </cell>
          <cell r="CM7258" t="str">
            <v xml:space="preserve">NFT-/XUTR/DEUTH02435878630X </v>
          </cell>
          <cell r="CN7258" t="str">
            <v>2024-12-23</v>
          </cell>
          <cell r="CO7258">
            <v>1463.625</v>
          </cell>
        </row>
        <row r="7259">
          <cell r="CJ7259" t="str">
            <v xml:space="preserve">NFT-/XUTR/DEUTH02435857292X </v>
          </cell>
          <cell r="CK7259" t="str">
            <v>2024-12-23</v>
          </cell>
          <cell r="CL7259">
            <v>7910.6869999999999</v>
          </cell>
          <cell r="CM7259" t="str">
            <v xml:space="preserve">NFT-/XUTR/DEUTH02435878630X </v>
          </cell>
          <cell r="CN7259" t="str">
            <v>2024-12-23</v>
          </cell>
          <cell r="CO7259">
            <v>602.72199999999998</v>
          </cell>
        </row>
        <row r="7260">
          <cell r="CJ7260" t="str">
            <v xml:space="preserve">NFT-/XUTR/DEUTH02435857292X </v>
          </cell>
          <cell r="CK7260" t="str">
            <v>2024-12-23</v>
          </cell>
          <cell r="CL7260">
            <v>38629.82</v>
          </cell>
          <cell r="CM7260" t="str">
            <v xml:space="preserve">NFT-/XUTR/DEUTH02435878630X </v>
          </cell>
          <cell r="CN7260" t="str">
            <v>2024-12-23</v>
          </cell>
          <cell r="CO7260">
            <v>2911.7240000000002</v>
          </cell>
        </row>
        <row r="7261">
          <cell r="CJ7261" t="str">
            <v xml:space="preserve">NFT-/XUTR/DEUTH02435857292X </v>
          </cell>
          <cell r="CK7261" t="str">
            <v>2024-12-23</v>
          </cell>
          <cell r="CL7261">
            <v>14738.687</v>
          </cell>
          <cell r="CM7261" t="str">
            <v xml:space="preserve">NFT-/XUTR/DEUTH02435878630X </v>
          </cell>
          <cell r="CN7261" t="str">
            <v>2024-12-23</v>
          </cell>
          <cell r="CO7261">
            <v>2160.5039999999999</v>
          </cell>
        </row>
        <row r="7262">
          <cell r="CJ7262" t="str">
            <v xml:space="preserve">NFT-/XUTR/DEUTH02435857292X </v>
          </cell>
          <cell r="CK7262" t="str">
            <v>2024-12-23</v>
          </cell>
          <cell r="CL7262">
            <v>6710.5249999999996</v>
          </cell>
          <cell r="CM7262" t="str">
            <v xml:space="preserve">NFT-/XUTR/DEUTH02435878630X </v>
          </cell>
          <cell r="CN7262" t="str">
            <v>2024-12-23</v>
          </cell>
          <cell r="CO7262">
            <v>1821.7660000000001</v>
          </cell>
        </row>
        <row r="7263">
          <cell r="CJ7263" t="str">
            <v xml:space="preserve">NFT-/XUTR/DEUTH02435857292X </v>
          </cell>
          <cell r="CK7263" t="str">
            <v>2024-12-23</v>
          </cell>
          <cell r="CL7263">
            <v>15097.268</v>
          </cell>
          <cell r="CM7263" t="str">
            <v xml:space="preserve">NFT-/XUTR/DEUTH02435878630X </v>
          </cell>
          <cell r="CN7263" t="str">
            <v>2024-12-23</v>
          </cell>
          <cell r="CO7263">
            <v>1820.8030000000001</v>
          </cell>
        </row>
        <row r="7264">
          <cell r="CJ7264" t="str">
            <v xml:space="preserve">NFT-/XUTR/DEUTH02435857292X </v>
          </cell>
          <cell r="CK7264" t="str">
            <v>2024-12-23</v>
          </cell>
          <cell r="CL7264">
            <v>39221.875999999997</v>
          </cell>
          <cell r="CM7264" t="str">
            <v xml:space="preserve">NFT-/XUTR/DEUTH02435878630X </v>
          </cell>
          <cell r="CN7264" t="str">
            <v>2024-12-23</v>
          </cell>
          <cell r="CO7264">
            <v>2911.7240000000002</v>
          </cell>
        </row>
        <row r="7265">
          <cell r="CJ7265" t="str">
            <v xml:space="preserve">NFT-/XUTR/DEUTH02435857292X </v>
          </cell>
          <cell r="CK7265" t="str">
            <v>2024-12-23</v>
          </cell>
          <cell r="CL7265">
            <v>79093.618000000002</v>
          </cell>
          <cell r="CM7265" t="str">
            <v xml:space="preserve">NFT-/XUTR/DEUTH02435878630X </v>
          </cell>
          <cell r="CN7265" t="str">
            <v>2024-12-23</v>
          </cell>
          <cell r="CO7265">
            <v>3882.299</v>
          </cell>
        </row>
        <row r="7266">
          <cell r="CJ7266" t="str">
            <v xml:space="preserve">NFT-/XUTR/DEUTH02435857292X </v>
          </cell>
          <cell r="CK7266" t="str">
            <v>2024-12-23</v>
          </cell>
          <cell r="CL7266">
            <v>10547.207</v>
          </cell>
          <cell r="CM7266" t="str">
            <v xml:space="preserve">NFT-/XUTR/DEUTH02435878630X </v>
          </cell>
          <cell r="CN7266" t="str">
            <v>2024-12-23</v>
          </cell>
          <cell r="CO7266">
            <v>799.75</v>
          </cell>
        </row>
        <row r="7267">
          <cell r="CJ7267" t="str">
            <v xml:space="preserve">NFT-/XUTR/DEUTH02435857292X </v>
          </cell>
          <cell r="CK7267" t="str">
            <v>2024-12-23</v>
          </cell>
          <cell r="CL7267">
            <v>48204.493000000002</v>
          </cell>
          <cell r="CM7267" t="str">
            <v xml:space="preserve">NFT-/XUTR/DEUTH02435878630X </v>
          </cell>
          <cell r="CN7267" t="str">
            <v>2024-12-23</v>
          </cell>
          <cell r="CO7267">
            <v>2547.7559999999999</v>
          </cell>
        </row>
        <row r="7268">
          <cell r="CJ7268" t="str">
            <v xml:space="preserve">NFT-/XUTR/DEUTH02435857292X </v>
          </cell>
          <cell r="CK7268" t="str">
            <v>2024-12-23</v>
          </cell>
          <cell r="CL7268">
            <v>14757.566999999999</v>
          </cell>
          <cell r="CM7268" t="str">
            <v xml:space="preserve">NFT-/XUTR/DEUTH02435878630X </v>
          </cell>
          <cell r="CN7268" t="str">
            <v>2024-12-23</v>
          </cell>
          <cell r="CO7268">
            <v>2160.5039999999999</v>
          </cell>
        </row>
        <row r="7270">
          <cell r="CJ7270" t="str">
            <v xml:space="preserve">NFT-/XUTR/DEUTH02435857292X </v>
          </cell>
          <cell r="CK7270" t="str">
            <v>2024-12-23</v>
          </cell>
          <cell r="CL7270">
            <v>64563.578999999998</v>
          </cell>
          <cell r="CM7270" t="str">
            <v xml:space="preserve">NFT-/XUTR/DEUTH02435878630X </v>
          </cell>
          <cell r="CN7270" t="str">
            <v>2024-12-23</v>
          </cell>
          <cell r="CO7270">
            <v>2911.7240000000002</v>
          </cell>
        </row>
        <row r="7271">
          <cell r="CJ7271" t="str">
            <v xml:space="preserve">NFT-/XUTR/DEUTH02435857292X </v>
          </cell>
          <cell r="CK7271" t="str">
            <v>2024-12-23</v>
          </cell>
          <cell r="CL7271">
            <v>7671.3980000000001</v>
          </cell>
          <cell r="CM7271" t="str">
            <v xml:space="preserve">NFT-/XUTR/DEUTH02435878630X </v>
          </cell>
          <cell r="CN7271" t="str">
            <v>2024-12-23</v>
          </cell>
          <cell r="CO7271">
            <v>860.90300000000002</v>
          </cell>
        </row>
        <row r="7272">
          <cell r="CJ7272" t="str">
            <v xml:space="preserve">NFT-/XUTR/DEUTH02435857292X </v>
          </cell>
          <cell r="CK7272" t="str">
            <v>2024-12-23</v>
          </cell>
          <cell r="CL7272">
            <v>39221.875999999997</v>
          </cell>
          <cell r="CM7272" t="str">
            <v xml:space="preserve">NFT-/XUTR/DEUTH02435878630X </v>
          </cell>
          <cell r="CN7272" t="str">
            <v>2024-12-23</v>
          </cell>
          <cell r="CO7272">
            <v>2911.7240000000002</v>
          </cell>
        </row>
        <row r="7273">
          <cell r="CJ7273" t="str">
            <v xml:space="preserve">NFT-/XUTR/DEUTH02435857292X </v>
          </cell>
          <cell r="CK7273" t="str">
            <v>2024-12-23</v>
          </cell>
          <cell r="CL7273">
            <v>7910.6869999999999</v>
          </cell>
          <cell r="CM7273" t="str">
            <v xml:space="preserve">NFT-/XUTR/DEUTH02435878630X </v>
          </cell>
          <cell r="CN7273" t="str">
            <v>2024-12-23</v>
          </cell>
          <cell r="CO7273">
            <v>602.72199999999998</v>
          </cell>
        </row>
        <row r="7274">
          <cell r="CJ7274" t="str">
            <v xml:space="preserve">NFT-/XUTR/DEUTH02435857292X </v>
          </cell>
          <cell r="CK7274" t="str">
            <v>2024-12-23</v>
          </cell>
          <cell r="CL7274">
            <v>7049.7939999999999</v>
          </cell>
          <cell r="CM7274" t="str">
            <v xml:space="preserve">NFT-/XUTR/DEUTH02435878630X </v>
          </cell>
          <cell r="CN7274" t="str">
            <v>2024-12-23</v>
          </cell>
          <cell r="CO7274">
            <v>1463.625</v>
          </cell>
          <cell r="CP7274" t="str">
            <v xml:space="preserve">NFT-/XUTR/DEUTH02500370901X </v>
          </cell>
          <cell r="CQ7274" t="str">
            <v>2025-01-03</v>
          </cell>
          <cell r="CR7274">
            <v>-7049.7939999999999</v>
          </cell>
          <cell r="CS7274" t="str">
            <v xml:space="preserve">NFT-/XUTR/DEUTH02500685844X </v>
          </cell>
          <cell r="CT7274" t="str">
            <v>2025-01-06</v>
          </cell>
          <cell r="CU7274">
            <v>-1463.625</v>
          </cell>
        </row>
        <row r="7275">
          <cell r="CJ7275" t="str">
            <v xml:space="preserve">NFT-/XUTR/DEUTH02435857292X </v>
          </cell>
          <cell r="CK7275" t="str">
            <v>2024-12-23</v>
          </cell>
          <cell r="CL7275">
            <v>4783.4960000000001</v>
          </cell>
          <cell r="CM7275" t="str">
            <v xml:space="preserve">NFT-/XUTR/DEUTH02435878630X </v>
          </cell>
          <cell r="CN7275" t="str">
            <v>2024-12-23</v>
          </cell>
          <cell r="CO7275">
            <v>827.90099999999995</v>
          </cell>
        </row>
        <row r="7276">
          <cell r="CJ7276" t="str">
            <v xml:space="preserve">NFT-/XUTR/DEUTH02435857292X </v>
          </cell>
          <cell r="CK7276" t="str">
            <v>2024-12-23</v>
          </cell>
          <cell r="CL7276">
            <v>15728.141</v>
          </cell>
          <cell r="CM7276" t="str">
            <v xml:space="preserve">NFT-/XUTR/DEUTH02435878630X </v>
          </cell>
          <cell r="CN7276" t="str">
            <v>2024-12-23</v>
          </cell>
          <cell r="CO7276">
            <v>1189.9290000000001</v>
          </cell>
        </row>
        <row r="7277">
          <cell r="CJ7277" t="str">
            <v xml:space="preserve">NFT-/XUTR/DEUTH02435857292X </v>
          </cell>
          <cell r="CK7277" t="str">
            <v>2024-12-23</v>
          </cell>
          <cell r="CL7277">
            <v>7049.7939999999999</v>
          </cell>
          <cell r="CM7277" t="str">
            <v xml:space="preserve">NFT-/XUTR/DEUTH02435878630X </v>
          </cell>
          <cell r="CN7277" t="str">
            <v>2024-12-23</v>
          </cell>
          <cell r="CO7277">
            <v>1463.625</v>
          </cell>
        </row>
        <row r="7278">
          <cell r="CJ7278" t="str">
            <v xml:space="preserve">NFT-/XUTR/DEUTH02435857292X </v>
          </cell>
          <cell r="CK7278" t="str">
            <v>2024-12-23</v>
          </cell>
          <cell r="CL7278">
            <v>14757.566999999999</v>
          </cell>
          <cell r="CM7278" t="str">
            <v xml:space="preserve">NFT-/XUTR/DEUTH02435878630X </v>
          </cell>
          <cell r="CN7278" t="str">
            <v>2024-12-23</v>
          </cell>
          <cell r="CO7278">
            <v>2160.5030000000002</v>
          </cell>
        </row>
        <row r="7279">
          <cell r="CJ7279" t="str">
            <v xml:space="preserve">NFT-/XUTR/DEUTH02435857292X </v>
          </cell>
          <cell r="CK7279" t="str">
            <v>2024-12-23</v>
          </cell>
          <cell r="CL7279">
            <v>42133.601000000002</v>
          </cell>
        </row>
        <row r="7280">
          <cell r="CJ7280" t="str">
            <v xml:space="preserve">NFT-/XUTR/DEUTH02435857292X </v>
          </cell>
          <cell r="CK7280" t="str">
            <v>2024-12-23</v>
          </cell>
          <cell r="CL7280">
            <v>11016.967000000001</v>
          </cell>
        </row>
        <row r="7281">
          <cell r="CJ7281" t="str">
            <v xml:space="preserve">NFT-/XUTR/DEUTH02500370901X </v>
          </cell>
          <cell r="CK7281" t="str">
            <v>2025-01-03</v>
          </cell>
          <cell r="CL7281">
            <v>15647.144</v>
          </cell>
          <cell r="CV7281" t="str">
            <v xml:space="preserve">NFT-/XUTR/DEUTH02500685844X </v>
          </cell>
          <cell r="CW7281" t="str">
            <v>2025-01-06</v>
          </cell>
          <cell r="CX7281">
            <v>1213.2180000000001</v>
          </cell>
        </row>
        <row r="7282">
          <cell r="CJ7282" t="str">
            <v xml:space="preserve">NFT-/XUTR/DEUTH02500370901X </v>
          </cell>
          <cell r="CK7282" t="str">
            <v>2025-01-03</v>
          </cell>
          <cell r="CL7282">
            <v>7635.0519999999997</v>
          </cell>
          <cell r="CV7282" t="str">
            <v xml:space="preserve">NFT-/XUTR/DEUTH02500685844X </v>
          </cell>
          <cell r="CW7282" t="str">
            <v>2025-01-06</v>
          </cell>
          <cell r="CX7282">
            <v>858.95500000000004</v>
          </cell>
        </row>
        <row r="7283">
          <cell r="CJ7283" t="str">
            <v xml:space="preserve">NFT-/XUTR/DEUTH02500370901X </v>
          </cell>
          <cell r="CK7283" t="str">
            <v>2025-01-03</v>
          </cell>
          <cell r="CL7283">
            <v>15647.144</v>
          </cell>
          <cell r="CV7283" t="str">
            <v xml:space="preserve">NFT-/XUTR/DEUTH02500685844X </v>
          </cell>
          <cell r="CW7283" t="str">
            <v>2025-01-06</v>
          </cell>
          <cell r="CX7283">
            <v>1213.2180000000001</v>
          </cell>
        </row>
        <row r="7284">
          <cell r="CJ7284" t="str">
            <v xml:space="preserve">NFT-/XUTR/DEUTH02500370901X </v>
          </cell>
          <cell r="CK7284" t="str">
            <v>2025-01-03</v>
          </cell>
          <cell r="CL7284">
            <v>7693.723</v>
          </cell>
          <cell r="CV7284" t="str">
            <v xml:space="preserve">NFT-/XUTR/DEUTH02500685844X </v>
          </cell>
          <cell r="CW7284" t="str">
            <v>2025-01-06</v>
          </cell>
          <cell r="CX7284">
            <v>819.16399999999999</v>
          </cell>
        </row>
        <row r="7285">
          <cell r="CJ7285" t="str">
            <v xml:space="preserve">NFT-/XUTR/DEUTH02500370901X </v>
          </cell>
          <cell r="CK7285" t="str">
            <v>2025-01-03</v>
          </cell>
          <cell r="CL7285">
            <v>40762.705000000002</v>
          </cell>
        </row>
        <row r="7286">
          <cell r="CJ7286" t="str">
            <v xml:space="preserve">NFT-/XUTR/DEUTH02500370901X </v>
          </cell>
          <cell r="CK7286" t="str">
            <v>2025-01-03</v>
          </cell>
          <cell r="CL7286">
            <v>15203.375</v>
          </cell>
          <cell r="CV7286" t="str">
            <v xml:space="preserve">NFT-/XUTR/DEUTH02500685844X </v>
          </cell>
          <cell r="CW7286" t="str">
            <v>2025-01-06</v>
          </cell>
          <cell r="CX7286">
            <v>449.40800000000002</v>
          </cell>
        </row>
        <row r="7287">
          <cell r="CJ7287" t="str">
            <v xml:space="preserve">NFT-/XUTR/DEUTH02500370901X </v>
          </cell>
          <cell r="CK7287" t="str">
            <v>2025-01-03</v>
          </cell>
          <cell r="CL7287">
            <v>40781.584999999999</v>
          </cell>
        </row>
        <row r="7289">
          <cell r="CJ7289" t="str">
            <v xml:space="preserve">NFT-/XUTR/DEUTH02500370901X </v>
          </cell>
          <cell r="CK7289" t="str">
            <v>2025-01-03</v>
          </cell>
          <cell r="CL7289">
            <v>15676.26</v>
          </cell>
          <cell r="CV7289" t="str">
            <v xml:space="preserve">NFT-/XUTR/DEUTH02500685844X </v>
          </cell>
          <cell r="CW7289" t="str">
            <v>2025-01-06</v>
          </cell>
          <cell r="CX7289">
            <v>830.81399999999996</v>
          </cell>
        </row>
        <row r="7290">
          <cell r="CJ7290" t="str">
            <v xml:space="preserve">NFT-/XUTR/DEUTH02500370901X </v>
          </cell>
          <cell r="CK7290" t="str">
            <v>2025-01-03</v>
          </cell>
          <cell r="CL7290">
            <v>81427.296000000002</v>
          </cell>
        </row>
        <row r="7291">
          <cell r="CJ7291" t="str">
            <v xml:space="preserve">NFT-/XUTR/DEUTH02500370901X </v>
          </cell>
          <cell r="CK7291" t="str">
            <v>2025-01-03</v>
          </cell>
          <cell r="CL7291">
            <v>16507.073</v>
          </cell>
        </row>
        <row r="7293">
          <cell r="CJ7293" t="str">
            <v xml:space="preserve">NFT-/XUTR/DEUTH02500370901X </v>
          </cell>
          <cell r="CK7293" t="str">
            <v>2025-01-03</v>
          </cell>
          <cell r="CL7293">
            <v>8310.5669999999991</v>
          </cell>
        </row>
        <row r="7294">
          <cell r="CJ7294" t="str">
            <v xml:space="preserve">NFT-/XUTR/DEUTH02500370901X </v>
          </cell>
          <cell r="CK7294" t="str">
            <v>2025-01-03</v>
          </cell>
          <cell r="CL7294">
            <v>8147.9470000000001</v>
          </cell>
          <cell r="CV7294" t="str">
            <v xml:space="preserve">NFT-/XUTR/DEUTH02500685844X </v>
          </cell>
          <cell r="CW7294" t="str">
            <v>2025-01-06</v>
          </cell>
          <cell r="CX7294">
            <v>181.5</v>
          </cell>
        </row>
        <row r="7295">
          <cell r="CJ7295" t="str">
            <v xml:space="preserve">NFT-/XUTR/DEUTH02500370901X </v>
          </cell>
          <cell r="CK7295" t="str">
            <v>2025-01-03</v>
          </cell>
          <cell r="CL7295">
            <v>16697.723999999998</v>
          </cell>
          <cell r="CM7295" t="str">
            <v xml:space="preserve">NFT-/XUTR/DEUTH02500675317X </v>
          </cell>
          <cell r="CN7295" t="str">
            <v>2025-01-06</v>
          </cell>
          <cell r="CO7295">
            <v>-16697.723999999998</v>
          </cell>
        </row>
        <row r="7296">
          <cell r="CJ7296" t="str">
            <v xml:space="preserve">NFT-/XUTR/DEUTH02500370901X </v>
          </cell>
          <cell r="CK7296" t="str">
            <v>2025-01-03</v>
          </cell>
          <cell r="CL7296">
            <v>82403.686000000002</v>
          </cell>
          <cell r="CM7296" t="str">
            <v xml:space="preserve">NFT-/XUTR/DEUTH02500675317X </v>
          </cell>
          <cell r="CN7296" t="str">
            <v>2025-01-06</v>
          </cell>
          <cell r="CO7296">
            <v>-82403.686000000002</v>
          </cell>
        </row>
        <row r="7297">
          <cell r="CJ7297" t="str">
            <v xml:space="preserve">NFT-/XUTR/DEUTH02500370901X </v>
          </cell>
          <cell r="CK7297" t="str">
            <v>2025-01-03</v>
          </cell>
          <cell r="CL7297">
            <v>8348.8619999999992</v>
          </cell>
          <cell r="CM7297" t="str">
            <v xml:space="preserve">NFT-/XUTR/DEUTH02500675317X </v>
          </cell>
          <cell r="CN7297" t="str">
            <v>2025-01-06</v>
          </cell>
          <cell r="CO7297">
            <v>-8348.8619999999992</v>
          </cell>
        </row>
        <row r="7298">
          <cell r="CJ7298" t="str">
            <v xml:space="preserve">NFT-/XUTR/DEUTH02500370901X </v>
          </cell>
          <cell r="CK7298" t="str">
            <v>2025-01-03</v>
          </cell>
          <cell r="CL7298">
            <v>16555.069</v>
          </cell>
        </row>
        <row r="7299">
          <cell r="CJ7299" t="str">
            <v xml:space="preserve">NFT-/XUTR/DEUTH02500370901X </v>
          </cell>
          <cell r="CK7299" t="str">
            <v>2025-01-03</v>
          </cell>
          <cell r="CL7299">
            <v>40645.711000000003</v>
          </cell>
          <cell r="CV7299" t="str">
            <v xml:space="preserve">NFT-/XUTR/DEUTH02500685844X </v>
          </cell>
          <cell r="CW7299" t="str">
            <v>2025-01-06</v>
          </cell>
          <cell r="CX7299">
            <v>194.11600000000001</v>
          </cell>
        </row>
        <row r="7300">
          <cell r="CJ7300" t="str">
            <v xml:space="preserve">NFT-/XUTR/DEUTH02500370901X </v>
          </cell>
          <cell r="CK7300" t="str">
            <v>2025-01-03</v>
          </cell>
          <cell r="CL7300">
            <v>121354.765</v>
          </cell>
          <cell r="CM7300" t="str">
            <v xml:space="preserve">NFT-/XUTR/DEUTH02500675317X </v>
          </cell>
          <cell r="CN7300" t="str">
            <v>2025-01-06</v>
          </cell>
          <cell r="CO7300">
            <v>-121354.77499999999</v>
          </cell>
        </row>
        <row r="7301">
          <cell r="CJ7301" t="str">
            <v xml:space="preserve">NFT-/XUTR/DEUTH02500370901X </v>
          </cell>
          <cell r="CK7301" t="str">
            <v>2025-01-03</v>
          </cell>
          <cell r="CL7301">
            <v>8339.4210000000003</v>
          </cell>
        </row>
        <row r="7302">
          <cell r="CJ7302" t="str">
            <v xml:space="preserve">NFT-/XUTR/DEUTH02500370901X </v>
          </cell>
          <cell r="CK7302" t="str">
            <v>2025-01-03</v>
          </cell>
          <cell r="CL7302">
            <v>40839.824999999997</v>
          </cell>
        </row>
        <row r="7303">
          <cell r="CJ7303" t="str">
            <v xml:space="preserve">NFT-/XUTR/DEUTH02500370901X </v>
          </cell>
          <cell r="CK7303" t="str">
            <v>2025-01-03</v>
          </cell>
          <cell r="CL7303">
            <v>16545.629000000001</v>
          </cell>
        </row>
        <row r="7304">
          <cell r="CJ7304" t="str">
            <v xml:space="preserve">NFT-/XUTR/DEUTH02500370901X </v>
          </cell>
          <cell r="CK7304" t="str">
            <v>2025-01-03</v>
          </cell>
          <cell r="CL7304">
            <v>16678.842000000001</v>
          </cell>
        </row>
        <row r="7305">
          <cell r="CJ7305" t="str">
            <v xml:space="preserve">NFT-/XUTR/DEUTH02500370901X </v>
          </cell>
          <cell r="CK7305" t="str">
            <v>2025-01-03</v>
          </cell>
          <cell r="CL7305">
            <v>16555.069</v>
          </cell>
        </row>
        <row r="7306">
          <cell r="CJ7306" t="str">
            <v xml:space="preserve">NFT-/XUTR/DEUTH02500675317X </v>
          </cell>
          <cell r="CK7306" t="str">
            <v>2025-01-06</v>
          </cell>
          <cell r="CL7306">
            <v>16377.987999999999</v>
          </cell>
          <cell r="CV7306" t="str">
            <v xml:space="preserve">NFT-/XUTR/DEUTH02500685844X </v>
          </cell>
          <cell r="CW7306" t="str">
            <v>2025-01-06</v>
          </cell>
          <cell r="CX7306">
            <v>226.143</v>
          </cell>
        </row>
        <row r="7307">
          <cell r="CJ7307" t="str">
            <v xml:space="preserve">NFT-/XUTR/DEUTH02500675317X </v>
          </cell>
          <cell r="CK7307" t="str">
            <v>2025-01-06</v>
          </cell>
          <cell r="CL7307">
            <v>2573.5</v>
          </cell>
        </row>
        <row r="7308">
          <cell r="CJ7308" t="str">
            <v xml:space="preserve">NFT-/XUTR/DEUTH02500675317X </v>
          </cell>
          <cell r="CK7308" t="str">
            <v>2025-01-06</v>
          </cell>
          <cell r="CL7308">
            <v>8329.9809999999998</v>
          </cell>
        </row>
        <row r="7309">
          <cell r="CJ7309" t="str">
            <v xml:space="preserve">NFT-/XUTR/DEUTH02500675317X </v>
          </cell>
          <cell r="CK7309" t="str">
            <v>2025-01-06</v>
          </cell>
          <cell r="CL7309">
            <v>81699.054000000004</v>
          </cell>
        </row>
        <row r="7310">
          <cell r="CJ7310" t="str">
            <v xml:space="preserve">NFT-/XUTR/DEUTH02500675317X </v>
          </cell>
          <cell r="CK7310" t="str">
            <v>2025-01-06</v>
          </cell>
          <cell r="CL7310">
            <v>16555.069</v>
          </cell>
        </row>
        <row r="7311">
          <cell r="CJ7311" t="str">
            <v xml:space="preserve">NFT-/XUTR/DEUTH02500675317X </v>
          </cell>
          <cell r="CK7311" t="str">
            <v>2025-01-06</v>
          </cell>
          <cell r="CL7311">
            <v>8348.8619999999992</v>
          </cell>
        </row>
        <row r="7312">
          <cell r="CJ7312" t="str">
            <v xml:space="preserve">NFT-/XUTR/DEUTH02500675317X </v>
          </cell>
          <cell r="CK7312" t="str">
            <v>2025-01-06</v>
          </cell>
          <cell r="CL7312">
            <v>2563.2649999999999</v>
          </cell>
        </row>
        <row r="7313">
          <cell r="CJ7313" t="str">
            <v xml:space="preserve">NFT-/XUTR/DEUTH02500675317X </v>
          </cell>
          <cell r="CK7313" t="str">
            <v>2025-01-06</v>
          </cell>
          <cell r="CL7313">
            <v>40849.527000000002</v>
          </cell>
        </row>
        <row r="7314">
          <cell r="CJ7314" t="str">
            <v xml:space="preserve">NFT-/XUTR/DEUTH02500675317X </v>
          </cell>
          <cell r="CK7314" t="str">
            <v>2025-01-06</v>
          </cell>
          <cell r="CL7314">
            <v>5456.11</v>
          </cell>
        </row>
        <row r="7315">
          <cell r="CJ7315" t="str">
            <v xml:space="preserve">NFT-/XUTR/DEUTH02500675317X </v>
          </cell>
          <cell r="CK7315" t="str">
            <v>2025-01-06</v>
          </cell>
          <cell r="CL7315">
            <v>66638.664000000004</v>
          </cell>
          <cell r="CM7315" t="str">
            <v xml:space="preserve">NFT-/XUTR/DEUTH02500845840X </v>
          </cell>
          <cell r="CN7315" t="str">
            <v>2025-01-08</v>
          </cell>
          <cell r="CO7315">
            <v>-66638.664000000004</v>
          </cell>
        </row>
        <row r="7316">
          <cell r="CJ7316" t="str">
            <v xml:space="preserve">NFT-/XUTR/DEUTH02500868226X </v>
          </cell>
          <cell r="CK7316" t="str">
            <v>2025-01-08</v>
          </cell>
          <cell r="CL7316">
            <v>2911.723</v>
          </cell>
          <cell r="CM7316" t="str">
            <v xml:space="preserve">NFT-/XUTR/DEUTH02500845840X </v>
          </cell>
          <cell r="CN7316" t="str">
            <v>2025-01-08</v>
          </cell>
          <cell r="CO7316">
            <v>79573.520999999993</v>
          </cell>
        </row>
        <row r="7317">
          <cell r="CM7317" t="str">
            <v xml:space="preserve">NFT-/XUTR/DEUTH02500845840X </v>
          </cell>
          <cell r="CN7317" t="str">
            <v>2025-01-08</v>
          </cell>
          <cell r="CO7317">
            <v>16536.188999999998</v>
          </cell>
        </row>
        <row r="7318">
          <cell r="CJ7318" t="str">
            <v xml:space="preserve">NFT-/XUTR/DEUTH02500868226X </v>
          </cell>
          <cell r="CK7318" t="str">
            <v>2025-01-08</v>
          </cell>
          <cell r="CL7318">
            <v>2050.8209999999999</v>
          </cell>
          <cell r="CM7318" t="str">
            <v xml:space="preserve">NFT-/XUTR/DEUTH02500845840X </v>
          </cell>
          <cell r="CN7318" t="str">
            <v>2025-01-08</v>
          </cell>
          <cell r="CO7318">
            <v>38886.050999999999</v>
          </cell>
        </row>
        <row r="7319">
          <cell r="CJ7319" t="str">
            <v xml:space="preserve">NFT-/XUTR/DEUTH02500868226X </v>
          </cell>
          <cell r="CK7319" t="str">
            <v>2025-01-08</v>
          </cell>
          <cell r="CL7319">
            <v>833.726</v>
          </cell>
          <cell r="CM7319" t="str">
            <v xml:space="preserve">NFT-/XUTR/DEUTH02500845840X </v>
          </cell>
          <cell r="CN7319" t="str">
            <v>2025-01-08</v>
          </cell>
          <cell r="CO7319">
            <v>15760.17</v>
          </cell>
        </row>
        <row r="7320">
          <cell r="CJ7320" t="str">
            <v xml:space="preserve">NFT-/XUTR/DEUTH02500868226X </v>
          </cell>
          <cell r="CK7320" t="str">
            <v>2025-01-08</v>
          </cell>
          <cell r="CL7320">
            <v>833.726</v>
          </cell>
          <cell r="CM7320" t="str">
            <v xml:space="preserve">NFT-/XUTR/DEUTH02500845840X </v>
          </cell>
          <cell r="CN7320" t="str">
            <v>2025-01-08</v>
          </cell>
          <cell r="CO7320">
            <v>15760.17</v>
          </cell>
        </row>
        <row r="7321">
          <cell r="CJ7321" t="str">
            <v xml:space="preserve">NFT-/XUTR/DEUTH02500868226X </v>
          </cell>
          <cell r="CK7321" t="str">
            <v>2025-01-08</v>
          </cell>
          <cell r="CL7321">
            <v>846.34199999999998</v>
          </cell>
          <cell r="CM7321" t="str">
            <v xml:space="preserve">NFT-/XUTR/DEUTH02500845840X </v>
          </cell>
          <cell r="CN7321" t="str">
            <v>2025-01-08</v>
          </cell>
          <cell r="CO7321">
            <v>15891.172</v>
          </cell>
        </row>
        <row r="7322">
          <cell r="CJ7322" t="str">
            <v xml:space="preserve">NFT-/XUTR/DEUTH02500868226X </v>
          </cell>
          <cell r="CK7322" t="str">
            <v>2025-01-08</v>
          </cell>
          <cell r="CL7322">
            <v>2050.8209999999999</v>
          </cell>
          <cell r="CM7322" t="str">
            <v xml:space="preserve">NFT-/XUTR/DEUTH02500845840X </v>
          </cell>
          <cell r="CN7322" t="str">
            <v>2025-01-08</v>
          </cell>
          <cell r="CO7322">
            <v>38886.050999999999</v>
          </cell>
        </row>
        <row r="7323">
          <cell r="CM7323" t="str">
            <v xml:space="preserve">NFT-/XUTR/DEUTH02500845840X </v>
          </cell>
          <cell r="CN7323" t="str">
            <v>2025-01-08</v>
          </cell>
          <cell r="CO7323">
            <v>10726.329</v>
          </cell>
        </row>
        <row r="7324">
          <cell r="CJ7324" t="str">
            <v xml:space="preserve">NFT-/XUTR/DEUTH02500868226X </v>
          </cell>
          <cell r="CK7324" t="str">
            <v>2025-01-08</v>
          </cell>
          <cell r="CL7324">
            <v>2911.7240000000002</v>
          </cell>
          <cell r="CM7324" t="str">
            <v xml:space="preserve">NFT-/XUTR/DEUTH02500845840X </v>
          </cell>
          <cell r="CN7324" t="str">
            <v>2025-01-08</v>
          </cell>
          <cell r="CO7324">
            <v>79510.964000000007</v>
          </cell>
        </row>
        <row r="7325">
          <cell r="CM7325" t="str">
            <v xml:space="preserve">NFT-/XUTR/DEUTH02500845840X </v>
          </cell>
          <cell r="CN7325" t="str">
            <v>2025-01-08</v>
          </cell>
          <cell r="CO7325">
            <v>10726.329</v>
          </cell>
        </row>
        <row r="7326">
          <cell r="CJ7326" t="str">
            <v xml:space="preserve">NFT-/XUTR/DEUTH02500868226X </v>
          </cell>
          <cell r="CK7326" t="str">
            <v>2025-01-08</v>
          </cell>
          <cell r="CL7326">
            <v>2911.7240000000002</v>
          </cell>
          <cell r="CM7326" t="str">
            <v xml:space="preserve">NFT-/XUTR/DEUTH02500845840X </v>
          </cell>
          <cell r="CN7326" t="str">
            <v>2025-01-08</v>
          </cell>
          <cell r="CO7326">
            <v>79510.964000000007</v>
          </cell>
        </row>
        <row r="7327">
          <cell r="CJ7327" t="str">
            <v xml:space="preserve">NFT-/XUTR/DEUTH02501023878X </v>
          </cell>
          <cell r="CK7327" t="str">
            <v>2025-01-10</v>
          </cell>
          <cell r="CL7327">
            <v>7544.7830000000004</v>
          </cell>
          <cell r="CV7327" t="str">
            <v xml:space="preserve">NFT-/XUTR/DEUTH02501034359X </v>
          </cell>
          <cell r="CW7327" t="str">
            <v>2025-01-10</v>
          </cell>
          <cell r="CX7327">
            <v>756.08199999999999</v>
          </cell>
        </row>
        <row r="7328">
          <cell r="CJ7328" t="str">
            <v xml:space="preserve">NFT-/XUTR/DEUTH02501023878X </v>
          </cell>
          <cell r="CK7328" t="str">
            <v>2025-01-10</v>
          </cell>
          <cell r="CL7328">
            <v>8319.7450000000008</v>
          </cell>
        </row>
        <row r="7329">
          <cell r="CJ7329" t="str">
            <v xml:space="preserve">NFT-/XUTR/DEUTH02501023878X </v>
          </cell>
          <cell r="CK7329" t="str">
            <v>2025-01-10</v>
          </cell>
          <cell r="CL7329">
            <v>78338.510999999999</v>
          </cell>
          <cell r="CV7329" t="str">
            <v xml:space="preserve">NFT-/XUTR/DEUTH02501034359X </v>
          </cell>
          <cell r="CW7329" t="str">
            <v>2025-01-10</v>
          </cell>
          <cell r="CX7329">
            <v>3691.096</v>
          </cell>
        </row>
        <row r="7330">
          <cell r="CJ7330" t="str">
            <v xml:space="preserve">NFT-/XUTR/DEUTH02501023878X </v>
          </cell>
          <cell r="CK7330" t="str">
            <v>2025-01-10</v>
          </cell>
          <cell r="CL7330">
            <v>38839.462</v>
          </cell>
          <cell r="CV7330" t="str">
            <v xml:space="preserve">NFT-/XUTR/DEUTH02501034359X </v>
          </cell>
          <cell r="CW7330" t="str">
            <v>2025-01-10</v>
          </cell>
          <cell r="CX7330">
            <v>2097.4110000000001</v>
          </cell>
        </row>
        <row r="7331">
          <cell r="CJ7331" t="str">
            <v xml:space="preserve">NFT-/XUTR/DEUTH02501023878X </v>
          </cell>
          <cell r="CK7331" t="str">
            <v>2025-01-10</v>
          </cell>
          <cell r="CL7331">
            <v>8319.7450000000008</v>
          </cell>
        </row>
        <row r="7332">
          <cell r="CJ7332" t="str">
            <v xml:space="preserve">NFT-/XUTR/DEUTH02501023878X </v>
          </cell>
          <cell r="CK7332" t="str">
            <v>2025-01-10</v>
          </cell>
          <cell r="CL7332">
            <v>8048.51</v>
          </cell>
          <cell r="CV7332" t="str">
            <v xml:space="preserve">NFT-/XUTR/DEUTH02501034359X </v>
          </cell>
          <cell r="CW7332" t="str">
            <v>2025-01-10</v>
          </cell>
          <cell r="CX7332">
            <v>252.346</v>
          </cell>
        </row>
        <row r="7333">
          <cell r="CJ7333" t="str">
            <v xml:space="preserve">NFT-/XUTR/DEUTH02501023878X </v>
          </cell>
          <cell r="CK7333" t="str">
            <v>2025-01-10</v>
          </cell>
          <cell r="CL7333">
            <v>38673.498</v>
          </cell>
          <cell r="CM7333" t="str">
            <v xml:space="preserve">NFT-/XUTR/DEUTH02501337242X </v>
          </cell>
          <cell r="CN7333" t="str">
            <v>2025-01-13</v>
          </cell>
          <cell r="CO7333">
            <v>-38673.498</v>
          </cell>
          <cell r="CP7333" t="str">
            <v xml:space="preserve">NFT-/XUTR/DEUTH02502438367X </v>
          </cell>
          <cell r="CQ7333" t="str">
            <v>2025-01-24</v>
          </cell>
          <cell r="CR7333">
            <v>-2040.145</v>
          </cell>
          <cell r="CV7333" t="str">
            <v xml:space="preserve">NFT-/XUTR/DEUTH02501034359X </v>
          </cell>
          <cell r="CW7333" t="str">
            <v>2025-01-10</v>
          </cell>
          <cell r="CX7333">
            <v>2040.145</v>
          </cell>
        </row>
        <row r="7334">
          <cell r="CJ7334" t="str">
            <v xml:space="preserve">NFT-/XUTR/DEUTH02501023878X </v>
          </cell>
          <cell r="CK7334" t="str">
            <v>2025-01-10</v>
          </cell>
          <cell r="CL7334">
            <v>38673.498</v>
          </cell>
          <cell r="CV7334" t="str">
            <v xml:space="preserve">NFT-/XUTR/DEUTH02501034359X </v>
          </cell>
          <cell r="CW7334" t="str">
            <v>2025-01-10</v>
          </cell>
          <cell r="CX7334">
            <v>2040.145</v>
          </cell>
        </row>
        <row r="7335">
          <cell r="CJ7335" t="str">
            <v xml:space="preserve">NFT-/XUTR/DEUTH02501023878X </v>
          </cell>
          <cell r="CK7335" t="str">
            <v>2025-01-10</v>
          </cell>
          <cell r="CL7335">
            <v>8378.51</v>
          </cell>
        </row>
        <row r="7336">
          <cell r="CJ7336" t="str">
            <v xml:space="preserve">NFT-/XUTR/DEUTH02501023878X </v>
          </cell>
          <cell r="CK7336" t="str">
            <v>2025-01-10</v>
          </cell>
          <cell r="CL7336">
            <v>8378.51</v>
          </cell>
        </row>
        <row r="7337">
          <cell r="CJ7337" t="str">
            <v xml:space="preserve">NFT-/XUTR/DEUTH02501023878X </v>
          </cell>
          <cell r="CK7337" t="str">
            <v>2025-01-10</v>
          </cell>
          <cell r="CL7337">
            <v>8397.3889999999992</v>
          </cell>
        </row>
        <row r="7338">
          <cell r="CJ7338" t="str">
            <v xml:space="preserve">NFT-/XUTR/DEUTH02501023878X </v>
          </cell>
          <cell r="CK7338" t="str">
            <v>2025-01-10</v>
          </cell>
          <cell r="CL7338">
            <v>10571.04</v>
          </cell>
        </row>
        <row r="7339">
          <cell r="CJ7339" t="str">
            <v xml:space="preserve">NFT-/XUTR/DEUTH02501023878X </v>
          </cell>
          <cell r="CK7339" t="str">
            <v>2025-01-10</v>
          </cell>
          <cell r="CL7339">
            <v>10589.92</v>
          </cell>
        </row>
        <row r="7340">
          <cell r="CJ7340" t="str">
            <v xml:space="preserve">NFT-/XUTR/DEUTH02501023878X </v>
          </cell>
          <cell r="CK7340" t="str">
            <v>2025-01-10</v>
          </cell>
          <cell r="CL7340">
            <v>16794.777999999998</v>
          </cell>
        </row>
        <row r="7341">
          <cell r="CJ7341" t="str">
            <v xml:space="preserve">NFT-/XUTR/DEUTH02501023878X </v>
          </cell>
          <cell r="CK7341" t="str">
            <v>2025-01-10</v>
          </cell>
          <cell r="CL7341">
            <v>2524.9720000000002</v>
          </cell>
        </row>
        <row r="7342">
          <cell r="CJ7342" t="str">
            <v xml:space="preserve">NFT-/XUTR/DEUTH02501337242X </v>
          </cell>
          <cell r="CK7342" t="str">
            <v>2025-01-13</v>
          </cell>
          <cell r="CL7342">
            <v>8475.5669999999991</v>
          </cell>
        </row>
        <row r="7343">
          <cell r="CJ7343" t="str">
            <v xml:space="preserve">NFT-/XUTR/DEUTH02501337242X </v>
          </cell>
          <cell r="CK7343" t="str">
            <v>2025-01-13</v>
          </cell>
          <cell r="CL7343">
            <v>2418.212</v>
          </cell>
        </row>
        <row r="7344">
          <cell r="CJ7344" t="str">
            <v xml:space="preserve">NFT-/XUTR/DEUTH02501023878X </v>
          </cell>
          <cell r="CK7344" t="str">
            <v>2025-01-10</v>
          </cell>
          <cell r="CL7344">
            <v>8043.6589999999997</v>
          </cell>
          <cell r="CV7344" t="str">
            <v xml:space="preserve">NFT-/XUTR/DEUTH02501034359X </v>
          </cell>
          <cell r="CW7344" t="str">
            <v>2025-01-10</v>
          </cell>
          <cell r="CX7344">
            <v>334.85</v>
          </cell>
        </row>
        <row r="7345">
          <cell r="CJ7345" t="str">
            <v xml:space="preserve">NFT-/XUTR/DEUTH02501337242X </v>
          </cell>
          <cell r="CK7345" t="str">
            <v>2025-01-13</v>
          </cell>
          <cell r="CL7345">
            <v>41500.347000000002</v>
          </cell>
          <cell r="CM7345" t="str">
            <v xml:space="preserve">NFT-/XUTR/DEUTH02502438367X </v>
          </cell>
          <cell r="CN7345" t="str">
            <v>2025-01-24</v>
          </cell>
          <cell r="CO7345">
            <v>58.231000000000002</v>
          </cell>
        </row>
        <row r="7346">
          <cell r="CJ7346" t="str">
            <v xml:space="preserve">NFT-/XUTR/DEUTH02501337242X </v>
          </cell>
          <cell r="CK7346" t="str">
            <v>2025-01-13</v>
          </cell>
          <cell r="CL7346">
            <v>82815.769</v>
          </cell>
        </row>
        <row r="7347">
          <cell r="CJ7347" t="str">
            <v xml:space="preserve">NFT-/XUTR/DEUTH02501337242X </v>
          </cell>
          <cell r="CK7347" t="str">
            <v>2025-01-13</v>
          </cell>
          <cell r="CL7347">
            <v>15972.481</v>
          </cell>
          <cell r="CM7347" t="str">
            <v xml:space="preserve">NFT-/XUTR/DEUTH02501761897X </v>
          </cell>
          <cell r="CN7347" t="str">
            <v>2025-01-17</v>
          </cell>
          <cell r="CO7347">
            <v>-15972.481</v>
          </cell>
        </row>
        <row r="7348">
          <cell r="CJ7348" t="str">
            <v xml:space="preserve">NFT-/XUTR/DEUTH02501337242X </v>
          </cell>
          <cell r="CK7348" t="str">
            <v>2025-01-13</v>
          </cell>
          <cell r="CL7348">
            <v>16000.843999999999</v>
          </cell>
          <cell r="CM7348" t="str">
            <v xml:space="preserve">NFT-/XUTR/DEUTH02501564191X </v>
          </cell>
          <cell r="CN7348" t="str">
            <v>2025-01-15</v>
          </cell>
          <cell r="CO7348">
            <v>-16000.843999999999</v>
          </cell>
        </row>
        <row r="7349">
          <cell r="CJ7349" t="str">
            <v xml:space="preserve">NFT-/XUTR/DEUTH02501337242X </v>
          </cell>
          <cell r="CK7349" t="str">
            <v>2025-01-13</v>
          </cell>
          <cell r="CL7349">
            <v>11114.026</v>
          </cell>
        </row>
        <row r="7350">
          <cell r="CJ7350" t="str">
            <v xml:space="preserve">NFT-/XUTR/DEUTH02501337242X </v>
          </cell>
          <cell r="CK7350" t="str">
            <v>2025-01-13</v>
          </cell>
          <cell r="CL7350">
            <v>1379.6949999999999</v>
          </cell>
        </row>
        <row r="7351">
          <cell r="CJ7351" t="str">
            <v xml:space="preserve">NFT-/XUTR/DEUTH02501337242X </v>
          </cell>
          <cell r="CK7351" t="str">
            <v>2025-01-13</v>
          </cell>
          <cell r="CL7351">
            <v>41209.165999999997</v>
          </cell>
        </row>
        <row r="7352">
          <cell r="CJ7352" t="str">
            <v xml:space="preserve">NFT-/XUTR/DEUTH02501337242X </v>
          </cell>
          <cell r="CK7352" t="str">
            <v>2025-01-13</v>
          </cell>
          <cell r="CL7352">
            <v>15844.867</v>
          </cell>
        </row>
        <row r="7353">
          <cell r="CJ7353" t="str">
            <v xml:space="preserve">NFT-/XUTR/DEUTH02501337242X </v>
          </cell>
          <cell r="CK7353" t="str">
            <v>2025-01-13</v>
          </cell>
          <cell r="CL7353">
            <v>10784.036</v>
          </cell>
        </row>
        <row r="7354">
          <cell r="CJ7354" t="str">
            <v xml:space="preserve">NFT-/XUTR/DEUTH02501337242X </v>
          </cell>
          <cell r="CK7354" t="str">
            <v>2025-01-13</v>
          </cell>
          <cell r="CL7354">
            <v>8307.6550000000007</v>
          </cell>
          <cell r="CM7354" t="str">
            <v xml:space="preserve">NFT-/XUTR/DEUTH02502438367X </v>
          </cell>
          <cell r="CN7354" t="str">
            <v>2025-01-24</v>
          </cell>
          <cell r="CO7354">
            <v>99.97</v>
          </cell>
        </row>
        <row r="7355">
          <cell r="CJ7355" t="str">
            <v xml:space="preserve">NFT-/XUTR/DEUTH02501337242X </v>
          </cell>
          <cell r="CK7355" t="str">
            <v>2025-01-13</v>
          </cell>
          <cell r="CL7355">
            <v>2554.0880000000002</v>
          </cell>
        </row>
        <row r="7356">
          <cell r="CJ7356" t="str">
            <v xml:space="preserve">NFT-/XUTR/DEUTH02501337242X </v>
          </cell>
          <cell r="CK7356" t="str">
            <v>2025-01-13</v>
          </cell>
          <cell r="CL7356">
            <v>2418.212</v>
          </cell>
        </row>
        <row r="7357">
          <cell r="CJ7357" t="str">
            <v xml:space="preserve">NFT-/XUTR/DEUTH02501564191X </v>
          </cell>
          <cell r="CK7357" t="str">
            <v>2025-01-15</v>
          </cell>
          <cell r="CL7357">
            <v>40844.235999999997</v>
          </cell>
          <cell r="CM7357" t="str">
            <v xml:space="preserve">NFT-/XUTR/DEUTH02502438367X </v>
          </cell>
          <cell r="CN7357" t="str">
            <v>2025-01-24</v>
          </cell>
          <cell r="CO7357">
            <v>355.22800000000001</v>
          </cell>
        </row>
        <row r="7358">
          <cell r="CJ7358" t="str">
            <v xml:space="preserve">NFT-/XUTR/DEUTH02501564191X </v>
          </cell>
          <cell r="CK7358" t="str">
            <v>2025-01-15</v>
          </cell>
          <cell r="CL7358">
            <v>21529.768</v>
          </cell>
        </row>
        <row r="7359">
          <cell r="CJ7359" t="str">
            <v xml:space="preserve">NFT-/XUTR/DEUTH02501564191X </v>
          </cell>
          <cell r="CK7359" t="str">
            <v>2025-01-15</v>
          </cell>
          <cell r="CL7359">
            <v>8407.625</v>
          </cell>
        </row>
        <row r="7362">
          <cell r="CJ7362" t="str">
            <v xml:space="preserve">NFT-/XUTR/DEUTH02501564191X </v>
          </cell>
          <cell r="CK7362" t="str">
            <v>2025-01-15</v>
          </cell>
          <cell r="CL7362">
            <v>41199.463000000003</v>
          </cell>
        </row>
        <row r="7363">
          <cell r="CJ7363" t="str">
            <v xml:space="preserve">NFT-/XUTR/DEUTH02501564191X </v>
          </cell>
          <cell r="CK7363" t="str">
            <v>2025-01-15</v>
          </cell>
          <cell r="CL7363">
            <v>10755.444</v>
          </cell>
        </row>
        <row r="7364">
          <cell r="CJ7364" t="str">
            <v xml:space="preserve">NFT-/XUTR/DEUTH02501564191X </v>
          </cell>
          <cell r="CK7364" t="str">
            <v>2025-01-15</v>
          </cell>
          <cell r="CL7364">
            <v>8407.625</v>
          </cell>
        </row>
        <row r="7365">
          <cell r="CJ7365" t="str">
            <v xml:space="preserve">NFT-/XUTR/DEUTH02501761897X </v>
          </cell>
          <cell r="CK7365" t="str">
            <v>2025-01-17</v>
          </cell>
          <cell r="CL7365">
            <v>41257.17</v>
          </cell>
        </row>
        <row r="7366">
          <cell r="CJ7366" t="str">
            <v xml:space="preserve">NFT-/XUTR/DEUTH02501761897X </v>
          </cell>
          <cell r="CK7366" t="str">
            <v>2025-01-17</v>
          </cell>
          <cell r="CL7366">
            <v>16701.187999999998</v>
          </cell>
        </row>
        <row r="7367">
          <cell r="CJ7367" t="str">
            <v xml:space="preserve">NFT-/XUTR/DEUTH02501761897X </v>
          </cell>
          <cell r="CK7367" t="str">
            <v>2025-01-17</v>
          </cell>
          <cell r="CL7367">
            <v>16701.187999999998</v>
          </cell>
        </row>
        <row r="7368">
          <cell r="CJ7368" t="str">
            <v xml:space="preserve">NFT-/XUTR/DEUTH02501761897X </v>
          </cell>
          <cell r="CK7368" t="str">
            <v>2025-01-17</v>
          </cell>
          <cell r="CL7368">
            <v>8407.625</v>
          </cell>
        </row>
        <row r="7369">
          <cell r="CJ7369" t="str">
            <v xml:space="preserve">NFT-/XUTR/DEUTH02501761897X </v>
          </cell>
          <cell r="CK7369" t="str">
            <v>2025-01-17</v>
          </cell>
          <cell r="CL7369">
            <v>8407.625</v>
          </cell>
        </row>
        <row r="7370">
          <cell r="CJ7370" t="str">
            <v xml:space="preserve">NFT-/XUTR/DEUTH02501761897X </v>
          </cell>
          <cell r="CK7370" t="str">
            <v>2025-01-17</v>
          </cell>
          <cell r="CL7370">
            <v>8426.5040000000008</v>
          </cell>
        </row>
        <row r="7371">
          <cell r="CJ7371" t="str">
            <v xml:space="preserve">NFT-/XUTR/DEUTH02501761897X </v>
          </cell>
          <cell r="CK7371" t="str">
            <v>2025-01-17</v>
          </cell>
          <cell r="CL7371">
            <v>5786.1</v>
          </cell>
        </row>
        <row r="7373">
          <cell r="CJ7373" t="str">
            <v xml:space="preserve">NFT-/XUTR/DEUTH02501761897X </v>
          </cell>
          <cell r="CK7373" t="str">
            <v>2025-01-17</v>
          </cell>
          <cell r="CL7373">
            <v>41257.17</v>
          </cell>
        </row>
        <row r="7374">
          <cell r="CJ7374" t="str">
            <v xml:space="preserve">NFT-/XUTR/DEUTH02501761897X </v>
          </cell>
          <cell r="CK7374" t="str">
            <v>2025-01-17</v>
          </cell>
          <cell r="CL7374">
            <v>16720.067999999999</v>
          </cell>
        </row>
        <row r="7375">
          <cell r="CJ7375" t="str">
            <v xml:space="preserve">NFT-/XUTR/DEUTH02501761897X </v>
          </cell>
          <cell r="CK7375" t="str">
            <v>2025-01-17</v>
          </cell>
          <cell r="CL7375">
            <v>8407.625</v>
          </cell>
        </row>
        <row r="7376">
          <cell r="CJ7376" t="str">
            <v xml:space="preserve">NFT-/XUTR/DEUTH02501761897X </v>
          </cell>
          <cell r="CK7376" t="str">
            <v>2025-01-17</v>
          </cell>
          <cell r="CL7376">
            <v>10901.03</v>
          </cell>
        </row>
        <row r="7377">
          <cell r="CJ7377" t="str">
            <v xml:space="preserve">NFT-/XUTR/DEUTH02501761897X </v>
          </cell>
          <cell r="CK7377" t="str">
            <v>2025-01-17</v>
          </cell>
          <cell r="CL7377">
            <v>8407.625</v>
          </cell>
        </row>
        <row r="7378">
          <cell r="CJ7378" t="str">
            <v xml:space="preserve">NFT-/XUTR/DEUTH02501761897X </v>
          </cell>
          <cell r="CK7378" t="str">
            <v>2025-01-17</v>
          </cell>
          <cell r="CL7378">
            <v>8407.625</v>
          </cell>
        </row>
        <row r="7379">
          <cell r="CJ7379" t="str">
            <v xml:space="preserve">NFT-/XUTR/DEUTH02501761897X </v>
          </cell>
          <cell r="CK7379" t="str">
            <v>2025-01-17</v>
          </cell>
          <cell r="CL7379">
            <v>8436.74</v>
          </cell>
        </row>
        <row r="7380">
          <cell r="CJ7380" t="str">
            <v xml:space="preserve">NFT-/XUTR/DEUTH02501761897X </v>
          </cell>
          <cell r="CK7380" t="str">
            <v>2025-01-17</v>
          </cell>
          <cell r="CL7380">
            <v>41299.875</v>
          </cell>
          <cell r="CM7380" t="str">
            <v xml:space="preserve">NFT-/XUTR/DEUTH02502438367X </v>
          </cell>
          <cell r="CN7380" t="str">
            <v>2025-01-24</v>
          </cell>
          <cell r="CO7380">
            <v>93.171000000000006</v>
          </cell>
        </row>
        <row r="7381">
          <cell r="CJ7381" t="str">
            <v xml:space="preserve">NFT-/XUTR/DEUTH02501761897X </v>
          </cell>
          <cell r="CK7381" t="str">
            <v>2025-01-17</v>
          </cell>
          <cell r="CL7381">
            <v>8455.6209999999992</v>
          </cell>
        </row>
        <row r="7382">
          <cell r="CJ7382" t="str">
            <v xml:space="preserve">NFT-/XUTR/DEUTH02501761897X </v>
          </cell>
          <cell r="CK7382" t="str">
            <v>2025-01-17</v>
          </cell>
          <cell r="CL7382">
            <v>82767.217999999993</v>
          </cell>
        </row>
        <row r="7383">
          <cell r="CJ7383" t="str">
            <v xml:space="preserve">NFT-/XUTR/DEUTH02501761897X </v>
          </cell>
          <cell r="CK7383" t="str">
            <v>2025-01-17</v>
          </cell>
          <cell r="CL7383">
            <v>41374.163999999997</v>
          </cell>
        </row>
        <row r="7384">
          <cell r="CJ7384" t="str">
            <v xml:space="preserve">NFT-/XUTR/DEUTH02501761897X </v>
          </cell>
          <cell r="CK7384" t="str">
            <v>2025-01-17</v>
          </cell>
          <cell r="CL7384">
            <v>41393.044000000002</v>
          </cell>
        </row>
        <row r="7385">
          <cell r="CJ7385" t="str">
            <v xml:space="preserve">NFT-/XUTR/DEUTH02501761897X </v>
          </cell>
          <cell r="CK7385" t="str">
            <v>2025-01-17</v>
          </cell>
          <cell r="CL7385">
            <v>42259.23</v>
          </cell>
        </row>
        <row r="7386">
          <cell r="CJ7386" t="str">
            <v xml:space="preserve">NFT-/XUTR/DEUTH02501761897X </v>
          </cell>
          <cell r="CK7386" t="str">
            <v>2025-01-17</v>
          </cell>
          <cell r="CL7386">
            <v>1139.431</v>
          </cell>
        </row>
        <row r="7387">
          <cell r="CJ7387" t="str">
            <v xml:space="preserve">NFT-/XUTR/DEUTH02501761897X </v>
          </cell>
          <cell r="CK7387" t="str">
            <v>2025-01-17</v>
          </cell>
          <cell r="CL7387">
            <v>16778.3</v>
          </cell>
        </row>
        <row r="7388">
          <cell r="CJ7388" t="str">
            <v xml:space="preserve">NFT-/XUTR/DEUTH02501761897X </v>
          </cell>
          <cell r="CK7388" t="str">
            <v>2025-01-17</v>
          </cell>
          <cell r="CL7388">
            <v>16892.36</v>
          </cell>
        </row>
        <row r="7389">
          <cell r="CJ7389" t="str">
            <v xml:space="preserve">NFT-/XUTR/DEUTH02501761897X </v>
          </cell>
          <cell r="CK7389" t="str">
            <v>2025-01-17</v>
          </cell>
          <cell r="CL7389">
            <v>16759.419000000002</v>
          </cell>
        </row>
        <row r="7390">
          <cell r="CJ7390" t="str">
            <v xml:space="preserve">NFT-/XUTR/DEUTH02501761897X </v>
          </cell>
          <cell r="CK7390" t="str">
            <v>2025-01-17</v>
          </cell>
          <cell r="CL7390">
            <v>41374.163999999997</v>
          </cell>
        </row>
        <row r="7391">
          <cell r="CJ7391" t="str">
            <v xml:space="preserve">NFT-/XUTR/DEUTH02501761897X </v>
          </cell>
          <cell r="CK7391" t="str">
            <v>2025-01-17</v>
          </cell>
          <cell r="CL7391">
            <v>41374.163999999997</v>
          </cell>
        </row>
        <row r="7392">
          <cell r="CJ7392" t="str">
            <v xml:space="preserve">NFT-/XUTR/DEUTH02501761897X </v>
          </cell>
          <cell r="CK7392" t="str">
            <v>2025-01-17</v>
          </cell>
          <cell r="CL7392">
            <v>1130.2529999999999</v>
          </cell>
        </row>
        <row r="7393">
          <cell r="CJ7393" t="str">
            <v xml:space="preserve">NFT-/XUTR/DEUTH02501761897X </v>
          </cell>
          <cell r="CK7393" t="str">
            <v>2025-01-17</v>
          </cell>
          <cell r="CL7393">
            <v>16778.3</v>
          </cell>
        </row>
        <row r="7394">
          <cell r="CJ7394" t="str">
            <v xml:space="preserve">NFT-/XUTR/DEUTH02501761897X </v>
          </cell>
          <cell r="CK7394" t="str">
            <v>2025-01-17</v>
          </cell>
          <cell r="CL7394">
            <v>1149.1320000000001</v>
          </cell>
        </row>
        <row r="7395">
          <cell r="CJ7395" t="str">
            <v xml:space="preserve">NFT-/XUTR/DEUTH02502059183X </v>
          </cell>
          <cell r="CK7395" t="str">
            <v>2025-01-20</v>
          </cell>
          <cell r="CL7395">
            <v>42172.95</v>
          </cell>
        </row>
        <row r="7396">
          <cell r="CJ7396" t="str">
            <v xml:space="preserve">NFT-/XUTR/DEUTH02502059183X </v>
          </cell>
          <cell r="CK7396" t="str">
            <v>2025-01-20</v>
          </cell>
          <cell r="CL7396">
            <v>1158.8440000000001</v>
          </cell>
        </row>
        <row r="7397">
          <cell r="CJ7397" t="str">
            <v xml:space="preserve">NFT-/XUTR/DEUTH02502059183X </v>
          </cell>
          <cell r="CK7397" t="str">
            <v>2025-01-20</v>
          </cell>
          <cell r="CL7397">
            <v>34191.841999999997</v>
          </cell>
        </row>
        <row r="7398">
          <cell r="CJ7398" t="str">
            <v xml:space="preserve">NFT-/XUTR/DEUTH02502059183X </v>
          </cell>
          <cell r="CK7398" t="str">
            <v>2025-01-20</v>
          </cell>
          <cell r="CL7398">
            <v>34191.841999999997</v>
          </cell>
        </row>
        <row r="7399">
          <cell r="CJ7399" t="str">
            <v xml:space="preserve">NFT-/XUTR/DEUTH02502059183X </v>
          </cell>
          <cell r="CK7399" t="str">
            <v>2025-01-20</v>
          </cell>
          <cell r="CL7399">
            <v>42102.095999999998</v>
          </cell>
        </row>
        <row r="7400">
          <cell r="CJ7400" t="str">
            <v xml:space="preserve">NFT-/XUTR/DEUTH02502297176X </v>
          </cell>
          <cell r="CK7400" t="str">
            <v>2025-01-22</v>
          </cell>
          <cell r="CL7400">
            <v>42218.567000000003</v>
          </cell>
        </row>
        <row r="7401">
          <cell r="CJ7401" t="str">
            <v xml:space="preserve">NFT-/XUTR/DEUTH02502297176X </v>
          </cell>
          <cell r="CK7401" t="str">
            <v>2025-01-22</v>
          </cell>
          <cell r="CL7401">
            <v>8611.4410000000007</v>
          </cell>
        </row>
        <row r="7402">
          <cell r="CJ7402" t="str">
            <v xml:space="preserve">NFT-/XUTR/DEUTH02502297176X </v>
          </cell>
          <cell r="CK7402" t="str">
            <v>2025-01-22</v>
          </cell>
          <cell r="CL7402">
            <v>8611.4410000000007</v>
          </cell>
        </row>
        <row r="7403">
          <cell r="CJ7403" t="str">
            <v xml:space="preserve">NFT-/XUTR/DEUTH02502297176X </v>
          </cell>
          <cell r="CK7403" t="str">
            <v>2025-01-22</v>
          </cell>
          <cell r="CL7403">
            <v>17118</v>
          </cell>
        </row>
        <row r="7404">
          <cell r="CJ7404" t="str">
            <v xml:space="preserve">NFT-/XUTR/DEUTH02502297176X </v>
          </cell>
          <cell r="CK7404" t="str">
            <v>2025-01-22</v>
          </cell>
          <cell r="CL7404">
            <v>8611.4410000000007</v>
          </cell>
        </row>
        <row r="7405">
          <cell r="CJ7405" t="str">
            <v xml:space="preserve">NFT-/XUTR/DEUTH02502297176X </v>
          </cell>
          <cell r="CK7405" t="str">
            <v>2025-01-22</v>
          </cell>
          <cell r="CL7405">
            <v>8611.4410000000007</v>
          </cell>
        </row>
        <row r="7406">
          <cell r="CJ7406" t="str">
            <v xml:space="preserve">NFT-/XUTR/DEUTH02502297176X </v>
          </cell>
          <cell r="CK7406" t="str">
            <v>2025-01-22</v>
          </cell>
          <cell r="CL7406">
            <v>8611.4410000000007</v>
          </cell>
        </row>
        <row r="7407">
          <cell r="CJ7407" t="str">
            <v xml:space="preserve">NFT-/XUTR/DEUTH02502297176X </v>
          </cell>
          <cell r="CK7407" t="str">
            <v>2025-01-22</v>
          </cell>
          <cell r="CL7407">
            <v>5804.9790000000003</v>
          </cell>
        </row>
        <row r="7408">
          <cell r="CJ7408" t="str">
            <v xml:space="preserve">NFT-/XUTR/DEUTH02502297176X </v>
          </cell>
          <cell r="CK7408" t="str">
            <v>2025-01-22</v>
          </cell>
          <cell r="CL7408">
            <v>17040.888999999999</v>
          </cell>
        </row>
        <row r="7409">
          <cell r="CJ7409" t="str">
            <v xml:space="preserve">NFT-/XUTR/DEUTH02502297176X </v>
          </cell>
          <cell r="CK7409" t="str">
            <v>2025-01-22</v>
          </cell>
          <cell r="CL7409">
            <v>1399.1089999999999</v>
          </cell>
        </row>
        <row r="7410">
          <cell r="CJ7410" t="str">
            <v xml:space="preserve">NFT-/XUTR/DEUTH02502428293X </v>
          </cell>
          <cell r="CK7410" t="str">
            <v>2025-01-24</v>
          </cell>
          <cell r="CL7410">
            <v>16202.754000000001</v>
          </cell>
          <cell r="CM7410" t="str">
            <v xml:space="preserve">NFT-/XUTR/DEUTH02502438367X </v>
          </cell>
          <cell r="CN7410" t="str">
            <v>2025-01-24</v>
          </cell>
          <cell r="CO7410">
            <v>857.01700000000005</v>
          </cell>
        </row>
        <row r="7411">
          <cell r="CJ7411" t="str">
            <v xml:space="preserve">NFT-/XUTR/DEUTH02502428293X </v>
          </cell>
          <cell r="CK7411" t="str">
            <v>2025-01-24</v>
          </cell>
          <cell r="CL7411">
            <v>39992.51</v>
          </cell>
          <cell r="CM7411" t="str">
            <v xml:space="preserve">NFT-/XUTR/DEUTH02502438367X </v>
          </cell>
          <cell r="CN7411" t="str">
            <v>2025-01-24</v>
          </cell>
          <cell r="CO7411">
            <v>2109.0619999999999</v>
          </cell>
        </row>
        <row r="7412">
          <cell r="CJ7412" t="str">
            <v xml:space="preserve">NFT-/XUTR/DEUTH02502428293X </v>
          </cell>
          <cell r="CK7412" t="str">
            <v>2025-01-24</v>
          </cell>
          <cell r="CL7412">
            <v>16202.754000000001</v>
          </cell>
          <cell r="CM7412" t="str">
            <v xml:space="preserve">NFT-/XUTR/DEUTH02502438367X </v>
          </cell>
          <cell r="CN7412" t="str">
            <v>2025-01-24</v>
          </cell>
          <cell r="CO7412">
            <v>857.01700000000005</v>
          </cell>
        </row>
        <row r="7413">
          <cell r="CJ7413" t="str">
            <v xml:space="preserve">NFT-/XUTR/DEUTH02502428293X </v>
          </cell>
          <cell r="CK7413" t="str">
            <v>2025-01-24</v>
          </cell>
          <cell r="CL7413">
            <v>81811.228000000003</v>
          </cell>
          <cell r="CM7413" t="str">
            <v xml:space="preserve">NFT-/XUTR/DEUTH02502438367X </v>
          </cell>
          <cell r="CN7413" t="str">
            <v>2025-01-24</v>
          </cell>
          <cell r="CO7413">
            <v>2911.7240000000002</v>
          </cell>
        </row>
        <row r="7414">
          <cell r="CJ7414" t="str">
            <v xml:space="preserve">NFT-/XUTR/DEUTH02502428293X </v>
          </cell>
          <cell r="CK7414" t="str">
            <v>2025-01-24</v>
          </cell>
          <cell r="CL7414">
            <v>39973.629999999997</v>
          </cell>
          <cell r="CM7414" t="str">
            <v xml:space="preserve">NFT-/XUTR/DEUTH02502438367X </v>
          </cell>
          <cell r="CN7414" t="str">
            <v>2025-01-24</v>
          </cell>
          <cell r="CO7414">
            <v>2109.0610000000001</v>
          </cell>
        </row>
        <row r="7415">
          <cell r="CJ7415" t="str">
            <v xml:space="preserve">NFT-/XUTR/DEUTH02502428293X </v>
          </cell>
          <cell r="CK7415" t="str">
            <v>2025-01-24</v>
          </cell>
          <cell r="CL7415">
            <v>17040.888999999999</v>
          </cell>
        </row>
        <row r="7416">
          <cell r="CJ7416" t="str">
            <v xml:space="preserve">NFT-/XUTR/DEUTH02502428293X </v>
          </cell>
          <cell r="CK7416" t="str">
            <v>2025-01-24</v>
          </cell>
          <cell r="CL7416">
            <v>16202.754000000001</v>
          </cell>
          <cell r="CM7416" t="str">
            <v xml:space="preserve">NFT-/XUTR/DEUTH02502438367X </v>
          </cell>
          <cell r="CN7416" t="str">
            <v>2025-01-24</v>
          </cell>
          <cell r="CO7416">
            <v>857.01700000000005</v>
          </cell>
        </row>
        <row r="7417">
          <cell r="CJ7417" t="str">
            <v xml:space="preserve">NFT-/XUTR/DEUTH02502428293X </v>
          </cell>
          <cell r="CK7417" t="str">
            <v>2025-01-24</v>
          </cell>
          <cell r="CL7417">
            <v>16202.754000000001</v>
          </cell>
          <cell r="CM7417" t="str">
            <v xml:space="preserve">NFT-/XUTR/DEUTH02502438367X </v>
          </cell>
          <cell r="CN7417" t="str">
            <v>2025-01-24</v>
          </cell>
          <cell r="CO7417">
            <v>857.01700000000005</v>
          </cell>
        </row>
        <row r="7418">
          <cell r="CJ7418" t="str">
            <v xml:space="preserve">NFT-/XUTR/DEUTH02502428293X </v>
          </cell>
          <cell r="CK7418" t="str">
            <v>2025-01-24</v>
          </cell>
          <cell r="CL7418">
            <v>16202.754000000001</v>
          </cell>
          <cell r="CM7418" t="str">
            <v xml:space="preserve">NFT-/XUTR/DEUTH02502438367X </v>
          </cell>
          <cell r="CN7418" t="str">
            <v>2025-01-24</v>
          </cell>
          <cell r="CO7418">
            <v>857.01700000000005</v>
          </cell>
        </row>
        <row r="7419">
          <cell r="CJ7419" t="str">
            <v xml:space="preserve">NFT-/XUTR/DEUTH02502428293X </v>
          </cell>
          <cell r="CK7419" t="str">
            <v>2025-01-24</v>
          </cell>
          <cell r="CL7419">
            <v>81811.228000000003</v>
          </cell>
          <cell r="CM7419" t="str">
            <v xml:space="preserve">NFT-/XUTR/DEUTH02502438367X </v>
          </cell>
          <cell r="CN7419" t="str">
            <v>2025-01-24</v>
          </cell>
          <cell r="CO7419">
            <v>2911.7240000000002</v>
          </cell>
        </row>
        <row r="7420">
          <cell r="CJ7420" t="str">
            <v xml:space="preserve">NFT-/XUTR/DEUTH02502428293X </v>
          </cell>
          <cell r="CK7420" t="str">
            <v>2025-01-24</v>
          </cell>
          <cell r="CL7420">
            <v>16156.162</v>
          </cell>
          <cell r="CM7420" t="str">
            <v xml:space="preserve">NFT-/XUTR/DEUTH02502438367X </v>
          </cell>
          <cell r="CN7420" t="str">
            <v>2025-01-24</v>
          </cell>
          <cell r="CO7420">
            <v>903.60799999999995</v>
          </cell>
        </row>
        <row r="7421">
          <cell r="CJ7421" t="str">
            <v xml:space="preserve">NFT-/XUTR/DEUTH02502428293X </v>
          </cell>
          <cell r="CK7421" t="str">
            <v>2025-01-24</v>
          </cell>
          <cell r="CL7421">
            <v>16202.754000000001</v>
          </cell>
          <cell r="CM7421" t="str">
            <v xml:space="preserve">NFT-/XUTR/DEUTH02502438367X </v>
          </cell>
          <cell r="CN7421" t="str">
            <v>2025-01-24</v>
          </cell>
          <cell r="CO7421">
            <v>857.01700000000005</v>
          </cell>
          <cell r="CP7421" t="str">
            <v xml:space="preserve">NFT-/XUTR/DEUTH025087A0N4AX </v>
          </cell>
          <cell r="CQ7421" t="str">
            <v>2025-03-28</v>
          </cell>
          <cell r="CR7421">
            <v>877.85699999999997</v>
          </cell>
          <cell r="CS7421" t="str">
            <v xml:space="preserve">NFT-/XUTR/DEUTH02509786051X </v>
          </cell>
          <cell r="CT7421" t="str">
            <v>2025-04-07</v>
          </cell>
          <cell r="CU7421">
            <v>-877.85699999999997</v>
          </cell>
        </row>
        <row r="7422">
          <cell r="CJ7422" t="str">
            <v xml:space="preserve">NFT-/XUTR/DEUTH02502428293X </v>
          </cell>
          <cell r="CK7422" t="str">
            <v>2025-01-24</v>
          </cell>
          <cell r="CL7422">
            <v>81830.107999999993</v>
          </cell>
          <cell r="CM7422" t="str">
            <v xml:space="preserve">NFT-/XUTR/DEUTH02502438367X </v>
          </cell>
          <cell r="CN7422" t="str">
            <v>2025-01-24</v>
          </cell>
          <cell r="CO7422">
            <v>2911.723</v>
          </cell>
        </row>
        <row r="7423">
          <cell r="CJ7423" t="str">
            <v xml:space="preserve">NFT-/XUTR/DEUTH02502428293X </v>
          </cell>
          <cell r="CK7423" t="str">
            <v>2025-01-24</v>
          </cell>
          <cell r="CL7423">
            <v>2457.0300000000002</v>
          </cell>
        </row>
        <row r="7424">
          <cell r="CJ7424" t="str">
            <v xml:space="preserve">NFT-/XUTR/DEUTH02502428293X </v>
          </cell>
          <cell r="CK7424" t="str">
            <v>2025-01-24</v>
          </cell>
          <cell r="CL7424">
            <v>16183.874</v>
          </cell>
          <cell r="CM7424" t="str">
            <v xml:space="preserve">NFT-/XUTR/DEUTH02502438367X </v>
          </cell>
          <cell r="CN7424" t="str">
            <v>2025-01-24</v>
          </cell>
          <cell r="CO7424">
            <v>857.01700000000005</v>
          </cell>
        </row>
        <row r="7425">
          <cell r="CJ7425" t="str">
            <v xml:space="preserve">NFT-/XUTR/DEUTH02502428293X </v>
          </cell>
          <cell r="CK7425" t="str">
            <v>2025-01-24</v>
          </cell>
          <cell r="CL7425">
            <v>16183.874</v>
          </cell>
          <cell r="CM7425" t="str">
            <v xml:space="preserve">NFT-/XUTR/DEUTH02502438367X </v>
          </cell>
          <cell r="CN7425" t="str">
            <v>2025-01-24</v>
          </cell>
          <cell r="CO7425">
            <v>857.01700000000005</v>
          </cell>
        </row>
        <row r="7426">
          <cell r="CJ7426" t="str">
            <v xml:space="preserve">NFT-/XUTR/DEUTH02502428293X </v>
          </cell>
          <cell r="CK7426" t="str">
            <v>2025-01-24</v>
          </cell>
          <cell r="CL7426">
            <v>15783.994000000001</v>
          </cell>
          <cell r="CM7426" t="str">
            <v xml:space="preserve">NFT-/XUTR/DEUTH02502438367X </v>
          </cell>
          <cell r="CN7426" t="str">
            <v>2025-01-24</v>
          </cell>
          <cell r="CO7426">
            <v>1256.8969999999999</v>
          </cell>
        </row>
        <row r="7427">
          <cell r="CJ7427" t="str">
            <v xml:space="preserve">NFT-/XUTR/DEUTH02502428293X </v>
          </cell>
          <cell r="CK7427" t="str">
            <v>2025-01-24</v>
          </cell>
          <cell r="CL7427">
            <v>40287.559000000001</v>
          </cell>
          <cell r="CM7427" t="str">
            <v xml:space="preserve">NFT-/XUTR/DEUTH02502438367X </v>
          </cell>
          <cell r="CN7427" t="str">
            <v>2025-01-24</v>
          </cell>
          <cell r="CO7427">
            <v>2124.5889999999999</v>
          </cell>
        </row>
        <row r="7428">
          <cell r="CJ7428" t="str">
            <v xml:space="preserve">NFT-/XUTR/DEUTH02502428293X </v>
          </cell>
          <cell r="CK7428" t="str">
            <v>2025-01-24</v>
          </cell>
          <cell r="CL7428">
            <v>39792.57</v>
          </cell>
          <cell r="CM7428" t="str">
            <v xml:space="preserve">NFT-/XUTR/DEUTH02502438367X </v>
          </cell>
          <cell r="CN7428" t="str">
            <v>2025-01-24</v>
          </cell>
          <cell r="CO7428">
            <v>2619.578</v>
          </cell>
        </row>
        <row r="7429">
          <cell r="CJ7429" t="str">
            <v xml:space="preserve">NFT-/XUTR/DEUTH02502428293X </v>
          </cell>
          <cell r="CK7429" t="str">
            <v>2025-01-24</v>
          </cell>
          <cell r="CL7429">
            <v>16667.651999999998</v>
          </cell>
          <cell r="CM7429" t="str">
            <v xml:space="preserve">NFT-/XUTR/DEUTH02502438367X </v>
          </cell>
          <cell r="CN7429" t="str">
            <v>2025-01-24</v>
          </cell>
          <cell r="CO7429">
            <v>518.29</v>
          </cell>
        </row>
        <row r="7430">
          <cell r="CJ7430" t="str">
            <v xml:space="preserve">NFT-/XUTR/DEUTH02502428293X </v>
          </cell>
          <cell r="CK7430" t="str">
            <v>2025-01-24</v>
          </cell>
          <cell r="CL7430">
            <v>17040.888999999999</v>
          </cell>
        </row>
        <row r="7431">
          <cell r="CJ7431" t="str">
            <v xml:space="preserve">NFT-/XUTR/DEUTH02502428293X </v>
          </cell>
          <cell r="CK7431" t="str">
            <v>2025-01-24</v>
          </cell>
          <cell r="CL7431">
            <v>40287.56</v>
          </cell>
          <cell r="CM7431" t="str">
            <v xml:space="preserve">NFT-/XUTR/DEUTH02502438367X </v>
          </cell>
          <cell r="CN7431" t="str">
            <v>2025-01-24</v>
          </cell>
          <cell r="CO7431">
            <v>2124.5889999999999</v>
          </cell>
        </row>
        <row r="7432">
          <cell r="CJ7432" t="str">
            <v xml:space="preserve">NFT-/XUTR/DEUTH02502428293X </v>
          </cell>
          <cell r="CK7432" t="str">
            <v>2025-01-24</v>
          </cell>
          <cell r="CL7432">
            <v>16322.127</v>
          </cell>
          <cell r="CM7432" t="str">
            <v xml:space="preserve">NFT-/XUTR/DEUTH02502438367X </v>
          </cell>
          <cell r="CN7432" t="str">
            <v>2025-01-24</v>
          </cell>
          <cell r="CO7432">
            <v>863.81600000000003</v>
          </cell>
        </row>
        <row r="7433">
          <cell r="CJ7433" t="str">
            <v xml:space="preserve">NFT-/XUTR/DEUTH02502428293X </v>
          </cell>
          <cell r="CK7433" t="str">
            <v>2025-01-24</v>
          </cell>
          <cell r="CL7433">
            <v>40268.68</v>
          </cell>
          <cell r="CM7433" t="str">
            <v xml:space="preserve">NFT-/XUTR/DEUTH02502438367X </v>
          </cell>
          <cell r="CN7433" t="str">
            <v>2025-01-24</v>
          </cell>
          <cell r="CO7433">
            <v>2124.5889999999999</v>
          </cell>
        </row>
        <row r="7434">
          <cell r="CJ7434" t="str">
            <v xml:space="preserve">NFT-/XUTR/DEUTH02502428293X </v>
          </cell>
          <cell r="CK7434" t="str">
            <v>2025-01-24</v>
          </cell>
          <cell r="CL7434">
            <v>40287.559000000001</v>
          </cell>
          <cell r="CM7434" t="str">
            <v xml:space="preserve">NFT-/XUTR/DEUTH02502438367X </v>
          </cell>
          <cell r="CN7434" t="str">
            <v>2025-01-24</v>
          </cell>
          <cell r="CO7434">
            <v>2124.5889999999999</v>
          </cell>
        </row>
        <row r="7435">
          <cell r="CJ7435" t="str">
            <v xml:space="preserve">NFT-/XUTR/DEUTH02502428293X </v>
          </cell>
          <cell r="CK7435" t="str">
            <v>2025-01-24</v>
          </cell>
          <cell r="CL7435">
            <v>40287.559000000001</v>
          </cell>
          <cell r="CM7435" t="str">
            <v xml:space="preserve">NFT-/XUTR/DEUTH02502438367X </v>
          </cell>
          <cell r="CN7435" t="str">
            <v>2025-01-24</v>
          </cell>
          <cell r="CO7435">
            <v>2124.5889999999999</v>
          </cell>
        </row>
        <row r="7436">
          <cell r="CJ7436" t="str">
            <v xml:space="preserve">NFT-/XUTR/DEUTH02502428293X </v>
          </cell>
          <cell r="CK7436" t="str">
            <v>2025-01-24</v>
          </cell>
          <cell r="CL7436">
            <v>40268.68</v>
          </cell>
          <cell r="CM7436" t="str">
            <v xml:space="preserve">NFT-/XUTR/DEUTH02502438367X </v>
          </cell>
          <cell r="CN7436" t="str">
            <v>2025-01-24</v>
          </cell>
          <cell r="CO7436">
            <v>2124.5889999999999</v>
          </cell>
        </row>
        <row r="7437">
          <cell r="CJ7437" t="str">
            <v xml:space="preserve">NFT-/XUTR/DEUTH02502428293X </v>
          </cell>
          <cell r="CK7437" t="str">
            <v>2025-01-24</v>
          </cell>
          <cell r="CL7437">
            <v>16322.126</v>
          </cell>
          <cell r="CM7437" t="str">
            <v xml:space="preserve">NFT-/XUTR/DEUTH02502438367X </v>
          </cell>
          <cell r="CN7437" t="str">
            <v>2025-01-24</v>
          </cell>
          <cell r="CO7437">
            <v>863.81600000000003</v>
          </cell>
        </row>
        <row r="7438">
          <cell r="CJ7438" t="str">
            <v xml:space="preserve">NFT-/XUTR/DEUTH02502428293X </v>
          </cell>
          <cell r="CK7438" t="str">
            <v>2025-01-24</v>
          </cell>
          <cell r="CL7438">
            <v>82412.975999999995</v>
          </cell>
          <cell r="CM7438" t="str">
            <v xml:space="preserve">NFT-/XUTR/DEUTH02502438367X </v>
          </cell>
          <cell r="CN7438" t="str">
            <v>2025-01-24</v>
          </cell>
          <cell r="CO7438">
            <v>2911.7240000000002</v>
          </cell>
        </row>
        <row r="7439">
          <cell r="CJ7439" t="str">
            <v xml:space="preserve">NFT-/XUTR/DEUTH02502428293X </v>
          </cell>
          <cell r="CK7439" t="str">
            <v>2025-01-24</v>
          </cell>
          <cell r="CL7439">
            <v>40268.68</v>
          </cell>
          <cell r="CM7439" t="str">
            <v xml:space="preserve">NFT-/XUTR/DEUTH02502438367X </v>
          </cell>
          <cell r="CN7439" t="str">
            <v>2025-01-24</v>
          </cell>
          <cell r="CO7439">
            <v>2124.5889999999999</v>
          </cell>
        </row>
        <row r="7440">
          <cell r="CJ7440" t="str">
            <v xml:space="preserve">NFT-/XUTR/DEUTH02502428293X </v>
          </cell>
          <cell r="CK7440" t="str">
            <v>2025-01-24</v>
          </cell>
          <cell r="CL7440">
            <v>40287.56</v>
          </cell>
          <cell r="CM7440" t="str">
            <v xml:space="preserve">NFT-/XUTR/DEUTH02502438367X </v>
          </cell>
          <cell r="CN7440" t="str">
            <v>2025-01-24</v>
          </cell>
          <cell r="CO7440">
            <v>2124.5889999999999</v>
          </cell>
        </row>
        <row r="7441">
          <cell r="CJ7441" t="str">
            <v xml:space="preserve">NFT-/XUTR/DEUTH02502428293X </v>
          </cell>
          <cell r="CK7441" t="str">
            <v>2025-01-24</v>
          </cell>
          <cell r="CL7441">
            <v>40287.56</v>
          </cell>
          <cell r="CM7441" t="str">
            <v xml:space="preserve">NFT-/XUTR/DEUTH02502438367X </v>
          </cell>
          <cell r="CN7441" t="str">
            <v>2025-01-24</v>
          </cell>
          <cell r="CO7441">
            <v>2124.5889999999999</v>
          </cell>
        </row>
        <row r="7442">
          <cell r="CJ7442" t="str">
            <v xml:space="preserve">NFT-/XUTR/DEUTH02502428293X </v>
          </cell>
          <cell r="CK7442" t="str">
            <v>2025-01-24</v>
          </cell>
          <cell r="CL7442">
            <v>39654.307000000001</v>
          </cell>
          <cell r="CM7442" t="str">
            <v xml:space="preserve">NFT-/XUTR/DEUTH02502438367X </v>
          </cell>
          <cell r="CN7442" t="str">
            <v>2025-01-24</v>
          </cell>
          <cell r="CO7442">
            <v>2738.9609999999998</v>
          </cell>
        </row>
        <row r="7443">
          <cell r="CJ7443" t="str">
            <v xml:space="preserve">NFT-/XUTR/DEUTH02502428293X </v>
          </cell>
          <cell r="CK7443" t="str">
            <v>2025-01-24</v>
          </cell>
          <cell r="CL7443">
            <v>40287.559000000001</v>
          </cell>
          <cell r="CM7443" t="str">
            <v xml:space="preserve">NFT-/XUTR/DEUTH02502438367X </v>
          </cell>
          <cell r="CN7443" t="str">
            <v>2025-01-24</v>
          </cell>
          <cell r="CO7443">
            <v>2124.5889999999999</v>
          </cell>
        </row>
        <row r="7444">
          <cell r="CJ7444" t="str">
            <v xml:space="preserve">NFT-/XUTR/DEUTH02502428293X </v>
          </cell>
          <cell r="CK7444" t="str">
            <v>2025-01-24</v>
          </cell>
          <cell r="CL7444">
            <v>40287.56</v>
          </cell>
          <cell r="CM7444" t="str">
            <v xml:space="preserve">NFT-/XUTR/DEUTH02502438367X </v>
          </cell>
          <cell r="CN7444" t="str">
            <v>2025-01-24</v>
          </cell>
          <cell r="CO7444">
            <v>2124.5889999999999</v>
          </cell>
        </row>
        <row r="7445">
          <cell r="CJ7445" t="str">
            <v xml:space="preserve">NFT-/XUTR/DEUTH02502428293X </v>
          </cell>
          <cell r="CK7445" t="str">
            <v>2025-01-24</v>
          </cell>
          <cell r="CL7445">
            <v>40287.56</v>
          </cell>
          <cell r="CM7445" t="str">
            <v xml:space="preserve">NFT-/XUTR/DEUTH02502438367X </v>
          </cell>
          <cell r="CN7445" t="str">
            <v>2025-01-24</v>
          </cell>
          <cell r="CO7445">
            <v>2124.5889999999999</v>
          </cell>
        </row>
        <row r="7446">
          <cell r="CJ7446" t="str">
            <v xml:space="preserve">NFT-/XUTR/DEUTH02502428293X </v>
          </cell>
          <cell r="CK7446" t="str">
            <v>2025-01-24</v>
          </cell>
          <cell r="CL7446">
            <v>40287.559000000001</v>
          </cell>
          <cell r="CM7446" t="str">
            <v xml:space="preserve">NFT-/XUTR/DEUTH02502438367X </v>
          </cell>
          <cell r="CN7446" t="str">
            <v>2025-01-24</v>
          </cell>
          <cell r="CO7446">
            <v>2124.5889999999999</v>
          </cell>
        </row>
        <row r="7447">
          <cell r="CJ7447" t="str">
            <v xml:space="preserve">NFT-/XUTR/DEUTH02502428293X </v>
          </cell>
          <cell r="CK7447" t="str">
            <v>2025-01-24</v>
          </cell>
          <cell r="CL7447">
            <v>40287.559000000001</v>
          </cell>
          <cell r="CM7447" t="str">
            <v xml:space="preserve">NFT-/XUTR/DEUTH02502438367X </v>
          </cell>
          <cell r="CN7447" t="str">
            <v>2025-01-24</v>
          </cell>
          <cell r="CO7447">
            <v>2124.5889999999999</v>
          </cell>
        </row>
        <row r="7448">
          <cell r="CJ7448" t="str">
            <v xml:space="preserve">NFT-/XUTR/DEUTH02502428293X </v>
          </cell>
          <cell r="CK7448" t="str">
            <v>2025-01-24</v>
          </cell>
          <cell r="CL7448">
            <v>7835.9560000000001</v>
          </cell>
          <cell r="CM7448" t="str">
            <v xml:space="preserve">NFT-/XUTR/DEUTH02502438367X </v>
          </cell>
          <cell r="CN7448" t="str">
            <v>2025-01-24</v>
          </cell>
          <cell r="CO7448">
            <v>804.60199999999998</v>
          </cell>
        </row>
        <row r="7449">
          <cell r="CJ7449" t="str">
            <v xml:space="preserve">NFT-/XUTR/DEUTH02502428293X </v>
          </cell>
          <cell r="CK7449" t="str">
            <v>2025-01-24</v>
          </cell>
          <cell r="CL7449">
            <v>40287.56</v>
          </cell>
          <cell r="CM7449" t="str">
            <v xml:space="preserve">NFT-/XUTR/DEUTH02502438367X </v>
          </cell>
          <cell r="CN7449" t="str">
            <v>2025-01-24</v>
          </cell>
          <cell r="CO7449">
            <v>2124.5889999999999</v>
          </cell>
        </row>
        <row r="7450">
          <cell r="CJ7450" t="str">
            <v xml:space="preserve">NFT-/XUTR/DEUTH02502428293X </v>
          </cell>
          <cell r="CK7450" t="str">
            <v>2025-01-24</v>
          </cell>
          <cell r="CL7450">
            <v>16322.127</v>
          </cell>
          <cell r="CM7450" t="str">
            <v xml:space="preserve">NFT-/XUTR/DEUTH02502438367X </v>
          </cell>
          <cell r="CN7450" t="str">
            <v>2025-01-24</v>
          </cell>
          <cell r="CO7450">
            <v>863.81600000000003</v>
          </cell>
        </row>
        <row r="7451">
          <cell r="CJ7451" t="str">
            <v xml:space="preserve">NFT-/XUTR/DEUTH02502428293X </v>
          </cell>
          <cell r="CK7451" t="str">
            <v>2025-01-24</v>
          </cell>
          <cell r="CL7451">
            <v>42141.364000000001</v>
          </cell>
          <cell r="CM7451" t="str">
            <v xml:space="preserve">NFT-/XUTR/DEUTH02502438367X </v>
          </cell>
          <cell r="CN7451" t="str">
            <v>2025-01-24</v>
          </cell>
          <cell r="CO7451">
            <v>270.79500000000002</v>
          </cell>
        </row>
        <row r="7452">
          <cell r="CJ7452" t="str">
            <v xml:space="preserve">NFT-/XUTR/DEUTH02502428293X </v>
          </cell>
          <cell r="CK7452" t="str">
            <v>2025-01-24</v>
          </cell>
          <cell r="CL7452">
            <v>17185.941999999999</v>
          </cell>
        </row>
        <row r="7453">
          <cell r="CJ7453" t="str">
            <v xml:space="preserve">NFT-/XUTR/DEUTH02502428293X </v>
          </cell>
          <cell r="CK7453" t="str">
            <v>2025-01-24</v>
          </cell>
          <cell r="CL7453">
            <v>40287.56</v>
          </cell>
          <cell r="CM7453" t="str">
            <v xml:space="preserve">NFT-/XUTR/DEUTH02502438367X </v>
          </cell>
          <cell r="CN7453" t="str">
            <v>2025-01-24</v>
          </cell>
          <cell r="CO7453">
            <v>2124.5889999999999</v>
          </cell>
        </row>
        <row r="7454">
          <cell r="CJ7454" t="str">
            <v xml:space="preserve">NFT-/XUTR/DEUTH02502428293X </v>
          </cell>
          <cell r="CK7454" t="str">
            <v>2025-01-24</v>
          </cell>
          <cell r="CL7454">
            <v>40287.559000000001</v>
          </cell>
          <cell r="CM7454" t="str">
            <v xml:space="preserve">NFT-/XUTR/DEUTH02502438367X </v>
          </cell>
          <cell r="CN7454" t="str">
            <v>2025-01-24</v>
          </cell>
          <cell r="CO7454">
            <v>2124.5889999999999</v>
          </cell>
        </row>
        <row r="7455">
          <cell r="CJ7455" t="str">
            <v xml:space="preserve">NFT-/XUTR/DEUTH02502428293X </v>
          </cell>
          <cell r="CK7455" t="str">
            <v>2025-01-24</v>
          </cell>
          <cell r="CL7455">
            <v>33569.707999999999</v>
          </cell>
          <cell r="CM7455" t="str">
            <v xml:space="preserve">NFT-/XUTR/DEUTH02502438367X </v>
          </cell>
          <cell r="CN7455" t="str">
            <v>2025-01-24</v>
          </cell>
          <cell r="CO7455">
            <v>1048.2180000000001</v>
          </cell>
        </row>
        <row r="7456">
          <cell r="CJ7456" t="str">
            <v xml:space="preserve">NFT-/XUTR/DEUTH02502428293X </v>
          </cell>
          <cell r="CK7456" t="str">
            <v>2025-01-24</v>
          </cell>
          <cell r="CL7456">
            <v>17185.941999999999</v>
          </cell>
          <cell r="CM7456" t="str">
            <v xml:space="preserve">NFT-/XUTR/DEUTH02502943627X </v>
          </cell>
          <cell r="CN7456" t="str">
            <v>2025-01-29</v>
          </cell>
          <cell r="CO7456">
            <v>-17185.941999999999</v>
          </cell>
        </row>
        <row r="7457">
          <cell r="CJ7457" t="str">
            <v xml:space="preserve">NFT-/XUTR/DEUTH02502428293X </v>
          </cell>
          <cell r="CK7457" t="str">
            <v>2025-01-24</v>
          </cell>
          <cell r="CL7457">
            <v>43278.334999999999</v>
          </cell>
        </row>
        <row r="7458">
          <cell r="CJ7458" t="str">
            <v xml:space="preserve">NFT-/XUTR/DEUTH02502428293X </v>
          </cell>
          <cell r="CK7458" t="str">
            <v>2025-01-24</v>
          </cell>
          <cell r="CL7458">
            <v>43278.334999999999</v>
          </cell>
        </row>
        <row r="7459">
          <cell r="CJ7459" t="str">
            <v xml:space="preserve">NFT-/XUTR/DEUTH02502428293X </v>
          </cell>
          <cell r="CK7459" t="str">
            <v>2025-01-24</v>
          </cell>
          <cell r="CL7459">
            <v>43278.334999999999</v>
          </cell>
        </row>
        <row r="7460">
          <cell r="CJ7460" t="str">
            <v xml:space="preserve">NFT-/XUTR/DEUTH02502781072X </v>
          </cell>
          <cell r="CK7460" t="str">
            <v>2025-01-27</v>
          </cell>
          <cell r="CL7460">
            <v>17049.628000000001</v>
          </cell>
          <cell r="CM7460" t="str">
            <v xml:space="preserve">NFT-/XUTR/DEUTH02502789130X </v>
          </cell>
          <cell r="CN7460" t="str">
            <v>2025-01-27</v>
          </cell>
          <cell r="CO7460">
            <v>253.32</v>
          </cell>
        </row>
        <row r="7461">
          <cell r="CJ7461" t="str">
            <v xml:space="preserve">NFT-/XUTR/DEUTH02502781072X </v>
          </cell>
          <cell r="CK7461" t="str">
            <v>2025-01-27</v>
          </cell>
          <cell r="CL7461">
            <v>8708.4989999999998</v>
          </cell>
        </row>
        <row r="7462">
          <cell r="CJ7462" t="str">
            <v xml:space="preserve">NFT-/XUTR/DEUTH02502781072X </v>
          </cell>
          <cell r="CK7462" t="str">
            <v>2025-01-27</v>
          </cell>
          <cell r="CL7462">
            <v>40609.796000000002</v>
          </cell>
          <cell r="CM7462" t="str">
            <v xml:space="preserve">NFT-/XUTR/DEUTH02502789130X </v>
          </cell>
          <cell r="CN7462" t="str">
            <v>2025-01-27</v>
          </cell>
          <cell r="CO7462">
            <v>2142.0630000000001</v>
          </cell>
        </row>
        <row r="7463">
          <cell r="CJ7463" t="str">
            <v xml:space="preserve">NFT-/XUTR/DEUTH02502781072X </v>
          </cell>
          <cell r="CK7463" t="str">
            <v>2025-01-27</v>
          </cell>
          <cell r="CL7463">
            <v>40609.794999999998</v>
          </cell>
          <cell r="CM7463" t="str">
            <v xml:space="preserve">NFT-/XUTR/DEUTH02502789130X </v>
          </cell>
          <cell r="CN7463" t="str">
            <v>2025-01-27</v>
          </cell>
          <cell r="CO7463">
            <v>2142.0630000000001</v>
          </cell>
        </row>
        <row r="7464">
          <cell r="CJ7464" t="str">
            <v xml:space="preserve">NFT-/XUTR/DEUTH02502781072X </v>
          </cell>
          <cell r="CK7464" t="str">
            <v>2025-01-27</v>
          </cell>
          <cell r="CL7464">
            <v>40609.796000000002</v>
          </cell>
          <cell r="CM7464" t="str">
            <v xml:space="preserve">NFT-/XUTR/DEUTH02502789130X </v>
          </cell>
          <cell r="CN7464" t="str">
            <v>2025-01-27</v>
          </cell>
          <cell r="CO7464">
            <v>2142.0630000000001</v>
          </cell>
        </row>
        <row r="7465">
          <cell r="CJ7465" t="str">
            <v xml:space="preserve">NFT-/XUTR/DEUTH02502781072X </v>
          </cell>
          <cell r="CK7465" t="str">
            <v>2025-01-27</v>
          </cell>
          <cell r="CL7465">
            <v>40609.796000000002</v>
          </cell>
          <cell r="CM7465" t="str">
            <v xml:space="preserve">NFT-/XUTR/DEUTH02502789130X </v>
          </cell>
          <cell r="CN7465" t="str">
            <v>2025-01-27</v>
          </cell>
          <cell r="CO7465">
            <v>2142.0630000000001</v>
          </cell>
        </row>
        <row r="7466">
          <cell r="CJ7466" t="str">
            <v xml:space="preserve">NFT-/XUTR/DEUTH02502781072X </v>
          </cell>
          <cell r="CK7466" t="str">
            <v>2025-01-27</v>
          </cell>
          <cell r="CL7466">
            <v>2514.7359999999999</v>
          </cell>
        </row>
        <row r="7467">
          <cell r="CJ7467" t="str">
            <v xml:space="preserve">NFT-/XUTR/DEUTH02502781072X </v>
          </cell>
          <cell r="CK7467" t="str">
            <v>2025-01-27</v>
          </cell>
          <cell r="CL7467">
            <v>16364.84</v>
          </cell>
          <cell r="CM7467" t="str">
            <v xml:space="preserve">NFT-/XUTR/DEUTH02502789130X </v>
          </cell>
          <cell r="CN7467" t="str">
            <v>2025-01-27</v>
          </cell>
          <cell r="CO7467">
            <v>956.98599999999999</v>
          </cell>
        </row>
        <row r="7468">
          <cell r="CJ7468" t="str">
            <v xml:space="preserve">NFT-/XUTR/DEUTH02502781072X </v>
          </cell>
          <cell r="CK7468" t="str">
            <v>2025-01-27</v>
          </cell>
          <cell r="CL7468">
            <v>16471.861000000001</v>
          </cell>
          <cell r="CM7468" t="str">
            <v xml:space="preserve">NFT-/XUTR/DEUTH02502789130X </v>
          </cell>
          <cell r="CN7468" t="str">
            <v>2025-01-27</v>
          </cell>
          <cell r="CO7468">
            <v>840.51499999999999</v>
          </cell>
        </row>
        <row r="7469">
          <cell r="CJ7469" t="str">
            <v xml:space="preserve">NFT-/XUTR/DEUTH02502781072X </v>
          </cell>
          <cell r="CK7469" t="str">
            <v>2025-01-27</v>
          </cell>
          <cell r="CL7469">
            <v>40220.150999999998</v>
          </cell>
          <cell r="CM7469" t="str">
            <v xml:space="preserve">NFT-/XUTR/DEUTH02502789130X </v>
          </cell>
          <cell r="CN7469" t="str">
            <v>2025-01-27</v>
          </cell>
          <cell r="CO7469">
            <v>2512.819</v>
          </cell>
        </row>
        <row r="7470">
          <cell r="CJ7470" t="str">
            <v xml:space="preserve">NFT-/XUTR/DEUTH02502781072X </v>
          </cell>
          <cell r="CK7470" t="str">
            <v>2025-01-27</v>
          </cell>
          <cell r="CL7470">
            <v>40609.796000000002</v>
          </cell>
          <cell r="CM7470" t="str">
            <v xml:space="preserve">NFT-/XUTR/DEUTH02502789130X </v>
          </cell>
          <cell r="CN7470" t="str">
            <v>2025-01-27</v>
          </cell>
          <cell r="CO7470">
            <v>2142.0630000000001</v>
          </cell>
        </row>
        <row r="7471">
          <cell r="CJ7471" t="str">
            <v xml:space="preserve">NFT-/XUTR/DEUTH02502781072X </v>
          </cell>
          <cell r="CK7471" t="str">
            <v>2025-01-27</v>
          </cell>
          <cell r="CL7471">
            <v>40671.199999999997</v>
          </cell>
          <cell r="CM7471" t="str">
            <v xml:space="preserve">NFT-/XUTR/DEUTH02502789130X </v>
          </cell>
          <cell r="CN7471" t="str">
            <v>2025-01-27</v>
          </cell>
          <cell r="CO7471">
            <v>2071.2089999999998</v>
          </cell>
        </row>
        <row r="7472">
          <cell r="CJ7472" t="str">
            <v xml:space="preserve">NFT-/XUTR/DEUTH02502781072X </v>
          </cell>
          <cell r="CK7472" t="str">
            <v>2025-01-27</v>
          </cell>
          <cell r="CL7472">
            <v>172249.79199999999</v>
          </cell>
          <cell r="CM7472" t="str">
            <v xml:space="preserve">NFT-/XUTR/DEUTH02502943627X </v>
          </cell>
          <cell r="CN7472" t="str">
            <v>2025-01-29</v>
          </cell>
          <cell r="CO7472">
            <v>-172249.79199999999</v>
          </cell>
        </row>
        <row r="7473">
          <cell r="CJ7473" t="str">
            <v xml:space="preserve">NFT-/XUTR/DEUTH02502781072X </v>
          </cell>
          <cell r="CK7473" t="str">
            <v>2025-01-27</v>
          </cell>
          <cell r="CL7473">
            <v>40590.915999999997</v>
          </cell>
          <cell r="CM7473" t="str">
            <v xml:space="preserve">NFT-/XUTR/DEUTH02502789130X </v>
          </cell>
          <cell r="CN7473" t="str">
            <v>2025-01-27</v>
          </cell>
          <cell r="CO7473">
            <v>2142.0630000000001</v>
          </cell>
        </row>
        <row r="7474">
          <cell r="CJ7474" t="str">
            <v xml:space="preserve">NFT-/XUTR/DEUTH02502781072X </v>
          </cell>
          <cell r="CK7474" t="str">
            <v>2025-01-27</v>
          </cell>
          <cell r="CL7474">
            <v>40609.794999999998</v>
          </cell>
          <cell r="CM7474" t="str">
            <v xml:space="preserve">NFT-/XUTR/DEUTH02502789130X </v>
          </cell>
          <cell r="CN7474" t="str">
            <v>2025-01-27</v>
          </cell>
          <cell r="CO7474">
            <v>2142.0630000000001</v>
          </cell>
        </row>
        <row r="7475">
          <cell r="CJ7475" t="str">
            <v xml:space="preserve">NFT-/XUTR/DEUTH02502781072X </v>
          </cell>
          <cell r="CK7475" t="str">
            <v>2025-01-27</v>
          </cell>
          <cell r="CL7475">
            <v>172249.79199999999</v>
          </cell>
          <cell r="CM7475" t="str">
            <v xml:space="preserve">NFT-/XUTR/DEUTH02502943627X </v>
          </cell>
          <cell r="CN7475" t="str">
            <v>2025-01-29</v>
          </cell>
          <cell r="CO7475">
            <v>-172249.79199999999</v>
          </cell>
        </row>
        <row r="7476">
          <cell r="CJ7476" t="str">
            <v xml:space="preserve">NFT-/XUTR/DEUTH02502781072X </v>
          </cell>
          <cell r="CK7476" t="str">
            <v>2025-01-27</v>
          </cell>
          <cell r="CL7476">
            <v>8267.8639999999996</v>
          </cell>
          <cell r="CM7476" t="str">
            <v xml:space="preserve">NFT-/XUTR/DEUTH02502789130X </v>
          </cell>
          <cell r="CN7476" t="str">
            <v>2025-01-27</v>
          </cell>
          <cell r="CO7476">
            <v>440.64499999999998</v>
          </cell>
        </row>
        <row r="7477">
          <cell r="CJ7477" t="str">
            <v xml:space="preserve">NFT-/XUTR/DEUTH02502781072X </v>
          </cell>
          <cell r="CK7477" t="str">
            <v>2025-01-27</v>
          </cell>
          <cell r="CL7477">
            <v>40609.796000000002</v>
          </cell>
          <cell r="CM7477" t="str">
            <v xml:space="preserve">NFT-/XUTR/DEUTH02502789130X </v>
          </cell>
          <cell r="CN7477" t="str">
            <v>2025-01-27</v>
          </cell>
          <cell r="CO7477">
            <v>2142.0630000000001</v>
          </cell>
        </row>
        <row r="7478">
          <cell r="CJ7478" t="str">
            <v xml:space="preserve">NFT-/XUTR/DEUTH02502781072X </v>
          </cell>
          <cell r="CK7478" t="str">
            <v>2025-01-27</v>
          </cell>
          <cell r="CL7478">
            <v>40609.796000000002</v>
          </cell>
          <cell r="CM7478" t="str">
            <v xml:space="preserve">NFT-/XUTR/DEUTH02502789130X </v>
          </cell>
          <cell r="CN7478" t="str">
            <v>2025-01-27</v>
          </cell>
          <cell r="CO7478">
            <v>2142.0630000000001</v>
          </cell>
        </row>
        <row r="7479">
          <cell r="CJ7479" t="str">
            <v xml:space="preserve">NFT-/XUTR/DEUTH02502781072X </v>
          </cell>
          <cell r="CK7479" t="str">
            <v>2025-01-27</v>
          </cell>
          <cell r="CL7479">
            <v>40406.502</v>
          </cell>
          <cell r="CM7479" t="str">
            <v xml:space="preserve">NFT-/XUTR/DEUTH02502789130X </v>
          </cell>
          <cell r="CN7479" t="str">
            <v>2025-01-27</v>
          </cell>
          <cell r="CO7479">
            <v>2132.3519999999999</v>
          </cell>
        </row>
        <row r="7480">
          <cell r="CJ7480" t="str">
            <v xml:space="preserve">NFT-/XUTR/DEUTH02502781072X </v>
          </cell>
          <cell r="CK7480" t="str">
            <v>2025-01-27</v>
          </cell>
          <cell r="CL7480">
            <v>20831.925999999999</v>
          </cell>
          <cell r="CM7480" t="str">
            <v xml:space="preserve">NFT-/XUTR/DEUTH02502789130X </v>
          </cell>
          <cell r="CN7480" t="str">
            <v>2025-01-27</v>
          </cell>
          <cell r="CO7480">
            <v>1106.46</v>
          </cell>
        </row>
        <row r="7481">
          <cell r="CJ7481" t="str">
            <v xml:space="preserve">NFT-/XUTR/DEUTH02502781072X </v>
          </cell>
          <cell r="CK7481" t="str">
            <v>2025-01-27</v>
          </cell>
          <cell r="CL7481">
            <v>17225.293000000001</v>
          </cell>
        </row>
        <row r="7482">
          <cell r="CJ7482" t="str">
            <v xml:space="preserve">NFT-/XUTR/DEUTH02502781072X </v>
          </cell>
          <cell r="CK7482" t="str">
            <v>2025-01-27</v>
          </cell>
          <cell r="CL7482">
            <v>16358.575000000001</v>
          </cell>
          <cell r="CM7482" t="str">
            <v xml:space="preserve">NFT-/XUTR/DEUTH02502789130X </v>
          </cell>
          <cell r="CN7482" t="str">
            <v>2025-01-27</v>
          </cell>
          <cell r="CO7482">
            <v>866.71799999999996</v>
          </cell>
        </row>
        <row r="7483">
          <cell r="CJ7483" t="str">
            <v xml:space="preserve">NFT-/XUTR/DEUTH02502781072X </v>
          </cell>
          <cell r="CK7483" t="str">
            <v>2025-01-27</v>
          </cell>
          <cell r="CL7483">
            <v>40425.381999999998</v>
          </cell>
          <cell r="CM7483" t="str">
            <v xml:space="preserve">NFT-/XUTR/DEUTH02502789130X </v>
          </cell>
          <cell r="CN7483" t="str">
            <v>2025-01-27</v>
          </cell>
          <cell r="CO7483">
            <v>2132.3519999999999</v>
          </cell>
        </row>
        <row r="7484">
          <cell r="CJ7484" t="str">
            <v xml:space="preserve">NFT-/XUTR/DEUTH02502781072X </v>
          </cell>
          <cell r="CK7484" t="str">
            <v>2025-01-27</v>
          </cell>
          <cell r="CL7484">
            <v>40425.381999999998</v>
          </cell>
          <cell r="CM7484" t="str">
            <v xml:space="preserve">NFT-/XUTR/DEUTH02502789130X </v>
          </cell>
          <cell r="CN7484" t="str">
            <v>2025-01-27</v>
          </cell>
          <cell r="CO7484">
            <v>2132.3519999999999</v>
          </cell>
        </row>
        <row r="7485">
          <cell r="CJ7485" t="str">
            <v xml:space="preserve">NFT-/XUTR/DEUTH02502781072X </v>
          </cell>
          <cell r="CK7485" t="str">
            <v>2025-01-27</v>
          </cell>
          <cell r="CL7485">
            <v>8230.9850000000006</v>
          </cell>
          <cell r="CM7485" t="str">
            <v xml:space="preserve">NFT-/XUTR/DEUTH02502789130X </v>
          </cell>
          <cell r="CN7485" t="str">
            <v>2025-01-27</v>
          </cell>
          <cell r="CO7485">
            <v>438.697</v>
          </cell>
        </row>
        <row r="7486">
          <cell r="CJ7486" t="str">
            <v xml:space="preserve">NFT-/XUTR/DEUTH02502781072X </v>
          </cell>
          <cell r="CK7486" t="str">
            <v>2025-01-27</v>
          </cell>
          <cell r="CL7486">
            <v>40406.502</v>
          </cell>
          <cell r="CM7486" t="str">
            <v xml:space="preserve">NFT-/XUTR/DEUTH02502789130X </v>
          </cell>
          <cell r="CN7486" t="str">
            <v>2025-01-27</v>
          </cell>
          <cell r="CO7486">
            <v>2132.3519999999999</v>
          </cell>
        </row>
        <row r="7487">
          <cell r="CJ7487" t="str">
            <v xml:space="preserve">NFT-/XUTR/DEUTH02502781072X </v>
          </cell>
          <cell r="CK7487" t="str">
            <v>2025-01-27</v>
          </cell>
          <cell r="CL7487">
            <v>40406.502</v>
          </cell>
          <cell r="CM7487" t="str">
            <v xml:space="preserve">NFT-/XUTR/DEUTH02502789130X </v>
          </cell>
          <cell r="CN7487" t="str">
            <v>2025-01-27</v>
          </cell>
          <cell r="CO7487">
            <v>2132.3519999999999</v>
          </cell>
        </row>
        <row r="7488">
          <cell r="CJ7488" t="str">
            <v xml:space="preserve">NFT-/XUTR/DEUTH02502781072X </v>
          </cell>
          <cell r="CK7488" t="str">
            <v>2025-01-27</v>
          </cell>
          <cell r="CL7488">
            <v>16377.455</v>
          </cell>
          <cell r="CM7488" t="str">
            <v xml:space="preserve">NFT-/XUTR/DEUTH02502789130X </v>
          </cell>
          <cell r="CN7488" t="str">
            <v>2025-01-27</v>
          </cell>
          <cell r="CO7488">
            <v>866.71799999999996</v>
          </cell>
        </row>
        <row r="7489">
          <cell r="CJ7489" t="str">
            <v xml:space="preserve">NFT-/XUTR/DEUTH02502781072X </v>
          </cell>
          <cell r="CK7489" t="str">
            <v>2025-01-27</v>
          </cell>
          <cell r="CL7489">
            <v>82732.740000000005</v>
          </cell>
          <cell r="CM7489" t="str">
            <v xml:space="preserve">NFT-/XUTR/DEUTH02502789130X </v>
          </cell>
          <cell r="CN7489" t="str">
            <v>2025-01-27</v>
          </cell>
          <cell r="CO7489">
            <v>2911.7240000000002</v>
          </cell>
          <cell r="CP7489" t="str">
            <v xml:space="preserve">NFT-/XUTR/DEUTH02503656277X </v>
          </cell>
          <cell r="CQ7489" t="str">
            <v>2025-02-05</v>
          </cell>
          <cell r="CR7489">
            <v>-82732.740000000005</v>
          </cell>
          <cell r="CS7489" t="str">
            <v xml:space="preserve">NFT-/XUTR/DEUTH02503689016X </v>
          </cell>
          <cell r="CT7489" t="str">
            <v>2025-02-05</v>
          </cell>
          <cell r="CU7489">
            <v>-2911.7240000000002</v>
          </cell>
        </row>
        <row r="7490">
          <cell r="CJ7490" t="str">
            <v xml:space="preserve">NFT-/XUTR/DEUTH02502781072X </v>
          </cell>
          <cell r="CK7490" t="str">
            <v>2025-01-27</v>
          </cell>
          <cell r="CL7490">
            <v>40425.383000000002</v>
          </cell>
          <cell r="CM7490" t="str">
            <v xml:space="preserve">NFT-/XUTR/DEUTH02502789130X </v>
          </cell>
          <cell r="CN7490" t="str">
            <v>2025-01-27</v>
          </cell>
          <cell r="CO7490">
            <v>2132.3510000000001</v>
          </cell>
        </row>
        <row r="7491">
          <cell r="CJ7491" t="str">
            <v xml:space="preserve">NFT-/XUTR/DEUTH02502781072X </v>
          </cell>
          <cell r="CK7491" t="str">
            <v>2025-01-27</v>
          </cell>
          <cell r="CL7491">
            <v>82467.77</v>
          </cell>
          <cell r="CM7491" t="str">
            <v xml:space="preserve">NFT-/XUTR/DEUTH02502789130X </v>
          </cell>
          <cell r="CN7491" t="str">
            <v>2025-01-27</v>
          </cell>
          <cell r="CO7491">
            <v>3176.692</v>
          </cell>
        </row>
        <row r="7492">
          <cell r="CJ7492" t="str">
            <v xml:space="preserve">NFT-/XUTR/DEUTH02502428293X </v>
          </cell>
          <cell r="CK7492" t="str">
            <v>2025-01-24</v>
          </cell>
          <cell r="CL7492">
            <v>16322.126</v>
          </cell>
          <cell r="CM7492" t="str">
            <v xml:space="preserve">NFT-/XUTR/DEUTH02502438367X </v>
          </cell>
          <cell r="CN7492" t="str">
            <v>2025-01-24</v>
          </cell>
          <cell r="CO7492">
            <v>863.81600000000003</v>
          </cell>
        </row>
        <row r="7493">
          <cell r="CJ7493" t="str">
            <v xml:space="preserve">NFT-/XUTR/DEUTH02502428293X </v>
          </cell>
          <cell r="CK7493" t="str">
            <v>2025-01-24</v>
          </cell>
          <cell r="CL7493">
            <v>25959.451000000001</v>
          </cell>
        </row>
        <row r="7494">
          <cell r="CJ7494" t="str">
            <v xml:space="preserve">NFT-/XUTR/DEUTH02502428293X </v>
          </cell>
          <cell r="CK7494" t="str">
            <v>2025-01-24</v>
          </cell>
          <cell r="CL7494">
            <v>8640.5669999999991</v>
          </cell>
        </row>
        <row r="7495">
          <cell r="CJ7495" t="str">
            <v xml:space="preserve">NFT-/XUTR/DEUTH02502428293X </v>
          </cell>
          <cell r="CK7495" t="str">
            <v>2025-01-24</v>
          </cell>
          <cell r="CL7495">
            <v>43278.334999999999</v>
          </cell>
        </row>
        <row r="7496">
          <cell r="CJ7496" t="str">
            <v xml:space="preserve">NFT-/XUTR/DEUTH02502938216X </v>
          </cell>
          <cell r="CK7496" t="str">
            <v>2025-01-29</v>
          </cell>
          <cell r="CL7496">
            <v>2911.723</v>
          </cell>
          <cell r="CM7496" t="str">
            <v xml:space="preserve">NFT-/XUTR/DEUTH02502943627X </v>
          </cell>
          <cell r="CN7496" t="str">
            <v>2025-01-29</v>
          </cell>
          <cell r="CO7496">
            <v>82824.947</v>
          </cell>
        </row>
        <row r="7497">
          <cell r="CJ7497" t="str">
            <v xml:space="preserve">NFT-/XUTR/DEUTH02502938216X </v>
          </cell>
          <cell r="CK7497" t="str">
            <v>2025-01-29</v>
          </cell>
          <cell r="CL7497">
            <v>3070.8989999999999</v>
          </cell>
          <cell r="CM7497" t="str">
            <v xml:space="preserve">NFT-/XUTR/DEUTH02502943627X </v>
          </cell>
          <cell r="CN7497" t="str">
            <v>2025-01-29</v>
          </cell>
          <cell r="CO7497">
            <v>39800.866999999998</v>
          </cell>
        </row>
        <row r="7498">
          <cell r="CJ7498" t="str">
            <v xml:space="preserve">NFT-/XUTR/DEUTH02502938216X </v>
          </cell>
          <cell r="CK7498" t="str">
            <v>2025-01-29</v>
          </cell>
          <cell r="CL7498">
            <v>866.71900000000005</v>
          </cell>
          <cell r="CM7498" t="str">
            <v xml:space="preserve">NFT-/XUTR/DEUTH02502943627X </v>
          </cell>
          <cell r="CN7498" t="str">
            <v>2025-01-29</v>
          </cell>
          <cell r="CO7498">
            <v>16377.455</v>
          </cell>
        </row>
        <row r="7499">
          <cell r="CJ7499" t="str">
            <v xml:space="preserve">NFT-/XUTR/DEUTH02502938216X </v>
          </cell>
          <cell r="CK7499" t="str">
            <v>2025-01-29</v>
          </cell>
          <cell r="CL7499">
            <v>2911.723</v>
          </cell>
          <cell r="CM7499" t="str">
            <v xml:space="preserve">NFT-/XUTR/DEUTH02502943627X </v>
          </cell>
          <cell r="CN7499" t="str">
            <v>2025-01-29</v>
          </cell>
          <cell r="CO7499">
            <v>82824.947</v>
          </cell>
        </row>
        <row r="7500">
          <cell r="CJ7500" t="str">
            <v xml:space="preserve">NFT-/XUTR/DEUTH02502938216X </v>
          </cell>
          <cell r="CK7500" t="str">
            <v>2025-01-29</v>
          </cell>
          <cell r="CL7500">
            <v>2132.3510000000001</v>
          </cell>
          <cell r="CM7500" t="str">
            <v xml:space="preserve">NFT-/XUTR/DEUTH02502943627X </v>
          </cell>
          <cell r="CN7500" t="str">
            <v>2025-01-29</v>
          </cell>
          <cell r="CO7500">
            <v>40425.383000000002</v>
          </cell>
        </row>
        <row r="7501">
          <cell r="CJ7501" t="str">
            <v xml:space="preserve">NFT-/XUTR/DEUTH02502938216X </v>
          </cell>
          <cell r="CK7501" t="str">
            <v>2025-01-29</v>
          </cell>
          <cell r="CL7501">
            <v>2597.2620000000002</v>
          </cell>
          <cell r="CM7501" t="str">
            <v xml:space="preserve">NFT-/XUTR/DEUTH02502943627X </v>
          </cell>
          <cell r="CN7501" t="str">
            <v>2025-01-29</v>
          </cell>
          <cell r="CO7501">
            <v>49134.303</v>
          </cell>
        </row>
        <row r="7502">
          <cell r="CJ7502" t="str">
            <v xml:space="preserve">NFT-/XUTR/DEUTH02502938216X </v>
          </cell>
          <cell r="CK7502" t="str">
            <v>2025-01-29</v>
          </cell>
          <cell r="CL7502">
            <v>3503.7710000000002</v>
          </cell>
          <cell r="CM7502" t="str">
            <v xml:space="preserve">NFT-/XUTR/DEUTH02502943627X </v>
          </cell>
          <cell r="CN7502" t="str">
            <v>2025-01-29</v>
          </cell>
          <cell r="CO7502">
            <v>82121.803</v>
          </cell>
        </row>
        <row r="7503">
          <cell r="CJ7503" t="str">
            <v xml:space="preserve">NFT-/XUTR/DEUTH02502938216X </v>
          </cell>
          <cell r="CK7503" t="str">
            <v>2025-01-29</v>
          </cell>
          <cell r="CL7503">
            <v>866.71799999999996</v>
          </cell>
          <cell r="CM7503" t="str">
            <v xml:space="preserve">NFT-/XUTR/DEUTH02502943627X </v>
          </cell>
          <cell r="CN7503" t="str">
            <v>2025-01-29</v>
          </cell>
          <cell r="CO7503">
            <v>16358.575000000001</v>
          </cell>
        </row>
        <row r="7504">
          <cell r="CJ7504" t="str">
            <v xml:space="preserve">NFT-/XUTR/DEUTH02502938216X </v>
          </cell>
          <cell r="CK7504" t="str">
            <v>2025-01-29</v>
          </cell>
          <cell r="CL7504">
            <v>2132.3519999999999</v>
          </cell>
          <cell r="CM7504" t="str">
            <v xml:space="preserve">NFT-/XUTR/DEUTH02502943627X </v>
          </cell>
          <cell r="CN7504" t="str">
            <v>2025-01-29</v>
          </cell>
          <cell r="CO7504">
            <v>40406.502</v>
          </cell>
        </row>
        <row r="7505">
          <cell r="CJ7505" t="str">
            <v xml:space="preserve">NFT-/XUTR/DEUTH02502938216X </v>
          </cell>
          <cell r="CK7505" t="str">
            <v>2025-01-29</v>
          </cell>
          <cell r="CL7505">
            <v>866.71799999999996</v>
          </cell>
          <cell r="CM7505" t="str">
            <v xml:space="preserve">NFT-/XUTR/DEUTH02502943627X </v>
          </cell>
          <cell r="CN7505" t="str">
            <v>2025-01-29</v>
          </cell>
          <cell r="CO7505">
            <v>16377.455</v>
          </cell>
        </row>
        <row r="7506">
          <cell r="CJ7506" t="str">
            <v xml:space="preserve">NFT-/XUTR/DEUTH02502938216X </v>
          </cell>
          <cell r="CK7506" t="str">
            <v>2025-01-29</v>
          </cell>
          <cell r="CL7506">
            <v>1078.309</v>
          </cell>
          <cell r="CM7506" t="str">
            <v xml:space="preserve">NFT-/XUTR/DEUTH02502943627X </v>
          </cell>
          <cell r="CN7506" t="str">
            <v>2025-01-29</v>
          </cell>
          <cell r="CO7506">
            <v>9880.9619999999995</v>
          </cell>
        </row>
        <row r="7507">
          <cell r="CJ7507" t="str">
            <v xml:space="preserve">NFT-/XUTR/DEUTH02502938216X </v>
          </cell>
          <cell r="CK7507" t="str">
            <v>2025-01-29</v>
          </cell>
          <cell r="CL7507">
            <v>2132.3510000000001</v>
          </cell>
          <cell r="CM7507" t="str">
            <v xml:space="preserve">NFT-/XUTR/DEUTH02502943627X </v>
          </cell>
          <cell r="CN7507" t="str">
            <v>2025-01-29</v>
          </cell>
          <cell r="CO7507">
            <v>40425.383000000002</v>
          </cell>
        </row>
        <row r="7508">
          <cell r="CM7508" t="str">
            <v xml:space="preserve">NFT-/XUTR/DEUTH02502943627X </v>
          </cell>
          <cell r="CN7508" t="str">
            <v>2025-01-29</v>
          </cell>
          <cell r="CO7508">
            <v>17225.293000000001</v>
          </cell>
        </row>
        <row r="7509">
          <cell r="CJ7509" t="str">
            <v xml:space="preserve">NFT-/XUTR/DEUTH02502938216X </v>
          </cell>
          <cell r="CK7509" t="str">
            <v>2025-01-29</v>
          </cell>
          <cell r="CL7509">
            <v>438.697</v>
          </cell>
          <cell r="CM7509" t="str">
            <v xml:space="preserve">NFT-/XUTR/DEUTH02502943627X </v>
          </cell>
          <cell r="CN7509" t="str">
            <v>2025-01-29</v>
          </cell>
          <cell r="CO7509">
            <v>8249.8649999999998</v>
          </cell>
        </row>
        <row r="7510">
          <cell r="CJ7510" t="str">
            <v xml:space="preserve">NFT-/XUTR/DEUTH02502938216X </v>
          </cell>
          <cell r="CK7510" t="str">
            <v>2025-01-29</v>
          </cell>
          <cell r="CL7510">
            <v>866.71799999999996</v>
          </cell>
          <cell r="CM7510" t="str">
            <v xml:space="preserve">NFT-/XUTR/DEUTH02502943627X </v>
          </cell>
          <cell r="CN7510" t="str">
            <v>2025-01-29</v>
          </cell>
          <cell r="CO7510">
            <v>16358.575000000001</v>
          </cell>
        </row>
        <row r="7511">
          <cell r="CM7511" t="str">
            <v xml:space="preserve">NFT-/XUTR/DEUTH02502943627X </v>
          </cell>
          <cell r="CN7511" t="str">
            <v>2025-01-29</v>
          </cell>
          <cell r="CO7511">
            <v>85674.112999999998</v>
          </cell>
        </row>
        <row r="7512">
          <cell r="CJ7512" t="str">
            <v xml:space="preserve">NFT-/XUTR/DEUTH02502938216X </v>
          </cell>
          <cell r="CK7512" t="str">
            <v>2025-01-29</v>
          </cell>
          <cell r="CL7512">
            <v>2572.0230000000001</v>
          </cell>
          <cell r="CM7512" t="str">
            <v xml:space="preserve">NFT-/XUTR/DEUTH02502943627X </v>
          </cell>
          <cell r="CN7512" t="str">
            <v>2025-01-29</v>
          </cell>
          <cell r="CO7512">
            <v>83053.561000000002</v>
          </cell>
        </row>
        <row r="7513">
          <cell r="CJ7513" t="str">
            <v xml:space="preserve">NFT-/XUTR/DEUTH02502938216X </v>
          </cell>
          <cell r="CK7513" t="str">
            <v>2025-01-29</v>
          </cell>
          <cell r="CL7513">
            <v>1289.8989999999999</v>
          </cell>
          <cell r="CM7513" t="str">
            <v xml:space="preserve">NFT-/XUTR/DEUTH02502943627X </v>
          </cell>
          <cell r="CN7513" t="str">
            <v>2025-01-29</v>
          </cell>
          <cell r="CO7513">
            <v>41581.868999999999</v>
          </cell>
        </row>
        <row r="7514">
          <cell r="CJ7514" t="str">
            <v xml:space="preserve">NFT-/XUTR/DEUTH02502938216X </v>
          </cell>
          <cell r="CK7514" t="str">
            <v>2025-01-29</v>
          </cell>
          <cell r="CL7514">
            <v>2572.0230000000001</v>
          </cell>
          <cell r="CM7514" t="str">
            <v xml:space="preserve">NFT-/XUTR/DEUTH02502943627X </v>
          </cell>
          <cell r="CN7514" t="str">
            <v>2025-01-29</v>
          </cell>
          <cell r="CO7514">
            <v>83053.561000000002</v>
          </cell>
        </row>
        <row r="7515">
          <cell r="CJ7515" t="str">
            <v xml:space="preserve">NFT-/XUTR/DEUTH02502938216X </v>
          </cell>
          <cell r="CK7515" t="str">
            <v>2025-01-29</v>
          </cell>
          <cell r="CL7515">
            <v>204.791</v>
          </cell>
          <cell r="CM7515" t="str">
            <v xml:space="preserve">NFT-/XUTR/DEUTH02502943627X </v>
          </cell>
          <cell r="CN7515" t="str">
            <v>2025-01-29</v>
          </cell>
          <cell r="CO7515">
            <v>17020.502</v>
          </cell>
        </row>
        <row r="7516">
          <cell r="CJ7516" t="str">
            <v xml:space="preserve">NFT-/XUTR/DEUTH02502938216X </v>
          </cell>
          <cell r="CK7516" t="str">
            <v>2025-01-29</v>
          </cell>
          <cell r="CL7516">
            <v>2572.0230000000001</v>
          </cell>
          <cell r="CM7516" t="str">
            <v xml:space="preserve">NFT-/XUTR/DEUTH02502943627X </v>
          </cell>
          <cell r="CN7516" t="str">
            <v>2025-01-29</v>
          </cell>
          <cell r="CO7516">
            <v>83053.561000000002</v>
          </cell>
        </row>
        <row r="7517">
          <cell r="CJ7517" t="str">
            <v xml:space="preserve">NFT-/XUTR/DEUTH02502938216X </v>
          </cell>
          <cell r="CK7517" t="str">
            <v>2025-01-29</v>
          </cell>
          <cell r="CL7517">
            <v>866.71799999999996</v>
          </cell>
          <cell r="CM7517" t="str">
            <v xml:space="preserve">NFT-/XUTR/DEUTH02502943627X </v>
          </cell>
          <cell r="CN7517" t="str">
            <v>2025-01-29</v>
          </cell>
          <cell r="CO7517">
            <v>16358.575000000001</v>
          </cell>
        </row>
        <row r="7518">
          <cell r="CJ7518" t="str">
            <v xml:space="preserve">NFT-/XUTR/DEUTH02502938216X </v>
          </cell>
          <cell r="CK7518" t="str">
            <v>2025-01-29</v>
          </cell>
          <cell r="CL7518">
            <v>825.96199999999999</v>
          </cell>
          <cell r="CM7518" t="str">
            <v xml:space="preserve">NFT-/XUTR/DEUTH02502943627X </v>
          </cell>
          <cell r="CN7518" t="str">
            <v>2025-01-29</v>
          </cell>
          <cell r="CO7518">
            <v>16418.22</v>
          </cell>
        </row>
        <row r="7519">
          <cell r="CM7519" t="str">
            <v xml:space="preserve">NFT-/XUTR/DEUTH02502943627X </v>
          </cell>
          <cell r="CN7519" t="str">
            <v>2025-01-29</v>
          </cell>
          <cell r="CO7519">
            <v>85625.584000000003</v>
          </cell>
        </row>
        <row r="7520">
          <cell r="CM7520" t="str">
            <v xml:space="preserve">NFT-/XUTR/DEUTH02502943627X </v>
          </cell>
          <cell r="CN7520" t="str">
            <v>2025-01-29</v>
          </cell>
          <cell r="CO7520">
            <v>17244.172999999999</v>
          </cell>
        </row>
        <row r="7521">
          <cell r="CJ7521" t="str">
            <v xml:space="preserve">NFT-/XUTR/DEUTH02502938216X </v>
          </cell>
          <cell r="CK7521" t="str">
            <v>2025-01-29</v>
          </cell>
          <cell r="CL7521">
            <v>331.93799999999999</v>
          </cell>
          <cell r="CM7521" t="str">
            <v xml:space="preserve">NFT-/XUTR/DEUTH02502943627X </v>
          </cell>
          <cell r="CN7521" t="str">
            <v>2025-01-29</v>
          </cell>
          <cell r="CO7521">
            <v>10646.213</v>
          </cell>
        </row>
        <row r="7522">
          <cell r="CJ7522" t="str">
            <v xml:space="preserve">NFT-/XUTR/DEUTH02502938216X </v>
          </cell>
          <cell r="CK7522" t="str">
            <v>2025-01-29</v>
          </cell>
          <cell r="CL7522">
            <v>2572.0230000000001</v>
          </cell>
          <cell r="CM7522" t="str">
            <v xml:space="preserve">NFT-/XUTR/DEUTH02502943627X </v>
          </cell>
          <cell r="CN7522" t="str">
            <v>2025-01-29</v>
          </cell>
          <cell r="CO7522">
            <v>83053.561000000002</v>
          </cell>
        </row>
        <row r="7523">
          <cell r="CJ7523" t="str">
            <v xml:space="preserve">NFT-/XUTR/DEUTH02502938216X </v>
          </cell>
          <cell r="CK7523" t="str">
            <v>2025-01-29</v>
          </cell>
          <cell r="CL7523">
            <v>541.57799999999997</v>
          </cell>
          <cell r="CM7523" t="str">
            <v xml:space="preserve">NFT-/XUTR/DEUTH02502943627X </v>
          </cell>
          <cell r="CN7523" t="str">
            <v>2025-01-29</v>
          </cell>
          <cell r="CO7523">
            <v>10766.558999999999</v>
          </cell>
        </row>
        <row r="7524">
          <cell r="CM7524" t="str">
            <v xml:space="preserve">NFT-/XUTR/DEUTH02502943627X </v>
          </cell>
          <cell r="CN7524" t="str">
            <v>2025-01-29</v>
          </cell>
          <cell r="CO7524">
            <v>85634.752999999997</v>
          </cell>
        </row>
        <row r="7525">
          <cell r="CJ7525" t="str">
            <v xml:space="preserve">NFT-/XUTR/DEUTH02502938216X </v>
          </cell>
          <cell r="CK7525" t="str">
            <v>2025-01-29</v>
          </cell>
          <cell r="CL7525">
            <v>2572.0230000000001</v>
          </cell>
          <cell r="CM7525" t="str">
            <v xml:space="preserve">NFT-/XUTR/DEUTH02502943627X </v>
          </cell>
          <cell r="CN7525" t="str">
            <v>2025-01-29</v>
          </cell>
          <cell r="CO7525">
            <v>83053.561000000002</v>
          </cell>
        </row>
        <row r="7526">
          <cell r="CM7526" t="str">
            <v xml:space="preserve">NFT-/XUTR/DEUTH02502943627X </v>
          </cell>
          <cell r="CN7526" t="str">
            <v>2025-01-29</v>
          </cell>
          <cell r="CO7526">
            <v>17244.172999999999</v>
          </cell>
        </row>
        <row r="7527">
          <cell r="CJ7527" t="str">
            <v xml:space="preserve">NFT-/XUTR/DEUTH02502938216X </v>
          </cell>
          <cell r="CK7527" t="str">
            <v>2025-01-29</v>
          </cell>
          <cell r="CL7527">
            <v>332.90199999999999</v>
          </cell>
          <cell r="CM7527" t="str">
            <v xml:space="preserve">NFT-/XUTR/DEUTH02502943627X </v>
          </cell>
          <cell r="CN7527" t="str">
            <v>2025-01-29</v>
          </cell>
          <cell r="CO7527">
            <v>10626.359</v>
          </cell>
        </row>
        <row r="7528">
          <cell r="CJ7528" t="str">
            <v xml:space="preserve">NFT-/XUTR/DEUTH02502938216X </v>
          </cell>
          <cell r="CK7528" t="str">
            <v>2025-01-29</v>
          </cell>
          <cell r="CL7528">
            <v>247.494</v>
          </cell>
          <cell r="CM7528" t="str">
            <v xml:space="preserve">NFT-/XUTR/DEUTH02502943627X </v>
          </cell>
          <cell r="CN7528" t="str">
            <v>2025-01-29</v>
          </cell>
          <cell r="CO7528">
            <v>17142.264999999999</v>
          </cell>
        </row>
        <row r="7529">
          <cell r="CJ7529" t="str">
            <v xml:space="preserve">NFT-/XUTR/DEUTH02502938216X </v>
          </cell>
          <cell r="CK7529" t="str">
            <v>2025-01-29</v>
          </cell>
          <cell r="CL7529">
            <v>2278.9119999999998</v>
          </cell>
          <cell r="CM7529" t="str">
            <v xml:space="preserve">NFT-/XUTR/DEUTH02502943627X </v>
          </cell>
          <cell r="CN7529" t="str">
            <v>2025-01-29</v>
          </cell>
          <cell r="CO7529">
            <v>68193.532999999996</v>
          </cell>
        </row>
        <row r="7530">
          <cell r="CJ7530" t="str">
            <v xml:space="preserve">NFT-/XUTR/DEUTH02502938216X </v>
          </cell>
          <cell r="CK7530" t="str">
            <v>2025-01-29</v>
          </cell>
          <cell r="CL7530">
            <v>528.96500000000003</v>
          </cell>
          <cell r="CM7530" t="str">
            <v xml:space="preserve">NFT-/XUTR/DEUTH02502943627X </v>
          </cell>
          <cell r="CN7530" t="str">
            <v>2025-01-29</v>
          </cell>
          <cell r="CO7530">
            <v>16977.797999999999</v>
          </cell>
        </row>
        <row r="7531">
          <cell r="CJ7531" t="str">
            <v xml:space="preserve">NFT-/XUTR/DEUTH02502938216X </v>
          </cell>
          <cell r="CK7531" t="str">
            <v>2025-01-29</v>
          </cell>
          <cell r="CL7531">
            <v>528.96500000000003</v>
          </cell>
          <cell r="CM7531" t="str">
            <v xml:space="preserve">NFT-/XUTR/DEUTH02502943627X </v>
          </cell>
          <cell r="CN7531" t="str">
            <v>2025-01-29</v>
          </cell>
          <cell r="CO7531">
            <v>16977.797999999999</v>
          </cell>
        </row>
        <row r="7532">
          <cell r="CJ7532" t="str">
            <v xml:space="preserve">NFT-/XUTR/DEUTH02502938216X </v>
          </cell>
          <cell r="CK7532" t="str">
            <v>2025-01-29</v>
          </cell>
          <cell r="CL7532">
            <v>528.96500000000003</v>
          </cell>
          <cell r="CM7532" t="str">
            <v xml:space="preserve">NFT-/XUTR/DEUTH02502943627X </v>
          </cell>
          <cell r="CN7532" t="str">
            <v>2025-01-29</v>
          </cell>
          <cell r="CO7532">
            <v>16977.797999999999</v>
          </cell>
        </row>
        <row r="7533">
          <cell r="CJ7533" t="str">
            <v xml:space="preserve">NFT-/XUTR/DEUTH02502938216X </v>
          </cell>
          <cell r="CK7533" t="str">
            <v>2025-01-29</v>
          </cell>
          <cell r="CL7533">
            <v>675.51700000000005</v>
          </cell>
          <cell r="CM7533" t="str">
            <v xml:space="preserve">NFT-/XUTR/DEUTH02502943627X </v>
          </cell>
          <cell r="CN7533" t="str">
            <v>2025-01-29</v>
          </cell>
          <cell r="CO7533">
            <v>16831.248</v>
          </cell>
        </row>
        <row r="7534">
          <cell r="CJ7534" t="str">
            <v xml:space="preserve">NFT-/XUTR/DEUTH02502938216X </v>
          </cell>
          <cell r="CK7534" t="str">
            <v>2025-01-29</v>
          </cell>
          <cell r="CL7534">
            <v>579.43200000000002</v>
          </cell>
          <cell r="CM7534" t="str">
            <v xml:space="preserve">NFT-/XUTR/DEUTH02502943627X </v>
          </cell>
          <cell r="CN7534" t="str">
            <v>2025-01-29</v>
          </cell>
          <cell r="CO7534">
            <v>10952.472</v>
          </cell>
        </row>
        <row r="7535">
          <cell r="CJ7535" t="str">
            <v xml:space="preserve">NFT-/XUTR/DEUTH02502938216X </v>
          </cell>
          <cell r="CK7535" t="str">
            <v>2025-01-29</v>
          </cell>
          <cell r="CL7535">
            <v>528.96500000000003</v>
          </cell>
          <cell r="CM7535" t="str">
            <v xml:space="preserve">NFT-/XUTR/DEUTH02502943627X </v>
          </cell>
          <cell r="CN7535" t="str">
            <v>2025-01-29</v>
          </cell>
          <cell r="CO7535">
            <v>16977.797999999999</v>
          </cell>
        </row>
        <row r="7536">
          <cell r="CJ7536" t="str">
            <v xml:space="preserve">NFT-/XUTR/DEUTH02502938216X </v>
          </cell>
          <cell r="CK7536" t="str">
            <v>2025-01-29</v>
          </cell>
          <cell r="CL7536">
            <v>917.19500000000005</v>
          </cell>
          <cell r="CM7536" t="str">
            <v xml:space="preserve">NFT-/XUTR/DEUTH02502943627X </v>
          </cell>
          <cell r="CN7536" t="str">
            <v>2025-01-29</v>
          </cell>
          <cell r="CO7536">
            <v>42652.853000000003</v>
          </cell>
          <cell r="CP7536" t="str">
            <v xml:space="preserve">NFT-/XUTR/DEUTH02503656277X </v>
          </cell>
          <cell r="CQ7536" t="str">
            <v>2025-02-05</v>
          </cell>
          <cell r="CR7536">
            <v>-42652.853000000003</v>
          </cell>
          <cell r="CS7536" t="str">
            <v xml:space="preserve">NFT-/XUTR/DEUTH02503689016X </v>
          </cell>
          <cell r="CT7536" t="str">
            <v>2025-02-05</v>
          </cell>
          <cell r="CU7536">
            <v>-917.19500000000005</v>
          </cell>
        </row>
        <row r="7537">
          <cell r="CJ7537" t="str">
            <v xml:space="preserve">NFT-/XUTR/DEUTH02502938216X </v>
          </cell>
          <cell r="CK7537" t="str">
            <v>2025-01-29</v>
          </cell>
          <cell r="CL7537">
            <v>528.96500000000003</v>
          </cell>
          <cell r="CM7537" t="str">
            <v xml:space="preserve">NFT-/XUTR/DEUTH02502943627X </v>
          </cell>
          <cell r="CN7537" t="str">
            <v>2025-01-29</v>
          </cell>
          <cell r="CO7537">
            <v>16996.678</v>
          </cell>
        </row>
        <row r="7538">
          <cell r="CJ7538" t="str">
            <v xml:space="preserve">NFT-/XUTR/DEUTH02502938216X </v>
          </cell>
          <cell r="CK7538" t="str">
            <v>2025-01-29</v>
          </cell>
          <cell r="CL7538">
            <v>528.96500000000003</v>
          </cell>
          <cell r="CM7538" t="str">
            <v xml:space="preserve">NFT-/XUTR/DEUTH02502943627X </v>
          </cell>
          <cell r="CN7538" t="str">
            <v>2025-01-29</v>
          </cell>
          <cell r="CO7538">
            <v>16996.678</v>
          </cell>
        </row>
        <row r="7539">
          <cell r="CJ7539" t="str">
            <v xml:space="preserve">NFT-/XUTR/DEUTH02502938216X </v>
          </cell>
          <cell r="CK7539" t="str">
            <v>2025-01-29</v>
          </cell>
          <cell r="CL7539">
            <v>2614.7260000000001</v>
          </cell>
          <cell r="CM7539" t="str">
            <v xml:space="preserve">NFT-/XUTR/DEUTH02502943627X </v>
          </cell>
          <cell r="CN7539" t="str">
            <v>2025-01-29</v>
          </cell>
          <cell r="CO7539">
            <v>84446.771999999997</v>
          </cell>
        </row>
        <row r="7540">
          <cell r="CJ7540" t="str">
            <v xml:space="preserve">NFT-/XUTR/DEUTH02502938216X </v>
          </cell>
          <cell r="CK7540" t="str">
            <v>2025-01-29</v>
          </cell>
          <cell r="CL7540">
            <v>2612.788</v>
          </cell>
          <cell r="CM7540" t="str">
            <v xml:space="preserve">NFT-/XUTR/DEUTH02502943627X </v>
          </cell>
          <cell r="CN7540" t="str">
            <v>2025-01-29</v>
          </cell>
          <cell r="CO7540">
            <v>84371.600999999995</v>
          </cell>
        </row>
        <row r="7541">
          <cell r="CJ7541" t="str">
            <v xml:space="preserve">NFT-/XUTR/DEUTH02502938216X </v>
          </cell>
          <cell r="CK7541" t="str">
            <v>2025-01-29</v>
          </cell>
          <cell r="CL7541">
            <v>2613.752</v>
          </cell>
          <cell r="CM7541" t="str">
            <v xml:space="preserve">NFT-/XUTR/DEUTH02502943627X </v>
          </cell>
          <cell r="CN7541" t="str">
            <v>2025-01-29</v>
          </cell>
          <cell r="CO7541">
            <v>84414.304000000004</v>
          </cell>
        </row>
        <row r="7542">
          <cell r="CJ7542" t="str">
            <v xml:space="preserve">NFT-/XUTR/DEUTH02502938216X </v>
          </cell>
          <cell r="CK7542" t="str">
            <v>2025-01-29</v>
          </cell>
          <cell r="CL7542">
            <v>527.99099999999999</v>
          </cell>
          <cell r="CM7542" t="str">
            <v xml:space="preserve">NFT-/XUTR/DEUTH02502943627X </v>
          </cell>
          <cell r="CN7542" t="str">
            <v>2025-01-29</v>
          </cell>
          <cell r="CO7542">
            <v>16978.239000000001</v>
          </cell>
        </row>
        <row r="7543">
          <cell r="CJ7543" t="str">
            <v xml:space="preserve">NFT-/XUTR/DEUTH02502938216X </v>
          </cell>
          <cell r="CK7543" t="str">
            <v>2025-01-29</v>
          </cell>
          <cell r="CL7543">
            <v>2610.85</v>
          </cell>
          <cell r="CM7543" t="str">
            <v xml:space="preserve">NFT-/XUTR/DEUTH02502943627X </v>
          </cell>
          <cell r="CN7543" t="str">
            <v>2025-01-29</v>
          </cell>
          <cell r="CO7543">
            <v>84324.476999999999</v>
          </cell>
          <cell r="CS7543" t="str">
            <v xml:space="preserve">NFT-/XUTR/DEUTH02503444373X </v>
          </cell>
          <cell r="CT7543" t="str">
            <v>2025-02-03</v>
          </cell>
          <cell r="CU7543">
            <v>-84324.476999999999</v>
          </cell>
          <cell r="CV7543" t="str">
            <v xml:space="preserve">NFT-/XUTR/DEUTH02503477187X </v>
          </cell>
          <cell r="CW7543" t="str">
            <v>2025-02-03</v>
          </cell>
          <cell r="CX7543">
            <v>-2610.85</v>
          </cell>
        </row>
        <row r="7544">
          <cell r="CJ7544" t="str">
            <v xml:space="preserve">NFT-/XUTR/DEUTH02502938216X </v>
          </cell>
          <cell r="CK7544" t="str">
            <v>2025-01-29</v>
          </cell>
          <cell r="CL7544">
            <v>527.99099999999999</v>
          </cell>
          <cell r="CM7544" t="str">
            <v xml:space="preserve">NFT-/XUTR/DEUTH02502943627X </v>
          </cell>
          <cell r="CN7544" t="str">
            <v>2025-01-29</v>
          </cell>
          <cell r="CO7544">
            <v>16978.239000000001</v>
          </cell>
        </row>
        <row r="7545">
          <cell r="CJ7545" t="str">
            <v xml:space="preserve">NFT-/XUTR/DEUTH02502938216X </v>
          </cell>
          <cell r="CK7545" t="str">
            <v>2025-01-29</v>
          </cell>
          <cell r="CL7545">
            <v>2610.85</v>
          </cell>
          <cell r="CM7545" t="str">
            <v xml:space="preserve">NFT-/XUTR/DEUTH02502943627X </v>
          </cell>
          <cell r="CN7545" t="str">
            <v>2025-01-29</v>
          </cell>
          <cell r="CO7545">
            <v>84305.596999999994</v>
          </cell>
        </row>
        <row r="7546">
          <cell r="CJ7546" t="str">
            <v xml:space="preserve">NFT-/XUTR/DEUTH02502938216X </v>
          </cell>
          <cell r="CK7546" t="str">
            <v>2025-01-29</v>
          </cell>
          <cell r="CL7546">
            <v>3253.364</v>
          </cell>
          <cell r="CM7546" t="str">
            <v xml:space="preserve">NFT-/XUTR/DEUTH02502943627X </v>
          </cell>
          <cell r="CN7546" t="str">
            <v>2025-01-29</v>
          </cell>
          <cell r="CO7546">
            <v>83774.692999999999</v>
          </cell>
        </row>
        <row r="7547">
          <cell r="CJ7547" t="str">
            <v xml:space="preserve">NFT-/XUTR/DEUTH02502938216X </v>
          </cell>
          <cell r="CK7547" t="str">
            <v>2025-01-29</v>
          </cell>
          <cell r="CL7547">
            <v>2610.85</v>
          </cell>
          <cell r="CM7547" t="str">
            <v xml:space="preserve">NFT-/XUTR/DEUTH02502943627X </v>
          </cell>
          <cell r="CN7547" t="str">
            <v>2025-01-29</v>
          </cell>
          <cell r="CO7547">
            <v>84305.596999999994</v>
          </cell>
        </row>
        <row r="7548">
          <cell r="CJ7548" t="str">
            <v xml:space="preserve">NFT-/XUTR/DEUTH02504121769X </v>
          </cell>
          <cell r="CK7548" t="str">
            <v>2025-02-10</v>
          </cell>
          <cell r="CL7548">
            <v>-17189.8</v>
          </cell>
          <cell r="CM7548" t="str">
            <v xml:space="preserve">NFT-/XUTR/DEUTH02504143500X </v>
          </cell>
          <cell r="CN7548" t="str">
            <v>2025-02-10</v>
          </cell>
          <cell r="CO7548">
            <v>-537.702</v>
          </cell>
          <cell r="CS7548" t="str">
            <v xml:space="preserve">NFT-/XUTR/DEUTH02503444373X </v>
          </cell>
          <cell r="CT7548" t="str">
            <v>2025-02-03</v>
          </cell>
          <cell r="CU7548">
            <v>17189.8</v>
          </cell>
          <cell r="CV7548" t="str">
            <v xml:space="preserve">NFT-/XUTR/DEUTH02503477187X </v>
          </cell>
          <cell r="CW7548" t="str">
            <v>2025-02-03</v>
          </cell>
          <cell r="CX7548">
            <v>537.702</v>
          </cell>
        </row>
        <row r="7549">
          <cell r="CS7549" t="str">
            <v xml:space="preserve">NFT-/XUTR/DEUTH02503444373X </v>
          </cell>
          <cell r="CT7549" t="str">
            <v>2025-02-03</v>
          </cell>
          <cell r="CU7549">
            <v>8141.6909999999998</v>
          </cell>
          <cell r="CV7549" t="str">
            <v xml:space="preserve">NFT-/XUTR/DEUTH02503477187X </v>
          </cell>
          <cell r="CW7549" t="str">
            <v>2025-02-03</v>
          </cell>
          <cell r="CX7549">
            <v>702.69200000000001</v>
          </cell>
        </row>
        <row r="7550">
          <cell r="CS7550" t="str">
            <v xml:space="preserve">NFT-/XUTR/DEUTH02503444373X </v>
          </cell>
          <cell r="CT7550" t="str">
            <v>2025-02-03</v>
          </cell>
          <cell r="CU7550">
            <v>17043.802</v>
          </cell>
          <cell r="CV7550" t="str">
            <v xml:space="preserve">NFT-/XUTR/DEUTH02503477187X </v>
          </cell>
          <cell r="CW7550" t="str">
            <v>2025-02-03</v>
          </cell>
          <cell r="CX7550">
            <v>530.904</v>
          </cell>
        </row>
        <row r="7551">
          <cell r="CS7551" t="str">
            <v xml:space="preserve">NFT-/XUTR/DEUTH02503444373X </v>
          </cell>
          <cell r="CT7551" t="str">
            <v>2025-02-03</v>
          </cell>
          <cell r="CU7551">
            <v>42106.946000000004</v>
          </cell>
          <cell r="CV7551" t="str">
            <v xml:space="preserve">NFT-/XUTR/DEUTH02503477187X </v>
          </cell>
          <cell r="CW7551" t="str">
            <v>2025-02-03</v>
          </cell>
          <cell r="CX7551">
            <v>1305.425</v>
          </cell>
        </row>
        <row r="7552">
          <cell r="CJ7552" t="str">
            <v xml:space="preserve">NFT-/XUTR/DEUTH02503656277X </v>
          </cell>
          <cell r="CK7552" t="str">
            <v>2025-02-05</v>
          </cell>
          <cell r="CL7552">
            <v>-8335.2720000000008</v>
          </cell>
          <cell r="CM7552" t="str">
            <v xml:space="preserve">NFT-/XUTR/DEUTH02503689016X </v>
          </cell>
          <cell r="CN7552" t="str">
            <v>2025-02-05</v>
          </cell>
          <cell r="CO7552">
            <v>-527.99099999999999</v>
          </cell>
          <cell r="CS7552" t="str">
            <v xml:space="preserve">NFT-/XUTR/DEUTH02503444373X </v>
          </cell>
          <cell r="CT7552" t="str">
            <v>2025-02-03</v>
          </cell>
          <cell r="CU7552">
            <v>8335.2720000000008</v>
          </cell>
          <cell r="CV7552" t="str">
            <v xml:space="preserve">NFT-/XUTR/DEUTH02503477187X </v>
          </cell>
          <cell r="CW7552" t="str">
            <v>2025-02-03</v>
          </cell>
          <cell r="CX7552">
            <v>527.99099999999999</v>
          </cell>
        </row>
        <row r="7553">
          <cell r="CS7553" t="str">
            <v xml:space="preserve">NFT-/XUTR/DEUTH02503444373X </v>
          </cell>
          <cell r="CT7553" t="str">
            <v>2025-02-03</v>
          </cell>
          <cell r="CU7553">
            <v>0</v>
          </cell>
          <cell r="CV7553" t="str">
            <v xml:space="preserve">NFT-/XUTR/DEUTH02503477187X </v>
          </cell>
          <cell r="CW7553" t="str">
            <v>2025-02-03</v>
          </cell>
          <cell r="CX7553">
            <v>0</v>
          </cell>
        </row>
        <row r="7554">
          <cell r="CS7554" t="str">
            <v xml:space="preserve">NFT-/XUTR/DEUTH02503444373X </v>
          </cell>
          <cell r="CT7554" t="str">
            <v>2025-02-03</v>
          </cell>
          <cell r="CU7554">
            <v>8594.4179999999997</v>
          </cell>
          <cell r="CV7554" t="str">
            <v xml:space="preserve">NFT-/XUTR/DEUTH02503477187X </v>
          </cell>
          <cell r="CW7554" t="str">
            <v>2025-02-03</v>
          </cell>
          <cell r="CX7554">
            <v>268.84699999999998</v>
          </cell>
        </row>
        <row r="7555">
          <cell r="CS7555" t="str">
            <v xml:space="preserve">NFT-/XUTR/DEUTH02503444373X </v>
          </cell>
          <cell r="CT7555" t="str">
            <v>2025-02-03</v>
          </cell>
          <cell r="CU7555">
            <v>5029.4719999999998</v>
          </cell>
        </row>
        <row r="7556">
          <cell r="CS7556" t="str">
            <v xml:space="preserve">NFT-/XUTR/DEUTH02503444373X </v>
          </cell>
          <cell r="CT7556" t="str">
            <v>2025-02-03</v>
          </cell>
          <cell r="CU7556">
            <v>8863.2630000000008</v>
          </cell>
        </row>
        <row r="7557">
          <cell r="CS7557" t="str">
            <v xml:space="preserve">NFT-/XUTR/DEUTH02503444373X </v>
          </cell>
          <cell r="CT7557" t="str">
            <v>2025-02-03</v>
          </cell>
          <cell r="CU7557">
            <v>16950.088</v>
          </cell>
          <cell r="CV7557" t="str">
            <v xml:space="preserve">NFT-/XUTR/DEUTH02503477187X </v>
          </cell>
          <cell r="CW7557" t="str">
            <v>2025-02-03</v>
          </cell>
          <cell r="CX7557">
            <v>556.14200000000005</v>
          </cell>
        </row>
        <row r="7558">
          <cell r="CS7558" t="str">
            <v xml:space="preserve">NFT-/XUTR/DEUTH02503444373X </v>
          </cell>
          <cell r="CT7558" t="str">
            <v>2025-02-03</v>
          </cell>
          <cell r="CU7558">
            <v>8575.5370000000003</v>
          </cell>
          <cell r="CV7558" t="str">
            <v xml:space="preserve">NFT-/XUTR/DEUTH02503477187X </v>
          </cell>
          <cell r="CW7558" t="str">
            <v>2025-02-03</v>
          </cell>
          <cell r="CX7558">
            <v>268.846</v>
          </cell>
        </row>
        <row r="7559">
          <cell r="CS7559" t="str">
            <v xml:space="preserve">NFT-/XUTR/DEUTH02503444373X </v>
          </cell>
          <cell r="CT7559" t="str">
            <v>2025-02-03</v>
          </cell>
          <cell r="CU7559">
            <v>17593.585999999999</v>
          </cell>
        </row>
        <row r="7560">
          <cell r="CS7560" t="str">
            <v xml:space="preserve">NFT-/XUTR/DEUTH02503444373X </v>
          </cell>
          <cell r="CT7560" t="str">
            <v>2025-02-03</v>
          </cell>
          <cell r="CU7560">
            <v>17043.802</v>
          </cell>
          <cell r="CV7560" t="str">
            <v xml:space="preserve">NFT-/XUTR/DEUTH02503477187X </v>
          </cell>
          <cell r="CW7560" t="str">
            <v>2025-02-03</v>
          </cell>
          <cell r="CX7560">
            <v>530.904</v>
          </cell>
        </row>
        <row r="7561">
          <cell r="CJ7561" t="str">
            <v xml:space="preserve">NFT-/XUTR/DEUTH02503864800X </v>
          </cell>
          <cell r="CK7561" t="str">
            <v>2025-02-07</v>
          </cell>
          <cell r="CL7561">
            <v>-530.904</v>
          </cell>
          <cell r="CM7561" t="str">
            <v xml:space="preserve">NFT-/XUTR/DEUTH02503875296X </v>
          </cell>
          <cell r="CN7561" t="str">
            <v>2025-02-07</v>
          </cell>
          <cell r="CO7561">
            <v>-17043.802</v>
          </cell>
          <cell r="CS7561" t="str">
            <v xml:space="preserve">NFT-/XUTR/DEUTH02503444373X </v>
          </cell>
          <cell r="CT7561" t="str">
            <v>2025-02-03</v>
          </cell>
          <cell r="CU7561">
            <v>17043.802</v>
          </cell>
          <cell r="CV7561" t="str">
            <v xml:space="preserve">NFT-/XUTR/DEUTH02503477187X </v>
          </cell>
          <cell r="CW7561" t="str">
            <v>2025-02-03</v>
          </cell>
          <cell r="CX7561">
            <v>530.904</v>
          </cell>
        </row>
        <row r="7562">
          <cell r="CS7562" t="str">
            <v xml:space="preserve">NFT-/XUTR/DEUTH02503444373X </v>
          </cell>
          <cell r="CT7562" t="str">
            <v>2025-02-03</v>
          </cell>
          <cell r="CU7562">
            <v>17593.584999999999</v>
          </cell>
        </row>
        <row r="7563">
          <cell r="CS7563" t="str">
            <v xml:space="preserve">NFT-/XUTR/DEUTH02503444373X </v>
          </cell>
          <cell r="CT7563" t="str">
            <v>2025-02-03</v>
          </cell>
          <cell r="CU7563">
            <v>8575.5370000000003</v>
          </cell>
          <cell r="CV7563" t="str">
            <v xml:space="preserve">NFT-/XUTR/DEUTH02503477187X </v>
          </cell>
          <cell r="CW7563" t="str">
            <v>2025-02-03</v>
          </cell>
          <cell r="CX7563">
            <v>268.846</v>
          </cell>
        </row>
        <row r="7564">
          <cell r="CS7564" t="str">
            <v xml:space="preserve">NFT-/XUTR/DEUTH02503444373X </v>
          </cell>
          <cell r="CT7564" t="str">
            <v>2025-02-03</v>
          </cell>
          <cell r="CU7564">
            <v>26570.909</v>
          </cell>
        </row>
        <row r="7565">
          <cell r="CS7565" t="str">
            <v xml:space="preserve">NFT-/XUTR/DEUTH02503444373X </v>
          </cell>
          <cell r="CT7565" t="str">
            <v>2025-02-03</v>
          </cell>
          <cell r="CU7565">
            <v>16681.774000000001</v>
          </cell>
          <cell r="CV7565" t="str">
            <v xml:space="preserve">NFT-/XUTR/DEUTH02503477187X </v>
          </cell>
          <cell r="CW7565" t="str">
            <v>2025-02-03</v>
          </cell>
          <cell r="CX7565">
            <v>883.22</v>
          </cell>
        </row>
        <row r="7566">
          <cell r="CS7566" t="str">
            <v xml:space="preserve">NFT-/XUTR/DEUTH02503444373X </v>
          </cell>
          <cell r="CT7566" t="str">
            <v>2025-02-03</v>
          </cell>
          <cell r="CU7566">
            <v>84644.334000000003</v>
          </cell>
          <cell r="CV7566" t="str">
            <v xml:space="preserve">NFT-/XUTR/DEUTH02503477187X </v>
          </cell>
          <cell r="CW7566" t="str">
            <v>2025-02-03</v>
          </cell>
          <cell r="CX7566">
            <v>2621.5259999999998</v>
          </cell>
        </row>
        <row r="7567">
          <cell r="CS7567" t="str">
            <v xml:space="preserve">NFT-/XUTR/DEUTH02503444373X </v>
          </cell>
          <cell r="CT7567" t="str">
            <v>2025-02-03</v>
          </cell>
          <cell r="CU7567">
            <v>10829.652</v>
          </cell>
          <cell r="CV7567" t="str">
            <v xml:space="preserve">NFT-/XUTR/DEUTH02503477187X </v>
          </cell>
          <cell r="CW7567" t="str">
            <v>2025-02-03</v>
          </cell>
          <cell r="CX7567">
            <v>575.54600000000005</v>
          </cell>
        </row>
        <row r="7568">
          <cell r="CS7568" t="str">
            <v xml:space="preserve">NFT-/XUTR/DEUTH02503444373X </v>
          </cell>
          <cell r="CT7568" t="str">
            <v>2025-02-03</v>
          </cell>
          <cell r="CU7568">
            <v>16700.653999999999</v>
          </cell>
          <cell r="CV7568" t="str">
            <v xml:space="preserve">NFT-/XUTR/DEUTH02503477187X </v>
          </cell>
          <cell r="CW7568" t="str">
            <v>2025-02-03</v>
          </cell>
          <cell r="CX7568">
            <v>883.22</v>
          </cell>
        </row>
        <row r="7569">
          <cell r="CS7569" t="str">
            <v xml:space="preserve">NFT-/XUTR/DEUTH02503444373X </v>
          </cell>
          <cell r="CT7569" t="str">
            <v>2025-02-03</v>
          </cell>
          <cell r="CU7569">
            <v>8416.8040000000001</v>
          </cell>
          <cell r="CV7569" t="str">
            <v xml:space="preserve">NFT-/XUTR/DEUTH02503477187X </v>
          </cell>
          <cell r="CW7569" t="str">
            <v>2025-02-03</v>
          </cell>
          <cell r="CX7569">
            <v>446.459</v>
          </cell>
        </row>
        <row r="7570">
          <cell r="CS7570" t="str">
            <v xml:space="preserve">NFT-/XUTR/DEUTH02503444373X </v>
          </cell>
          <cell r="CT7570" t="str">
            <v>2025-02-03</v>
          </cell>
          <cell r="CU7570">
            <v>40589.408000000003</v>
          </cell>
          <cell r="CV7570" t="str">
            <v xml:space="preserve">NFT-/XUTR/DEUTH02503477187X </v>
          </cell>
          <cell r="CW7570" t="str">
            <v>2025-02-03</v>
          </cell>
          <cell r="CX7570">
            <v>2803.0169999999998</v>
          </cell>
        </row>
        <row r="7571">
          <cell r="CS7571" t="str">
            <v xml:space="preserve">NFT-/XUTR/DEUTH02503444373X </v>
          </cell>
          <cell r="CT7571" t="str">
            <v>2025-02-03</v>
          </cell>
          <cell r="CU7571">
            <v>1418.5119999999999</v>
          </cell>
        </row>
        <row r="7572">
          <cell r="CS7572" t="str">
            <v xml:space="preserve">NFT-/XUTR/DEUTH02503444373X </v>
          </cell>
          <cell r="CT7572" t="str">
            <v>2025-02-03</v>
          </cell>
          <cell r="CU7572">
            <v>66804.198000000004</v>
          </cell>
          <cell r="CV7572" t="str">
            <v xml:space="preserve">NFT-/XUTR/DEUTH02503477187X </v>
          </cell>
          <cell r="CW7572" t="str">
            <v>2025-02-03</v>
          </cell>
          <cell r="CX7572">
            <v>3882.299</v>
          </cell>
        </row>
        <row r="7573">
          <cell r="CS7573" t="str">
            <v xml:space="preserve">NFT-/XUTR/DEUTH02503444373X </v>
          </cell>
          <cell r="CT7573" t="str">
            <v>2025-02-03</v>
          </cell>
          <cell r="CU7573">
            <v>41218.343000000001</v>
          </cell>
          <cell r="CV7573" t="str">
            <v xml:space="preserve">NFT-/XUTR/DEUTH02503477187X </v>
          </cell>
          <cell r="CW7573" t="str">
            <v>2025-02-03</v>
          </cell>
          <cell r="CX7573">
            <v>2174.0909999999999</v>
          </cell>
        </row>
        <row r="7574">
          <cell r="CS7574" t="str">
            <v xml:space="preserve">NFT-/XUTR/DEUTH02503444373X </v>
          </cell>
          <cell r="CT7574" t="str">
            <v>2025-02-03</v>
          </cell>
          <cell r="CU7574">
            <v>41218.343000000001</v>
          </cell>
          <cell r="CV7574" t="str">
            <v xml:space="preserve">NFT-/XUTR/DEUTH02503477187X </v>
          </cell>
          <cell r="CW7574" t="str">
            <v>2025-02-03</v>
          </cell>
          <cell r="CX7574">
            <v>2174.0909999999999</v>
          </cell>
        </row>
        <row r="7575">
          <cell r="CS7575" t="str">
            <v xml:space="preserve">NFT-/XUTR/DEUTH02503444373X </v>
          </cell>
          <cell r="CT7575" t="str">
            <v>2025-02-03</v>
          </cell>
          <cell r="CU7575">
            <v>83702.875</v>
          </cell>
          <cell r="CV7575" t="str">
            <v xml:space="preserve">NFT-/XUTR/DEUTH02503477187X </v>
          </cell>
          <cell r="CW7575" t="str">
            <v>2025-02-03</v>
          </cell>
          <cell r="CX7575">
            <v>3562.9760000000001</v>
          </cell>
        </row>
        <row r="7576">
          <cell r="CS7576" t="str">
            <v xml:space="preserve">NFT-/XUTR/DEUTH02503444373X </v>
          </cell>
          <cell r="CT7576" t="str">
            <v>2025-02-03</v>
          </cell>
          <cell r="CU7576">
            <v>17053.944</v>
          </cell>
          <cell r="CV7576" t="str">
            <v xml:space="preserve">NFT-/XUTR/DEUTH02503477187X </v>
          </cell>
          <cell r="CW7576" t="str">
            <v>2025-02-03</v>
          </cell>
          <cell r="CX7576">
            <v>529.92999999999995</v>
          </cell>
        </row>
        <row r="7577">
          <cell r="CS7577" t="str">
            <v xml:space="preserve">NFT-/XUTR/DEUTH02503444373X </v>
          </cell>
          <cell r="CT7577" t="str">
            <v>2025-02-03</v>
          </cell>
          <cell r="CU7577">
            <v>40238.067000000003</v>
          </cell>
          <cell r="CV7577" t="str">
            <v xml:space="preserve">NFT-/XUTR/DEUTH02503477187X </v>
          </cell>
          <cell r="CW7577" t="str">
            <v>2025-02-03</v>
          </cell>
          <cell r="CX7577">
            <v>3154.3690000000001</v>
          </cell>
        </row>
        <row r="7578">
          <cell r="CS7578" t="str">
            <v xml:space="preserve">NFT-/XUTR/DEUTH02503444373X </v>
          </cell>
          <cell r="CT7578" t="str">
            <v>2025-02-03</v>
          </cell>
          <cell r="CU7578">
            <v>8844.3829999999998</v>
          </cell>
        </row>
        <row r="7579">
          <cell r="CS7579" t="str">
            <v xml:space="preserve">NFT-/XUTR/DEUTH02503444373X </v>
          </cell>
          <cell r="CT7579" t="str">
            <v>2025-02-03</v>
          </cell>
          <cell r="CU7579">
            <v>16109.130999999999</v>
          </cell>
          <cell r="CV7579" t="str">
            <v xml:space="preserve">NFT-/XUTR/DEUTH02503477187X </v>
          </cell>
          <cell r="CW7579" t="str">
            <v>2025-02-03</v>
          </cell>
          <cell r="CX7579">
            <v>1455.8620000000001</v>
          </cell>
        </row>
        <row r="7580">
          <cell r="CS7580" t="str">
            <v xml:space="preserve">NFT-/XUTR/DEUTH02503444373X </v>
          </cell>
          <cell r="CT7580" t="str">
            <v>2025-02-03</v>
          </cell>
          <cell r="CU7580">
            <v>16128.012000000001</v>
          </cell>
          <cell r="CV7580" t="str">
            <v xml:space="preserve">NFT-/XUTR/DEUTH02503477187X </v>
          </cell>
          <cell r="CW7580" t="str">
            <v>2025-02-03</v>
          </cell>
          <cell r="CX7580">
            <v>1455.8620000000001</v>
          </cell>
        </row>
        <row r="7581">
          <cell r="CS7581" t="str">
            <v xml:space="preserve">NFT-/XUTR/DEUTH02503444373X </v>
          </cell>
          <cell r="CT7581" t="str">
            <v>2025-02-03</v>
          </cell>
          <cell r="CU7581">
            <v>15225.913</v>
          </cell>
          <cell r="CV7581" t="str">
            <v xml:space="preserve">NFT-/XUTR/DEUTH02503477187X </v>
          </cell>
          <cell r="CW7581" t="str">
            <v>2025-02-03</v>
          </cell>
          <cell r="CX7581">
            <v>2339.0819999999999</v>
          </cell>
        </row>
        <row r="7582">
          <cell r="CS7582" t="str">
            <v xml:space="preserve">NFT-/XUTR/DEUTH02503444373X </v>
          </cell>
          <cell r="CT7582" t="str">
            <v>2025-02-03</v>
          </cell>
          <cell r="CU7582">
            <v>16109.130999999999</v>
          </cell>
          <cell r="CV7582" t="str">
            <v xml:space="preserve">NFT-/XUTR/DEUTH02503477187X </v>
          </cell>
          <cell r="CW7582" t="str">
            <v>2025-02-03</v>
          </cell>
          <cell r="CX7582">
            <v>1455.8620000000001</v>
          </cell>
        </row>
        <row r="7584">
          <cell r="CS7584" t="str">
            <v xml:space="preserve">NFT-/XUTR/DEUTH02503444373X </v>
          </cell>
          <cell r="CT7584" t="str">
            <v>2025-02-03</v>
          </cell>
          <cell r="CU7584">
            <v>7979.3320000000003</v>
          </cell>
          <cell r="CV7584" t="str">
            <v xml:space="preserve">NFT-/XUTR/DEUTH02503477187X </v>
          </cell>
          <cell r="CW7584" t="str">
            <v>2025-02-03</v>
          </cell>
          <cell r="CX7584">
            <v>874.49099999999999</v>
          </cell>
        </row>
        <row r="7585">
          <cell r="CS7585" t="str">
            <v xml:space="preserve">NFT-/XUTR/DEUTH02503444373X </v>
          </cell>
          <cell r="CT7585" t="str">
            <v>2025-02-03</v>
          </cell>
          <cell r="CU7585">
            <v>7968.3940000000002</v>
          </cell>
          <cell r="CV7585" t="str">
            <v xml:space="preserve">NFT-/XUTR/DEUTH02503477187X </v>
          </cell>
          <cell r="CW7585" t="str">
            <v>2025-02-03</v>
          </cell>
          <cell r="CX7585">
            <v>894.86900000000003</v>
          </cell>
        </row>
        <row r="7586">
          <cell r="CS7586" t="str">
            <v xml:space="preserve">NFT-/XUTR/DEUTH02503444373X </v>
          </cell>
          <cell r="CT7586" t="str">
            <v>2025-02-03</v>
          </cell>
          <cell r="CU7586">
            <v>16109.130999999999</v>
          </cell>
          <cell r="CV7586" t="str">
            <v xml:space="preserve">NFT-/XUTR/DEUTH02503477187X </v>
          </cell>
          <cell r="CW7586" t="str">
            <v>2025-02-03</v>
          </cell>
          <cell r="CX7586">
            <v>1455.8620000000001</v>
          </cell>
        </row>
        <row r="7587">
          <cell r="CS7587" t="str">
            <v xml:space="preserve">NFT-/XUTR/DEUTH02503444373X </v>
          </cell>
          <cell r="CT7587" t="str">
            <v>2025-02-03</v>
          </cell>
          <cell r="CU7587">
            <v>40238.067000000003</v>
          </cell>
          <cell r="CV7587" t="str">
            <v xml:space="preserve">NFT-/XUTR/DEUTH02503477187X </v>
          </cell>
          <cell r="CW7587" t="str">
            <v>2025-02-03</v>
          </cell>
          <cell r="CX7587">
            <v>3154.3679999999999</v>
          </cell>
        </row>
        <row r="7588">
          <cell r="CS7588" t="str">
            <v xml:space="preserve">NFT-/XUTR/DEUTH02503444373X </v>
          </cell>
          <cell r="CT7588" t="str">
            <v>2025-02-03</v>
          </cell>
          <cell r="CU7588">
            <v>40219.186999999998</v>
          </cell>
          <cell r="CV7588" t="str">
            <v xml:space="preserve">NFT-/XUTR/DEUTH02503477187X </v>
          </cell>
          <cell r="CW7588" t="str">
            <v>2025-02-03</v>
          </cell>
          <cell r="CX7588">
            <v>3154.3679999999999</v>
          </cell>
        </row>
        <row r="7589">
          <cell r="CS7589" t="str">
            <v xml:space="preserve">NFT-/XUTR/DEUTH02503444373X </v>
          </cell>
          <cell r="CT7589" t="str">
            <v>2025-02-03</v>
          </cell>
          <cell r="CU7589">
            <v>16128.011</v>
          </cell>
          <cell r="CV7589" t="str">
            <v xml:space="preserve">NFT-/XUTR/DEUTH02503477187X </v>
          </cell>
          <cell r="CW7589" t="str">
            <v>2025-02-03</v>
          </cell>
          <cell r="CX7589">
            <v>1455.8620000000001</v>
          </cell>
        </row>
        <row r="7590">
          <cell r="CS7590" t="str">
            <v xml:space="preserve">NFT-/XUTR/DEUTH02503444373X </v>
          </cell>
          <cell r="CT7590" t="str">
            <v>2025-02-03</v>
          </cell>
          <cell r="CU7590">
            <v>7949.5140000000001</v>
          </cell>
          <cell r="CV7590" t="str">
            <v xml:space="preserve">NFT-/XUTR/DEUTH02503477187X </v>
          </cell>
          <cell r="CW7590" t="str">
            <v>2025-02-03</v>
          </cell>
          <cell r="CX7590">
            <v>894.86900000000003</v>
          </cell>
        </row>
        <row r="7591">
          <cell r="CS7591" t="str">
            <v xml:space="preserve">NFT-/XUTR/DEUTH02503444373X </v>
          </cell>
          <cell r="CT7591" t="str">
            <v>2025-02-03</v>
          </cell>
          <cell r="CU7591">
            <v>40238.067000000003</v>
          </cell>
          <cell r="CV7591" t="str">
            <v xml:space="preserve">NFT-/XUTR/DEUTH02503477187X </v>
          </cell>
          <cell r="CW7591" t="str">
            <v>2025-02-03</v>
          </cell>
          <cell r="CX7591">
            <v>3154.3690000000001</v>
          </cell>
        </row>
        <row r="7592">
          <cell r="CS7592" t="str">
            <v xml:space="preserve">NFT-/XUTR/DEUTH02503444373X </v>
          </cell>
          <cell r="CT7592" t="str">
            <v>2025-02-03</v>
          </cell>
          <cell r="CU7592">
            <v>8844.3829999999998</v>
          </cell>
        </row>
        <row r="7593">
          <cell r="CS7593" t="str">
            <v xml:space="preserve">NFT-/XUTR/DEUTH02503444373X </v>
          </cell>
          <cell r="CT7593" t="str">
            <v>2025-02-03</v>
          </cell>
          <cell r="CU7593">
            <v>7949.5140000000001</v>
          </cell>
          <cell r="CV7593" t="str">
            <v xml:space="preserve">NFT-/XUTR/DEUTH02503477187X </v>
          </cell>
          <cell r="CW7593" t="str">
            <v>2025-02-03</v>
          </cell>
          <cell r="CX7593">
            <v>894.86900000000003</v>
          </cell>
        </row>
        <row r="7594">
          <cell r="CS7594" t="str">
            <v xml:space="preserve">NFT-/XUTR/DEUTH02503444373X </v>
          </cell>
          <cell r="CT7594" t="str">
            <v>2025-02-03</v>
          </cell>
          <cell r="CU7594">
            <v>15225.913</v>
          </cell>
          <cell r="CV7594" t="str">
            <v xml:space="preserve">NFT-/XUTR/DEUTH02503477187X </v>
          </cell>
          <cell r="CW7594" t="str">
            <v>2025-02-03</v>
          </cell>
          <cell r="CX7594">
            <v>2339.0819999999999</v>
          </cell>
        </row>
        <row r="7595">
          <cell r="CS7595" t="str">
            <v xml:space="preserve">NFT-/XUTR/DEUTH02503444373X </v>
          </cell>
          <cell r="CT7595" t="str">
            <v>2025-02-03</v>
          </cell>
          <cell r="CU7595">
            <v>7968.3940000000002</v>
          </cell>
          <cell r="CV7595" t="str">
            <v xml:space="preserve">NFT-/XUTR/DEUTH02503477187X </v>
          </cell>
          <cell r="CW7595" t="str">
            <v>2025-02-03</v>
          </cell>
          <cell r="CX7595">
            <v>894.86900000000003</v>
          </cell>
        </row>
        <row r="7596">
          <cell r="CS7596" t="str">
            <v xml:space="preserve">NFT-/XUTR/DEUTH02503444373X </v>
          </cell>
          <cell r="CT7596" t="str">
            <v>2025-02-03</v>
          </cell>
          <cell r="CU7596">
            <v>7968.3940000000002</v>
          </cell>
          <cell r="CV7596" t="str">
            <v xml:space="preserve">NFT-/XUTR/DEUTH02503477187X </v>
          </cell>
          <cell r="CW7596" t="str">
            <v>2025-02-03</v>
          </cell>
          <cell r="CX7596">
            <v>894.86900000000003</v>
          </cell>
        </row>
        <row r="7597">
          <cell r="CS7597" t="str">
            <v xml:space="preserve">NFT-/XUTR/DEUTH02503444373X </v>
          </cell>
          <cell r="CT7597" t="str">
            <v>2025-02-03</v>
          </cell>
          <cell r="CU7597">
            <v>7949.5140000000001</v>
          </cell>
          <cell r="CV7597" t="str">
            <v xml:space="preserve">NFT-/XUTR/DEUTH02503477187X </v>
          </cell>
          <cell r="CW7597" t="str">
            <v>2025-02-03</v>
          </cell>
          <cell r="CX7597">
            <v>894.86900000000003</v>
          </cell>
        </row>
        <row r="7598">
          <cell r="CS7598" t="str">
            <v xml:space="preserve">NFT-/XUTR/DEUTH02503444373X </v>
          </cell>
          <cell r="CT7598" t="str">
            <v>2025-02-03</v>
          </cell>
          <cell r="CU7598">
            <v>16109.130999999999</v>
          </cell>
          <cell r="CV7598" t="str">
            <v xml:space="preserve">NFT-/XUTR/DEUTH02503477187X </v>
          </cell>
          <cell r="CW7598" t="str">
            <v>2025-02-03</v>
          </cell>
          <cell r="CX7598">
            <v>1455.8620000000001</v>
          </cell>
        </row>
        <row r="7599">
          <cell r="CS7599" t="str">
            <v xml:space="preserve">NFT-/XUTR/DEUTH02503444373X </v>
          </cell>
          <cell r="CT7599" t="str">
            <v>2025-02-03</v>
          </cell>
          <cell r="CU7599">
            <v>41917.692999999999</v>
          </cell>
          <cell r="CV7599" t="str">
            <v xml:space="preserve">NFT-/XUTR/DEUTH02503477187X </v>
          </cell>
          <cell r="CW7599" t="str">
            <v>2025-02-03</v>
          </cell>
          <cell r="CX7599">
            <v>1455.8620000000001</v>
          </cell>
        </row>
        <row r="7600">
          <cell r="CS7600" t="str">
            <v xml:space="preserve">NFT-/XUTR/DEUTH02503444373X </v>
          </cell>
          <cell r="CT7600" t="str">
            <v>2025-02-03</v>
          </cell>
          <cell r="CU7600">
            <v>7949.5140000000001</v>
          </cell>
          <cell r="CV7600" t="str">
            <v xml:space="preserve">NFT-/XUTR/DEUTH02503477187X </v>
          </cell>
          <cell r="CW7600" t="str">
            <v>2025-02-03</v>
          </cell>
          <cell r="CX7600">
            <v>894.86900000000003</v>
          </cell>
        </row>
        <row r="7601">
          <cell r="CS7601" t="str">
            <v xml:space="preserve">NFT-/XUTR/DEUTH02503444373X </v>
          </cell>
          <cell r="CT7601" t="str">
            <v>2025-02-03</v>
          </cell>
          <cell r="CU7601">
            <v>84130.361999999994</v>
          </cell>
          <cell r="CV7601" t="str">
            <v xml:space="preserve">NFT-/XUTR/DEUTH02503477187X </v>
          </cell>
          <cell r="CW7601" t="str">
            <v>2025-02-03</v>
          </cell>
          <cell r="CX7601">
            <v>3154.3679999999999</v>
          </cell>
        </row>
        <row r="7602">
          <cell r="CJ7602" t="str">
            <v xml:space="preserve">NFT-/XUTR/DEUTH02504309886X </v>
          </cell>
          <cell r="CK7602" t="str">
            <v>2025-02-12</v>
          </cell>
          <cell r="CL7602">
            <v>-15244.793</v>
          </cell>
          <cell r="CM7602" t="str">
            <v xml:space="preserve">NFT-/XUTR/DEUTH02504312099X </v>
          </cell>
          <cell r="CN7602" t="str">
            <v>2025-02-12</v>
          </cell>
          <cell r="CO7602">
            <v>-2339.0819999999999</v>
          </cell>
          <cell r="CS7602" t="str">
            <v xml:space="preserve">NFT-/XUTR/DEUTH02503444373X </v>
          </cell>
          <cell r="CT7602" t="str">
            <v>2025-02-03</v>
          </cell>
          <cell r="CU7602">
            <v>15244.793</v>
          </cell>
          <cell r="CV7602" t="str">
            <v xml:space="preserve">NFT-/XUTR/DEUTH02503477187X </v>
          </cell>
          <cell r="CW7602" t="str">
            <v>2025-02-03</v>
          </cell>
          <cell r="CX7602">
            <v>2339.0819999999999</v>
          </cell>
        </row>
        <row r="7603">
          <cell r="CS7603" t="str">
            <v xml:space="preserve">NFT-/XUTR/DEUTH02503444373X </v>
          </cell>
          <cell r="CT7603" t="str">
            <v>2025-02-03</v>
          </cell>
          <cell r="CU7603">
            <v>7547.6959999999999</v>
          </cell>
          <cell r="CV7603" t="str">
            <v xml:space="preserve">NFT-/XUTR/DEUTH02503477187X </v>
          </cell>
          <cell r="CW7603" t="str">
            <v>2025-02-03</v>
          </cell>
          <cell r="CX7603">
            <v>1296.6859999999999</v>
          </cell>
        </row>
        <row r="7604">
          <cell r="CS7604" t="str">
            <v xml:space="preserve">NFT-/XUTR/DEUTH02503444373X </v>
          </cell>
          <cell r="CT7604" t="str">
            <v>2025-02-03</v>
          </cell>
          <cell r="CU7604">
            <v>7949.5140000000001</v>
          </cell>
          <cell r="CV7604" t="str">
            <v xml:space="preserve">NFT-/XUTR/DEUTH02503477187X </v>
          </cell>
          <cell r="CW7604" t="str">
            <v>2025-02-03</v>
          </cell>
          <cell r="CX7604">
            <v>894.86900000000003</v>
          </cell>
        </row>
        <row r="7605">
          <cell r="CS7605" t="str">
            <v xml:space="preserve">NFT-/XUTR/DEUTH02503444373X </v>
          </cell>
          <cell r="CT7605" t="str">
            <v>2025-02-03</v>
          </cell>
          <cell r="CU7605">
            <v>40238.067000000003</v>
          </cell>
          <cell r="CV7605" t="str">
            <v xml:space="preserve">NFT-/XUTR/DEUTH02503477187X </v>
          </cell>
          <cell r="CW7605" t="str">
            <v>2025-02-03</v>
          </cell>
          <cell r="CX7605">
            <v>3154.3690000000001</v>
          </cell>
        </row>
        <row r="7606">
          <cell r="CS7606" t="str">
            <v xml:space="preserve">NFT-/XUTR/DEUTH02503444373X </v>
          </cell>
          <cell r="CT7606" t="str">
            <v>2025-02-03</v>
          </cell>
          <cell r="CU7606">
            <v>7845.6580000000004</v>
          </cell>
          <cell r="CV7606" t="str">
            <v xml:space="preserve">NFT-/XUTR/DEUTH02503477187X </v>
          </cell>
          <cell r="CW7606" t="str">
            <v>2025-02-03</v>
          </cell>
          <cell r="CX7606">
            <v>998.726</v>
          </cell>
        </row>
        <row r="7607">
          <cell r="CS7607" t="str">
            <v xml:space="preserve">NFT-/XUTR/DEUTH02503444373X </v>
          </cell>
          <cell r="CT7607" t="str">
            <v>2025-02-03</v>
          </cell>
          <cell r="CU7607">
            <v>7968.3940000000002</v>
          </cell>
          <cell r="CV7607" t="str">
            <v xml:space="preserve">NFT-/XUTR/DEUTH02503477187X </v>
          </cell>
          <cell r="CW7607" t="str">
            <v>2025-02-03</v>
          </cell>
          <cell r="CX7607">
            <v>894.86900000000003</v>
          </cell>
        </row>
        <row r="7608">
          <cell r="CS7608" t="str">
            <v xml:space="preserve">NFT-/XUTR/DEUTH02503444373X </v>
          </cell>
          <cell r="CT7608" t="str">
            <v>2025-02-03</v>
          </cell>
          <cell r="CU7608">
            <v>15798.556</v>
          </cell>
          <cell r="CV7608" t="str">
            <v xml:space="preserve">NFT-/XUTR/DEUTH02503477187X </v>
          </cell>
          <cell r="CW7608" t="str">
            <v>2025-02-03</v>
          </cell>
          <cell r="CX7608">
            <v>1766.4480000000001</v>
          </cell>
        </row>
        <row r="7609">
          <cell r="CS7609" t="str">
            <v xml:space="preserve">NFT-/XUTR/DEUTH02503444373X </v>
          </cell>
          <cell r="CT7609" t="str">
            <v>2025-02-03</v>
          </cell>
          <cell r="CU7609">
            <v>40061.949999999997</v>
          </cell>
          <cell r="CV7609" t="str">
            <v xml:space="preserve">NFT-/XUTR/DEUTH02503477187X </v>
          </cell>
          <cell r="CW7609" t="str">
            <v>2025-02-03</v>
          </cell>
          <cell r="CX7609">
            <v>3311.605</v>
          </cell>
        </row>
        <row r="7610">
          <cell r="CS7610" t="str">
            <v xml:space="preserve">NFT-/XUTR/DEUTH02503444373X </v>
          </cell>
          <cell r="CT7610" t="str">
            <v>2025-02-03</v>
          </cell>
          <cell r="CU7610">
            <v>15244.793</v>
          </cell>
          <cell r="CV7610" t="str">
            <v xml:space="preserve">NFT-/XUTR/DEUTH02503477187X </v>
          </cell>
          <cell r="CW7610" t="str">
            <v>2025-02-03</v>
          </cell>
          <cell r="CX7610">
            <v>2339.0819999999999</v>
          </cell>
        </row>
        <row r="7611">
          <cell r="CS7611" t="str">
            <v xml:space="preserve">NFT-/XUTR/DEUTH02503444373X </v>
          </cell>
          <cell r="CT7611" t="str">
            <v>2025-02-03</v>
          </cell>
          <cell r="CU7611">
            <v>7566.576</v>
          </cell>
          <cell r="CV7611" t="str">
            <v xml:space="preserve">NFT-/XUTR/DEUTH02503477187X </v>
          </cell>
          <cell r="CW7611" t="str">
            <v>2025-02-03</v>
          </cell>
          <cell r="CX7611">
            <v>1296.6859999999999</v>
          </cell>
        </row>
        <row r="7612">
          <cell r="CS7612" t="str">
            <v xml:space="preserve">NFT-/XUTR/DEUTH02503444373X </v>
          </cell>
          <cell r="CT7612" t="str">
            <v>2025-02-03</v>
          </cell>
          <cell r="CU7612">
            <v>40301.148999999998</v>
          </cell>
          <cell r="CV7612" t="str">
            <v xml:space="preserve">NFT-/XUTR/DEUTH02503477187X </v>
          </cell>
          <cell r="CW7612" t="str">
            <v>2025-02-03</v>
          </cell>
          <cell r="CX7612">
            <v>3091.277</v>
          </cell>
        </row>
        <row r="7613">
          <cell r="CS7613" t="str">
            <v xml:space="preserve">NFT-/XUTR/DEUTH02503444373X </v>
          </cell>
          <cell r="CT7613" t="str">
            <v>2025-02-03</v>
          </cell>
          <cell r="CU7613">
            <v>40238.067000000003</v>
          </cell>
          <cell r="CV7613" t="str">
            <v xml:space="preserve">NFT-/XUTR/DEUTH02503477187X </v>
          </cell>
          <cell r="CW7613" t="str">
            <v>2025-02-03</v>
          </cell>
          <cell r="CX7613">
            <v>3154.3690000000001</v>
          </cell>
        </row>
        <row r="7614">
          <cell r="CS7614" t="str">
            <v xml:space="preserve">NFT-/XUTR/DEUTH02503444373X </v>
          </cell>
          <cell r="CT7614" t="str">
            <v>2025-02-03</v>
          </cell>
          <cell r="CU7614">
            <v>7968.3940000000002</v>
          </cell>
          <cell r="CV7614" t="str">
            <v xml:space="preserve">NFT-/XUTR/DEUTH02503477187X </v>
          </cell>
          <cell r="CW7614" t="str">
            <v>2025-02-03</v>
          </cell>
          <cell r="CX7614">
            <v>894.86900000000003</v>
          </cell>
        </row>
        <row r="7615">
          <cell r="CS7615" t="str">
            <v xml:space="preserve">NFT-/XUTR/DEUTH02503444373X </v>
          </cell>
          <cell r="CT7615" t="str">
            <v>2025-02-03</v>
          </cell>
          <cell r="CU7615">
            <v>15225.913</v>
          </cell>
          <cell r="CV7615" t="str">
            <v xml:space="preserve">NFT-/XUTR/DEUTH02503477187X </v>
          </cell>
          <cell r="CW7615" t="str">
            <v>2025-02-03</v>
          </cell>
          <cell r="CX7615">
            <v>2339.0819999999999</v>
          </cell>
        </row>
        <row r="7616">
          <cell r="CS7616" t="str">
            <v xml:space="preserve">NFT-/XUTR/DEUTH02503444373X </v>
          </cell>
          <cell r="CT7616" t="str">
            <v>2025-02-03</v>
          </cell>
          <cell r="CU7616">
            <v>7645.7280000000001</v>
          </cell>
          <cell r="CV7616" t="str">
            <v xml:space="preserve">NFT-/XUTR/DEUTH02503477187X </v>
          </cell>
          <cell r="CW7616" t="str">
            <v>2025-02-03</v>
          </cell>
          <cell r="CX7616">
            <v>1198.6559999999999</v>
          </cell>
        </row>
        <row r="7617">
          <cell r="CS7617" t="str">
            <v xml:space="preserve">NFT-/XUTR/DEUTH02503444373X </v>
          </cell>
          <cell r="CT7617" t="str">
            <v>2025-02-03</v>
          </cell>
          <cell r="CU7617">
            <v>7889.7759999999998</v>
          </cell>
          <cell r="CV7617" t="str">
            <v xml:space="preserve">NFT-/XUTR/DEUTH02503477187X </v>
          </cell>
          <cell r="CW7617" t="str">
            <v>2025-02-03</v>
          </cell>
          <cell r="CX7617">
            <v>973.48800000000006</v>
          </cell>
        </row>
        <row r="7618">
          <cell r="CS7618" t="str">
            <v xml:space="preserve">NFT-/XUTR/DEUTH02503444373X </v>
          </cell>
          <cell r="CT7618" t="str">
            <v>2025-02-03</v>
          </cell>
          <cell r="CU7618">
            <v>7968.3940000000002</v>
          </cell>
          <cell r="CV7618" t="str">
            <v xml:space="preserve">NFT-/XUTR/DEUTH02503477187X </v>
          </cell>
          <cell r="CW7618" t="str">
            <v>2025-02-03</v>
          </cell>
          <cell r="CX7618">
            <v>894.86900000000003</v>
          </cell>
        </row>
        <row r="7619">
          <cell r="CS7619" t="str">
            <v xml:space="preserve">NFT-/XUTR/DEUTH02503444373X </v>
          </cell>
          <cell r="CT7619" t="str">
            <v>2025-02-03</v>
          </cell>
          <cell r="CU7619">
            <v>7968.3940000000002</v>
          </cell>
          <cell r="CV7619" t="str">
            <v xml:space="preserve">NFT-/XUTR/DEUTH02503477187X </v>
          </cell>
          <cell r="CW7619" t="str">
            <v>2025-02-03</v>
          </cell>
          <cell r="CX7619">
            <v>894.86900000000003</v>
          </cell>
        </row>
        <row r="7620">
          <cell r="CS7620" t="str">
            <v xml:space="preserve">NFT-/XUTR/DEUTH02503444373X </v>
          </cell>
          <cell r="CT7620" t="str">
            <v>2025-02-03</v>
          </cell>
          <cell r="CU7620">
            <v>40219.186999999998</v>
          </cell>
          <cell r="CV7620" t="str">
            <v xml:space="preserve">NFT-/XUTR/DEUTH02503477187X </v>
          </cell>
          <cell r="CW7620" t="str">
            <v>2025-02-03</v>
          </cell>
          <cell r="CX7620">
            <v>3154.3679999999999</v>
          </cell>
        </row>
        <row r="7621">
          <cell r="CS7621" t="str">
            <v xml:space="preserve">NFT-/XUTR/DEUTH02503444373X </v>
          </cell>
          <cell r="CT7621" t="str">
            <v>2025-02-03</v>
          </cell>
          <cell r="CU7621">
            <v>39895.35</v>
          </cell>
          <cell r="CV7621" t="str">
            <v xml:space="preserve">NFT-/XUTR/DEUTH02503477187X </v>
          </cell>
          <cell r="CW7621" t="str">
            <v>2025-02-03</v>
          </cell>
          <cell r="CX7621">
            <v>4420.9799999999996</v>
          </cell>
        </row>
        <row r="7622">
          <cell r="CS7622" t="str">
            <v xml:space="preserve">NFT-/XUTR/DEUTH02503444373X </v>
          </cell>
          <cell r="CT7622" t="str">
            <v>2025-02-03</v>
          </cell>
          <cell r="CU7622">
            <v>16109.130999999999</v>
          </cell>
          <cell r="CV7622" t="str">
            <v xml:space="preserve">NFT-/XUTR/DEUTH02503477187X </v>
          </cell>
          <cell r="CW7622" t="str">
            <v>2025-02-03</v>
          </cell>
          <cell r="CX7622">
            <v>1455.8620000000001</v>
          </cell>
        </row>
        <row r="7623">
          <cell r="CS7623" t="str">
            <v xml:space="preserve">NFT-/XUTR/DEUTH02503444373X </v>
          </cell>
          <cell r="CT7623" t="str">
            <v>2025-02-03</v>
          </cell>
          <cell r="CU7623">
            <v>40155.561000000002</v>
          </cell>
          <cell r="CV7623" t="str">
            <v xml:space="preserve">NFT-/XUTR/DEUTH02503477187X </v>
          </cell>
          <cell r="CW7623" t="str">
            <v>2025-02-03</v>
          </cell>
          <cell r="CX7623">
            <v>3236.864</v>
          </cell>
        </row>
        <row r="7624">
          <cell r="CS7624" t="str">
            <v xml:space="preserve">NFT-/XUTR/DEUTH02503444373X </v>
          </cell>
          <cell r="CT7624" t="str">
            <v>2025-02-03</v>
          </cell>
          <cell r="CU7624">
            <v>7968.3940000000002</v>
          </cell>
          <cell r="CV7624" t="str">
            <v xml:space="preserve">NFT-/XUTR/DEUTH02503477187X </v>
          </cell>
          <cell r="CW7624" t="str">
            <v>2025-02-03</v>
          </cell>
          <cell r="CX7624">
            <v>894.86900000000003</v>
          </cell>
        </row>
        <row r="7625">
          <cell r="CS7625" t="str">
            <v xml:space="preserve">NFT-/XUTR/DEUTH02503444373X </v>
          </cell>
          <cell r="CT7625" t="str">
            <v>2025-02-03</v>
          </cell>
          <cell r="CU7625">
            <v>40238.067000000003</v>
          </cell>
          <cell r="CV7625" t="str">
            <v xml:space="preserve">NFT-/XUTR/DEUTH02503477187X </v>
          </cell>
          <cell r="CW7625" t="str">
            <v>2025-02-03</v>
          </cell>
          <cell r="CX7625">
            <v>3154.3690000000001</v>
          </cell>
        </row>
        <row r="7626">
          <cell r="CS7626" t="str">
            <v xml:space="preserve">NFT-/XUTR/DEUTH02503444373X </v>
          </cell>
          <cell r="CT7626" t="str">
            <v>2025-02-03</v>
          </cell>
          <cell r="CU7626">
            <v>16109.130999999999</v>
          </cell>
          <cell r="CV7626" t="str">
            <v xml:space="preserve">NFT-/XUTR/DEUTH02503477187X </v>
          </cell>
          <cell r="CW7626" t="str">
            <v>2025-02-03</v>
          </cell>
          <cell r="CX7626">
            <v>1455.8620000000001</v>
          </cell>
        </row>
        <row r="7627">
          <cell r="CS7627" t="str">
            <v xml:space="preserve">NFT-/XUTR/DEUTH02503444373X </v>
          </cell>
          <cell r="CT7627" t="str">
            <v>2025-02-03</v>
          </cell>
          <cell r="CU7627">
            <v>40238.067000000003</v>
          </cell>
          <cell r="CV7627" t="str">
            <v xml:space="preserve">NFT-/XUTR/DEUTH02503477187X </v>
          </cell>
          <cell r="CW7627" t="str">
            <v>2025-02-03</v>
          </cell>
          <cell r="CX7627">
            <v>3154.3679999999999</v>
          </cell>
        </row>
        <row r="7628">
          <cell r="CS7628" t="str">
            <v xml:space="preserve">NFT-/XUTR/DEUTH02503444373X </v>
          </cell>
          <cell r="CT7628" t="str">
            <v>2025-02-03</v>
          </cell>
          <cell r="CU7628">
            <v>7949.5140000000001</v>
          </cell>
          <cell r="CV7628" t="str">
            <v xml:space="preserve">NFT-/XUTR/DEUTH02503477187X </v>
          </cell>
          <cell r="CW7628" t="str">
            <v>2025-02-03</v>
          </cell>
          <cell r="CX7628">
            <v>894.86900000000003</v>
          </cell>
        </row>
        <row r="7629">
          <cell r="CS7629" t="str">
            <v xml:space="preserve">NFT-/XUTR/DEUTH02503444373X </v>
          </cell>
          <cell r="CT7629" t="str">
            <v>2025-02-03</v>
          </cell>
          <cell r="CU7629">
            <v>16109.130999999999</v>
          </cell>
          <cell r="CV7629" t="str">
            <v xml:space="preserve">NFT-/XUTR/DEUTH02503477187X </v>
          </cell>
          <cell r="CW7629" t="str">
            <v>2025-02-03</v>
          </cell>
          <cell r="CX7629">
            <v>1455.8620000000001</v>
          </cell>
        </row>
        <row r="7630">
          <cell r="CS7630" t="str">
            <v xml:space="preserve">NFT-/XUTR/DEUTH02503444373X </v>
          </cell>
          <cell r="CT7630" t="str">
            <v>2025-02-03</v>
          </cell>
          <cell r="CU7630">
            <v>16109.130999999999</v>
          </cell>
          <cell r="CV7630" t="str">
            <v xml:space="preserve">NFT-/XUTR/DEUTH02503477187X </v>
          </cell>
          <cell r="CW7630" t="str">
            <v>2025-02-03</v>
          </cell>
          <cell r="CX7630">
            <v>1455.8620000000001</v>
          </cell>
        </row>
        <row r="7631">
          <cell r="CS7631" t="str">
            <v xml:space="preserve">NFT-/XUTR/DEUTH02503444373X </v>
          </cell>
          <cell r="CT7631" t="str">
            <v>2025-02-03</v>
          </cell>
          <cell r="CU7631">
            <v>39740.154999999999</v>
          </cell>
          <cell r="CV7631" t="str">
            <v xml:space="preserve">NFT-/XUTR/DEUTH02503477187X </v>
          </cell>
          <cell r="CW7631" t="str">
            <v>2025-02-03</v>
          </cell>
          <cell r="CX7631">
            <v>3652.27</v>
          </cell>
        </row>
        <row r="7632">
          <cell r="CS7632" t="str">
            <v xml:space="preserve">NFT-/XUTR/DEUTH02503444373X </v>
          </cell>
          <cell r="CT7632" t="str">
            <v>2025-02-03</v>
          </cell>
          <cell r="CU7632">
            <v>16109.130999999999</v>
          </cell>
          <cell r="CV7632" t="str">
            <v xml:space="preserve">NFT-/XUTR/DEUTH02503477187X </v>
          </cell>
          <cell r="CW7632" t="str">
            <v>2025-02-03</v>
          </cell>
          <cell r="CX7632">
            <v>1455.8620000000001</v>
          </cell>
        </row>
        <row r="7633">
          <cell r="CS7633" t="str">
            <v xml:space="preserve">NFT-/XUTR/DEUTH02503444373X </v>
          </cell>
          <cell r="CT7633" t="str">
            <v>2025-02-03</v>
          </cell>
          <cell r="CU7633">
            <v>40238.067000000003</v>
          </cell>
          <cell r="CV7633" t="str">
            <v xml:space="preserve">NFT-/XUTR/DEUTH02503477187X </v>
          </cell>
          <cell r="CW7633" t="str">
            <v>2025-02-03</v>
          </cell>
          <cell r="CX7633">
            <v>3154.3690000000001</v>
          </cell>
        </row>
        <row r="7634">
          <cell r="CS7634" t="str">
            <v xml:space="preserve">NFT-/XUTR/DEUTH02503444373X </v>
          </cell>
          <cell r="CT7634" t="str">
            <v>2025-02-03</v>
          </cell>
          <cell r="CU7634">
            <v>7968.3940000000002</v>
          </cell>
          <cell r="CV7634" t="str">
            <v xml:space="preserve">NFT-/XUTR/DEUTH02503477187X </v>
          </cell>
          <cell r="CW7634" t="str">
            <v>2025-02-03</v>
          </cell>
          <cell r="CX7634">
            <v>894.86900000000003</v>
          </cell>
        </row>
        <row r="7635">
          <cell r="CS7635" t="str">
            <v xml:space="preserve">NFT-/XUTR/DEUTH02503444373X </v>
          </cell>
          <cell r="CT7635" t="str">
            <v>2025-02-03</v>
          </cell>
          <cell r="CU7635">
            <v>7949.5140000000001</v>
          </cell>
          <cell r="CV7635" t="str">
            <v xml:space="preserve">NFT-/XUTR/DEUTH02503477187X </v>
          </cell>
          <cell r="CW7635" t="str">
            <v>2025-02-03</v>
          </cell>
          <cell r="CX7635">
            <v>894.86900000000003</v>
          </cell>
        </row>
        <row r="7636">
          <cell r="CS7636" t="str">
            <v xml:space="preserve">NFT-/XUTR/DEUTH02503444373X </v>
          </cell>
          <cell r="CT7636" t="str">
            <v>2025-02-03</v>
          </cell>
          <cell r="CU7636">
            <v>5291.8119999999999</v>
          </cell>
          <cell r="CV7636" t="str">
            <v xml:space="preserve">NFT-/XUTR/DEUTH02503477187X </v>
          </cell>
          <cell r="CW7636" t="str">
            <v>2025-02-03</v>
          </cell>
          <cell r="CX7636">
            <v>581.37</v>
          </cell>
        </row>
        <row r="7637">
          <cell r="CS7637" t="str">
            <v xml:space="preserve">NFT-/XUTR/DEUTH02503444373X </v>
          </cell>
          <cell r="CT7637" t="str">
            <v>2025-02-03</v>
          </cell>
          <cell r="CU7637">
            <v>7547.6959999999999</v>
          </cell>
          <cell r="CV7637" t="str">
            <v xml:space="preserve">NFT-/XUTR/DEUTH02503477187X </v>
          </cell>
          <cell r="CW7637" t="str">
            <v>2025-02-03</v>
          </cell>
          <cell r="CX7637">
            <v>1296.6859999999999</v>
          </cell>
        </row>
        <row r="7638">
          <cell r="CJ7638" t="str">
            <v xml:space="preserve">NFT-/XUTR/DEUTH02503656277X </v>
          </cell>
          <cell r="CK7638" t="str">
            <v>2025-02-05</v>
          </cell>
          <cell r="CL7638">
            <v>7968.3940000000002</v>
          </cell>
          <cell r="CM7638" t="str">
            <v xml:space="preserve">NFT-/XUTR/DEUTH02503689016X </v>
          </cell>
          <cell r="CN7638" t="str">
            <v>2025-02-05</v>
          </cell>
          <cell r="CO7638">
            <v>894.86900000000003</v>
          </cell>
        </row>
        <row r="7639">
          <cell r="CJ7639" t="str">
            <v xml:space="preserve">NFT-/XUTR/DEUTH02503656277X </v>
          </cell>
          <cell r="CK7639" t="str">
            <v>2025-02-05</v>
          </cell>
          <cell r="CL7639">
            <v>7968.3940000000002</v>
          </cell>
          <cell r="CM7639" t="str">
            <v xml:space="preserve">NFT-/XUTR/DEUTH02503689016X </v>
          </cell>
          <cell r="CN7639" t="str">
            <v>2025-02-05</v>
          </cell>
          <cell r="CO7639">
            <v>894.86900000000003</v>
          </cell>
        </row>
        <row r="7640">
          <cell r="CJ7640" t="str">
            <v xml:space="preserve">NFT-/XUTR/DEUTH02503656277X </v>
          </cell>
          <cell r="CK7640" t="str">
            <v>2025-02-05</v>
          </cell>
          <cell r="CL7640">
            <v>7949.5140000000001</v>
          </cell>
          <cell r="CM7640" t="str">
            <v xml:space="preserve">NFT-/XUTR/DEUTH02503689016X </v>
          </cell>
          <cell r="CN7640" t="str">
            <v>2025-02-05</v>
          </cell>
          <cell r="CO7640">
            <v>894.86900000000003</v>
          </cell>
        </row>
        <row r="7641">
          <cell r="CJ7641" t="str">
            <v xml:space="preserve">NFT-/XUTR/DEUTH02503656277X </v>
          </cell>
          <cell r="CK7641" t="str">
            <v>2025-02-05</v>
          </cell>
          <cell r="CL7641">
            <v>8863.2630000000008</v>
          </cell>
        </row>
        <row r="7642">
          <cell r="CJ7642" t="str">
            <v xml:space="preserve">NFT-/XUTR/DEUTH02503656277X </v>
          </cell>
          <cell r="CK7642" t="str">
            <v>2025-02-05</v>
          </cell>
          <cell r="CL7642">
            <v>7949.5140000000001</v>
          </cell>
          <cell r="CM7642" t="str">
            <v xml:space="preserve">NFT-/XUTR/DEUTH02503689016X </v>
          </cell>
          <cell r="CN7642" t="str">
            <v>2025-02-05</v>
          </cell>
          <cell r="CO7642">
            <v>894.86900000000003</v>
          </cell>
        </row>
        <row r="7643">
          <cell r="CJ7643" t="str">
            <v xml:space="preserve">NFT-/XUTR/DEUTH02503656277X </v>
          </cell>
          <cell r="CK7643" t="str">
            <v>2025-02-05</v>
          </cell>
          <cell r="CL7643">
            <v>7923.3119999999999</v>
          </cell>
          <cell r="CM7643" t="str">
            <v xml:space="preserve">NFT-/XUTR/DEUTH02503689016X </v>
          </cell>
          <cell r="CN7643" t="str">
            <v>2025-02-05</v>
          </cell>
          <cell r="CO7643">
            <v>891.95699999999999</v>
          </cell>
        </row>
        <row r="7644">
          <cell r="CJ7644" t="str">
            <v xml:space="preserve">NFT-/XUTR/DEUTH02503656277X </v>
          </cell>
          <cell r="CK7644" t="str">
            <v>2025-02-05</v>
          </cell>
          <cell r="CL7644">
            <v>15567.028</v>
          </cell>
          <cell r="CM7644" t="str">
            <v xml:space="preserve">NFT-/XUTR/DEUTH02503689016X </v>
          </cell>
          <cell r="CN7644" t="str">
            <v>2025-02-05</v>
          </cell>
          <cell r="CO7644">
            <v>2016.855</v>
          </cell>
        </row>
        <row r="7645">
          <cell r="CJ7645" t="str">
            <v xml:space="preserve">NFT-/XUTR/DEUTH02503656277X </v>
          </cell>
          <cell r="CK7645" t="str">
            <v>2025-02-05</v>
          </cell>
          <cell r="CL7645">
            <v>16109.130999999999</v>
          </cell>
          <cell r="CM7645" t="str">
            <v xml:space="preserve">NFT-/XUTR/DEUTH02503689016X </v>
          </cell>
          <cell r="CN7645" t="str">
            <v>2025-02-05</v>
          </cell>
          <cell r="CO7645">
            <v>1455.8620000000001</v>
          </cell>
        </row>
        <row r="7646">
          <cell r="CJ7646" t="str">
            <v xml:space="preserve">NFT-/XUTR/DEUTH02503656277X </v>
          </cell>
          <cell r="CK7646" t="str">
            <v>2025-02-05</v>
          </cell>
          <cell r="CL7646">
            <v>8065.4520000000002</v>
          </cell>
          <cell r="CM7646" t="str">
            <v xml:space="preserve">NFT-/XUTR/DEUTH02503689016X </v>
          </cell>
          <cell r="CN7646" t="str">
            <v>2025-02-05</v>
          </cell>
          <cell r="CO7646">
            <v>797.81200000000001</v>
          </cell>
        </row>
        <row r="7647">
          <cell r="CJ7647" t="str">
            <v xml:space="preserve">NFT-/XUTR/DEUTH02503656277X </v>
          </cell>
          <cell r="CK7647" t="str">
            <v>2025-02-05</v>
          </cell>
          <cell r="CL7647">
            <v>7949.5140000000001</v>
          </cell>
          <cell r="CM7647" t="str">
            <v xml:space="preserve">NFT-/XUTR/DEUTH02503689016X </v>
          </cell>
          <cell r="CN7647" t="str">
            <v>2025-02-05</v>
          </cell>
          <cell r="CO7647">
            <v>894.86900000000003</v>
          </cell>
        </row>
        <row r="7648">
          <cell r="CJ7648" t="str">
            <v xml:space="preserve">NFT-/XUTR/DEUTH02503656277X </v>
          </cell>
          <cell r="CK7648" t="str">
            <v>2025-02-05</v>
          </cell>
          <cell r="CL7648">
            <v>16109.130999999999</v>
          </cell>
          <cell r="CM7648" t="str">
            <v xml:space="preserve">NFT-/XUTR/DEUTH02503689016X </v>
          </cell>
          <cell r="CN7648" t="str">
            <v>2025-02-05</v>
          </cell>
          <cell r="CO7648">
            <v>1455.8620000000001</v>
          </cell>
        </row>
        <row r="7649">
          <cell r="CJ7649" t="str">
            <v xml:space="preserve">NFT-/XUTR/DEUTH02503656277X </v>
          </cell>
          <cell r="CK7649" t="str">
            <v>2025-02-05</v>
          </cell>
          <cell r="CL7649">
            <v>16106.218999999999</v>
          </cell>
          <cell r="CM7649" t="str">
            <v xml:space="preserve">NFT-/XUTR/DEUTH02503689016X </v>
          </cell>
          <cell r="CN7649" t="str">
            <v>2025-02-05</v>
          </cell>
          <cell r="CO7649">
            <v>1458.7750000000001</v>
          </cell>
        </row>
        <row r="7650">
          <cell r="CJ7650" t="str">
            <v xml:space="preserve">NFT-/XUTR/DEUTH02503656277X </v>
          </cell>
          <cell r="CK7650" t="str">
            <v>2025-02-05</v>
          </cell>
          <cell r="CL7650">
            <v>9949.8680000000004</v>
          </cell>
          <cell r="CM7650" t="str">
            <v xml:space="preserve">NFT-/XUTR/DEUTH02503689016X </v>
          </cell>
          <cell r="CN7650" t="str">
            <v>2025-02-05</v>
          </cell>
          <cell r="CO7650">
            <v>1116.1600000000001</v>
          </cell>
        </row>
        <row r="7651">
          <cell r="CJ7651" t="str">
            <v xml:space="preserve">NFT-/XUTR/DEUTH02503656277X </v>
          </cell>
          <cell r="CK7651" t="str">
            <v>2025-02-05</v>
          </cell>
          <cell r="CL7651">
            <v>7949.5140000000001</v>
          </cell>
          <cell r="CM7651" t="str">
            <v xml:space="preserve">NFT-/XUTR/DEUTH02503689016X </v>
          </cell>
          <cell r="CN7651" t="str">
            <v>2025-02-05</v>
          </cell>
          <cell r="CO7651">
            <v>894.86900000000003</v>
          </cell>
        </row>
        <row r="7652">
          <cell r="CJ7652" t="str">
            <v xml:space="preserve">NFT-/XUTR/DEUTH02503656277X </v>
          </cell>
          <cell r="CK7652" t="str">
            <v>2025-02-05</v>
          </cell>
          <cell r="CL7652">
            <v>16109.130999999999</v>
          </cell>
          <cell r="CM7652" t="str">
            <v xml:space="preserve">NFT-/XUTR/DEUTH02503689016X </v>
          </cell>
          <cell r="CN7652" t="str">
            <v>2025-02-05</v>
          </cell>
          <cell r="CO7652">
            <v>1455.8620000000001</v>
          </cell>
        </row>
        <row r="7653">
          <cell r="CJ7653" t="str">
            <v xml:space="preserve">NFT-/XUTR/DEUTH02503656277X </v>
          </cell>
          <cell r="CK7653" t="str">
            <v>2025-02-05</v>
          </cell>
          <cell r="CL7653">
            <v>10238.129000000001</v>
          </cell>
          <cell r="CM7653" t="str">
            <v xml:space="preserve">NFT-/XUTR/DEUTH02503689016X </v>
          </cell>
          <cell r="CN7653" t="str">
            <v>2025-02-05</v>
          </cell>
          <cell r="CO7653">
            <v>1148.1880000000001</v>
          </cell>
        </row>
        <row r="7654">
          <cell r="CJ7654" t="str">
            <v xml:space="preserve">NFT-/XUTR/DEUTH02503656277X </v>
          </cell>
          <cell r="CK7654" t="str">
            <v>2025-02-05</v>
          </cell>
          <cell r="CL7654">
            <v>16109.130999999999</v>
          </cell>
          <cell r="CM7654" t="str">
            <v xml:space="preserve">NFT-/XUTR/DEUTH02503689016X </v>
          </cell>
          <cell r="CN7654" t="str">
            <v>2025-02-05</v>
          </cell>
          <cell r="CO7654">
            <v>1455.8620000000001</v>
          </cell>
        </row>
        <row r="7655">
          <cell r="CJ7655" t="str">
            <v xml:space="preserve">NFT-/XUTR/DEUTH02503656277X </v>
          </cell>
          <cell r="CK7655" t="str">
            <v>2025-02-05</v>
          </cell>
          <cell r="CL7655">
            <v>84232.804000000004</v>
          </cell>
          <cell r="CM7655" t="str">
            <v xml:space="preserve">NFT-/XUTR/DEUTH02503689016X </v>
          </cell>
          <cell r="CN7655" t="str">
            <v>2025-02-05</v>
          </cell>
          <cell r="CO7655">
            <v>3154.3679999999999</v>
          </cell>
        </row>
        <row r="7656">
          <cell r="CJ7656" t="str">
            <v xml:space="preserve">NFT-/XUTR/DEUTH02503656277X </v>
          </cell>
          <cell r="CK7656" t="str">
            <v>2025-02-05</v>
          </cell>
          <cell r="CL7656">
            <v>17535.346000000001</v>
          </cell>
        </row>
        <row r="7657">
          <cell r="CJ7657" t="str">
            <v xml:space="preserve">NFT-/XUTR/DEUTH02503656277X </v>
          </cell>
          <cell r="CK7657" t="str">
            <v>2025-02-05</v>
          </cell>
          <cell r="CL7657">
            <v>9654.81</v>
          </cell>
          <cell r="CM7657" t="str">
            <v xml:space="preserve">NFT-/XUTR/DEUTH02503689016X </v>
          </cell>
          <cell r="CN7657" t="str">
            <v>2025-02-05</v>
          </cell>
          <cell r="CO7657">
            <v>1382.0940000000001</v>
          </cell>
        </row>
        <row r="7658">
          <cell r="CJ7658" t="str">
            <v xml:space="preserve">NFT-/XUTR/DEUTH02503656277X </v>
          </cell>
          <cell r="CK7658" t="str">
            <v>2025-02-05</v>
          </cell>
          <cell r="CL7658">
            <v>15225.913</v>
          </cell>
          <cell r="CM7658" t="str">
            <v xml:space="preserve">NFT-/XUTR/DEUTH02503689016X </v>
          </cell>
          <cell r="CN7658" t="str">
            <v>2025-02-05</v>
          </cell>
          <cell r="CO7658">
            <v>2339.0819999999999</v>
          </cell>
        </row>
        <row r="7659">
          <cell r="CJ7659" t="str">
            <v xml:space="preserve">NFT-/XUTR/DEUTH02503656277X </v>
          </cell>
          <cell r="CK7659" t="str">
            <v>2025-02-05</v>
          </cell>
          <cell r="CL7659">
            <v>15202.621999999999</v>
          </cell>
          <cell r="CM7659" t="str">
            <v xml:space="preserve">NFT-/XUTR/DEUTH02503689016X </v>
          </cell>
          <cell r="CN7659" t="str">
            <v>2025-02-05</v>
          </cell>
          <cell r="CO7659">
            <v>2313.8530000000001</v>
          </cell>
        </row>
        <row r="7660">
          <cell r="CJ7660" t="str">
            <v xml:space="preserve">NFT-/XUTR/DEUTH02503656277X </v>
          </cell>
          <cell r="CK7660" t="str">
            <v>2025-02-05</v>
          </cell>
          <cell r="CL7660">
            <v>7942.1930000000002</v>
          </cell>
          <cell r="CM7660" t="str">
            <v xml:space="preserve">NFT-/XUTR/DEUTH02503689016X </v>
          </cell>
          <cell r="CN7660" t="str">
            <v>2025-02-05</v>
          </cell>
          <cell r="CO7660">
            <v>891.95600000000002</v>
          </cell>
        </row>
        <row r="7661">
          <cell r="CJ7661" t="str">
            <v xml:space="preserve">NFT-/XUTR/DEUTH02503656277X </v>
          </cell>
          <cell r="CK7661" t="str">
            <v>2025-02-05</v>
          </cell>
          <cell r="CL7661">
            <v>7942.192</v>
          </cell>
          <cell r="CM7661" t="str">
            <v xml:space="preserve">NFT-/XUTR/DEUTH02503689016X </v>
          </cell>
          <cell r="CN7661" t="str">
            <v>2025-02-05</v>
          </cell>
          <cell r="CO7661">
            <v>891.95699999999999</v>
          </cell>
        </row>
        <row r="7662">
          <cell r="CJ7662" t="str">
            <v xml:space="preserve">NFT-/XUTR/DEUTH02503656277X </v>
          </cell>
          <cell r="CK7662" t="str">
            <v>2025-02-05</v>
          </cell>
          <cell r="CL7662">
            <v>7949.5140000000001</v>
          </cell>
          <cell r="CM7662" t="str">
            <v xml:space="preserve">NFT-/XUTR/DEUTH02503689016X </v>
          </cell>
          <cell r="CN7662" t="str">
            <v>2025-02-05</v>
          </cell>
          <cell r="CO7662">
            <v>894.86900000000003</v>
          </cell>
        </row>
        <row r="7663">
          <cell r="CJ7663" t="str">
            <v xml:space="preserve">NFT-/XUTR/DEUTH02503656277X </v>
          </cell>
          <cell r="CK7663" t="str">
            <v>2025-02-05</v>
          </cell>
          <cell r="CL7663">
            <v>15764.58</v>
          </cell>
          <cell r="CM7663" t="str">
            <v xml:space="preserve">NFT-/XUTR/DEUTH02503689016X </v>
          </cell>
          <cell r="CN7663" t="str">
            <v>2025-02-05</v>
          </cell>
          <cell r="CO7663">
            <v>1751.885</v>
          </cell>
        </row>
        <row r="7664">
          <cell r="CJ7664" t="str">
            <v xml:space="preserve">NFT-/XUTR/DEUTH02503656277X </v>
          </cell>
          <cell r="CK7664" t="str">
            <v>2025-02-05</v>
          </cell>
          <cell r="CL7664">
            <v>7949.5140000000001</v>
          </cell>
          <cell r="CM7664" t="str">
            <v xml:space="preserve">NFT-/XUTR/DEUTH02503689016X </v>
          </cell>
          <cell r="CN7664" t="str">
            <v>2025-02-05</v>
          </cell>
          <cell r="CO7664">
            <v>894.86900000000003</v>
          </cell>
        </row>
        <row r="7665">
          <cell r="CJ7665" t="str">
            <v xml:space="preserve">NFT-/XUTR/DEUTH02503656277X </v>
          </cell>
          <cell r="CK7665" t="str">
            <v>2025-02-05</v>
          </cell>
          <cell r="CL7665">
            <v>17516.466</v>
          </cell>
          <cell r="CM7665" t="str">
            <v xml:space="preserve">NFT-/XUTR/DEUTH02504121769X </v>
          </cell>
          <cell r="CN7665" t="str">
            <v>2025-02-10</v>
          </cell>
          <cell r="CO7665">
            <v>-17516.466</v>
          </cell>
        </row>
        <row r="7666">
          <cell r="CJ7666" t="str">
            <v xml:space="preserve">NFT-/XUTR/DEUTH02503656277X </v>
          </cell>
          <cell r="CK7666" t="str">
            <v>2025-02-05</v>
          </cell>
          <cell r="CL7666">
            <v>7942.1930000000002</v>
          </cell>
          <cell r="CM7666" t="str">
            <v xml:space="preserve">NFT-/XUTR/DEUTH02503689016X </v>
          </cell>
          <cell r="CN7666" t="str">
            <v>2025-02-05</v>
          </cell>
          <cell r="CO7666">
            <v>891.95600000000002</v>
          </cell>
        </row>
        <row r="7667">
          <cell r="CJ7667" t="str">
            <v xml:space="preserve">NFT-/XUTR/DEUTH02503656277X </v>
          </cell>
          <cell r="CK7667" t="str">
            <v>2025-02-05</v>
          </cell>
          <cell r="CL7667">
            <v>15225.913</v>
          </cell>
          <cell r="CM7667" t="str">
            <v xml:space="preserve">NFT-/XUTR/DEUTH02503689016X </v>
          </cell>
          <cell r="CN7667" t="str">
            <v>2025-02-05</v>
          </cell>
          <cell r="CO7667">
            <v>2339.0819999999999</v>
          </cell>
        </row>
        <row r="7668">
          <cell r="CJ7668" t="str">
            <v xml:space="preserve">NFT-/XUTR/DEUTH02503656277X </v>
          </cell>
          <cell r="CK7668" t="str">
            <v>2025-02-05</v>
          </cell>
          <cell r="CL7668">
            <v>7942.1930000000002</v>
          </cell>
          <cell r="CM7668" t="str">
            <v xml:space="preserve">NFT-/XUTR/DEUTH02503689016X </v>
          </cell>
          <cell r="CN7668" t="str">
            <v>2025-02-05</v>
          </cell>
          <cell r="CO7668">
            <v>891.95600000000002</v>
          </cell>
        </row>
        <row r="7669">
          <cell r="CJ7669" t="str">
            <v xml:space="preserve">NFT-/XUTR/DEUTH02503656277X </v>
          </cell>
          <cell r="CK7669" t="str">
            <v>2025-02-05</v>
          </cell>
          <cell r="CL7669">
            <v>16079.483</v>
          </cell>
          <cell r="CM7669" t="str">
            <v xml:space="preserve">NFT-/XUTR/DEUTH02503689016X </v>
          </cell>
          <cell r="CN7669" t="str">
            <v>2025-02-05</v>
          </cell>
          <cell r="CO7669">
            <v>1455.8620000000001</v>
          </cell>
        </row>
        <row r="7670">
          <cell r="CJ7670" t="str">
            <v xml:space="preserve">NFT-/XUTR/DEUTH02503656277X </v>
          </cell>
          <cell r="CK7670" t="str">
            <v>2025-02-05</v>
          </cell>
          <cell r="CL7670">
            <v>7923.3119999999999</v>
          </cell>
          <cell r="CM7670" t="str">
            <v xml:space="preserve">NFT-/XUTR/DEUTH02503689016X </v>
          </cell>
          <cell r="CN7670" t="str">
            <v>2025-02-05</v>
          </cell>
          <cell r="CO7670">
            <v>891.95699999999999</v>
          </cell>
        </row>
        <row r="7671">
          <cell r="CJ7671" t="str">
            <v xml:space="preserve">NFT-/XUTR/DEUTH02503656277X </v>
          </cell>
          <cell r="CK7671" t="str">
            <v>2025-02-05</v>
          </cell>
          <cell r="CL7671">
            <v>7942.1930000000002</v>
          </cell>
          <cell r="CM7671" t="str">
            <v xml:space="preserve">NFT-/XUTR/DEUTH02503689016X </v>
          </cell>
          <cell r="CN7671" t="str">
            <v>2025-02-05</v>
          </cell>
          <cell r="CO7671">
            <v>891.95600000000002</v>
          </cell>
        </row>
        <row r="7672">
          <cell r="CJ7672" t="str">
            <v xml:space="preserve">NFT-/XUTR/DEUTH02503656277X </v>
          </cell>
          <cell r="CK7672" t="str">
            <v>2025-02-05</v>
          </cell>
          <cell r="CL7672">
            <v>16060.602999999999</v>
          </cell>
          <cell r="CM7672" t="str">
            <v xml:space="preserve">NFT-/XUTR/DEUTH02503689016X </v>
          </cell>
          <cell r="CN7672" t="str">
            <v>2025-02-05</v>
          </cell>
          <cell r="CO7672">
            <v>1455.8620000000001</v>
          </cell>
        </row>
        <row r="7673">
          <cell r="CJ7673" t="str">
            <v xml:space="preserve">NFT-/XUTR/DEUTH02503656277X </v>
          </cell>
          <cell r="CK7673" t="str">
            <v>2025-02-05</v>
          </cell>
          <cell r="CL7673">
            <v>16079.483</v>
          </cell>
          <cell r="CM7673" t="str">
            <v xml:space="preserve">NFT-/XUTR/DEUTH02503689016X </v>
          </cell>
          <cell r="CN7673" t="str">
            <v>2025-02-05</v>
          </cell>
          <cell r="CO7673">
            <v>1455.8620000000001</v>
          </cell>
        </row>
        <row r="7674">
          <cell r="CJ7674" t="str">
            <v xml:space="preserve">NFT-/XUTR/DEUTH02503864800X </v>
          </cell>
          <cell r="CK7674" t="str">
            <v>2025-02-07</v>
          </cell>
          <cell r="CL7674">
            <v>891.95600000000002</v>
          </cell>
          <cell r="CM7674" t="str">
            <v xml:space="preserve">NFT-/XUTR/DEUTH02503875296X </v>
          </cell>
          <cell r="CN7674" t="str">
            <v>2025-02-07</v>
          </cell>
          <cell r="CO7674">
            <v>7942.1930000000002</v>
          </cell>
        </row>
        <row r="7675">
          <cell r="CJ7675" t="str">
            <v xml:space="preserve">NFT-/XUTR/DEUTH02503864800X </v>
          </cell>
          <cell r="CK7675" t="str">
            <v>2025-02-07</v>
          </cell>
          <cell r="CL7675">
            <v>1455.8620000000001</v>
          </cell>
          <cell r="CM7675" t="str">
            <v xml:space="preserve">NFT-/XUTR/DEUTH02503875296X </v>
          </cell>
          <cell r="CN7675" t="str">
            <v>2025-02-07</v>
          </cell>
          <cell r="CO7675">
            <v>16079.483</v>
          </cell>
        </row>
        <row r="7676">
          <cell r="CJ7676" t="str">
            <v xml:space="preserve">NFT-/XUTR/DEUTH02503864800X </v>
          </cell>
          <cell r="CK7676" t="str">
            <v>2025-02-07</v>
          </cell>
          <cell r="CL7676">
            <v>891.95600000000002</v>
          </cell>
          <cell r="CM7676" t="str">
            <v xml:space="preserve">NFT-/XUTR/DEUTH02503875296X </v>
          </cell>
          <cell r="CN7676" t="str">
            <v>2025-02-07</v>
          </cell>
          <cell r="CO7676">
            <v>7942.1930000000002</v>
          </cell>
        </row>
        <row r="7677">
          <cell r="CJ7677" t="str">
            <v xml:space="preserve">NFT-/XUTR/DEUTH02503864800X </v>
          </cell>
          <cell r="CK7677" t="str">
            <v>2025-02-07</v>
          </cell>
          <cell r="CL7677">
            <v>891.95600000000002</v>
          </cell>
          <cell r="CM7677" t="str">
            <v xml:space="preserve">NFT-/XUTR/DEUTH02503875296X </v>
          </cell>
          <cell r="CN7677" t="str">
            <v>2025-02-07</v>
          </cell>
          <cell r="CO7677">
            <v>7942.1930000000002</v>
          </cell>
        </row>
        <row r="7678">
          <cell r="CJ7678" t="str">
            <v xml:space="preserve">NFT-/XUTR/DEUTH02503864800X </v>
          </cell>
          <cell r="CK7678" t="str">
            <v>2025-02-07</v>
          </cell>
          <cell r="CL7678">
            <v>891.95600000000002</v>
          </cell>
          <cell r="CM7678" t="str">
            <v xml:space="preserve">NFT-/XUTR/DEUTH02503875296X </v>
          </cell>
          <cell r="CN7678" t="str">
            <v>2025-02-07</v>
          </cell>
          <cell r="CO7678">
            <v>7942.1930000000002</v>
          </cell>
        </row>
        <row r="7679">
          <cell r="CJ7679" t="str">
            <v xml:space="preserve">NFT-/XUTR/DEUTH02503864800X </v>
          </cell>
          <cell r="CK7679" t="str">
            <v>2025-02-07</v>
          </cell>
          <cell r="CL7679">
            <v>1455.8620000000001</v>
          </cell>
          <cell r="CM7679" t="str">
            <v xml:space="preserve">NFT-/XUTR/DEUTH02503875296X </v>
          </cell>
          <cell r="CN7679" t="str">
            <v>2025-02-07</v>
          </cell>
          <cell r="CO7679">
            <v>16060.602999999999</v>
          </cell>
        </row>
        <row r="7680">
          <cell r="CJ7680" t="str">
            <v xml:space="preserve">NFT-/XUTR/DEUTH02503864800X </v>
          </cell>
          <cell r="CK7680" t="str">
            <v>2025-02-07</v>
          </cell>
          <cell r="CL7680">
            <v>1455.8620000000001</v>
          </cell>
          <cell r="CM7680" t="str">
            <v xml:space="preserve">NFT-/XUTR/DEUTH02503875296X </v>
          </cell>
          <cell r="CN7680" t="str">
            <v>2025-02-07</v>
          </cell>
          <cell r="CO7680">
            <v>16079.483</v>
          </cell>
        </row>
        <row r="7681">
          <cell r="CM7681" t="str">
            <v xml:space="preserve">NFT-/XUTR/DEUTH02503875296X </v>
          </cell>
          <cell r="CN7681" t="str">
            <v>2025-02-07</v>
          </cell>
          <cell r="CO7681">
            <v>17584.407999999999</v>
          </cell>
        </row>
        <row r="7682">
          <cell r="CJ7682" t="str">
            <v xml:space="preserve">NFT-/XUTR/DEUTH02504121769X </v>
          </cell>
          <cell r="CK7682" t="str">
            <v>2025-02-10</v>
          </cell>
          <cell r="CL7682">
            <v>-17457.701000000001</v>
          </cell>
          <cell r="CM7682" t="str">
            <v xml:space="preserve">NFT-/XUTR/DEUTH02503875296X </v>
          </cell>
          <cell r="CN7682" t="str">
            <v>2025-02-07</v>
          </cell>
          <cell r="CO7682">
            <v>17457.701000000001</v>
          </cell>
        </row>
        <row r="7683">
          <cell r="CM7683" t="str">
            <v xml:space="preserve">NFT-/XUTR/DEUTH02503875296X </v>
          </cell>
          <cell r="CN7683" t="str">
            <v>2025-02-07</v>
          </cell>
          <cell r="CO7683">
            <v>17584.407999999999</v>
          </cell>
        </row>
        <row r="7684">
          <cell r="CJ7684" t="str">
            <v xml:space="preserve">NFT-/XUTR/DEUTH02503864800X </v>
          </cell>
          <cell r="CK7684" t="str">
            <v>2025-02-07</v>
          </cell>
          <cell r="CL7684">
            <v>1118.0999999999999</v>
          </cell>
          <cell r="CM7684" t="str">
            <v xml:space="preserve">NFT-/XUTR/DEUTH02503875296X </v>
          </cell>
          <cell r="CN7684" t="str">
            <v>2025-02-07</v>
          </cell>
          <cell r="CO7684">
            <v>9986.2139999999999</v>
          </cell>
        </row>
        <row r="7685">
          <cell r="CM7685" t="str">
            <v xml:space="preserve">NFT-/XUTR/DEUTH02503875296X </v>
          </cell>
          <cell r="CN7685" t="str">
            <v>2025-02-07</v>
          </cell>
          <cell r="CO7685">
            <v>8854.0859999999993</v>
          </cell>
        </row>
        <row r="7686">
          <cell r="CJ7686" t="str">
            <v xml:space="preserve">NFT-/XUTR/DEUTH02504121769X </v>
          </cell>
          <cell r="CK7686" t="str">
            <v>2025-02-10</v>
          </cell>
          <cell r="CL7686">
            <v>16949.124</v>
          </cell>
          <cell r="CM7686" t="str">
            <v xml:space="preserve">NFT-/XUTR/DEUTH02504143500X </v>
          </cell>
          <cell r="CN7686" t="str">
            <v>2025-02-10</v>
          </cell>
          <cell r="CO7686">
            <v>896.80799999999999</v>
          </cell>
        </row>
        <row r="7687">
          <cell r="CJ7687" t="str">
            <v xml:space="preserve">NFT-/XUTR/DEUTH02504121769X </v>
          </cell>
          <cell r="CK7687" t="str">
            <v>2025-02-10</v>
          </cell>
          <cell r="CL7687">
            <v>16949.124</v>
          </cell>
          <cell r="CM7687" t="str">
            <v xml:space="preserve">NFT-/XUTR/DEUTH02504143500X </v>
          </cell>
          <cell r="CN7687" t="str">
            <v>2025-02-10</v>
          </cell>
          <cell r="CO7687">
            <v>896.80799999999999</v>
          </cell>
        </row>
        <row r="7688">
          <cell r="CJ7688" t="str">
            <v xml:space="preserve">NFT-/XUTR/DEUTH02504121769X </v>
          </cell>
          <cell r="CK7688" t="str">
            <v>2025-02-10</v>
          </cell>
          <cell r="CL7688">
            <v>42500.478000000003</v>
          </cell>
          <cell r="CM7688" t="str">
            <v xml:space="preserve">NFT-/XUTR/DEUTH02504143500X </v>
          </cell>
          <cell r="CN7688" t="str">
            <v>2025-02-10</v>
          </cell>
          <cell r="CO7688">
            <v>1551.9459999999999</v>
          </cell>
        </row>
        <row r="7689">
          <cell r="CJ7689" t="str">
            <v xml:space="preserve">NFT-/XUTR/DEUTH02504121769X </v>
          </cell>
          <cell r="CK7689" t="str">
            <v>2025-02-10</v>
          </cell>
          <cell r="CL7689">
            <v>42661.05</v>
          </cell>
          <cell r="CM7689" t="str">
            <v xml:space="preserve">NFT-/XUTR/DEUTH02504143500X </v>
          </cell>
          <cell r="CN7689" t="str">
            <v>2025-02-10</v>
          </cell>
          <cell r="CO7689">
            <v>2266.3000000000002</v>
          </cell>
        </row>
        <row r="7690">
          <cell r="CJ7690" t="str">
            <v xml:space="preserve">NFT-/XUTR/DEUTH02504121769X </v>
          </cell>
          <cell r="CK7690" t="str">
            <v>2025-02-10</v>
          </cell>
          <cell r="CL7690">
            <v>15038.064</v>
          </cell>
          <cell r="CM7690" t="str">
            <v xml:space="preserve">NFT-/XUTR/DEUTH02504143500X </v>
          </cell>
          <cell r="CN7690" t="str">
            <v>2025-02-10</v>
          </cell>
          <cell r="CO7690">
            <v>2807.877</v>
          </cell>
        </row>
        <row r="7691">
          <cell r="CJ7691" t="str">
            <v xml:space="preserve">NFT-/XUTR/DEUTH02504121769X </v>
          </cell>
          <cell r="CK7691" t="str">
            <v>2025-02-10</v>
          </cell>
          <cell r="CL7691">
            <v>44052.423000000003</v>
          </cell>
        </row>
        <row r="7692">
          <cell r="CJ7692" t="str">
            <v xml:space="preserve">NFT-/XUTR/DEUTH02504121769X </v>
          </cell>
          <cell r="CK7692" t="str">
            <v>2025-02-10</v>
          </cell>
          <cell r="CL7692">
            <v>41826.449999999997</v>
          </cell>
          <cell r="CM7692" t="str">
            <v xml:space="preserve">NFT-/XUTR/DEUTH02504143500X </v>
          </cell>
          <cell r="CN7692" t="str">
            <v>2025-02-10</v>
          </cell>
          <cell r="CO7692">
            <v>2207.0830000000001</v>
          </cell>
        </row>
        <row r="7693">
          <cell r="CJ7693" t="str">
            <v xml:space="preserve">NFT-/XUTR/DEUTH02504121769X </v>
          </cell>
          <cell r="CK7693" t="str">
            <v>2025-02-10</v>
          </cell>
          <cell r="CL7693">
            <v>41273.230000000003</v>
          </cell>
          <cell r="CM7693" t="str">
            <v xml:space="preserve">NFT-/XUTR/DEUTH02504143500X </v>
          </cell>
          <cell r="CN7693" t="str">
            <v>2025-02-10</v>
          </cell>
          <cell r="CO7693">
            <v>2760.3119999999999</v>
          </cell>
        </row>
        <row r="7694">
          <cell r="CJ7694" t="str">
            <v xml:space="preserve">NFT-/XUTR/DEUTH02504121769X </v>
          </cell>
          <cell r="CK7694" t="str">
            <v>2025-02-10</v>
          </cell>
          <cell r="CL7694">
            <v>41826.449999999997</v>
          </cell>
          <cell r="CM7694" t="str">
            <v xml:space="preserve">NFT-/XUTR/DEUTH02504143500X </v>
          </cell>
          <cell r="CN7694" t="str">
            <v>2025-02-10</v>
          </cell>
          <cell r="CO7694">
            <v>2207.0830000000001</v>
          </cell>
        </row>
        <row r="7695">
          <cell r="CJ7695" t="str">
            <v xml:space="preserve">NFT-/XUTR/DEUTH02504121769X </v>
          </cell>
          <cell r="CK7695" t="str">
            <v>2025-02-10</v>
          </cell>
          <cell r="CL7695">
            <v>16930.243999999999</v>
          </cell>
          <cell r="CM7695" t="str">
            <v xml:space="preserve">NFT-/XUTR/DEUTH02504143500X </v>
          </cell>
          <cell r="CN7695" t="str">
            <v>2025-02-10</v>
          </cell>
          <cell r="CO7695">
            <v>896.80799999999999</v>
          </cell>
        </row>
        <row r="7696">
          <cell r="CJ7696" t="str">
            <v xml:space="preserve">NFT-/XUTR/DEUTH02504121769X </v>
          </cell>
          <cell r="CK7696" t="str">
            <v>2025-02-10</v>
          </cell>
          <cell r="CL7696">
            <v>16405.596000000001</v>
          </cell>
          <cell r="CM7696" t="str">
            <v xml:space="preserve">NFT-/XUTR/DEUTH02504143500X </v>
          </cell>
          <cell r="CN7696" t="str">
            <v>2025-02-10</v>
          </cell>
          <cell r="CO7696">
            <v>1440.335</v>
          </cell>
        </row>
        <row r="7697">
          <cell r="CJ7697" t="str">
            <v xml:space="preserve">NFT-/XUTR/DEUTH02504121769X </v>
          </cell>
          <cell r="CK7697" t="str">
            <v>2025-02-10</v>
          </cell>
          <cell r="CL7697">
            <v>8535.2119999999995</v>
          </cell>
          <cell r="CM7697" t="str">
            <v xml:space="preserve">NFT-/XUTR/DEUTH02504143500X </v>
          </cell>
          <cell r="CN7697" t="str">
            <v>2025-02-10</v>
          </cell>
          <cell r="CO7697">
            <v>454.23399999999998</v>
          </cell>
        </row>
        <row r="7698">
          <cell r="CJ7698" t="str">
            <v xml:space="preserve">NFT-/XUTR/DEUTH02504121769X </v>
          </cell>
          <cell r="CK7698" t="str">
            <v>2025-02-10</v>
          </cell>
          <cell r="CL7698">
            <v>16930.243999999999</v>
          </cell>
          <cell r="CM7698" t="str">
            <v xml:space="preserve">NFT-/XUTR/DEUTH02504143500X </v>
          </cell>
          <cell r="CN7698" t="str">
            <v>2025-02-10</v>
          </cell>
          <cell r="CO7698">
            <v>896.80799999999999</v>
          </cell>
        </row>
        <row r="7699">
          <cell r="CJ7699" t="str">
            <v xml:space="preserve">NFT-/XUTR/DEUTH02504121769X </v>
          </cell>
          <cell r="CK7699" t="str">
            <v>2025-02-10</v>
          </cell>
          <cell r="CL7699">
            <v>41496.461000000003</v>
          </cell>
          <cell r="CM7699" t="str">
            <v xml:space="preserve">NFT-/XUTR/DEUTH02504143500X </v>
          </cell>
          <cell r="CN7699" t="str">
            <v>2025-02-10</v>
          </cell>
          <cell r="CO7699">
            <v>2537.0830000000001</v>
          </cell>
        </row>
        <row r="7700">
          <cell r="CJ7700" t="str">
            <v xml:space="preserve">NFT-/XUTR/DEUTH02504121769X </v>
          </cell>
          <cell r="CK7700" t="str">
            <v>2025-02-10</v>
          </cell>
          <cell r="CL7700">
            <v>25588.687000000002</v>
          </cell>
          <cell r="CM7700" t="str">
            <v xml:space="preserve">NFT-/XUTR/DEUTH02504143500X </v>
          </cell>
          <cell r="CN7700" t="str">
            <v>2025-02-10</v>
          </cell>
          <cell r="CO7700">
            <v>1362.682</v>
          </cell>
        </row>
        <row r="7701">
          <cell r="CJ7701" t="str">
            <v xml:space="preserve">NFT-/XUTR/DEUTH02504121769X </v>
          </cell>
          <cell r="CK7701" t="str">
            <v>2025-02-10</v>
          </cell>
          <cell r="CL7701">
            <v>16390.067999999999</v>
          </cell>
          <cell r="CM7701" t="str">
            <v xml:space="preserve">NFT-/XUTR/DEUTH02504143500X </v>
          </cell>
          <cell r="CN7701" t="str">
            <v>2025-02-10</v>
          </cell>
          <cell r="CO7701">
            <v>1455.8620000000001</v>
          </cell>
        </row>
        <row r="7702">
          <cell r="CJ7702" t="str">
            <v xml:space="preserve">NFT-/XUTR/DEUTH02504121769X </v>
          </cell>
          <cell r="CK7702" t="str">
            <v>2025-02-10</v>
          </cell>
          <cell r="CL7702">
            <v>16949.124</v>
          </cell>
          <cell r="CM7702" t="str">
            <v xml:space="preserve">NFT-/XUTR/DEUTH02504143500X </v>
          </cell>
          <cell r="CN7702" t="str">
            <v>2025-02-10</v>
          </cell>
          <cell r="CO7702">
            <v>896.80799999999999</v>
          </cell>
        </row>
        <row r="7703">
          <cell r="CJ7703" t="str">
            <v xml:space="preserve">NFT-/XUTR/DEUTH02504121769X </v>
          </cell>
          <cell r="CK7703" t="str">
            <v>2025-02-10</v>
          </cell>
          <cell r="CL7703">
            <v>41845.33</v>
          </cell>
          <cell r="CM7703" t="str">
            <v xml:space="preserve">NFT-/XUTR/DEUTH02504143500X </v>
          </cell>
          <cell r="CN7703" t="str">
            <v>2025-02-10</v>
          </cell>
          <cell r="CO7703">
            <v>2207.0830000000001</v>
          </cell>
        </row>
        <row r="7704">
          <cell r="CJ7704" t="str">
            <v xml:space="preserve">NFT-/XUTR/DEUTH02504121769X </v>
          </cell>
          <cell r="CK7704" t="str">
            <v>2025-02-10</v>
          </cell>
          <cell r="CL7704">
            <v>7223.5219999999999</v>
          </cell>
          <cell r="CM7704" t="str">
            <v xml:space="preserve">NFT-/XUTR/DEUTH02504143500X </v>
          </cell>
          <cell r="CN7704" t="str">
            <v>2025-02-10</v>
          </cell>
          <cell r="CO7704">
            <v>1747.0350000000001</v>
          </cell>
        </row>
        <row r="7705">
          <cell r="CJ7705" t="str">
            <v xml:space="preserve">NFT-/XUTR/DEUTH02504121769X </v>
          </cell>
          <cell r="CK7705" t="str">
            <v>2025-02-10</v>
          </cell>
          <cell r="CL7705">
            <v>16930.243999999999</v>
          </cell>
          <cell r="CM7705" t="str">
            <v xml:space="preserve">NFT-/XUTR/DEUTH02504143500X </v>
          </cell>
          <cell r="CN7705" t="str">
            <v>2025-02-10</v>
          </cell>
          <cell r="CO7705">
            <v>896.80799999999999</v>
          </cell>
        </row>
        <row r="7706">
          <cell r="CJ7706" t="str">
            <v xml:space="preserve">NFT-/XUTR/DEUTH02504121769X </v>
          </cell>
          <cell r="CK7706" t="str">
            <v>2025-02-10</v>
          </cell>
          <cell r="CL7706">
            <v>16949.124</v>
          </cell>
          <cell r="CM7706" t="str">
            <v xml:space="preserve">NFT-/XUTR/DEUTH02504143500X </v>
          </cell>
          <cell r="CN7706" t="str">
            <v>2025-02-10</v>
          </cell>
          <cell r="CO7706">
            <v>896.80799999999999</v>
          </cell>
        </row>
        <row r="7707">
          <cell r="CJ7707" t="str">
            <v xml:space="preserve">NFT-/XUTR/DEUTH02504121769X </v>
          </cell>
          <cell r="CK7707" t="str">
            <v>2025-02-10</v>
          </cell>
          <cell r="CL7707">
            <v>8970.5560000000005</v>
          </cell>
        </row>
        <row r="7708">
          <cell r="CJ7708" t="str">
            <v xml:space="preserve">NFT-/XUTR/DEUTH02504121769X </v>
          </cell>
          <cell r="CK7708" t="str">
            <v>2025-02-10</v>
          </cell>
          <cell r="CL7708">
            <v>16930.243999999999</v>
          </cell>
          <cell r="CM7708" t="str">
            <v xml:space="preserve">NFT-/XUTR/DEUTH02504143500X </v>
          </cell>
          <cell r="CN7708" t="str">
            <v>2025-02-10</v>
          </cell>
          <cell r="CO7708">
            <v>896.80799999999999</v>
          </cell>
        </row>
        <row r="7709">
          <cell r="CJ7709" t="str">
            <v xml:space="preserve">NFT-/XUTR/DEUTH02504121769X </v>
          </cell>
          <cell r="CK7709" t="str">
            <v>2025-02-10</v>
          </cell>
          <cell r="CL7709">
            <v>41826.449999999997</v>
          </cell>
          <cell r="CM7709" t="str">
            <v xml:space="preserve">NFT-/XUTR/DEUTH02504143500X </v>
          </cell>
          <cell r="CN7709" t="str">
            <v>2025-02-10</v>
          </cell>
          <cell r="CO7709">
            <v>2207.0830000000001</v>
          </cell>
        </row>
        <row r="7710">
          <cell r="CJ7710" t="str">
            <v xml:space="preserve">NFT-/XUTR/DEUTH02504121769X </v>
          </cell>
          <cell r="CK7710" t="str">
            <v>2025-02-10</v>
          </cell>
          <cell r="CL7710">
            <v>16930.243999999999</v>
          </cell>
          <cell r="CM7710" t="str">
            <v xml:space="preserve">NFT-/XUTR/DEUTH02504143500X </v>
          </cell>
          <cell r="CN7710" t="str">
            <v>2025-02-10</v>
          </cell>
          <cell r="CO7710">
            <v>896.80799999999999</v>
          </cell>
        </row>
        <row r="7711">
          <cell r="CJ7711" t="str">
            <v xml:space="preserve">NFT-/XUTR/DEUTH02504121769X </v>
          </cell>
          <cell r="CK7711" t="str">
            <v>2025-02-10</v>
          </cell>
          <cell r="CL7711">
            <v>14641.096</v>
          </cell>
          <cell r="CM7711" t="str">
            <v xml:space="preserve">NFT-/XUTR/DEUTH02504143500X </v>
          </cell>
          <cell r="CN7711" t="str">
            <v>2025-02-10</v>
          </cell>
          <cell r="CO7711">
            <v>3204.8359999999998</v>
          </cell>
        </row>
        <row r="7712">
          <cell r="CJ7712" t="str">
            <v xml:space="preserve">NFT-/XUTR/DEUTH02504121769X </v>
          </cell>
          <cell r="CK7712" t="str">
            <v>2025-02-10</v>
          </cell>
          <cell r="CL7712">
            <v>44033.542999999998</v>
          </cell>
        </row>
        <row r="7713">
          <cell r="CJ7713" t="str">
            <v xml:space="preserve">NFT-/XUTR/DEUTH02504121769X </v>
          </cell>
          <cell r="CK7713" t="str">
            <v>2025-02-10</v>
          </cell>
          <cell r="CL7713">
            <v>41845.33</v>
          </cell>
          <cell r="CM7713" t="str">
            <v xml:space="preserve">NFT-/XUTR/DEUTH02504143500X </v>
          </cell>
          <cell r="CN7713" t="str">
            <v>2025-02-10</v>
          </cell>
          <cell r="CO7713">
            <v>2207.0830000000001</v>
          </cell>
        </row>
        <row r="7714">
          <cell r="CJ7714" t="str">
            <v xml:space="preserve">NFT-/XUTR/DEUTH02504121769X </v>
          </cell>
          <cell r="CK7714" t="str">
            <v>2025-02-10</v>
          </cell>
          <cell r="CL7714">
            <v>16949.124</v>
          </cell>
          <cell r="CM7714" t="str">
            <v xml:space="preserve">NFT-/XUTR/DEUTH02504143500X </v>
          </cell>
          <cell r="CN7714" t="str">
            <v>2025-02-10</v>
          </cell>
          <cell r="CO7714">
            <v>896.80799999999999</v>
          </cell>
        </row>
        <row r="7715">
          <cell r="CJ7715" t="str">
            <v xml:space="preserve">NFT-/XUTR/DEUTH02504121769X </v>
          </cell>
          <cell r="CK7715" t="str">
            <v>2025-02-10</v>
          </cell>
          <cell r="CL7715">
            <v>38776.379000000001</v>
          </cell>
          <cell r="CM7715" t="str">
            <v xml:space="preserve">NFT-/XUTR/DEUTH02504143500X </v>
          </cell>
          <cell r="CN7715" t="str">
            <v>2025-02-10</v>
          </cell>
          <cell r="CO7715">
            <v>5276.0450000000001</v>
          </cell>
        </row>
        <row r="7716">
          <cell r="CJ7716" t="str">
            <v xml:space="preserve">NFT-/XUTR/DEUTH02504121769X </v>
          </cell>
          <cell r="CK7716" t="str">
            <v>2025-02-10</v>
          </cell>
          <cell r="CL7716">
            <v>41845.33</v>
          </cell>
          <cell r="CM7716" t="str">
            <v xml:space="preserve">NFT-/XUTR/DEUTH02504143500X </v>
          </cell>
          <cell r="CN7716" t="str">
            <v>2025-02-10</v>
          </cell>
          <cell r="CO7716">
            <v>2207.0830000000001</v>
          </cell>
        </row>
        <row r="7717">
          <cell r="CJ7717" t="str">
            <v xml:space="preserve">NFT-/XUTR/DEUTH02504121769X </v>
          </cell>
          <cell r="CK7717" t="str">
            <v>2025-02-10</v>
          </cell>
          <cell r="CL7717">
            <v>11396.029</v>
          </cell>
        </row>
        <row r="7718">
          <cell r="CJ7718" t="str">
            <v xml:space="preserve">NFT-/XUTR/DEUTH02504121769X </v>
          </cell>
          <cell r="CK7718" t="str">
            <v>2025-02-10</v>
          </cell>
          <cell r="CL7718">
            <v>68560.41</v>
          </cell>
          <cell r="CM7718" t="str">
            <v xml:space="preserve">NFT-/XUTR/DEUTH02504143500X </v>
          </cell>
          <cell r="CN7718" t="str">
            <v>2025-02-10</v>
          </cell>
          <cell r="CO7718">
            <v>3202.8960000000002</v>
          </cell>
        </row>
        <row r="7719">
          <cell r="CJ7719" t="str">
            <v xml:space="preserve">NFT-/XUTR/DEUTH02504121769X </v>
          </cell>
          <cell r="CK7719" t="str">
            <v>2025-02-10</v>
          </cell>
          <cell r="CL7719">
            <v>16940.648000000001</v>
          </cell>
          <cell r="CM7719" t="str">
            <v xml:space="preserve">NFT-/XUTR/DEUTH02504143500X </v>
          </cell>
          <cell r="CN7719" t="str">
            <v>2025-02-10</v>
          </cell>
          <cell r="CO7719">
            <v>895.84299999999996</v>
          </cell>
        </row>
        <row r="7720">
          <cell r="CJ7720" t="str">
            <v xml:space="preserve">NFT-/XUTR/DEUTH02504121769X </v>
          </cell>
          <cell r="CK7720" t="str">
            <v>2025-02-10</v>
          </cell>
          <cell r="CL7720">
            <v>16949.124</v>
          </cell>
          <cell r="CM7720" t="str">
            <v xml:space="preserve">NFT-/XUTR/DEUTH02504143500X </v>
          </cell>
          <cell r="CN7720" t="str">
            <v>2025-02-10</v>
          </cell>
          <cell r="CO7720">
            <v>896.80799999999999</v>
          </cell>
        </row>
        <row r="7721">
          <cell r="CJ7721" t="str">
            <v xml:space="preserve">NFT-/XUTR/DEUTH02504121769X </v>
          </cell>
          <cell r="CK7721" t="str">
            <v>2025-02-10</v>
          </cell>
          <cell r="CL7721">
            <v>8535.2119999999995</v>
          </cell>
          <cell r="CM7721" t="str">
            <v xml:space="preserve">NFT-/XUTR/DEUTH02504143500X </v>
          </cell>
          <cell r="CN7721" t="str">
            <v>2025-02-10</v>
          </cell>
          <cell r="CO7721">
            <v>454.23399999999998</v>
          </cell>
        </row>
        <row r="7722">
          <cell r="CJ7722" t="str">
            <v xml:space="preserve">NFT-/XUTR/DEUTH02504121769X </v>
          </cell>
          <cell r="CK7722" t="str">
            <v>2025-02-10</v>
          </cell>
          <cell r="CL7722">
            <v>8535.2129999999997</v>
          </cell>
          <cell r="CM7722" t="str">
            <v xml:space="preserve">NFT-/XUTR/DEUTH02504143500X </v>
          </cell>
          <cell r="CN7722" t="str">
            <v>2025-02-10</v>
          </cell>
          <cell r="CO7722">
            <v>454.23399999999998</v>
          </cell>
        </row>
        <row r="7723">
          <cell r="CJ7723" t="str">
            <v xml:space="preserve">NFT-/XUTR/DEUTH02504121769X </v>
          </cell>
          <cell r="CK7723" t="str">
            <v>2025-02-10</v>
          </cell>
          <cell r="CL7723">
            <v>16078.078</v>
          </cell>
          <cell r="CM7723" t="str">
            <v xml:space="preserve">NFT-/XUTR/DEUTH02504143500X </v>
          </cell>
          <cell r="CN7723" t="str">
            <v>2025-02-10</v>
          </cell>
          <cell r="CO7723">
            <v>1748.9739999999999</v>
          </cell>
        </row>
        <row r="7724">
          <cell r="CJ7724" t="str">
            <v xml:space="preserve">NFT-/XUTR/DEUTH02504121769X </v>
          </cell>
          <cell r="CK7724" t="str">
            <v>2025-02-10</v>
          </cell>
          <cell r="CL7724">
            <v>16939.684000000001</v>
          </cell>
          <cell r="CM7724" t="str">
            <v xml:space="preserve">NFT-/XUTR/DEUTH02504143500X </v>
          </cell>
          <cell r="CN7724" t="str">
            <v>2025-02-10</v>
          </cell>
          <cell r="CO7724">
            <v>896.80799999999999</v>
          </cell>
        </row>
        <row r="7725">
          <cell r="CJ7725" t="str">
            <v xml:space="preserve">NFT-/XUTR/DEUTH02504121769X </v>
          </cell>
          <cell r="CK7725" t="str">
            <v>2025-02-10</v>
          </cell>
          <cell r="CL7725">
            <v>38757.5</v>
          </cell>
          <cell r="CM7725" t="str">
            <v xml:space="preserve">NFT-/XUTR/DEUTH02504143500X </v>
          </cell>
          <cell r="CN7725" t="str">
            <v>2025-02-10</v>
          </cell>
          <cell r="CO7725">
            <v>5276.0439999999999</v>
          </cell>
        </row>
        <row r="7726">
          <cell r="CJ7726" t="str">
            <v xml:space="preserve">NFT-/XUTR/DEUTH02504121769X </v>
          </cell>
          <cell r="CK7726" t="str">
            <v>2025-02-10</v>
          </cell>
          <cell r="CL7726">
            <v>17845.931</v>
          </cell>
        </row>
        <row r="7727">
          <cell r="CJ7727" t="str">
            <v xml:space="preserve">NFT-/XUTR/DEUTH02504121769X </v>
          </cell>
          <cell r="CK7727" t="str">
            <v>2025-02-10</v>
          </cell>
          <cell r="CL7727">
            <v>17289.359</v>
          </cell>
          <cell r="CM7727" t="str">
            <v xml:space="preserve">NFT-/XUTR/DEUTH02504143500X </v>
          </cell>
          <cell r="CN7727" t="str">
            <v>2025-02-10</v>
          </cell>
          <cell r="CO7727">
            <v>537.70299999999997</v>
          </cell>
        </row>
        <row r="7728">
          <cell r="CJ7728" t="str">
            <v xml:space="preserve">NFT-/XUTR/DEUTH02504121769X </v>
          </cell>
          <cell r="CK7728" t="str">
            <v>2025-02-10</v>
          </cell>
          <cell r="CL7728">
            <v>0</v>
          </cell>
        </row>
        <row r="7729">
          <cell r="CJ7729" t="str">
            <v xml:space="preserve">NFT-/XUTR/DEUTH02504121769X </v>
          </cell>
          <cell r="CK7729" t="str">
            <v>2025-02-10</v>
          </cell>
          <cell r="CL7729">
            <v>42056.480000000003</v>
          </cell>
          <cell r="CM7729" t="str">
            <v xml:space="preserve">NFT-/XUTR/DEUTH02504143500X </v>
          </cell>
          <cell r="CN7729" t="str">
            <v>2025-02-10</v>
          </cell>
          <cell r="CO7729">
            <v>2218.7339999999999</v>
          </cell>
        </row>
        <row r="7730">
          <cell r="CJ7730" t="str">
            <v xml:space="preserve">NFT-/XUTR/DEUTH02504121769X </v>
          </cell>
          <cell r="CK7730" t="str">
            <v>2025-02-10</v>
          </cell>
          <cell r="CL7730">
            <v>17827.050999999999</v>
          </cell>
        </row>
        <row r="7731">
          <cell r="CJ7731" t="str">
            <v xml:space="preserve">NFT-/XUTR/DEUTH02504121769X </v>
          </cell>
          <cell r="CK7731" t="str">
            <v>2025-02-10</v>
          </cell>
          <cell r="CL7731">
            <v>42075.358999999997</v>
          </cell>
          <cell r="CM7731" t="str">
            <v xml:space="preserve">NFT-/XUTR/DEUTH02504143500X </v>
          </cell>
          <cell r="CN7731" t="str">
            <v>2025-02-10</v>
          </cell>
          <cell r="CO7731">
            <v>2218.7330000000002</v>
          </cell>
        </row>
        <row r="7732">
          <cell r="CJ7732" t="str">
            <v xml:space="preserve">NFT-/XUTR/DEUTH02504121769X </v>
          </cell>
          <cell r="CK7732" t="str">
            <v>2025-02-10</v>
          </cell>
          <cell r="CL7732">
            <v>17920.232</v>
          </cell>
        </row>
        <row r="7733">
          <cell r="CJ7733" t="str">
            <v xml:space="preserve">NFT-/XUTR/DEUTH02504121769X </v>
          </cell>
          <cell r="CK7733" t="str">
            <v>2025-02-10</v>
          </cell>
          <cell r="CL7733">
            <v>42056.480000000003</v>
          </cell>
          <cell r="CM7733" t="str">
            <v xml:space="preserve">NFT-/XUTR/DEUTH02504143500X </v>
          </cell>
          <cell r="CN7733" t="str">
            <v>2025-02-10</v>
          </cell>
          <cell r="CO7733">
            <v>2218.7339999999999</v>
          </cell>
        </row>
        <row r="7734">
          <cell r="CJ7734" t="str">
            <v xml:space="preserve">NFT-/XUTR/DEUTH02504121769X </v>
          </cell>
          <cell r="CK7734" t="str">
            <v>2025-02-10</v>
          </cell>
          <cell r="CL7734">
            <v>41153.313000000002</v>
          </cell>
          <cell r="CM7734" t="str">
            <v xml:space="preserve">NFT-/XUTR/DEUTH02504143500X </v>
          </cell>
          <cell r="CN7734" t="str">
            <v>2025-02-10</v>
          </cell>
          <cell r="CO7734">
            <v>3140.78</v>
          </cell>
        </row>
        <row r="7735">
          <cell r="CJ7735" t="str">
            <v xml:space="preserve">NFT-/XUTR/DEUTH02504121769X </v>
          </cell>
          <cell r="CK7735" t="str">
            <v>2025-02-10</v>
          </cell>
          <cell r="CL7735">
            <v>43239.608</v>
          </cell>
          <cell r="CM7735" t="str">
            <v xml:space="preserve">NFT-/XUTR/DEUTH02504143500X </v>
          </cell>
          <cell r="CN7735" t="str">
            <v>2025-02-10</v>
          </cell>
          <cell r="CO7735">
            <v>1340.365</v>
          </cell>
        </row>
        <row r="7736">
          <cell r="CJ7736" t="str">
            <v xml:space="preserve">NFT-/XUTR/DEUTH02504121769X </v>
          </cell>
          <cell r="CK7736" t="str">
            <v>2025-02-10</v>
          </cell>
          <cell r="CL7736">
            <v>8301.83</v>
          </cell>
          <cell r="CM7736" t="str">
            <v xml:space="preserve">NFT-/XUTR/DEUTH02504143500X </v>
          </cell>
          <cell r="CN7736" t="str">
            <v>2025-02-10</v>
          </cell>
          <cell r="CO7736">
            <v>716.28099999999995</v>
          </cell>
        </row>
        <row r="7737">
          <cell r="CJ7737" t="str">
            <v xml:space="preserve">NFT-/XUTR/DEUTH02504121769X </v>
          </cell>
          <cell r="CK7737" t="str">
            <v>2025-02-10</v>
          </cell>
          <cell r="CL7737">
            <v>10485.09</v>
          </cell>
          <cell r="CM7737" t="str">
            <v xml:space="preserve">NFT-/XUTR/DEUTH02504143500X </v>
          </cell>
          <cell r="CN7737" t="str">
            <v>2025-02-10</v>
          </cell>
          <cell r="CO7737">
            <v>900.69399999999996</v>
          </cell>
        </row>
        <row r="7738">
          <cell r="CJ7738" t="str">
            <v xml:space="preserve">NFT-/XUTR/DEUTH02504121769X </v>
          </cell>
          <cell r="CK7738" t="str">
            <v>2025-02-10</v>
          </cell>
          <cell r="CL7738">
            <v>42075.360000000001</v>
          </cell>
          <cell r="CM7738" t="str">
            <v xml:space="preserve">NFT-/XUTR/DEUTH02504143500X </v>
          </cell>
          <cell r="CN7738" t="str">
            <v>2025-02-10</v>
          </cell>
          <cell r="CO7738">
            <v>2218.7339999999999</v>
          </cell>
        </row>
        <row r="7739">
          <cell r="CJ7739" t="str">
            <v xml:space="preserve">NFT-/XUTR/DEUTH02504121769X </v>
          </cell>
          <cell r="CK7739" t="str">
            <v>2025-02-10</v>
          </cell>
          <cell r="CL7739">
            <v>5795.8109999999997</v>
          </cell>
        </row>
        <row r="7740">
          <cell r="CJ7740" t="str">
            <v xml:space="preserve">NFT-/XUTR/DEUTH02504121769X </v>
          </cell>
          <cell r="CK7740" t="str">
            <v>2025-02-10</v>
          </cell>
          <cell r="CL7740">
            <v>42075.358999999997</v>
          </cell>
          <cell r="CM7740" t="str">
            <v xml:space="preserve">NFT-/XUTR/DEUTH02504143500X </v>
          </cell>
          <cell r="CN7740" t="str">
            <v>2025-02-10</v>
          </cell>
          <cell r="CO7740">
            <v>2218.7330000000002</v>
          </cell>
        </row>
        <row r="7741">
          <cell r="CJ7741" t="str">
            <v xml:space="preserve">NFT-/XUTR/DEUTH02504121769X </v>
          </cell>
          <cell r="CK7741" t="str">
            <v>2025-02-10</v>
          </cell>
          <cell r="CL7741">
            <v>44275.214</v>
          </cell>
        </row>
        <row r="7742">
          <cell r="CJ7742" t="str">
            <v xml:space="preserve">NFT-/XUTR/DEUTH02504121769X </v>
          </cell>
          <cell r="CK7742" t="str">
            <v>2025-02-10</v>
          </cell>
          <cell r="CL7742">
            <v>17093.034</v>
          </cell>
          <cell r="CM7742" t="str">
            <v xml:space="preserve">NFT-/XUTR/DEUTH02504143500X </v>
          </cell>
          <cell r="CN7742" t="str">
            <v>2025-02-10</v>
          </cell>
          <cell r="CO7742">
            <v>836.63900000000001</v>
          </cell>
        </row>
        <row r="7743">
          <cell r="CJ7743" t="str">
            <v xml:space="preserve">NFT-/XUTR/DEUTH02504121769X </v>
          </cell>
          <cell r="CK7743" t="str">
            <v>2025-02-10</v>
          </cell>
          <cell r="CL7743">
            <v>42075.360000000001</v>
          </cell>
          <cell r="CM7743" t="str">
            <v xml:space="preserve">NFT-/XUTR/DEUTH02504143500X </v>
          </cell>
          <cell r="CN7743" t="str">
            <v>2025-02-10</v>
          </cell>
          <cell r="CO7743">
            <v>2218.7339999999999</v>
          </cell>
        </row>
        <row r="7744">
          <cell r="CJ7744" t="str">
            <v xml:space="preserve">NFT-/XUTR/DEUTH02504121769X </v>
          </cell>
          <cell r="CK7744" t="str">
            <v>2025-02-10</v>
          </cell>
          <cell r="CL7744">
            <v>42075.358999999997</v>
          </cell>
          <cell r="CM7744" t="str">
            <v xml:space="preserve">NFT-/XUTR/DEUTH02504143500X </v>
          </cell>
          <cell r="CN7744" t="str">
            <v>2025-02-10</v>
          </cell>
          <cell r="CO7744">
            <v>2218.7330000000002</v>
          </cell>
        </row>
        <row r="7745">
          <cell r="CJ7745" t="str">
            <v xml:space="preserve">NFT-/XUTR/DEUTH02504121769X </v>
          </cell>
          <cell r="CK7745" t="str">
            <v>2025-02-10</v>
          </cell>
          <cell r="CL7745">
            <v>42075.358999999997</v>
          </cell>
          <cell r="CM7745" t="str">
            <v xml:space="preserve">NFT-/XUTR/DEUTH02504143500X </v>
          </cell>
          <cell r="CN7745" t="str">
            <v>2025-02-10</v>
          </cell>
          <cell r="CO7745">
            <v>2218.7330000000002</v>
          </cell>
        </row>
        <row r="7746">
          <cell r="CJ7746" t="str">
            <v xml:space="preserve">NFT-/XUTR/DEUTH02504121769X </v>
          </cell>
          <cell r="CK7746" t="str">
            <v>2025-02-10</v>
          </cell>
          <cell r="CL7746">
            <v>17379.616000000002</v>
          </cell>
          <cell r="CM7746" t="str">
            <v xml:space="preserve">NFT-/XUTR/DEUTH02504143500X </v>
          </cell>
          <cell r="CN7746" t="str">
            <v>2025-02-10</v>
          </cell>
          <cell r="CO7746">
            <v>540.61500000000001</v>
          </cell>
        </row>
        <row r="7747">
          <cell r="CJ7747" t="str">
            <v xml:space="preserve">NFT-/XUTR/DEUTH02504121769X </v>
          </cell>
          <cell r="CK7747" t="str">
            <v>2025-02-10</v>
          </cell>
          <cell r="CL7747">
            <v>42514.328000000001</v>
          </cell>
          <cell r="CM7747" t="str">
            <v xml:space="preserve">NFT-/XUTR/DEUTH02504143500X </v>
          </cell>
          <cell r="CN7747" t="str">
            <v>2025-02-10</v>
          </cell>
          <cell r="CO7747">
            <v>2075.085</v>
          </cell>
        </row>
        <row r="7748">
          <cell r="CJ7748" t="str">
            <v xml:space="preserve">NFT-/XUTR/DEUTH02504121769X </v>
          </cell>
          <cell r="CK7748" t="str">
            <v>2025-02-10</v>
          </cell>
          <cell r="CL7748">
            <v>5795.8109999999997</v>
          </cell>
        </row>
        <row r="7749">
          <cell r="CJ7749" t="str">
            <v xml:space="preserve">NFT-/XUTR/DEUTH02504121769X </v>
          </cell>
          <cell r="CK7749" t="str">
            <v>2025-02-10</v>
          </cell>
          <cell r="CL7749">
            <v>41970.097999999998</v>
          </cell>
          <cell r="CM7749" t="str">
            <v xml:space="preserve">NFT-/XUTR/DEUTH02504143500X </v>
          </cell>
          <cell r="CN7749" t="str">
            <v>2025-02-10</v>
          </cell>
          <cell r="CO7749">
            <v>2305.1149999999998</v>
          </cell>
        </row>
        <row r="7750">
          <cell r="CJ7750" t="str">
            <v xml:space="preserve">NFT-/XUTR/DEUTH02504121769X </v>
          </cell>
          <cell r="CK7750" t="str">
            <v>2025-02-10</v>
          </cell>
          <cell r="CL7750">
            <v>51114.28</v>
          </cell>
          <cell r="CM7750" t="str">
            <v xml:space="preserve">NFT-/XUTR/DEUTH02504143500X </v>
          </cell>
          <cell r="CN7750" t="str">
            <v>2025-02-10</v>
          </cell>
          <cell r="CO7750">
            <v>2702.0819999999999</v>
          </cell>
        </row>
        <row r="7751">
          <cell r="CJ7751" t="str">
            <v xml:space="preserve">NFT-/XUTR/DEUTH02504121769X </v>
          </cell>
          <cell r="CK7751" t="str">
            <v>2025-02-10</v>
          </cell>
          <cell r="CL7751">
            <v>42056.480000000003</v>
          </cell>
          <cell r="CM7751" t="str">
            <v xml:space="preserve">NFT-/XUTR/DEUTH02504143500X </v>
          </cell>
          <cell r="CN7751" t="str">
            <v>2025-02-10</v>
          </cell>
          <cell r="CO7751">
            <v>2218.7339999999999</v>
          </cell>
        </row>
        <row r="7752">
          <cell r="CJ7752" t="str">
            <v xml:space="preserve">NFT-/XUTR/DEUTH02504121769X </v>
          </cell>
          <cell r="CK7752" t="str">
            <v>2025-02-10</v>
          </cell>
          <cell r="CL7752">
            <v>17920.232</v>
          </cell>
        </row>
        <row r="7753">
          <cell r="CJ7753" t="str">
            <v xml:space="preserve">NFT-/XUTR/DEUTH02504121769X </v>
          </cell>
          <cell r="CK7753" t="str">
            <v>2025-02-10</v>
          </cell>
          <cell r="CL7753">
            <v>8744.4130000000005</v>
          </cell>
          <cell r="CM7753" t="str">
            <v xml:space="preserve">NFT-/XUTR/DEUTH02504143500X </v>
          </cell>
          <cell r="CN7753" t="str">
            <v>2025-02-10</v>
          </cell>
          <cell r="CO7753">
            <v>273.697</v>
          </cell>
        </row>
        <row r="7754">
          <cell r="CJ7754" t="str">
            <v xml:space="preserve">NFT-/XUTR/DEUTH02504121769X </v>
          </cell>
          <cell r="CK7754" t="str">
            <v>2025-02-10</v>
          </cell>
          <cell r="CL7754">
            <v>17037.444</v>
          </cell>
          <cell r="CM7754" t="str">
            <v xml:space="preserve">NFT-/XUTR/DEUTH02504143500X </v>
          </cell>
          <cell r="CN7754" t="str">
            <v>2025-02-10</v>
          </cell>
          <cell r="CO7754">
            <v>901.66800000000001</v>
          </cell>
        </row>
        <row r="7755">
          <cell r="CJ7755" t="str">
            <v xml:space="preserve">NFT-/XUTR/DEUTH02504121769X </v>
          </cell>
          <cell r="CK7755" t="str">
            <v>2025-02-10</v>
          </cell>
          <cell r="CL7755">
            <v>10793.297</v>
          </cell>
          <cell r="CM7755" t="str">
            <v xml:space="preserve">NFT-/XUTR/DEUTH02504143500X </v>
          </cell>
          <cell r="CN7755" t="str">
            <v>2025-02-10</v>
          </cell>
          <cell r="CO7755">
            <v>573.60699999999997</v>
          </cell>
        </row>
        <row r="7756">
          <cell r="CJ7756" t="str">
            <v xml:space="preserve">NFT-/XUTR/DEUTH02504121769X </v>
          </cell>
          <cell r="CK7756" t="str">
            <v>2025-02-10</v>
          </cell>
          <cell r="CL7756">
            <v>17018.563999999998</v>
          </cell>
          <cell r="CM7756" t="str">
            <v xml:space="preserve">NFT-/XUTR/DEUTH02504143500X </v>
          </cell>
          <cell r="CN7756" t="str">
            <v>2025-02-10</v>
          </cell>
          <cell r="CO7756">
            <v>901.66800000000001</v>
          </cell>
        </row>
        <row r="7757">
          <cell r="CJ7757" t="str">
            <v xml:space="preserve">NFT-/XUTR/DEUTH02504121769X </v>
          </cell>
          <cell r="CK7757" t="str">
            <v>2025-02-10</v>
          </cell>
          <cell r="CL7757">
            <v>9037</v>
          </cell>
        </row>
        <row r="7758">
          <cell r="CJ7758" t="str">
            <v xml:space="preserve">NFT-/XUTR/DEUTH02504121769X </v>
          </cell>
          <cell r="CK7758" t="str">
            <v>2025-02-10</v>
          </cell>
          <cell r="CL7758">
            <v>11057.291999999999</v>
          </cell>
          <cell r="CM7758" t="str">
            <v xml:space="preserve">NFT-/XUTR/DEUTH02504143500X </v>
          </cell>
          <cell r="CN7758" t="str">
            <v>2025-02-10</v>
          </cell>
          <cell r="CO7758">
            <v>309.61099999999999</v>
          </cell>
        </row>
        <row r="7759">
          <cell r="CJ7759" t="str">
            <v xml:space="preserve">NFT-/XUTR/DEUTH02504121769X </v>
          </cell>
          <cell r="CK7759" t="str">
            <v>2025-02-10</v>
          </cell>
          <cell r="CL7759">
            <v>41733.279000000002</v>
          </cell>
          <cell r="CM7759" t="str">
            <v xml:space="preserve">NFT-/XUTR/DEUTH02504143500X </v>
          </cell>
          <cell r="CN7759" t="str">
            <v>2025-02-10</v>
          </cell>
          <cell r="CO7759">
            <v>2541.933</v>
          </cell>
        </row>
        <row r="7760">
          <cell r="CJ7760" t="str">
            <v xml:space="preserve">NFT-/XUTR/DEUTH02504121769X </v>
          </cell>
          <cell r="CK7760" t="str">
            <v>2025-02-10</v>
          </cell>
          <cell r="CL7760">
            <v>51095.4</v>
          </cell>
          <cell r="CM7760" t="str">
            <v xml:space="preserve">NFT-/XUTR/DEUTH02504143500X </v>
          </cell>
          <cell r="CN7760" t="str">
            <v>2025-02-10</v>
          </cell>
          <cell r="CO7760">
            <v>2702.0819999999999</v>
          </cell>
        </row>
        <row r="7761">
          <cell r="CJ7761" t="str">
            <v xml:space="preserve">NFT-/XUTR/DEUTH02504121769X </v>
          </cell>
          <cell r="CK7761" t="str">
            <v>2025-02-10</v>
          </cell>
          <cell r="CL7761">
            <v>8561.9490000000005</v>
          </cell>
          <cell r="CM7761" t="str">
            <v xml:space="preserve">NFT-/XUTR/DEUTH02504143500X </v>
          </cell>
          <cell r="CN7761" t="str">
            <v>2025-02-10</v>
          </cell>
          <cell r="CO7761">
            <v>456.17200000000003</v>
          </cell>
        </row>
        <row r="7762">
          <cell r="CJ7762" t="str">
            <v xml:space="preserve">NFT-/XUTR/DEUTH02504121769X </v>
          </cell>
          <cell r="CK7762" t="str">
            <v>2025-02-10</v>
          </cell>
          <cell r="CL7762">
            <v>8744.4130000000005</v>
          </cell>
          <cell r="CM7762" t="str">
            <v xml:space="preserve">NFT-/XUTR/DEUTH02504143500X </v>
          </cell>
          <cell r="CN7762" t="str">
            <v>2025-02-10</v>
          </cell>
          <cell r="CO7762">
            <v>273.697</v>
          </cell>
        </row>
        <row r="7763">
          <cell r="CJ7763" t="str">
            <v xml:space="preserve">NFT-/XUTR/DEUTH02504121769X </v>
          </cell>
          <cell r="CK7763" t="str">
            <v>2025-02-10</v>
          </cell>
          <cell r="CL7763">
            <v>17089.146000000001</v>
          </cell>
          <cell r="CM7763" t="str">
            <v xml:space="preserve">NFT-/XUTR/DEUTH02504143500X </v>
          </cell>
          <cell r="CN7763" t="str">
            <v>2025-02-10</v>
          </cell>
          <cell r="CO7763">
            <v>840.51499999999999</v>
          </cell>
        </row>
        <row r="7764">
          <cell r="CJ7764" t="str">
            <v xml:space="preserve">NFT-/XUTR/DEUTH02504121769X </v>
          </cell>
          <cell r="CK7764" t="str">
            <v>2025-02-10</v>
          </cell>
          <cell r="CL7764">
            <v>18055.11</v>
          </cell>
        </row>
        <row r="7766">
          <cell r="CJ7766" t="str">
            <v xml:space="preserve">NFT-/XUTR/DEUTH02504121769X </v>
          </cell>
          <cell r="CK7766" t="str">
            <v>2025-02-10</v>
          </cell>
          <cell r="CL7766">
            <v>42213.444000000003</v>
          </cell>
          <cell r="CM7766" t="str">
            <v xml:space="preserve">NFT-/XUTR/DEUTH02504143500X </v>
          </cell>
          <cell r="CN7766" t="str">
            <v>2025-02-10</v>
          </cell>
          <cell r="CO7766">
            <v>2071.2089999999998</v>
          </cell>
        </row>
        <row r="7767">
          <cell r="CJ7767" t="str">
            <v xml:space="preserve">NFT-/XUTR/DEUTH02504121769X </v>
          </cell>
          <cell r="CK7767" t="str">
            <v>2025-02-10</v>
          </cell>
          <cell r="CL7767">
            <v>9018.1200000000008</v>
          </cell>
        </row>
        <row r="7768">
          <cell r="CJ7768" t="str">
            <v xml:space="preserve">NFT-/XUTR/DEUTH02504121769X </v>
          </cell>
          <cell r="CK7768" t="str">
            <v>2025-02-10</v>
          </cell>
          <cell r="CL7768">
            <v>17018.563999999998</v>
          </cell>
          <cell r="CM7768" t="str">
            <v xml:space="preserve">NFT-/XUTR/DEUTH02504143500X </v>
          </cell>
          <cell r="CN7768" t="str">
            <v>2025-02-10</v>
          </cell>
          <cell r="CO7768">
            <v>901.66800000000001</v>
          </cell>
        </row>
        <row r="7769">
          <cell r="CJ7769" t="str">
            <v xml:space="preserve">NFT-/XUTR/DEUTH02504121769X </v>
          </cell>
          <cell r="CK7769" t="str">
            <v>2025-02-10</v>
          </cell>
          <cell r="CL7769">
            <v>41178.552000000003</v>
          </cell>
          <cell r="CM7769" t="str">
            <v xml:space="preserve">NFT-/XUTR/DEUTH02504143500X </v>
          </cell>
          <cell r="CN7769" t="str">
            <v>2025-02-10</v>
          </cell>
          <cell r="CO7769">
            <v>3115.5410000000002</v>
          </cell>
        </row>
        <row r="7770">
          <cell r="CJ7770" t="str">
            <v xml:space="preserve">NFT-/XUTR/DEUTH02504121769X </v>
          </cell>
          <cell r="CK7770" t="str">
            <v>2025-02-10</v>
          </cell>
          <cell r="CL7770">
            <v>41820.101999999999</v>
          </cell>
          <cell r="CM7770" t="str">
            <v xml:space="preserve">NFT-/XUTR/DEUTH02504143500X </v>
          </cell>
          <cell r="CN7770" t="str">
            <v>2025-02-10</v>
          </cell>
          <cell r="CO7770">
            <v>2473.991</v>
          </cell>
          <cell r="CP7770" t="str">
            <v xml:space="preserve">NFT-/XUTR/DEUTH02504852221X </v>
          </cell>
          <cell r="CQ7770" t="str">
            <v>2025-02-17</v>
          </cell>
          <cell r="CR7770">
            <v>-41820.101999999999</v>
          </cell>
          <cell r="CS7770" t="str">
            <v xml:space="preserve">NFT-/XUTR/DEUTH02504885186X </v>
          </cell>
          <cell r="CT7770" t="str">
            <v>2025-02-17</v>
          </cell>
          <cell r="CU7770">
            <v>-2473.991</v>
          </cell>
        </row>
        <row r="7771">
          <cell r="CJ7771" t="str">
            <v xml:space="preserve">NFT-/XUTR/DEUTH02504121769X </v>
          </cell>
          <cell r="CK7771" t="str">
            <v>2025-02-10</v>
          </cell>
          <cell r="CL7771">
            <v>11041.232</v>
          </cell>
          <cell r="CM7771" t="str">
            <v xml:space="preserve">NFT-/XUTR/DEUTH02504143500X </v>
          </cell>
          <cell r="CN7771" t="str">
            <v>2025-02-10</v>
          </cell>
          <cell r="CO7771">
            <v>344.55200000000002</v>
          </cell>
        </row>
        <row r="7772">
          <cell r="CJ7772" t="str">
            <v xml:space="preserve">NFT-/XUTR/DEUTH02504121769X </v>
          </cell>
          <cell r="CK7772" t="str">
            <v>2025-02-10</v>
          </cell>
          <cell r="CL7772">
            <v>5519.6319999999996</v>
          </cell>
          <cell r="CM7772" t="str">
            <v xml:space="preserve">NFT-/XUTR/DEUTH02504143500X </v>
          </cell>
          <cell r="CN7772" t="str">
            <v>2025-02-10</v>
          </cell>
          <cell r="CO7772">
            <v>295.05900000000003</v>
          </cell>
        </row>
        <row r="7773">
          <cell r="CJ7773" t="str">
            <v xml:space="preserve">NFT-/XUTR/DEUTH02504121769X </v>
          </cell>
          <cell r="CK7773" t="str">
            <v>2025-02-10</v>
          </cell>
          <cell r="CL7773">
            <v>34629.089999999997</v>
          </cell>
          <cell r="CM7773" t="str">
            <v xml:space="preserve">NFT-/XUTR/DEUTH02504143500X </v>
          </cell>
          <cell r="CN7773" t="str">
            <v>2025-02-10</v>
          </cell>
          <cell r="CO7773">
            <v>1248.1600000000001</v>
          </cell>
        </row>
        <row r="7774">
          <cell r="CJ7774" t="str">
            <v xml:space="preserve">NFT-/XUTR/DEUTH02504121769X </v>
          </cell>
          <cell r="CK7774" t="str">
            <v>2025-02-10</v>
          </cell>
          <cell r="CL7774">
            <v>86100.635999999999</v>
          </cell>
          <cell r="CM7774" t="str">
            <v xml:space="preserve">NFT-/XUTR/DEUTH02504143500X </v>
          </cell>
          <cell r="CN7774" t="str">
            <v>2025-02-10</v>
          </cell>
          <cell r="CO7774">
            <v>2960.2550000000001</v>
          </cell>
        </row>
        <row r="7775">
          <cell r="CJ7775" t="str">
            <v xml:space="preserve">NFT-/XUTR/DEUTH02504121769X </v>
          </cell>
          <cell r="CK7775" t="str">
            <v>2025-02-10</v>
          </cell>
          <cell r="CL7775">
            <v>16943.831999999999</v>
          </cell>
          <cell r="CM7775" t="str">
            <v xml:space="preserve">NFT-/XUTR/DEUTH02504143500X </v>
          </cell>
          <cell r="CN7775" t="str">
            <v>2025-02-10</v>
          </cell>
          <cell r="CO7775">
            <v>976.4</v>
          </cell>
        </row>
        <row r="7776">
          <cell r="CJ7776" t="str">
            <v xml:space="preserve">NFT-/XUTR/DEUTH02504121769X </v>
          </cell>
          <cell r="CK7776" t="str">
            <v>2025-02-10</v>
          </cell>
          <cell r="CL7776">
            <v>11022.352000000001</v>
          </cell>
          <cell r="CM7776" t="str">
            <v xml:space="preserve">NFT-/XUTR/DEUTH02504143500X </v>
          </cell>
          <cell r="CN7776" t="str">
            <v>2025-02-10</v>
          </cell>
          <cell r="CO7776">
            <v>344.55200000000002</v>
          </cell>
        </row>
        <row r="7777">
          <cell r="CJ7777" t="str">
            <v xml:space="preserve">NFT-/XUTR/DEUTH02504121769X </v>
          </cell>
          <cell r="CK7777" t="str">
            <v>2025-02-10</v>
          </cell>
          <cell r="CL7777">
            <v>42345.714</v>
          </cell>
          <cell r="CM7777" t="str">
            <v xml:space="preserve">NFT-/XUTR/DEUTH02504143500X </v>
          </cell>
          <cell r="CN7777" t="str">
            <v>2025-02-10</v>
          </cell>
          <cell r="CO7777">
            <v>2234.2600000000002</v>
          </cell>
        </row>
        <row r="7778">
          <cell r="CJ7778" t="str">
            <v xml:space="preserve">NFT-/XUTR/DEUTH02504121769X </v>
          </cell>
          <cell r="CK7778" t="str">
            <v>2025-02-10</v>
          </cell>
          <cell r="CL7778">
            <v>42345.714</v>
          </cell>
          <cell r="CM7778" t="str">
            <v xml:space="preserve">NFT-/XUTR/DEUTH02504143500X </v>
          </cell>
          <cell r="CN7778" t="str">
            <v>2025-02-10</v>
          </cell>
          <cell r="CO7778">
            <v>2234.2600000000002</v>
          </cell>
        </row>
        <row r="7779">
          <cell r="CJ7779" t="str">
            <v xml:space="preserve">NFT-/XUTR/DEUTH02504121769X </v>
          </cell>
          <cell r="CK7779" t="str">
            <v>2025-02-10</v>
          </cell>
          <cell r="CL7779">
            <v>42345.714</v>
          </cell>
          <cell r="CM7779" t="str">
            <v xml:space="preserve">NFT-/XUTR/DEUTH02504143500X </v>
          </cell>
          <cell r="CN7779" t="str">
            <v>2025-02-10</v>
          </cell>
          <cell r="CO7779">
            <v>2234.2600000000002</v>
          </cell>
        </row>
        <row r="7780">
          <cell r="CJ7780" t="str">
            <v xml:space="preserve">NFT-/XUTR/DEUTH02504121769X </v>
          </cell>
          <cell r="CK7780" t="str">
            <v>2025-02-10</v>
          </cell>
          <cell r="CL7780">
            <v>16181.401</v>
          </cell>
          <cell r="CM7780" t="str">
            <v xml:space="preserve">NFT-/XUTR/DEUTH02504143500X </v>
          </cell>
          <cell r="CN7780" t="str">
            <v>2025-02-10</v>
          </cell>
          <cell r="CO7780">
            <v>1757.71</v>
          </cell>
        </row>
        <row r="7781">
          <cell r="CJ7781" t="str">
            <v xml:space="preserve">NFT-/XUTR/DEUTH02504121769X </v>
          </cell>
          <cell r="CK7781" t="str">
            <v>2025-02-10</v>
          </cell>
          <cell r="CL7781">
            <v>17920.232</v>
          </cell>
        </row>
        <row r="7782">
          <cell r="CJ7782" t="str">
            <v xml:space="preserve">NFT-/XUTR/DEUTH02504121769X </v>
          </cell>
          <cell r="CK7782" t="str">
            <v>2025-02-10</v>
          </cell>
          <cell r="CL7782">
            <v>42364.593999999997</v>
          </cell>
          <cell r="CM7782" t="str">
            <v xml:space="preserve">NFT-/XUTR/DEUTH02504143500X </v>
          </cell>
          <cell r="CN7782" t="str">
            <v>2025-02-10</v>
          </cell>
          <cell r="CO7782">
            <v>2234.2600000000002</v>
          </cell>
        </row>
        <row r="7783">
          <cell r="CJ7783" t="str">
            <v xml:space="preserve">NFT-/XUTR/DEUTH02504121769X </v>
          </cell>
          <cell r="CK7783" t="str">
            <v>2025-02-10</v>
          </cell>
          <cell r="CL7783">
            <v>42345.714</v>
          </cell>
          <cell r="CM7783" t="str">
            <v xml:space="preserve">NFT-/XUTR/DEUTH02504143500X </v>
          </cell>
          <cell r="CN7783" t="str">
            <v>2025-02-10</v>
          </cell>
          <cell r="CO7783">
            <v>2234.2600000000002</v>
          </cell>
        </row>
        <row r="7784">
          <cell r="CM7784" t="str">
            <v xml:space="preserve">NFT-/XUTR/DEUTH02503875296X </v>
          </cell>
          <cell r="CN7784" t="str">
            <v>2025-02-07</v>
          </cell>
          <cell r="CO7784">
            <v>17603.288</v>
          </cell>
        </row>
        <row r="7785">
          <cell r="CJ7785" t="str">
            <v xml:space="preserve">NFT-/XUTR/DEUTH02503864800X </v>
          </cell>
          <cell r="CK7785" t="str">
            <v>2025-02-07</v>
          </cell>
          <cell r="CL7785">
            <v>2176.9940000000001</v>
          </cell>
          <cell r="CM7785" t="str">
            <v xml:space="preserve">NFT-/XUTR/DEUTH02503875296X </v>
          </cell>
          <cell r="CN7785" t="str">
            <v>2025-02-07</v>
          </cell>
          <cell r="CO7785">
            <v>41283.373</v>
          </cell>
        </row>
        <row r="7786">
          <cell r="CJ7786" t="str">
            <v xml:space="preserve">NFT-/XUTR/DEUTH02503864800X </v>
          </cell>
          <cell r="CK7786" t="str">
            <v>2025-02-07</v>
          </cell>
          <cell r="CL7786">
            <v>2176.9940000000001</v>
          </cell>
          <cell r="CM7786" t="str">
            <v xml:space="preserve">NFT-/XUTR/DEUTH02503875296X </v>
          </cell>
          <cell r="CN7786" t="str">
            <v>2025-02-07</v>
          </cell>
          <cell r="CO7786">
            <v>41283.373</v>
          </cell>
        </row>
        <row r="7787">
          <cell r="CJ7787" t="str">
            <v xml:space="preserve">NFT-/XUTR/DEUTH02503864800X </v>
          </cell>
          <cell r="CK7787" t="str">
            <v>2025-02-07</v>
          </cell>
          <cell r="CL7787">
            <v>5246.93</v>
          </cell>
          <cell r="CM7787" t="str">
            <v xml:space="preserve">NFT-/XUTR/DEUTH02503875296X </v>
          </cell>
          <cell r="CN7787" t="str">
            <v>2025-02-07</v>
          </cell>
          <cell r="CO7787">
            <v>38213.447999999997</v>
          </cell>
        </row>
        <row r="7788">
          <cell r="CJ7788" t="str">
            <v xml:space="preserve">NFT-/XUTR/DEUTH02503864800X </v>
          </cell>
          <cell r="CK7788" t="str">
            <v>2025-02-07</v>
          </cell>
          <cell r="CL7788">
            <v>2176.9940000000001</v>
          </cell>
          <cell r="CM7788" t="str">
            <v xml:space="preserve">NFT-/XUTR/DEUTH02503875296X </v>
          </cell>
          <cell r="CN7788" t="str">
            <v>2025-02-07</v>
          </cell>
          <cell r="CO7788">
            <v>41283.373</v>
          </cell>
        </row>
        <row r="7789">
          <cell r="CJ7789" t="str">
            <v xml:space="preserve">NFT-/XUTR/DEUTH02503864800X </v>
          </cell>
          <cell r="CK7789" t="str">
            <v>2025-02-07</v>
          </cell>
          <cell r="CL7789">
            <v>884.19399999999996</v>
          </cell>
          <cell r="CM7789" t="str">
            <v xml:space="preserve">NFT-/XUTR/DEUTH02503875296X </v>
          </cell>
          <cell r="CN7789" t="str">
            <v>2025-02-07</v>
          </cell>
          <cell r="CO7789">
            <v>16719.095000000001</v>
          </cell>
        </row>
        <row r="7790">
          <cell r="CJ7790" t="str">
            <v xml:space="preserve">NFT-/XUTR/DEUTH02503864800X </v>
          </cell>
          <cell r="CK7790" t="str">
            <v>2025-02-07</v>
          </cell>
          <cell r="CL7790">
            <v>2176.9940000000001</v>
          </cell>
          <cell r="CM7790" t="str">
            <v xml:space="preserve">NFT-/XUTR/DEUTH02503875296X </v>
          </cell>
          <cell r="CN7790" t="str">
            <v>2025-02-07</v>
          </cell>
          <cell r="CO7790">
            <v>41283.373</v>
          </cell>
        </row>
        <row r="7791">
          <cell r="CJ7791" t="str">
            <v xml:space="preserve">NFT-/XUTR/DEUTH02503864800X </v>
          </cell>
          <cell r="CK7791" t="str">
            <v>2025-02-07</v>
          </cell>
          <cell r="CL7791">
            <v>2911.7240000000002</v>
          </cell>
          <cell r="CM7791" t="str">
            <v xml:space="preserve">NFT-/XUTR/DEUTH02503875296X </v>
          </cell>
          <cell r="CN7791" t="str">
            <v>2025-02-07</v>
          </cell>
          <cell r="CO7791">
            <v>84490.01</v>
          </cell>
        </row>
        <row r="7792">
          <cell r="CJ7792" t="str">
            <v xml:space="preserve">NFT-/XUTR/DEUTH02503864800X </v>
          </cell>
          <cell r="CK7792" t="str">
            <v>2025-02-07</v>
          </cell>
          <cell r="CL7792">
            <v>884.19399999999996</v>
          </cell>
          <cell r="CM7792" t="str">
            <v xml:space="preserve">NFT-/XUTR/DEUTH02503875296X </v>
          </cell>
          <cell r="CN7792" t="str">
            <v>2025-02-07</v>
          </cell>
          <cell r="CO7792">
            <v>16719.095000000001</v>
          </cell>
          <cell r="CP7792" t="str">
            <v xml:space="preserve">NFT-/XUTR/DEUTH02504121769X </v>
          </cell>
          <cell r="CQ7792" t="str">
            <v>2025-02-10</v>
          </cell>
          <cell r="CR7792">
            <v>-16719.095000000001</v>
          </cell>
          <cell r="CS7792" t="str">
            <v xml:space="preserve">NFT-/XUTR/DEUTH02504143500X </v>
          </cell>
          <cell r="CT7792" t="str">
            <v>2025-02-10</v>
          </cell>
          <cell r="CU7792">
            <v>-884.19399999999996</v>
          </cell>
        </row>
        <row r="7793">
          <cell r="CJ7793" t="str">
            <v xml:space="preserve">NFT-/XUTR/DEUTH02503864800X </v>
          </cell>
          <cell r="CK7793" t="str">
            <v>2025-02-07</v>
          </cell>
          <cell r="CL7793">
            <v>1455.8620000000001</v>
          </cell>
          <cell r="CM7793" t="str">
            <v xml:space="preserve">NFT-/XUTR/DEUTH02503875296X </v>
          </cell>
          <cell r="CN7793" t="str">
            <v>2025-02-07</v>
          </cell>
          <cell r="CO7793">
            <v>16128.545</v>
          </cell>
        </row>
        <row r="7794">
          <cell r="CJ7794" t="str">
            <v xml:space="preserve">NFT-/XUTR/DEUTH02503864800X </v>
          </cell>
          <cell r="CK7794" t="str">
            <v>2025-02-07</v>
          </cell>
          <cell r="CL7794">
            <v>2340.056</v>
          </cell>
          <cell r="CM7794" t="str">
            <v xml:space="preserve">NFT-/XUTR/DEUTH02503875296X </v>
          </cell>
          <cell r="CN7794" t="str">
            <v>2025-02-07</v>
          </cell>
          <cell r="CO7794">
            <v>15263.232</v>
          </cell>
        </row>
        <row r="7795">
          <cell r="CJ7795" t="str">
            <v xml:space="preserve">NFT-/XUTR/DEUTH02503864800X </v>
          </cell>
          <cell r="CK7795" t="str">
            <v>2025-02-07</v>
          </cell>
          <cell r="CL7795">
            <v>5246.9290000000001</v>
          </cell>
          <cell r="CM7795" t="str">
            <v xml:space="preserve">NFT-/XUTR/DEUTH02503875296X </v>
          </cell>
          <cell r="CN7795" t="str">
            <v>2025-02-07</v>
          </cell>
          <cell r="CO7795">
            <v>38213.447999999997</v>
          </cell>
        </row>
        <row r="7796">
          <cell r="CJ7796" t="str">
            <v xml:space="preserve">NFT-/XUTR/DEUTH02503864800X </v>
          </cell>
          <cell r="CK7796" t="str">
            <v>2025-02-07</v>
          </cell>
          <cell r="CL7796">
            <v>2176.9940000000001</v>
          </cell>
          <cell r="CM7796" t="str">
            <v xml:space="preserve">NFT-/XUTR/DEUTH02503875296X </v>
          </cell>
          <cell r="CN7796" t="str">
            <v>2025-02-07</v>
          </cell>
          <cell r="CO7796">
            <v>41283.373</v>
          </cell>
        </row>
        <row r="7797">
          <cell r="CJ7797" t="str">
            <v xml:space="preserve">NFT-/XUTR/DEUTH02503864800X </v>
          </cell>
          <cell r="CK7797" t="str">
            <v>2025-02-07</v>
          </cell>
          <cell r="CL7797">
            <v>1724.7090000000001</v>
          </cell>
          <cell r="CM7797" t="str">
            <v xml:space="preserve">NFT-/XUTR/DEUTH02503875296X </v>
          </cell>
          <cell r="CN7797" t="str">
            <v>2025-02-07</v>
          </cell>
          <cell r="CO7797">
            <v>15859.699000000001</v>
          </cell>
        </row>
        <row r="7798">
          <cell r="CJ7798" t="str">
            <v xml:space="preserve">NFT-/XUTR/DEUTH02503864800X </v>
          </cell>
          <cell r="CK7798" t="str">
            <v>2025-02-07</v>
          </cell>
          <cell r="CL7798">
            <v>1344.241</v>
          </cell>
          <cell r="CM7798" t="str">
            <v xml:space="preserve">NFT-/XUTR/DEUTH02503875296X </v>
          </cell>
          <cell r="CN7798" t="str">
            <v>2025-02-07</v>
          </cell>
          <cell r="CO7798">
            <v>7509.8429999999998</v>
          </cell>
        </row>
        <row r="7799">
          <cell r="CJ7799" t="str">
            <v xml:space="preserve">NFT-/XUTR/DEUTH02503864800X </v>
          </cell>
          <cell r="CK7799" t="str">
            <v>2025-02-07</v>
          </cell>
          <cell r="CL7799">
            <v>2650.6410000000001</v>
          </cell>
          <cell r="CM7799" t="str">
            <v xml:space="preserve">NFT-/XUTR/DEUTH02503875296X </v>
          </cell>
          <cell r="CN7799" t="str">
            <v>2025-02-07</v>
          </cell>
          <cell r="CO7799">
            <v>14933.766</v>
          </cell>
        </row>
        <row r="7800">
          <cell r="CJ7800" t="str">
            <v xml:space="preserve">NFT-/XUTR/DEUTH02503864800X </v>
          </cell>
          <cell r="CK7800" t="str">
            <v>2025-02-07</v>
          </cell>
          <cell r="CL7800">
            <v>2176.9940000000001</v>
          </cell>
          <cell r="CM7800" t="str">
            <v xml:space="preserve">NFT-/XUTR/DEUTH02503875296X </v>
          </cell>
          <cell r="CN7800" t="str">
            <v>2025-02-07</v>
          </cell>
          <cell r="CO7800">
            <v>41264.493000000002</v>
          </cell>
        </row>
        <row r="7801">
          <cell r="CJ7801" t="str">
            <v xml:space="preserve">NFT-/XUTR/DEUTH02503864800X </v>
          </cell>
          <cell r="CK7801" t="str">
            <v>2025-02-07</v>
          </cell>
          <cell r="CL7801">
            <v>448.40800000000002</v>
          </cell>
          <cell r="CM7801" t="str">
            <v xml:space="preserve">NFT-/XUTR/DEUTH02503875296X </v>
          </cell>
          <cell r="CN7801" t="str">
            <v>2025-02-07</v>
          </cell>
          <cell r="CO7801">
            <v>8424.5669999999991</v>
          </cell>
        </row>
        <row r="7802">
          <cell r="CJ7802" t="str">
            <v xml:space="preserve">NFT-/XUTR/DEUTH02503864800X </v>
          </cell>
          <cell r="CK7802" t="str">
            <v>2025-02-07</v>
          </cell>
          <cell r="CL7802">
            <v>448.40800000000002</v>
          </cell>
          <cell r="CM7802" t="str">
            <v xml:space="preserve">NFT-/XUTR/DEUTH02503875296X </v>
          </cell>
          <cell r="CN7802" t="str">
            <v>2025-02-07</v>
          </cell>
          <cell r="CO7802">
            <v>8405.6869999999999</v>
          </cell>
        </row>
        <row r="7803">
          <cell r="CJ7803" t="str">
            <v xml:space="preserve">NFT-/XUTR/DEUTH02503864800X </v>
          </cell>
          <cell r="CK7803" t="str">
            <v>2025-02-07</v>
          </cell>
          <cell r="CL7803">
            <v>2176.9940000000001</v>
          </cell>
          <cell r="CM7803" t="str">
            <v xml:space="preserve">NFT-/XUTR/DEUTH02503875296X </v>
          </cell>
          <cell r="CN7803" t="str">
            <v>2025-02-07</v>
          </cell>
          <cell r="CO7803">
            <v>41283.373</v>
          </cell>
        </row>
        <row r="7804">
          <cell r="CJ7804" t="str">
            <v xml:space="preserve">NFT-/XUTR/DEUTH02503864800X </v>
          </cell>
          <cell r="CK7804" t="str">
            <v>2025-02-07</v>
          </cell>
          <cell r="CL7804">
            <v>2652.5819999999999</v>
          </cell>
          <cell r="CM7804" t="str">
            <v xml:space="preserve">NFT-/XUTR/DEUTH02503875296X </v>
          </cell>
          <cell r="CN7804" t="str">
            <v>2025-02-07</v>
          </cell>
          <cell r="CO7804">
            <v>50138.411999999997</v>
          </cell>
        </row>
        <row r="7805">
          <cell r="CJ7805" t="str">
            <v xml:space="preserve">NFT-/XUTR/DEUTH02503864800X </v>
          </cell>
          <cell r="CK7805" t="str">
            <v>2025-02-07</v>
          </cell>
          <cell r="CL7805">
            <v>2176.9940000000001</v>
          </cell>
          <cell r="CM7805" t="str">
            <v xml:space="preserve">NFT-/XUTR/DEUTH02503875296X </v>
          </cell>
          <cell r="CN7805" t="str">
            <v>2025-02-07</v>
          </cell>
          <cell r="CO7805">
            <v>41283.373</v>
          </cell>
        </row>
        <row r="7806">
          <cell r="CJ7806" t="str">
            <v xml:space="preserve">NFT-/XUTR/DEUTH02503864800X </v>
          </cell>
          <cell r="CK7806" t="str">
            <v>2025-02-07</v>
          </cell>
          <cell r="CL7806">
            <v>176.64</v>
          </cell>
          <cell r="CM7806" t="str">
            <v xml:space="preserve">NFT-/XUTR/DEUTH02503875296X </v>
          </cell>
          <cell r="CN7806" t="str">
            <v>2025-02-07</v>
          </cell>
          <cell r="CO7806">
            <v>17407.767</v>
          </cell>
        </row>
        <row r="7807">
          <cell r="CJ7807" t="str">
            <v xml:space="preserve">NFT-/XUTR/DEUTH02503864800X </v>
          </cell>
          <cell r="CK7807" t="str">
            <v>2025-02-07</v>
          </cell>
          <cell r="CL7807">
            <v>3154.3679999999999</v>
          </cell>
          <cell r="CM7807" t="str">
            <v xml:space="preserve">NFT-/XUTR/DEUTH02503875296X </v>
          </cell>
          <cell r="CN7807" t="str">
            <v>2025-02-07</v>
          </cell>
          <cell r="CO7807">
            <v>40287.129000000001</v>
          </cell>
        </row>
        <row r="7808">
          <cell r="CJ7808" t="str">
            <v xml:space="preserve">NFT-/XUTR/DEUTH02503864800X </v>
          </cell>
          <cell r="CK7808" t="str">
            <v>2025-02-07</v>
          </cell>
          <cell r="CL7808">
            <v>2176.9940000000001</v>
          </cell>
          <cell r="CM7808" t="str">
            <v xml:space="preserve">NFT-/XUTR/DEUTH02503875296X </v>
          </cell>
          <cell r="CN7808" t="str">
            <v>2025-02-07</v>
          </cell>
          <cell r="CO7808">
            <v>41283.373</v>
          </cell>
        </row>
        <row r="7809">
          <cell r="CJ7809" t="str">
            <v xml:space="preserve">NFT-/XUTR/DEUTH02503864800X </v>
          </cell>
          <cell r="CK7809" t="str">
            <v>2025-02-07</v>
          </cell>
          <cell r="CL7809">
            <v>884.19399999999996</v>
          </cell>
          <cell r="CM7809" t="str">
            <v xml:space="preserve">NFT-/XUTR/DEUTH02503875296X </v>
          </cell>
          <cell r="CN7809" t="str">
            <v>2025-02-07</v>
          </cell>
          <cell r="CO7809">
            <v>16700.214</v>
          </cell>
        </row>
        <row r="7810">
          <cell r="CJ7810" t="str">
            <v xml:space="preserve">NFT-/XUTR/DEUTH02503864800X </v>
          </cell>
          <cell r="CK7810" t="str">
            <v>2025-02-07</v>
          </cell>
          <cell r="CL7810">
            <v>884.19399999999996</v>
          </cell>
          <cell r="CM7810" t="str">
            <v xml:space="preserve">NFT-/XUTR/DEUTH02503875296X </v>
          </cell>
          <cell r="CN7810" t="str">
            <v>2025-02-07</v>
          </cell>
          <cell r="CO7810">
            <v>16700.214</v>
          </cell>
        </row>
        <row r="7811">
          <cell r="CJ7811" t="str">
            <v xml:space="preserve">NFT-/XUTR/DEUTH02503864800X </v>
          </cell>
          <cell r="CK7811" t="str">
            <v>2025-02-07</v>
          </cell>
          <cell r="CL7811">
            <v>3154.3690000000001</v>
          </cell>
          <cell r="CM7811" t="str">
            <v xml:space="preserve">NFT-/XUTR/DEUTH02503875296X </v>
          </cell>
          <cell r="CN7811" t="str">
            <v>2025-02-07</v>
          </cell>
          <cell r="CO7811">
            <v>40306.008999999998</v>
          </cell>
        </row>
        <row r="7812">
          <cell r="CJ7812" t="str">
            <v xml:space="preserve">NFT-/XUTR/DEUTH02503864800X </v>
          </cell>
          <cell r="CK7812" t="str">
            <v>2025-02-07</v>
          </cell>
          <cell r="CL7812">
            <v>2176.9940000000001</v>
          </cell>
          <cell r="CM7812" t="str">
            <v xml:space="preserve">NFT-/XUTR/DEUTH02503875296X </v>
          </cell>
          <cell r="CN7812" t="str">
            <v>2025-02-07</v>
          </cell>
          <cell r="CO7812">
            <v>41264.493000000002</v>
          </cell>
        </row>
        <row r="7813">
          <cell r="CJ7813" t="str">
            <v xml:space="preserve">NFT-/XUTR/DEUTH02503864800X </v>
          </cell>
          <cell r="CK7813" t="str">
            <v>2025-02-07</v>
          </cell>
          <cell r="CL7813">
            <v>2176.9940000000001</v>
          </cell>
          <cell r="CM7813" t="str">
            <v xml:space="preserve">NFT-/XUTR/DEUTH02503875296X </v>
          </cell>
          <cell r="CN7813" t="str">
            <v>2025-02-07</v>
          </cell>
          <cell r="CO7813">
            <v>41283.373</v>
          </cell>
        </row>
        <row r="7814">
          <cell r="CJ7814" t="str">
            <v xml:space="preserve">NFT-/XUTR/DEUTH02503864800X </v>
          </cell>
          <cell r="CK7814" t="str">
            <v>2025-02-07</v>
          </cell>
          <cell r="CL7814">
            <v>2176.9940000000001</v>
          </cell>
          <cell r="CM7814" t="str">
            <v xml:space="preserve">NFT-/XUTR/DEUTH02503875296X </v>
          </cell>
          <cell r="CN7814" t="str">
            <v>2025-02-07</v>
          </cell>
          <cell r="CO7814">
            <v>41283.373</v>
          </cell>
        </row>
        <row r="7815">
          <cell r="CJ7815" t="str">
            <v xml:space="preserve">NFT-/XUTR/DEUTH02503864800X </v>
          </cell>
          <cell r="CK7815" t="str">
            <v>2025-02-07</v>
          </cell>
          <cell r="CL7815">
            <v>884.19399999999996</v>
          </cell>
          <cell r="CM7815" t="str">
            <v xml:space="preserve">NFT-/XUTR/DEUTH02503875296X </v>
          </cell>
          <cell r="CN7815" t="str">
            <v>2025-02-07</v>
          </cell>
          <cell r="CO7815">
            <v>16719.094000000001</v>
          </cell>
        </row>
        <row r="7816">
          <cell r="CJ7816" t="str">
            <v xml:space="preserve">NFT-/XUTR/DEUTH02503864800X </v>
          </cell>
          <cell r="CK7816" t="str">
            <v>2025-02-07</v>
          </cell>
          <cell r="CL7816">
            <v>2176.9940000000001</v>
          </cell>
          <cell r="CM7816" t="str">
            <v xml:space="preserve">NFT-/XUTR/DEUTH02503875296X </v>
          </cell>
          <cell r="CN7816" t="str">
            <v>2025-02-07</v>
          </cell>
          <cell r="CO7816">
            <v>41283.373</v>
          </cell>
        </row>
        <row r="7817">
          <cell r="CJ7817" t="str">
            <v xml:space="preserve">NFT-/XUTR/DEUTH02503864800X </v>
          </cell>
          <cell r="CK7817" t="str">
            <v>2025-02-07</v>
          </cell>
          <cell r="CL7817">
            <v>2176.9940000000001</v>
          </cell>
          <cell r="CM7817" t="str">
            <v xml:space="preserve">NFT-/XUTR/DEUTH02503875296X </v>
          </cell>
          <cell r="CN7817" t="str">
            <v>2025-02-07</v>
          </cell>
          <cell r="CO7817">
            <v>41283.373</v>
          </cell>
        </row>
        <row r="7818">
          <cell r="CJ7818" t="str">
            <v xml:space="preserve">NFT-/XUTR/DEUTH02503864800X </v>
          </cell>
          <cell r="CK7818" t="str">
            <v>2025-02-07</v>
          </cell>
          <cell r="CL7818">
            <v>1145.2760000000001</v>
          </cell>
          <cell r="CM7818" t="str">
            <v xml:space="preserve">NFT-/XUTR/DEUTH02503875296X </v>
          </cell>
          <cell r="CN7818" t="str">
            <v>2025-02-07</v>
          </cell>
          <cell r="CO7818">
            <v>16458.009999999998</v>
          </cell>
        </row>
        <row r="7819">
          <cell r="CJ7819" t="str">
            <v xml:space="preserve">NFT-/XUTR/DEUTH02503864800X </v>
          </cell>
          <cell r="CK7819" t="str">
            <v>2025-02-07</v>
          </cell>
          <cell r="CL7819">
            <v>1344.2429999999999</v>
          </cell>
          <cell r="CM7819" t="str">
            <v xml:space="preserve">NFT-/XUTR/DEUTH02503875296X </v>
          </cell>
          <cell r="CN7819" t="str">
            <v>2025-02-07</v>
          </cell>
          <cell r="CO7819">
            <v>7528.7240000000002</v>
          </cell>
        </row>
        <row r="7820">
          <cell r="CM7820" t="str">
            <v xml:space="preserve">NFT-/XUTR/DEUTH02503875296X </v>
          </cell>
          <cell r="CN7820" t="str">
            <v>2025-02-07</v>
          </cell>
          <cell r="CO7820">
            <v>17603.288</v>
          </cell>
        </row>
        <row r="7821">
          <cell r="CJ7821" t="str">
            <v xml:space="preserve">NFT-/XUTR/DEUTH02504309886X </v>
          </cell>
          <cell r="CK7821" t="str">
            <v>2025-02-12</v>
          </cell>
          <cell r="CL7821">
            <v>16954.508000000002</v>
          </cell>
          <cell r="CM7821" t="str">
            <v xml:space="preserve">NFT-/XUTR/DEUTH02504312099X </v>
          </cell>
          <cell r="CN7821" t="str">
            <v>2025-02-12</v>
          </cell>
          <cell r="CO7821">
            <v>897.78200000000004</v>
          </cell>
        </row>
        <row r="7822">
          <cell r="CJ7822" t="str">
            <v xml:space="preserve">NFT-/XUTR/DEUTH02504309886X </v>
          </cell>
          <cell r="CK7822" t="str">
            <v>2025-02-12</v>
          </cell>
          <cell r="CL7822">
            <v>1447.6379999999999</v>
          </cell>
        </row>
        <row r="7823">
          <cell r="CJ7823" t="str">
            <v xml:space="preserve">NFT-/XUTR/DEUTH02504309886X </v>
          </cell>
          <cell r="CK7823" t="str">
            <v>2025-02-12</v>
          </cell>
          <cell r="CL7823">
            <v>16101.368</v>
          </cell>
          <cell r="CM7823" t="str">
            <v xml:space="preserve">NFT-/XUTR/DEUTH02504312099X </v>
          </cell>
          <cell r="CN7823" t="str">
            <v>2025-02-12</v>
          </cell>
          <cell r="CO7823">
            <v>1750.922</v>
          </cell>
        </row>
        <row r="7824">
          <cell r="CJ7824" t="str">
            <v xml:space="preserve">NFT-/XUTR/DEUTH02504309886X </v>
          </cell>
          <cell r="CK7824" t="str">
            <v>2025-02-12</v>
          </cell>
          <cell r="CL7824">
            <v>42345.714</v>
          </cell>
          <cell r="CM7824" t="str">
            <v xml:space="preserve">NFT-/XUTR/DEUTH02504312099X </v>
          </cell>
          <cell r="CN7824" t="str">
            <v>2025-02-12</v>
          </cell>
          <cell r="CO7824">
            <v>2234.2600000000002</v>
          </cell>
        </row>
        <row r="7825">
          <cell r="CJ7825" t="str">
            <v xml:space="preserve">NFT-/XUTR/DEUTH02504309886X </v>
          </cell>
          <cell r="CK7825" t="str">
            <v>2025-02-12</v>
          </cell>
          <cell r="CL7825">
            <v>11427.492</v>
          </cell>
          <cell r="CM7825" t="str">
            <v xml:space="preserve">NFT-/XUTR/DEUTH02504312099X </v>
          </cell>
          <cell r="CN7825" t="str">
            <v>2025-02-12</v>
          </cell>
          <cell r="CO7825">
            <v>609.52200000000005</v>
          </cell>
        </row>
        <row r="7826">
          <cell r="CJ7826" t="str">
            <v xml:space="preserve">NFT-/XUTR/DEUTH02504309886X </v>
          </cell>
          <cell r="CK7826" t="str">
            <v>2025-02-12</v>
          </cell>
          <cell r="CL7826">
            <v>42208.332000000002</v>
          </cell>
          <cell r="CM7826" t="str">
            <v xml:space="preserve">NFT-/XUTR/DEUTH02504312099X </v>
          </cell>
          <cell r="CN7826" t="str">
            <v>2025-02-12</v>
          </cell>
          <cell r="CO7826">
            <v>2225.5219999999999</v>
          </cell>
        </row>
        <row r="7827">
          <cell r="CJ7827" t="str">
            <v xml:space="preserve">NFT-/XUTR/DEUTH02504309886X </v>
          </cell>
          <cell r="CK7827" t="str">
            <v>2025-02-12</v>
          </cell>
          <cell r="CL7827">
            <v>42189.451999999997</v>
          </cell>
          <cell r="CM7827" t="str">
            <v xml:space="preserve">NFT-/XUTR/DEUTH02504312099X </v>
          </cell>
          <cell r="CN7827" t="str">
            <v>2025-02-12</v>
          </cell>
          <cell r="CO7827">
            <v>2225.5230000000001</v>
          </cell>
        </row>
        <row r="7828">
          <cell r="CJ7828" t="str">
            <v xml:space="preserve">NFT-/XUTR/DEUTH02504309886X </v>
          </cell>
          <cell r="CK7828" t="str">
            <v>2025-02-12</v>
          </cell>
          <cell r="CL7828">
            <v>16973.387999999999</v>
          </cell>
          <cell r="CM7828" t="str">
            <v xml:space="preserve">NFT-/XUTR/DEUTH02504312099X </v>
          </cell>
          <cell r="CN7828" t="str">
            <v>2025-02-12</v>
          </cell>
          <cell r="CO7828">
            <v>897.78200000000004</v>
          </cell>
        </row>
        <row r="7829">
          <cell r="CJ7829" t="str">
            <v xml:space="preserve">NFT-/XUTR/DEUTH02504309886X </v>
          </cell>
          <cell r="CK7829" t="str">
            <v>2025-02-12</v>
          </cell>
          <cell r="CL7829">
            <v>16973.387999999999</v>
          </cell>
          <cell r="CM7829" t="str">
            <v xml:space="preserve">NFT-/XUTR/DEUTH02504312099X </v>
          </cell>
          <cell r="CN7829" t="str">
            <v>2025-02-12</v>
          </cell>
          <cell r="CO7829">
            <v>897.78200000000004</v>
          </cell>
        </row>
        <row r="7830">
          <cell r="CJ7830" t="str">
            <v xml:space="preserve">NFT-/XUTR/DEUTH02504309886X </v>
          </cell>
          <cell r="CK7830" t="str">
            <v>2025-02-12</v>
          </cell>
          <cell r="CL7830">
            <v>42208.332000000002</v>
          </cell>
          <cell r="CM7830" t="str">
            <v xml:space="preserve">NFT-/XUTR/DEUTH02504312099X </v>
          </cell>
          <cell r="CN7830" t="str">
            <v>2025-02-12</v>
          </cell>
          <cell r="CO7830">
            <v>2225.5230000000001</v>
          </cell>
        </row>
        <row r="7831">
          <cell r="CJ7831" t="str">
            <v xml:space="preserve">NFT-/XUTR/DEUTH02504309886X </v>
          </cell>
          <cell r="CK7831" t="str">
            <v>2025-02-12</v>
          </cell>
          <cell r="CL7831">
            <v>16954.508000000002</v>
          </cell>
          <cell r="CM7831" t="str">
            <v xml:space="preserve">NFT-/XUTR/DEUTH02504312099X </v>
          </cell>
          <cell r="CN7831" t="str">
            <v>2025-02-12</v>
          </cell>
          <cell r="CO7831">
            <v>897.78200000000004</v>
          </cell>
        </row>
        <row r="7832">
          <cell r="CJ7832" t="str">
            <v xml:space="preserve">NFT-/XUTR/DEUTH02504309886X </v>
          </cell>
          <cell r="CK7832" t="str">
            <v>2025-02-12</v>
          </cell>
          <cell r="CL7832">
            <v>8534.7720000000008</v>
          </cell>
          <cell r="CM7832" t="str">
            <v xml:space="preserve">NFT-/XUTR/DEUTH02504312099X </v>
          </cell>
          <cell r="CN7832" t="str">
            <v>2025-02-12</v>
          </cell>
          <cell r="CO7832">
            <v>454.23399999999998</v>
          </cell>
        </row>
        <row r="7833">
          <cell r="CJ7833" t="str">
            <v xml:space="preserve">NFT-/XUTR/DEUTH02504309886X </v>
          </cell>
          <cell r="CK7833" t="str">
            <v>2025-02-12</v>
          </cell>
          <cell r="CL7833">
            <v>8553.652</v>
          </cell>
          <cell r="CM7833" t="str">
            <v xml:space="preserve">NFT-/XUTR/DEUTH02504312099X </v>
          </cell>
          <cell r="CN7833" t="str">
            <v>2025-02-12</v>
          </cell>
          <cell r="CO7833">
            <v>454.23399999999998</v>
          </cell>
        </row>
        <row r="7834">
          <cell r="CJ7834" t="str">
            <v xml:space="preserve">NFT-/XUTR/DEUTH02504562606X </v>
          </cell>
          <cell r="CK7834" t="str">
            <v>2025-02-14</v>
          </cell>
          <cell r="CL7834">
            <v>69270.866999999998</v>
          </cell>
          <cell r="CM7834" t="str">
            <v xml:space="preserve">NFT-/XUTR/DEUTH02504573830X </v>
          </cell>
          <cell r="CN7834" t="str">
            <v>2025-02-14</v>
          </cell>
          <cell r="CO7834">
            <v>2911.723</v>
          </cell>
        </row>
        <row r="7835">
          <cell r="CJ7835" t="str">
            <v xml:space="preserve">NFT-/XUTR/DEUTH02504562606X </v>
          </cell>
          <cell r="CK7835" t="str">
            <v>2025-02-14</v>
          </cell>
          <cell r="CL7835">
            <v>5795.277</v>
          </cell>
        </row>
        <row r="7836">
          <cell r="CJ7836" t="str">
            <v xml:space="preserve">NFT-/XUTR/DEUTH02504562606X </v>
          </cell>
          <cell r="CK7836" t="str">
            <v>2025-02-14</v>
          </cell>
          <cell r="CL7836">
            <v>42061.33</v>
          </cell>
          <cell r="CM7836" t="str">
            <v xml:space="preserve">NFT-/XUTR/DEUTH02504573830X </v>
          </cell>
          <cell r="CN7836" t="str">
            <v>2025-02-14</v>
          </cell>
          <cell r="CO7836">
            <v>2353.6439999999998</v>
          </cell>
        </row>
        <row r="7837">
          <cell r="CJ7837" t="str">
            <v xml:space="preserve">NFT-/XUTR/DEUTH02504562606X </v>
          </cell>
          <cell r="CK7837" t="str">
            <v>2025-02-14</v>
          </cell>
          <cell r="CL7837">
            <v>42189.451999999997</v>
          </cell>
          <cell r="CM7837" t="str">
            <v xml:space="preserve">NFT-/XUTR/DEUTH02504573830X </v>
          </cell>
          <cell r="CN7837" t="str">
            <v>2025-02-14</v>
          </cell>
          <cell r="CO7837">
            <v>2225.5230000000001</v>
          </cell>
        </row>
        <row r="7838">
          <cell r="CJ7838" t="str">
            <v xml:space="preserve">NFT-/XUTR/DEUTH02504562606X </v>
          </cell>
          <cell r="CK7838" t="str">
            <v>2025-02-14</v>
          </cell>
          <cell r="CL7838">
            <v>86667.004000000001</v>
          </cell>
          <cell r="CM7838" t="str">
            <v xml:space="preserve">NFT-/XUTR/DEUTH02504573830X </v>
          </cell>
          <cell r="CN7838" t="str">
            <v>2025-02-14</v>
          </cell>
          <cell r="CO7838">
            <v>3209.6860000000001</v>
          </cell>
        </row>
        <row r="7839">
          <cell r="CJ7839" t="str">
            <v xml:space="preserve">NFT-/XUTR/DEUTH02504562606X </v>
          </cell>
          <cell r="CK7839" t="str">
            <v>2025-02-14</v>
          </cell>
          <cell r="CL7839">
            <v>16553.13</v>
          </cell>
          <cell r="CM7839" t="str">
            <v xml:space="preserve">NFT-/XUTR/DEUTH02504573830X </v>
          </cell>
          <cell r="CN7839" t="str">
            <v>2025-02-14</v>
          </cell>
          <cell r="CO7839">
            <v>1550.98</v>
          </cell>
        </row>
        <row r="7840">
          <cell r="CJ7840" t="str">
            <v xml:space="preserve">NFT-/XUTR/DEUTH02504562606X </v>
          </cell>
          <cell r="CK7840" t="str">
            <v>2025-02-14</v>
          </cell>
          <cell r="CL7840">
            <v>51585.004000000001</v>
          </cell>
          <cell r="CM7840" t="str">
            <v xml:space="preserve">NFT-/XUTR/DEUTH02504573830X </v>
          </cell>
          <cell r="CN7840" t="str">
            <v>2025-02-14</v>
          </cell>
          <cell r="CO7840">
            <v>2728.2829999999999</v>
          </cell>
        </row>
        <row r="7841">
          <cell r="CJ7841" t="str">
            <v xml:space="preserve">NFT-/XUTR/DEUTH02504562606X </v>
          </cell>
          <cell r="CK7841" t="str">
            <v>2025-02-14</v>
          </cell>
          <cell r="CL7841">
            <v>36189.334000000003</v>
          </cell>
        </row>
        <row r="7842">
          <cell r="CJ7842" t="str">
            <v xml:space="preserve">NFT-/XUTR/DEUTH02504562606X </v>
          </cell>
          <cell r="CK7842" t="str">
            <v>2025-02-14</v>
          </cell>
          <cell r="CL7842">
            <v>17194.68</v>
          </cell>
          <cell r="CM7842" t="str">
            <v xml:space="preserve">NFT-/XUTR/DEUTH02504573830X </v>
          </cell>
          <cell r="CN7842" t="str">
            <v>2025-02-14</v>
          </cell>
          <cell r="CO7842">
            <v>909.43100000000004</v>
          </cell>
        </row>
        <row r="7843">
          <cell r="CJ7843" t="str">
            <v xml:space="preserve">NFT-/XUTR/DEUTH02504562606X </v>
          </cell>
          <cell r="CK7843" t="str">
            <v>2025-02-14</v>
          </cell>
          <cell r="CL7843">
            <v>8654.8580000000002</v>
          </cell>
          <cell r="CM7843" t="str">
            <v xml:space="preserve">NFT-/XUTR/DEUTH02504573830X </v>
          </cell>
          <cell r="CN7843" t="str">
            <v>2025-02-14</v>
          </cell>
          <cell r="CO7843">
            <v>460.04899999999998</v>
          </cell>
        </row>
        <row r="7844">
          <cell r="CJ7844" t="str">
            <v xml:space="preserve">NFT-/XUTR/DEUTH02504562606X </v>
          </cell>
          <cell r="CK7844" t="str">
            <v>2025-02-14</v>
          </cell>
          <cell r="CL7844">
            <v>44414.974999999999</v>
          </cell>
        </row>
        <row r="7845">
          <cell r="CJ7845" t="str">
            <v xml:space="preserve">NFT-/XUTR/DEUTH02504562606X </v>
          </cell>
          <cell r="CK7845" t="str">
            <v>2025-02-14</v>
          </cell>
          <cell r="CL7845">
            <v>42471.353000000003</v>
          </cell>
          <cell r="CM7845" t="str">
            <v xml:space="preserve">NFT-/XUTR/DEUTH02504573830X </v>
          </cell>
          <cell r="CN7845" t="str">
            <v>2025-02-14</v>
          </cell>
          <cell r="CO7845">
            <v>2240.085</v>
          </cell>
        </row>
        <row r="7846">
          <cell r="CJ7846" t="str">
            <v xml:space="preserve">NFT-/XUTR/DEUTH02504562606X </v>
          </cell>
          <cell r="CK7846" t="str">
            <v>2025-02-14</v>
          </cell>
          <cell r="CL7846">
            <v>86673.803</v>
          </cell>
          <cell r="CM7846" t="str">
            <v xml:space="preserve">NFT-/XUTR/DEUTH02504573830X </v>
          </cell>
          <cell r="CN7846" t="str">
            <v>2025-02-14</v>
          </cell>
          <cell r="CO7846">
            <v>3251.4250000000002</v>
          </cell>
        </row>
        <row r="7847">
          <cell r="CJ7847" t="str">
            <v xml:space="preserve">NFT-/XUTR/DEUTH02504562606X </v>
          </cell>
          <cell r="CK7847" t="str">
            <v>2025-02-14</v>
          </cell>
          <cell r="CL7847">
            <v>42461.913</v>
          </cell>
          <cell r="CM7847" t="str">
            <v xml:space="preserve">NFT-/XUTR/DEUTH02504573830X </v>
          </cell>
          <cell r="CN7847" t="str">
            <v>2025-02-14</v>
          </cell>
          <cell r="CO7847">
            <v>2240.085</v>
          </cell>
        </row>
        <row r="7848">
          <cell r="CJ7848" t="str">
            <v xml:space="preserve">NFT-/XUTR/DEUTH02504562606X </v>
          </cell>
          <cell r="CK7848" t="str">
            <v>2025-02-14</v>
          </cell>
          <cell r="CL7848">
            <v>42471.353000000003</v>
          </cell>
          <cell r="CM7848" t="str">
            <v xml:space="preserve">NFT-/XUTR/DEUTH02504573830X </v>
          </cell>
          <cell r="CN7848" t="str">
            <v>2025-02-14</v>
          </cell>
          <cell r="CO7848">
            <v>2240.085</v>
          </cell>
        </row>
        <row r="7849">
          <cell r="CJ7849" t="str">
            <v xml:space="preserve">NFT-/XUTR/DEUTH02504562606X </v>
          </cell>
          <cell r="CK7849" t="str">
            <v>2025-02-14</v>
          </cell>
          <cell r="CL7849">
            <v>42208.332000000002</v>
          </cell>
          <cell r="CM7849" t="str">
            <v xml:space="preserve">NFT-/XUTR/DEUTH02504573830X </v>
          </cell>
          <cell r="CN7849" t="str">
            <v>2025-02-14</v>
          </cell>
          <cell r="CO7849">
            <v>2225.5230000000001</v>
          </cell>
        </row>
        <row r="7850">
          <cell r="CJ7850" t="str">
            <v xml:space="preserve">NFT-/XUTR/DEUTH02504562606X </v>
          </cell>
          <cell r="CK7850" t="str">
            <v>2025-02-14</v>
          </cell>
          <cell r="CL7850">
            <v>42761.561000000002</v>
          </cell>
          <cell r="CM7850" t="str">
            <v xml:space="preserve">NFT-/XUTR/DEUTH02504573830X </v>
          </cell>
          <cell r="CN7850" t="str">
            <v>2025-02-14</v>
          </cell>
          <cell r="CO7850">
            <v>2254.6489999999999</v>
          </cell>
        </row>
        <row r="7851">
          <cell r="CJ7851" t="str">
            <v xml:space="preserve">NFT-/XUTR/DEUTH02504562606X </v>
          </cell>
          <cell r="CK7851" t="str">
            <v>2025-02-14</v>
          </cell>
          <cell r="CL7851">
            <v>17194.68</v>
          </cell>
          <cell r="CM7851" t="str">
            <v xml:space="preserve">NFT-/XUTR/DEUTH02504573830X </v>
          </cell>
          <cell r="CN7851" t="str">
            <v>2025-02-14</v>
          </cell>
          <cell r="CO7851">
            <v>909.43100000000004</v>
          </cell>
        </row>
        <row r="7852">
          <cell r="CJ7852" t="str">
            <v xml:space="preserve">NFT-/XUTR/DEUTH02504562606X </v>
          </cell>
          <cell r="CK7852" t="str">
            <v>2025-02-14</v>
          </cell>
          <cell r="CL7852">
            <v>8645.4179999999997</v>
          </cell>
          <cell r="CM7852" t="str">
            <v xml:space="preserve">NFT-/XUTR/DEUTH02504573830X </v>
          </cell>
          <cell r="CN7852" t="str">
            <v>2025-02-14</v>
          </cell>
          <cell r="CO7852">
            <v>460.04899999999998</v>
          </cell>
        </row>
        <row r="7853">
          <cell r="CJ7853" t="str">
            <v xml:space="preserve">NFT-/XUTR/DEUTH02504562606X </v>
          </cell>
          <cell r="CK7853" t="str">
            <v>2025-02-14</v>
          </cell>
          <cell r="CL7853">
            <v>2544.3850000000002</v>
          </cell>
        </row>
        <row r="7854">
          <cell r="CJ7854" t="str">
            <v xml:space="preserve">NFT-/XUTR/DEUTH02504562606X </v>
          </cell>
          <cell r="CK7854" t="str">
            <v>2025-02-14</v>
          </cell>
          <cell r="CL7854">
            <v>8645.4179999999997</v>
          </cell>
          <cell r="CM7854" t="str">
            <v xml:space="preserve">NFT-/XUTR/DEUTH02504573830X </v>
          </cell>
          <cell r="CN7854" t="str">
            <v>2025-02-14</v>
          </cell>
          <cell r="CO7854">
            <v>460.04899999999998</v>
          </cell>
        </row>
        <row r="7855">
          <cell r="CJ7855" t="str">
            <v xml:space="preserve">NFT-/XUTR/DEUTH02504562606X </v>
          </cell>
          <cell r="CK7855" t="str">
            <v>2025-02-14</v>
          </cell>
          <cell r="CL7855">
            <v>42208.332000000002</v>
          </cell>
          <cell r="CM7855" t="str">
            <v xml:space="preserve">NFT-/XUTR/DEUTH02504573830X </v>
          </cell>
          <cell r="CN7855" t="str">
            <v>2025-02-14</v>
          </cell>
          <cell r="CO7855">
            <v>2225.5219999999999</v>
          </cell>
        </row>
        <row r="7856">
          <cell r="CJ7856" t="str">
            <v xml:space="preserve">NFT-/XUTR/DEUTH02504562606X </v>
          </cell>
          <cell r="CK7856" t="str">
            <v>2025-02-14</v>
          </cell>
          <cell r="CL7856">
            <v>42189.451999999997</v>
          </cell>
          <cell r="CM7856" t="str">
            <v xml:space="preserve">NFT-/XUTR/DEUTH02504573830X </v>
          </cell>
          <cell r="CN7856" t="str">
            <v>2025-02-14</v>
          </cell>
          <cell r="CO7856">
            <v>2225.5230000000001</v>
          </cell>
        </row>
        <row r="7857">
          <cell r="CJ7857" t="str">
            <v xml:space="preserve">NFT-/XUTR/DEUTH02504562606X </v>
          </cell>
          <cell r="CK7857" t="str">
            <v>2025-02-14</v>
          </cell>
          <cell r="CL7857">
            <v>17194.68</v>
          </cell>
          <cell r="CM7857" t="str">
            <v xml:space="preserve">NFT-/XUTR/DEUTH02504573830X </v>
          </cell>
          <cell r="CN7857" t="str">
            <v>2025-02-14</v>
          </cell>
          <cell r="CO7857">
            <v>909.43100000000004</v>
          </cell>
        </row>
        <row r="7858">
          <cell r="CJ7858" t="str">
            <v xml:space="preserve">NFT-/XUTR/DEUTH02504562606X </v>
          </cell>
          <cell r="CK7858" t="str">
            <v>2025-02-14</v>
          </cell>
          <cell r="CL7858">
            <v>44414.974999999999</v>
          </cell>
        </row>
        <row r="7859">
          <cell r="CJ7859" t="str">
            <v xml:space="preserve">NFT-/XUTR/DEUTH02504562606X </v>
          </cell>
          <cell r="CK7859" t="str">
            <v>2025-02-14</v>
          </cell>
          <cell r="CL7859">
            <v>87608.804999999993</v>
          </cell>
          <cell r="CM7859" t="str">
            <v xml:space="preserve">NFT-/XUTR/DEUTH02504573830X </v>
          </cell>
          <cell r="CN7859" t="str">
            <v>2025-02-14</v>
          </cell>
          <cell r="CO7859">
            <v>2911.72</v>
          </cell>
        </row>
        <row r="7860">
          <cell r="CJ7860" t="str">
            <v xml:space="preserve">NFT-/XUTR/DEUTH02504562606X </v>
          </cell>
          <cell r="CK7860" t="str">
            <v>2025-02-14</v>
          </cell>
          <cell r="CL7860">
            <v>42471.353000000003</v>
          </cell>
          <cell r="CM7860" t="str">
            <v xml:space="preserve">NFT-/XUTR/DEUTH02504573830X </v>
          </cell>
          <cell r="CN7860" t="str">
            <v>2025-02-14</v>
          </cell>
          <cell r="CO7860">
            <v>2240.085</v>
          </cell>
        </row>
        <row r="7861">
          <cell r="CJ7861" t="str">
            <v xml:space="preserve">NFT-/XUTR/DEUTH02504562606X </v>
          </cell>
          <cell r="CK7861" t="str">
            <v>2025-02-14</v>
          </cell>
          <cell r="CL7861">
            <v>16954.508000000002</v>
          </cell>
          <cell r="CM7861" t="str">
            <v xml:space="preserve">NFT-/XUTR/DEUTH02504573830X </v>
          </cell>
          <cell r="CN7861" t="str">
            <v>2025-02-14</v>
          </cell>
          <cell r="CO7861">
            <v>897.78200000000004</v>
          </cell>
        </row>
        <row r="7862">
          <cell r="CJ7862" t="str">
            <v xml:space="preserve">NFT-/XUTR/DEUTH02504562606X </v>
          </cell>
          <cell r="CK7862" t="str">
            <v>2025-02-14</v>
          </cell>
          <cell r="CL7862">
            <v>42471.353000000003</v>
          </cell>
          <cell r="CM7862" t="str">
            <v xml:space="preserve">NFT-/XUTR/DEUTH02504573830X </v>
          </cell>
          <cell r="CN7862" t="str">
            <v>2025-02-14</v>
          </cell>
          <cell r="CO7862">
            <v>2240.085</v>
          </cell>
        </row>
        <row r="7863">
          <cell r="CJ7863" t="str">
            <v xml:space="preserve">NFT-/XUTR/DEUTH02504562606X </v>
          </cell>
          <cell r="CK7863" t="str">
            <v>2025-02-14</v>
          </cell>
          <cell r="CL7863">
            <v>16311.984</v>
          </cell>
          <cell r="CM7863" t="str">
            <v xml:space="preserve">NFT-/XUTR/DEUTH02504573830X </v>
          </cell>
          <cell r="CN7863" t="str">
            <v>2025-02-14</v>
          </cell>
          <cell r="CO7863">
            <v>1773.2370000000001</v>
          </cell>
        </row>
        <row r="7864">
          <cell r="CJ7864" t="str">
            <v xml:space="preserve">NFT-/XUTR/DEUTH02504562606X </v>
          </cell>
          <cell r="CK7864" t="str">
            <v>2025-02-14</v>
          </cell>
          <cell r="CL7864">
            <v>8664.2980000000007</v>
          </cell>
          <cell r="CM7864" t="str">
            <v xml:space="preserve">NFT-/XUTR/DEUTH02504573830X </v>
          </cell>
          <cell r="CN7864" t="str">
            <v>2025-02-14</v>
          </cell>
          <cell r="CO7864">
            <v>460.04899999999998</v>
          </cell>
        </row>
        <row r="7865">
          <cell r="CJ7865" t="str">
            <v xml:space="preserve">NFT-/XUTR/DEUTH02504562606X </v>
          </cell>
          <cell r="CK7865" t="str">
            <v>2025-02-14</v>
          </cell>
          <cell r="CL7865">
            <v>41851.154999999999</v>
          </cell>
          <cell r="CM7865" t="str">
            <v xml:space="preserve">NFT-/XUTR/DEUTH02504573830X </v>
          </cell>
          <cell r="CN7865" t="str">
            <v>2025-02-14</v>
          </cell>
          <cell r="CO7865">
            <v>2582.6999999999998</v>
          </cell>
        </row>
        <row r="7866">
          <cell r="CJ7866" t="str">
            <v xml:space="preserve">NFT-/XUTR/DEUTH02504562606X </v>
          </cell>
          <cell r="CK7866" t="str">
            <v>2025-02-14</v>
          </cell>
          <cell r="CL7866">
            <v>42761.561999999998</v>
          </cell>
          <cell r="CM7866" t="str">
            <v xml:space="preserve">NFT-/XUTR/DEUTH02504573830X </v>
          </cell>
          <cell r="CN7866" t="str">
            <v>2025-02-14</v>
          </cell>
          <cell r="CO7866">
            <v>2254.6480000000001</v>
          </cell>
        </row>
        <row r="7867">
          <cell r="CJ7867" t="str">
            <v xml:space="preserve">NFT-/XUTR/DEUTH02504562606X </v>
          </cell>
          <cell r="CK7867" t="str">
            <v>2025-02-14</v>
          </cell>
          <cell r="CL7867">
            <v>8121.7439999999997</v>
          </cell>
          <cell r="CM7867" t="str">
            <v xml:space="preserve">NFT-/XUTR/DEUTH02504573830X </v>
          </cell>
          <cell r="CN7867" t="str">
            <v>2025-02-14</v>
          </cell>
          <cell r="CO7867">
            <v>886.13199999999995</v>
          </cell>
        </row>
        <row r="7868">
          <cell r="CJ7868" t="str">
            <v xml:space="preserve">NFT-/XUTR/DEUTH02504562606X </v>
          </cell>
          <cell r="CK7868" t="str">
            <v>2025-02-14</v>
          </cell>
          <cell r="CL7868">
            <v>87013.504000000001</v>
          </cell>
          <cell r="CM7868" t="str">
            <v xml:space="preserve">NFT-/XUTR/DEUTH02504573830X </v>
          </cell>
          <cell r="CN7868" t="str">
            <v>2025-02-14</v>
          </cell>
          <cell r="CO7868">
            <v>2911.7240000000002</v>
          </cell>
        </row>
        <row r="7869">
          <cell r="CJ7869" t="str">
            <v xml:space="preserve">NFT-/XUTR/DEUTH02504562606X </v>
          </cell>
          <cell r="CK7869" t="str">
            <v>2025-02-14</v>
          </cell>
          <cell r="CL7869">
            <v>34389.360000000001</v>
          </cell>
          <cell r="CM7869" t="str">
            <v xml:space="preserve">NFT-/XUTR/DEUTH02504573830X </v>
          </cell>
          <cell r="CN7869" t="str">
            <v>2025-02-14</v>
          </cell>
          <cell r="CO7869">
            <v>1818.8520000000001</v>
          </cell>
        </row>
        <row r="7870">
          <cell r="CJ7870" t="str">
            <v xml:space="preserve">NFT-/XUTR/DEUTH02504562606X </v>
          </cell>
          <cell r="CK7870" t="str">
            <v>2025-02-14</v>
          </cell>
          <cell r="CL7870">
            <v>52146.527999999998</v>
          </cell>
          <cell r="CM7870" t="str">
            <v xml:space="preserve">NFT-/XUTR/DEUTH02504573830X </v>
          </cell>
          <cell r="CN7870" t="str">
            <v>2025-02-14</v>
          </cell>
          <cell r="CO7870">
            <v>2760.3139999999999</v>
          </cell>
        </row>
        <row r="7871">
          <cell r="CJ7871" t="str">
            <v xml:space="preserve">NFT-/XUTR/DEUTH02504562606X </v>
          </cell>
          <cell r="CK7871" t="str">
            <v>2025-02-14</v>
          </cell>
          <cell r="CL7871">
            <v>9202.5239999999994</v>
          </cell>
          <cell r="CM7871" t="str">
            <v xml:space="preserve">NFT-/XUTR/DEUTH02505263103X </v>
          </cell>
          <cell r="CN7871" t="str">
            <v>2025-02-21</v>
          </cell>
          <cell r="CO7871">
            <v>-9202.5239999999994</v>
          </cell>
        </row>
        <row r="7872">
          <cell r="CJ7872" t="str">
            <v xml:space="preserve">NFT-/XUTR/DEUTH02504562606X </v>
          </cell>
          <cell r="CK7872" t="str">
            <v>2025-02-14</v>
          </cell>
          <cell r="CL7872">
            <v>17387.82</v>
          </cell>
          <cell r="CM7872" t="str">
            <v xml:space="preserve">NFT-/XUTR/DEUTH02504573830X </v>
          </cell>
          <cell r="CN7872" t="str">
            <v>2025-02-14</v>
          </cell>
          <cell r="CO7872">
            <v>920.10799999999995</v>
          </cell>
        </row>
        <row r="7873">
          <cell r="CJ7873" t="str">
            <v xml:space="preserve">NFT-/XUTR/DEUTH02504562606X </v>
          </cell>
          <cell r="CK7873" t="str">
            <v>2025-02-14</v>
          </cell>
          <cell r="CL7873">
            <v>8645.4179999999997</v>
          </cell>
          <cell r="CM7873" t="str">
            <v xml:space="preserve">NFT-/XUTR/DEUTH02504573830X </v>
          </cell>
          <cell r="CN7873" t="str">
            <v>2025-02-14</v>
          </cell>
          <cell r="CO7873">
            <v>460.04899999999998</v>
          </cell>
        </row>
        <row r="7874">
          <cell r="CJ7874" t="str">
            <v xml:space="preserve">NFT-/XUTR/DEUTH02504562606X </v>
          </cell>
          <cell r="CK7874" t="str">
            <v>2025-02-14</v>
          </cell>
          <cell r="CL7874">
            <v>42931.934999999998</v>
          </cell>
          <cell r="CM7874" t="str">
            <v xml:space="preserve">NFT-/XUTR/DEUTH02504573830X </v>
          </cell>
          <cell r="CN7874" t="str">
            <v>2025-02-14</v>
          </cell>
          <cell r="CO7874">
            <v>2265.3240000000001</v>
          </cell>
        </row>
        <row r="7875">
          <cell r="CJ7875" t="str">
            <v xml:space="preserve">NFT-/XUTR/DEUTH02504562606X </v>
          </cell>
          <cell r="CK7875" t="str">
            <v>2025-02-14</v>
          </cell>
          <cell r="CL7875">
            <v>42931.934999999998</v>
          </cell>
          <cell r="CM7875" t="str">
            <v xml:space="preserve">NFT-/XUTR/DEUTH02504573830X </v>
          </cell>
          <cell r="CN7875" t="str">
            <v>2025-02-14</v>
          </cell>
          <cell r="CO7875">
            <v>2265.3240000000001</v>
          </cell>
        </row>
        <row r="7876">
          <cell r="CJ7876" t="str">
            <v xml:space="preserve">NFT-/XUTR/DEUTH02504562606X </v>
          </cell>
          <cell r="CK7876" t="str">
            <v>2025-02-14</v>
          </cell>
          <cell r="CL7876">
            <v>17835.789000000001</v>
          </cell>
          <cell r="CM7876" t="str">
            <v xml:space="preserve">NFT-/XUTR/DEUTH02504573830X </v>
          </cell>
          <cell r="CN7876" t="str">
            <v>2025-02-14</v>
          </cell>
          <cell r="CO7876">
            <v>453.26</v>
          </cell>
        </row>
        <row r="7877">
          <cell r="CJ7877" t="str">
            <v xml:space="preserve">NFT-/XUTR/DEUTH02504562606X </v>
          </cell>
          <cell r="CK7877" t="str">
            <v>2025-02-14</v>
          </cell>
          <cell r="CL7877">
            <v>11101.41</v>
          </cell>
          <cell r="CM7877" t="str">
            <v xml:space="preserve">NFT-/XUTR/DEUTH02504573830X </v>
          </cell>
          <cell r="CN7877" t="str">
            <v>2025-02-14</v>
          </cell>
          <cell r="CO7877">
            <v>565.84400000000005</v>
          </cell>
        </row>
        <row r="7878">
          <cell r="CJ7878" t="str">
            <v xml:space="preserve">NFT-/XUTR/DEUTH02504562606X </v>
          </cell>
          <cell r="CK7878" t="str">
            <v>2025-02-14</v>
          </cell>
          <cell r="CL7878">
            <v>51566.124000000003</v>
          </cell>
          <cell r="CM7878" t="str">
            <v xml:space="preserve">NFT-/XUTR/DEUTH02504573830X </v>
          </cell>
          <cell r="CN7878" t="str">
            <v>2025-02-14</v>
          </cell>
          <cell r="CO7878">
            <v>2728.2829999999999</v>
          </cell>
        </row>
        <row r="7879">
          <cell r="CJ7879" t="str">
            <v xml:space="preserve">NFT-/XUTR/DEUTH02504562606X </v>
          </cell>
          <cell r="CK7879" t="str">
            <v>2025-02-14</v>
          </cell>
          <cell r="CL7879">
            <v>10950.974</v>
          </cell>
          <cell r="CM7879" t="str">
            <v xml:space="preserve">NFT-/XUTR/DEUTH02504573830X </v>
          </cell>
          <cell r="CN7879" t="str">
            <v>2025-02-14</v>
          </cell>
          <cell r="CO7879">
            <v>580.40599999999995</v>
          </cell>
        </row>
        <row r="7880">
          <cell r="CJ7880" t="str">
            <v xml:space="preserve">NFT-/XUTR/DEUTH02504562606X </v>
          </cell>
          <cell r="CK7880" t="str">
            <v>2025-02-14</v>
          </cell>
          <cell r="CL7880">
            <v>42950.815000000002</v>
          </cell>
          <cell r="CM7880" t="str">
            <v xml:space="preserve">NFT-/XUTR/DEUTH02504573830X </v>
          </cell>
          <cell r="CN7880" t="str">
            <v>2025-02-14</v>
          </cell>
          <cell r="CO7880">
            <v>2265.3240000000001</v>
          </cell>
        </row>
        <row r="7881">
          <cell r="CJ7881" t="str">
            <v xml:space="preserve">NFT-/XUTR/DEUTH02504562606X </v>
          </cell>
          <cell r="CK7881" t="str">
            <v>2025-02-14</v>
          </cell>
          <cell r="CL7881">
            <v>9202.5239999999994</v>
          </cell>
        </row>
        <row r="7882">
          <cell r="CJ7882" t="str">
            <v xml:space="preserve">NFT-/XUTR/DEUTH02504562606X </v>
          </cell>
          <cell r="CK7882" t="str">
            <v>2025-02-14</v>
          </cell>
          <cell r="CL7882">
            <v>43212.432000000001</v>
          </cell>
          <cell r="CM7882" t="str">
            <v xml:space="preserve">NFT-/XUTR/DEUTH02504573830X </v>
          </cell>
          <cell r="CN7882" t="str">
            <v>2025-02-14</v>
          </cell>
          <cell r="CO7882">
            <v>2279.8760000000002</v>
          </cell>
        </row>
        <row r="7883">
          <cell r="CJ7883" t="str">
            <v xml:space="preserve">NFT-/XUTR/DEUTH02504562606X </v>
          </cell>
          <cell r="CK7883" t="str">
            <v>2025-02-14</v>
          </cell>
          <cell r="CL7883">
            <v>17194.68</v>
          </cell>
          <cell r="CM7883" t="str">
            <v xml:space="preserve">NFT-/XUTR/DEUTH02504573830X </v>
          </cell>
          <cell r="CN7883" t="str">
            <v>2025-02-14</v>
          </cell>
          <cell r="CO7883">
            <v>909.43100000000004</v>
          </cell>
        </row>
        <row r="7884">
          <cell r="CJ7884" t="str">
            <v xml:space="preserve">NFT-/XUTR/DEUTH02504562606X </v>
          </cell>
          <cell r="CK7884" t="str">
            <v>2025-02-14</v>
          </cell>
          <cell r="CL7884">
            <v>8207.6849999999995</v>
          </cell>
          <cell r="CM7884" t="str">
            <v xml:space="preserve">NFT-/XUTR/DEUTH02504573830X </v>
          </cell>
          <cell r="CN7884" t="str">
            <v>2025-02-14</v>
          </cell>
          <cell r="CO7884">
            <v>897.78200000000004</v>
          </cell>
        </row>
        <row r="7885">
          <cell r="CJ7885" t="str">
            <v xml:space="preserve">NFT-/XUTR/DEUTH02504562606X </v>
          </cell>
          <cell r="CK7885" t="str">
            <v>2025-02-14</v>
          </cell>
          <cell r="CL7885">
            <v>9202.5239999999994</v>
          </cell>
        </row>
        <row r="7886">
          <cell r="CJ7886" t="str">
            <v xml:space="preserve">NFT-/XUTR/DEUTH02504562606X </v>
          </cell>
          <cell r="CK7886" t="str">
            <v>2025-02-14</v>
          </cell>
          <cell r="CL7886">
            <v>52165.408000000003</v>
          </cell>
          <cell r="CM7886" t="str">
            <v xml:space="preserve">NFT-/XUTR/DEUTH02504573830X </v>
          </cell>
          <cell r="CN7886" t="str">
            <v>2025-02-14</v>
          </cell>
          <cell r="CO7886">
            <v>2760.3139999999999</v>
          </cell>
        </row>
        <row r="7887">
          <cell r="CJ7887" t="str">
            <v xml:space="preserve">NFT-/XUTR/DEUTH02504562606X </v>
          </cell>
          <cell r="CK7887" t="str">
            <v>2025-02-14</v>
          </cell>
          <cell r="CL7887">
            <v>45197.258999999998</v>
          </cell>
        </row>
        <row r="7888">
          <cell r="CJ7888" t="str">
            <v xml:space="preserve">NFT-/XUTR/DEUTH02504562606X </v>
          </cell>
          <cell r="CK7888" t="str">
            <v>2025-02-14</v>
          </cell>
          <cell r="CL7888">
            <v>17195.429</v>
          </cell>
          <cell r="CM7888" t="str">
            <v xml:space="preserve">NFT-/XUTR/DEUTH02504573830X </v>
          </cell>
          <cell r="CN7888" t="str">
            <v>2025-02-14</v>
          </cell>
          <cell r="CO7888">
            <v>1103.547</v>
          </cell>
          <cell r="CP7888" t="str">
            <v xml:space="preserve">NFT-/XUTR/DEUTH02504852221X </v>
          </cell>
          <cell r="CQ7888" t="str">
            <v>2025-02-17</v>
          </cell>
          <cell r="CR7888">
            <v>-17195.429</v>
          </cell>
          <cell r="CS7888" t="str">
            <v xml:space="preserve">NFT-/XUTR/DEUTH02504885186X </v>
          </cell>
          <cell r="CT7888" t="str">
            <v>2025-02-17</v>
          </cell>
          <cell r="CU7888">
            <v>-1103.547</v>
          </cell>
        </row>
        <row r="7889">
          <cell r="CJ7889" t="str">
            <v xml:space="preserve">NFT-/XUTR/DEUTH02504562606X </v>
          </cell>
          <cell r="CK7889" t="str">
            <v>2025-02-14</v>
          </cell>
          <cell r="CL7889">
            <v>8756.5040000000008</v>
          </cell>
          <cell r="CM7889" t="str">
            <v xml:space="preserve">NFT-/XUTR/DEUTH02504573830X </v>
          </cell>
          <cell r="CN7889" t="str">
            <v>2025-02-14</v>
          </cell>
          <cell r="CO7889">
            <v>464.90899999999999</v>
          </cell>
        </row>
        <row r="7890">
          <cell r="CJ7890" t="str">
            <v xml:space="preserve">NFT-/XUTR/DEUTH02504562606X </v>
          </cell>
          <cell r="CK7890" t="str">
            <v>2025-02-14</v>
          </cell>
          <cell r="CL7890">
            <v>42950.815000000002</v>
          </cell>
          <cell r="CM7890" t="str">
            <v xml:space="preserve">NFT-/XUTR/DEUTH02504573830X </v>
          </cell>
          <cell r="CN7890" t="str">
            <v>2025-02-14</v>
          </cell>
          <cell r="CO7890">
            <v>2265.3240000000001</v>
          </cell>
        </row>
        <row r="7891">
          <cell r="CJ7891" t="str">
            <v xml:space="preserve">NFT-/XUTR/DEUTH02504562606X </v>
          </cell>
          <cell r="CK7891" t="str">
            <v>2025-02-14</v>
          </cell>
          <cell r="CL7891">
            <v>17387.82</v>
          </cell>
          <cell r="CM7891" t="str">
            <v xml:space="preserve">NFT-/XUTR/DEUTH02504573830X </v>
          </cell>
          <cell r="CN7891" t="str">
            <v>2025-02-14</v>
          </cell>
          <cell r="CO7891">
            <v>920.10799999999995</v>
          </cell>
        </row>
        <row r="7892">
          <cell r="CJ7892" t="str">
            <v xml:space="preserve">NFT-/XUTR/DEUTH02504562606X </v>
          </cell>
          <cell r="CK7892" t="str">
            <v>2025-02-14</v>
          </cell>
          <cell r="CL7892">
            <v>1151.604</v>
          </cell>
          <cell r="CM7892" t="str">
            <v xml:space="preserve">NFT-/XUTR/DEUTH02504573830X </v>
          </cell>
          <cell r="CN7892" t="str">
            <v>2025-02-14</v>
          </cell>
          <cell r="CO7892">
            <v>66.004000000000005</v>
          </cell>
        </row>
        <row r="7893">
          <cell r="CJ7893" t="str">
            <v xml:space="preserve">NFT-/XUTR/DEUTH02504562606X </v>
          </cell>
          <cell r="CK7893" t="str">
            <v>2025-02-14</v>
          </cell>
          <cell r="CL7893">
            <v>17194.68</v>
          </cell>
          <cell r="CM7893" t="str">
            <v xml:space="preserve">NFT-/XUTR/DEUTH02504573830X </v>
          </cell>
          <cell r="CN7893" t="str">
            <v>2025-02-14</v>
          </cell>
          <cell r="CO7893">
            <v>909.43100000000004</v>
          </cell>
        </row>
        <row r="7894">
          <cell r="CJ7894" t="str">
            <v xml:space="preserve">NFT-/XUTR/DEUTH02504562606X </v>
          </cell>
          <cell r="CK7894" t="str">
            <v>2025-02-14</v>
          </cell>
          <cell r="CL7894">
            <v>42452.472999999998</v>
          </cell>
          <cell r="CM7894" t="str">
            <v xml:space="preserve">NFT-/XUTR/DEUTH02504573830X </v>
          </cell>
          <cell r="CN7894" t="str">
            <v>2025-02-14</v>
          </cell>
          <cell r="CO7894">
            <v>2240.085</v>
          </cell>
        </row>
        <row r="7895">
          <cell r="CJ7895" t="str">
            <v xml:space="preserve">NFT-/XUTR/DEUTH02504562606X </v>
          </cell>
          <cell r="CK7895" t="str">
            <v>2025-02-14</v>
          </cell>
          <cell r="CL7895">
            <v>17387.82</v>
          </cell>
          <cell r="CM7895" t="str">
            <v xml:space="preserve">NFT-/XUTR/DEUTH02504573830X </v>
          </cell>
          <cell r="CN7895" t="str">
            <v>2025-02-14</v>
          </cell>
          <cell r="CO7895">
            <v>920.10799999999995</v>
          </cell>
        </row>
        <row r="7896">
          <cell r="CJ7896" t="str">
            <v xml:space="preserve">NFT-/XUTR/DEUTH02504562606X </v>
          </cell>
          <cell r="CK7896" t="str">
            <v>2025-02-14</v>
          </cell>
          <cell r="CL7896">
            <v>42950.815000000002</v>
          </cell>
          <cell r="CM7896" t="str">
            <v xml:space="preserve">NFT-/XUTR/DEUTH02504573830X </v>
          </cell>
          <cell r="CN7896" t="str">
            <v>2025-02-14</v>
          </cell>
          <cell r="CO7896">
            <v>2265.3240000000001</v>
          </cell>
        </row>
        <row r="7897">
          <cell r="CJ7897" t="str">
            <v xml:space="preserve">NFT-/XUTR/DEUTH02504562606X </v>
          </cell>
          <cell r="CK7897" t="str">
            <v>2025-02-14</v>
          </cell>
          <cell r="CL7897">
            <v>42363.178999999996</v>
          </cell>
          <cell r="CM7897" t="str">
            <v xml:space="preserve">NFT-/XUTR/DEUTH02504573830X </v>
          </cell>
          <cell r="CN7897" t="str">
            <v>2025-02-14</v>
          </cell>
          <cell r="CO7897">
            <v>2329.3789999999999</v>
          </cell>
        </row>
        <row r="7898">
          <cell r="CJ7898" t="str">
            <v xml:space="preserve">NFT-/XUTR/DEUTH02504562606X </v>
          </cell>
          <cell r="CK7898" t="str">
            <v>2025-02-14</v>
          </cell>
          <cell r="CL7898">
            <v>17368.939999999999</v>
          </cell>
          <cell r="CM7898" t="str">
            <v xml:space="preserve">NFT-/XUTR/DEUTH02504573830X </v>
          </cell>
          <cell r="CN7898" t="str">
            <v>2025-02-14</v>
          </cell>
          <cell r="CO7898">
            <v>920.10799999999995</v>
          </cell>
        </row>
        <row r="7899">
          <cell r="CJ7899" t="str">
            <v xml:space="preserve">NFT-/XUTR/DEUTH02504562606X </v>
          </cell>
          <cell r="CK7899" t="str">
            <v>2025-02-14</v>
          </cell>
          <cell r="CL7899">
            <v>10950.973</v>
          </cell>
          <cell r="CM7899" t="str">
            <v xml:space="preserve">NFT-/XUTR/DEUTH02504573830X </v>
          </cell>
          <cell r="CN7899" t="str">
            <v>2025-02-14</v>
          </cell>
          <cell r="CO7899">
            <v>580.40700000000004</v>
          </cell>
        </row>
        <row r="7900">
          <cell r="CJ7900" t="str">
            <v xml:space="preserve">NFT-/XUTR/DEUTH02504562606X </v>
          </cell>
          <cell r="CK7900" t="str">
            <v>2025-02-14</v>
          </cell>
          <cell r="CL7900">
            <v>10932.093999999999</v>
          </cell>
          <cell r="CM7900" t="str">
            <v xml:space="preserve">NFT-/XUTR/DEUTH02504573830X </v>
          </cell>
          <cell r="CN7900" t="str">
            <v>2025-02-14</v>
          </cell>
          <cell r="CO7900">
            <v>580.40599999999995</v>
          </cell>
        </row>
        <row r="7901">
          <cell r="CJ7901" t="str">
            <v xml:space="preserve">NFT-/XUTR/DEUTH02504562606X </v>
          </cell>
          <cell r="CK7901" t="str">
            <v>2025-02-14</v>
          </cell>
          <cell r="CL7901">
            <v>34389.358</v>
          </cell>
          <cell r="CM7901" t="str">
            <v xml:space="preserve">NFT-/XUTR/DEUTH02504573830X </v>
          </cell>
          <cell r="CN7901" t="str">
            <v>2025-02-14</v>
          </cell>
          <cell r="CO7901">
            <v>1818.854</v>
          </cell>
        </row>
        <row r="7902">
          <cell r="CJ7902" t="str">
            <v xml:space="preserve">NFT-/XUTR/DEUTH02504562606X </v>
          </cell>
          <cell r="CK7902" t="str">
            <v>2025-02-14</v>
          </cell>
          <cell r="CL7902">
            <v>42452.472999999998</v>
          </cell>
          <cell r="CM7902" t="str">
            <v xml:space="preserve">NFT-/XUTR/DEUTH02504573830X </v>
          </cell>
          <cell r="CN7902" t="str">
            <v>2025-02-14</v>
          </cell>
          <cell r="CO7902">
            <v>2240.085</v>
          </cell>
        </row>
        <row r="7903">
          <cell r="CJ7903" t="str">
            <v xml:space="preserve">NFT-/XUTR/DEUTH02504562606X </v>
          </cell>
          <cell r="CK7903" t="str">
            <v>2025-02-14</v>
          </cell>
          <cell r="CL7903">
            <v>17387.82</v>
          </cell>
          <cell r="CM7903" t="str">
            <v xml:space="preserve">NFT-/XUTR/DEUTH02504573830X </v>
          </cell>
          <cell r="CN7903" t="str">
            <v>2025-02-14</v>
          </cell>
          <cell r="CO7903">
            <v>920.10799999999995</v>
          </cell>
        </row>
        <row r="7904">
          <cell r="CJ7904" t="str">
            <v xml:space="preserve">NFT-/XUTR/DEUTH02504562606X </v>
          </cell>
          <cell r="CK7904" t="str">
            <v>2025-02-14</v>
          </cell>
          <cell r="CL7904">
            <v>44594.536999999997</v>
          </cell>
          <cell r="CM7904" t="str">
            <v xml:space="preserve">NFT-/XUTR/DEUTH02504573830X </v>
          </cell>
          <cell r="CN7904" t="str">
            <v>2025-02-14</v>
          </cell>
          <cell r="CO7904">
            <v>1383.07</v>
          </cell>
        </row>
        <row r="7905">
          <cell r="CJ7905" t="str">
            <v xml:space="preserve">NFT-/XUTR/DEUTH02504562606X </v>
          </cell>
          <cell r="CK7905" t="str">
            <v>2025-02-14</v>
          </cell>
          <cell r="CL7905">
            <v>17563.056</v>
          </cell>
          <cell r="CM7905" t="str">
            <v xml:space="preserve">NFT-/XUTR/DEUTH02504573830X </v>
          </cell>
          <cell r="CN7905" t="str">
            <v>2025-02-14</v>
          </cell>
          <cell r="CO7905">
            <v>929.81</v>
          </cell>
        </row>
        <row r="7906">
          <cell r="CJ7906" t="str">
            <v xml:space="preserve">NFT-/XUTR/DEUTH02504562606X </v>
          </cell>
          <cell r="CK7906" t="str">
            <v>2025-02-14</v>
          </cell>
          <cell r="CL7906">
            <v>8838.5589999999993</v>
          </cell>
          <cell r="CM7906" t="str">
            <v xml:space="preserve">NFT-/XUTR/DEUTH02504573830X </v>
          </cell>
          <cell r="CN7906" t="str">
            <v>2025-02-14</v>
          </cell>
          <cell r="CO7906">
            <v>470.72500000000002</v>
          </cell>
        </row>
        <row r="7907">
          <cell r="CJ7907" t="str">
            <v xml:space="preserve">NFT-/XUTR/DEUTH02504562606X </v>
          </cell>
          <cell r="CK7907" t="str">
            <v>2025-02-14</v>
          </cell>
          <cell r="CL7907">
            <v>11959.904</v>
          </cell>
        </row>
        <row r="7908">
          <cell r="CJ7908" t="str">
            <v xml:space="preserve">NFT-/XUTR/DEUTH02504562606X </v>
          </cell>
          <cell r="CK7908" t="str">
            <v>2025-02-14</v>
          </cell>
          <cell r="CL7908">
            <v>17563.056</v>
          </cell>
          <cell r="CM7908" t="str">
            <v xml:space="preserve">NFT-/XUTR/DEUTH02504573830X </v>
          </cell>
          <cell r="CN7908" t="str">
            <v>2025-02-14</v>
          </cell>
          <cell r="CO7908">
            <v>929.81</v>
          </cell>
        </row>
        <row r="7909">
          <cell r="CJ7909" t="str">
            <v xml:space="preserve">NFT-/XUTR/DEUTH02504562606X </v>
          </cell>
          <cell r="CK7909" t="str">
            <v>2025-02-14</v>
          </cell>
          <cell r="CL7909">
            <v>8838.5589999999993</v>
          </cell>
          <cell r="CM7909" t="str">
            <v xml:space="preserve">NFT-/XUTR/DEUTH02504573830X </v>
          </cell>
          <cell r="CN7909" t="str">
            <v>2025-02-14</v>
          </cell>
          <cell r="CO7909">
            <v>470.72500000000002</v>
          </cell>
        </row>
        <row r="7910">
          <cell r="CJ7910" t="str">
            <v xml:space="preserve">NFT-/XUTR/DEUTH02504562606X </v>
          </cell>
          <cell r="CK7910" t="str">
            <v>2025-02-14</v>
          </cell>
          <cell r="CL7910">
            <v>8838.5589999999993</v>
          </cell>
          <cell r="CM7910" t="str">
            <v xml:space="preserve">NFT-/XUTR/DEUTH02504573830X </v>
          </cell>
          <cell r="CN7910" t="str">
            <v>2025-02-14</v>
          </cell>
          <cell r="CO7910">
            <v>470.72500000000002</v>
          </cell>
        </row>
        <row r="7911">
          <cell r="CJ7911" t="str">
            <v xml:space="preserve">NFT-/XUTR/DEUTH02504562606X </v>
          </cell>
          <cell r="CK7911" t="str">
            <v>2025-02-14</v>
          </cell>
          <cell r="CL7911">
            <v>143589.25399999999</v>
          </cell>
          <cell r="CM7911" t="str">
            <v xml:space="preserve">NFT-/XUTR/DEUTH02504573830X </v>
          </cell>
          <cell r="CN7911" t="str">
            <v>2025-02-14</v>
          </cell>
          <cell r="CO7911">
            <v>5823.4480000000003</v>
          </cell>
        </row>
        <row r="7912">
          <cell r="CJ7912" t="str">
            <v xml:space="preserve">NFT-/XUTR/DEUTH02504562606X </v>
          </cell>
          <cell r="CK7912" t="str">
            <v>2025-02-14</v>
          </cell>
          <cell r="CL7912">
            <v>17563.056</v>
          </cell>
          <cell r="CM7912" t="str">
            <v xml:space="preserve">NFT-/XUTR/DEUTH02504573830X </v>
          </cell>
          <cell r="CN7912" t="str">
            <v>2025-02-14</v>
          </cell>
          <cell r="CO7912">
            <v>929.81</v>
          </cell>
        </row>
        <row r="7913">
          <cell r="CJ7913" t="str">
            <v xml:space="preserve">NFT-/XUTR/DEUTH02504562606X </v>
          </cell>
          <cell r="CK7913" t="str">
            <v>2025-02-14</v>
          </cell>
          <cell r="CL7913">
            <v>2710.3490000000002</v>
          </cell>
          <cell r="CM7913" t="str">
            <v xml:space="preserve">NFT-/XUTR/DEUTH02504573830X </v>
          </cell>
          <cell r="CN7913" t="str">
            <v>2025-02-14</v>
          </cell>
          <cell r="CO7913">
            <v>47.554000000000002</v>
          </cell>
        </row>
        <row r="7914">
          <cell r="CJ7914" t="str">
            <v xml:space="preserve">NFT-/XUTR/DEUTH02504562606X </v>
          </cell>
          <cell r="CK7914" t="str">
            <v>2025-02-14</v>
          </cell>
          <cell r="CL7914">
            <v>71785.182000000001</v>
          </cell>
          <cell r="CM7914" t="str">
            <v xml:space="preserve">NFT-/XUTR/DEUTH02504573830X </v>
          </cell>
          <cell r="CN7914" t="str">
            <v>2025-02-14</v>
          </cell>
          <cell r="CO7914">
            <v>2911.7240000000002</v>
          </cell>
        </row>
        <row r="7915">
          <cell r="CJ7915" t="str">
            <v xml:space="preserve">NFT-/XUTR/DEUTH02504562606X </v>
          </cell>
          <cell r="CK7915" t="str">
            <v>2025-02-14</v>
          </cell>
          <cell r="CL7915">
            <v>5989.3919999999998</v>
          </cell>
        </row>
        <row r="7916">
          <cell r="CJ7916" t="str">
            <v xml:space="preserve">NFT-/XUTR/DEUTH02504562606X </v>
          </cell>
          <cell r="CK7916" t="str">
            <v>2025-02-14</v>
          </cell>
          <cell r="CL7916">
            <v>71785.182000000001</v>
          </cell>
          <cell r="CM7916" t="str">
            <v xml:space="preserve">NFT-/XUTR/DEUTH02504573830X </v>
          </cell>
          <cell r="CN7916" t="str">
            <v>2025-02-14</v>
          </cell>
          <cell r="CO7916">
            <v>2911.7240000000002</v>
          </cell>
        </row>
        <row r="7917">
          <cell r="CJ7917" t="str">
            <v xml:space="preserve">NFT-/XUTR/DEUTH02504562606X </v>
          </cell>
          <cell r="CK7917" t="str">
            <v>2025-02-14</v>
          </cell>
          <cell r="CL7917">
            <v>8857.4390000000003</v>
          </cell>
          <cell r="CM7917" t="str">
            <v xml:space="preserve">NFT-/XUTR/DEUTH02504573830X </v>
          </cell>
          <cell r="CN7917" t="str">
            <v>2025-02-14</v>
          </cell>
          <cell r="CO7917">
            <v>470.72500000000002</v>
          </cell>
          <cell r="CP7917" t="str">
            <v xml:space="preserve">NFT-/XUTR/DEUTH02504852221X </v>
          </cell>
          <cell r="CQ7917" t="str">
            <v>2025-02-17</v>
          </cell>
          <cell r="CR7917">
            <v>-8857.4390000000003</v>
          </cell>
          <cell r="CS7917" t="str">
            <v xml:space="preserve">NFT-/XUTR/DEUTH02504885186X </v>
          </cell>
          <cell r="CT7917" t="str">
            <v>2025-02-17</v>
          </cell>
          <cell r="CU7917">
            <v>-470.72500000000002</v>
          </cell>
        </row>
        <row r="7918">
          <cell r="CJ7918" t="str">
            <v xml:space="preserve">NFT-/XUTR/DEUTH02504562606X </v>
          </cell>
          <cell r="CK7918" t="str">
            <v>2025-02-14</v>
          </cell>
          <cell r="CL7918">
            <v>143589.25399999999</v>
          </cell>
          <cell r="CM7918" t="str">
            <v xml:space="preserve">NFT-/XUTR/DEUTH02504573830X </v>
          </cell>
          <cell r="CN7918" t="str">
            <v>2025-02-14</v>
          </cell>
          <cell r="CO7918">
            <v>5823.4480000000003</v>
          </cell>
        </row>
        <row r="7919">
          <cell r="CJ7919" t="str">
            <v xml:space="preserve">NFT-/XUTR/DEUTH02504562606X </v>
          </cell>
          <cell r="CK7919" t="str">
            <v>2025-02-14</v>
          </cell>
          <cell r="CL7919">
            <v>17581.936000000002</v>
          </cell>
          <cell r="CM7919" t="str">
            <v xml:space="preserve">NFT-/XUTR/DEUTH02504573830X </v>
          </cell>
          <cell r="CN7919" t="str">
            <v>2025-02-14</v>
          </cell>
          <cell r="CO7919">
            <v>929.81</v>
          </cell>
        </row>
        <row r="7920">
          <cell r="CJ7920" t="str">
            <v xml:space="preserve">NFT-/XUTR/DEUTH02504852221X </v>
          </cell>
          <cell r="CK7920" t="str">
            <v>2025-02-17</v>
          </cell>
          <cell r="CL7920">
            <v>10585.058999999999</v>
          </cell>
          <cell r="CM7920" t="str">
            <v xml:space="preserve">NFT-/XUTR/DEUTH02504885186X </v>
          </cell>
          <cell r="CN7920" t="str">
            <v>2025-02-17</v>
          </cell>
          <cell r="CO7920">
            <v>1130.723</v>
          </cell>
        </row>
        <row r="7921">
          <cell r="CJ7921" t="str">
            <v xml:space="preserve">NFT-/XUTR/DEUTH02504562606X </v>
          </cell>
          <cell r="CK7921" t="str">
            <v>2025-02-14</v>
          </cell>
          <cell r="CL7921">
            <v>88935.240999999995</v>
          </cell>
          <cell r="CM7921" t="str">
            <v xml:space="preserve">NFT-/XUTR/DEUTH02504573830X </v>
          </cell>
          <cell r="CN7921" t="str">
            <v>2025-02-14</v>
          </cell>
          <cell r="CO7921">
            <v>2911.7240000000002</v>
          </cell>
        </row>
        <row r="7922">
          <cell r="CJ7922" t="str">
            <v xml:space="preserve">NFT-/XUTR/DEUTH02504852221X </v>
          </cell>
          <cell r="CK7922" t="str">
            <v>2025-02-17</v>
          </cell>
          <cell r="CL7922">
            <v>88512.51</v>
          </cell>
          <cell r="CM7922" t="str">
            <v xml:space="preserve">NFT-/XUTR/DEUTH02504885186X </v>
          </cell>
          <cell r="CN7922" t="str">
            <v>2025-02-17</v>
          </cell>
          <cell r="CO7922">
            <v>3130.1039999999998</v>
          </cell>
        </row>
        <row r="7923">
          <cell r="CJ7923" t="str">
            <v xml:space="preserve">NFT-/XUTR/DEUTH02504852221X </v>
          </cell>
          <cell r="CK7923" t="str">
            <v>2025-02-17</v>
          </cell>
          <cell r="CL7923">
            <v>87633.434999999998</v>
          </cell>
          <cell r="CM7923" t="str">
            <v xml:space="preserve">NFT-/XUTR/DEUTH02504885186X </v>
          </cell>
          <cell r="CN7923" t="str">
            <v>2025-02-17</v>
          </cell>
          <cell r="CO7923">
            <v>4634.4949999999999</v>
          </cell>
        </row>
        <row r="7924">
          <cell r="CJ7924" t="str">
            <v xml:space="preserve">NFT-/XUTR/DEUTH02504852221X </v>
          </cell>
          <cell r="CK7924" t="str">
            <v>2025-02-17</v>
          </cell>
          <cell r="CL7924">
            <v>88935.240999999995</v>
          </cell>
          <cell r="CM7924" t="str">
            <v xml:space="preserve">NFT-/XUTR/DEUTH02504885186X </v>
          </cell>
          <cell r="CN7924" t="str">
            <v>2025-02-17</v>
          </cell>
          <cell r="CO7924">
            <v>2911.7240000000002</v>
          </cell>
        </row>
        <row r="7925">
          <cell r="CJ7925" t="str">
            <v xml:space="preserve">NFT-/XUTR/DEUTH02504852221X </v>
          </cell>
          <cell r="CK7925" t="str">
            <v>2025-02-17</v>
          </cell>
          <cell r="CL7925">
            <v>17535.346000000001</v>
          </cell>
          <cell r="CM7925" t="str">
            <v xml:space="preserve">NFT-/XUTR/DEUTH02504885186X </v>
          </cell>
          <cell r="CN7925" t="str">
            <v>2025-02-17</v>
          </cell>
          <cell r="CO7925">
            <v>927.87099999999998</v>
          </cell>
        </row>
        <row r="7926">
          <cell r="CJ7926" t="str">
            <v xml:space="preserve">NFT-/XUTR/DEUTH02504852221X </v>
          </cell>
          <cell r="CK7926" t="str">
            <v>2025-02-17</v>
          </cell>
          <cell r="CL7926">
            <v>17535.346000000001</v>
          </cell>
          <cell r="CM7926" t="str">
            <v xml:space="preserve">NFT-/XUTR/DEUTH02504885186X </v>
          </cell>
          <cell r="CN7926" t="str">
            <v>2025-02-17</v>
          </cell>
          <cell r="CO7926">
            <v>927.87099999999998</v>
          </cell>
        </row>
        <row r="7927">
          <cell r="CJ7927" t="str">
            <v xml:space="preserve">NFT-/XUTR/DEUTH02504852221X </v>
          </cell>
          <cell r="CK7927" t="str">
            <v>2025-02-17</v>
          </cell>
          <cell r="CL7927">
            <v>17535.345000000001</v>
          </cell>
          <cell r="CM7927" t="str">
            <v xml:space="preserve">NFT-/XUTR/DEUTH02504885186X </v>
          </cell>
          <cell r="CN7927" t="str">
            <v>2025-02-17</v>
          </cell>
          <cell r="CO7927">
            <v>927.87199999999996</v>
          </cell>
        </row>
        <row r="7928">
          <cell r="CJ7928" t="str">
            <v xml:space="preserve">NFT-/XUTR/DEUTH02504852221X </v>
          </cell>
          <cell r="CK7928" t="str">
            <v>2025-02-17</v>
          </cell>
          <cell r="CL7928">
            <v>70144.313999999998</v>
          </cell>
          <cell r="CM7928" t="str">
            <v xml:space="preserve">NFT-/XUTR/DEUTH02504885186X </v>
          </cell>
          <cell r="CN7928" t="str">
            <v>2025-02-17</v>
          </cell>
          <cell r="CO7928">
            <v>3711.4740000000002</v>
          </cell>
        </row>
        <row r="7929">
          <cell r="CJ7929" t="str">
            <v xml:space="preserve">NFT-/XUTR/DEUTH02504852221X </v>
          </cell>
          <cell r="CK7929" t="str">
            <v>2025-02-17</v>
          </cell>
          <cell r="CL7929">
            <v>17516.466</v>
          </cell>
          <cell r="CM7929" t="str">
            <v xml:space="preserve">NFT-/XUTR/DEUTH02504885186X </v>
          </cell>
          <cell r="CN7929" t="str">
            <v>2025-02-17</v>
          </cell>
          <cell r="CO7929">
            <v>927.87099999999998</v>
          </cell>
        </row>
        <row r="7930">
          <cell r="CJ7930" t="str">
            <v xml:space="preserve">NFT-/XUTR/DEUTH02504852221X </v>
          </cell>
          <cell r="CK7930" t="str">
            <v>2025-02-17</v>
          </cell>
          <cell r="CL7930">
            <v>1217.6079999999999</v>
          </cell>
        </row>
        <row r="7931">
          <cell r="CJ7931" t="str">
            <v xml:space="preserve">NFT-/XUTR/DEUTH02504852221X </v>
          </cell>
          <cell r="CK7931" t="str">
            <v>2025-02-17</v>
          </cell>
          <cell r="CL7931">
            <v>8830.2610000000004</v>
          </cell>
          <cell r="CM7931" t="str">
            <v xml:space="preserve">NFT-/XUTR/DEUTH02504885186X </v>
          </cell>
          <cell r="CN7931" t="str">
            <v>2025-02-17</v>
          </cell>
          <cell r="CO7931">
            <v>468.786</v>
          </cell>
        </row>
        <row r="7932">
          <cell r="CJ7932" t="str">
            <v xml:space="preserve">NFT-/XUTR/DEUTH02504852221X </v>
          </cell>
          <cell r="CK7932" t="str">
            <v>2025-02-17</v>
          </cell>
          <cell r="CL7932">
            <v>26490.793000000001</v>
          </cell>
          <cell r="CM7932" t="str">
            <v xml:space="preserve">NFT-/XUTR/DEUTH02504885186X </v>
          </cell>
          <cell r="CN7932" t="str">
            <v>2025-02-17</v>
          </cell>
          <cell r="CO7932">
            <v>1406.3579999999999</v>
          </cell>
        </row>
        <row r="7933">
          <cell r="CJ7933" t="str">
            <v xml:space="preserve">NFT-/XUTR/DEUTH02504852221X </v>
          </cell>
          <cell r="CK7933" t="str">
            <v>2025-02-17</v>
          </cell>
          <cell r="CL7933">
            <v>43591.4</v>
          </cell>
          <cell r="CM7933" t="str">
            <v xml:space="preserve">NFT-/XUTR/DEUTH02504885186X </v>
          </cell>
          <cell r="CN7933" t="str">
            <v>2025-02-17</v>
          </cell>
          <cell r="CO7933">
            <v>2298.326</v>
          </cell>
        </row>
        <row r="7934">
          <cell r="CJ7934" t="str">
            <v xml:space="preserve">NFT-/XUTR/DEUTH02504852221X </v>
          </cell>
          <cell r="CK7934" t="str">
            <v>2025-02-17</v>
          </cell>
          <cell r="CL7934">
            <v>33197.052000000003</v>
          </cell>
          <cell r="CM7934" t="str">
            <v xml:space="preserve">NFT-/XUTR/DEUTH02504885186X </v>
          </cell>
          <cell r="CN7934" t="str">
            <v>2025-02-17</v>
          </cell>
          <cell r="CO7934">
            <v>3711.4740000000002</v>
          </cell>
        </row>
        <row r="7935">
          <cell r="CJ7935" t="str">
            <v xml:space="preserve">NFT-/XUTR/DEUTH02504852221X </v>
          </cell>
          <cell r="CK7935" t="str">
            <v>2025-02-17</v>
          </cell>
          <cell r="CL7935">
            <v>88730.89</v>
          </cell>
          <cell r="CM7935" t="str">
            <v xml:space="preserve">NFT-/XUTR/DEUTH02504885186X </v>
          </cell>
          <cell r="CN7935" t="str">
            <v>2025-02-17</v>
          </cell>
          <cell r="CO7935">
            <v>2911.7240000000002</v>
          </cell>
        </row>
        <row r="7936">
          <cell r="CJ7936" t="str">
            <v xml:space="preserve">NFT-/XUTR/DEUTH02504852221X </v>
          </cell>
          <cell r="CK7936" t="str">
            <v>2025-02-17</v>
          </cell>
          <cell r="CL7936">
            <v>43572.52</v>
          </cell>
          <cell r="CM7936" t="str">
            <v xml:space="preserve">NFT-/XUTR/DEUTH02504885186X </v>
          </cell>
          <cell r="CN7936" t="str">
            <v>2025-02-17</v>
          </cell>
          <cell r="CO7936">
            <v>2298.326</v>
          </cell>
        </row>
        <row r="7937">
          <cell r="CJ7937" t="str">
            <v xml:space="preserve">NFT-/XUTR/DEUTH02504852221X </v>
          </cell>
          <cell r="CK7937" t="str">
            <v>2025-02-17</v>
          </cell>
          <cell r="CL7937">
            <v>8361.4750000000004</v>
          </cell>
          <cell r="CM7937" t="str">
            <v xml:space="preserve">NFT-/XUTR/DEUTH02504885186X </v>
          </cell>
          <cell r="CN7937" t="str">
            <v>2025-02-17</v>
          </cell>
          <cell r="CO7937">
            <v>937.572</v>
          </cell>
        </row>
        <row r="7938">
          <cell r="CJ7938" t="str">
            <v xml:space="preserve">NFT-/XUTR/DEUTH02504852221X </v>
          </cell>
          <cell r="CK7938" t="str">
            <v>2025-02-17</v>
          </cell>
          <cell r="CL7938">
            <v>10805.911</v>
          </cell>
          <cell r="CM7938" t="str">
            <v xml:space="preserve">NFT-/XUTR/DEUTH02504885186X </v>
          </cell>
          <cell r="CN7938" t="str">
            <v>2025-02-17</v>
          </cell>
          <cell r="CO7938">
            <v>1211.28</v>
          </cell>
        </row>
        <row r="7939">
          <cell r="CJ7939" t="str">
            <v xml:space="preserve">NFT-/XUTR/DEUTH02504852221X </v>
          </cell>
          <cell r="CK7939" t="str">
            <v>2025-02-17</v>
          </cell>
          <cell r="CL7939">
            <v>8848.7009999999991</v>
          </cell>
          <cell r="CM7939" t="str">
            <v xml:space="preserve">NFT-/XUTR/DEUTH02504885186X </v>
          </cell>
          <cell r="CN7939" t="str">
            <v>2025-02-17</v>
          </cell>
          <cell r="CO7939">
            <v>469.76</v>
          </cell>
        </row>
        <row r="7940">
          <cell r="CJ7940" t="str">
            <v xml:space="preserve">NFT-/XUTR/DEUTH02504852221X </v>
          </cell>
          <cell r="CK7940" t="str">
            <v>2025-02-17</v>
          </cell>
          <cell r="CL7940">
            <v>17572.234</v>
          </cell>
          <cell r="CM7940" t="str">
            <v xml:space="preserve">NFT-/XUTR/DEUTH02504885186X </v>
          </cell>
          <cell r="CN7940" t="str">
            <v>2025-02-17</v>
          </cell>
          <cell r="CO7940">
            <v>929.81</v>
          </cell>
        </row>
        <row r="7941">
          <cell r="CJ7941" t="str">
            <v xml:space="preserve">NFT-/XUTR/DEUTH02504852221X </v>
          </cell>
          <cell r="CK7941" t="str">
            <v>2025-02-17</v>
          </cell>
          <cell r="CL7941">
            <v>43673.896000000001</v>
          </cell>
          <cell r="CM7941" t="str">
            <v xml:space="preserve">NFT-/XUTR/DEUTH02504885186X </v>
          </cell>
          <cell r="CN7941" t="str">
            <v>2025-02-17</v>
          </cell>
          <cell r="CO7941">
            <v>2303.1770000000001</v>
          </cell>
        </row>
        <row r="7942">
          <cell r="CJ7942" t="str">
            <v xml:space="preserve">NFT-/XUTR/DEUTH02504852221X </v>
          </cell>
          <cell r="CK7942" t="str">
            <v>2025-02-17</v>
          </cell>
          <cell r="CL7942">
            <v>8811.3809999999994</v>
          </cell>
          <cell r="CM7942" t="str">
            <v xml:space="preserve">NFT-/XUTR/DEUTH02504885186X </v>
          </cell>
          <cell r="CN7942" t="str">
            <v>2025-02-17</v>
          </cell>
          <cell r="CO7942">
            <v>468.786</v>
          </cell>
        </row>
        <row r="7943">
          <cell r="CJ7943" t="str">
            <v xml:space="preserve">NFT-/XUTR/DEUTH02504852221X </v>
          </cell>
          <cell r="CK7943" t="str">
            <v>2025-02-17</v>
          </cell>
          <cell r="CL7943">
            <v>88886.710999999996</v>
          </cell>
          <cell r="CM7943" t="str">
            <v xml:space="preserve">NFT-/XUTR/DEUTH02504885186X </v>
          </cell>
          <cell r="CN7943" t="str">
            <v>2025-02-17</v>
          </cell>
          <cell r="CO7943">
            <v>2911.7240000000002</v>
          </cell>
        </row>
        <row r="7944">
          <cell r="CJ7944" t="str">
            <v xml:space="preserve">NFT-/XUTR/DEUTH02504852221X </v>
          </cell>
          <cell r="CK7944" t="str">
            <v>2025-02-17</v>
          </cell>
          <cell r="CL7944">
            <v>8461.9789999999994</v>
          </cell>
          <cell r="CM7944" t="str">
            <v xml:space="preserve">NFT-/XUTR/DEUTH02504885186X </v>
          </cell>
          <cell r="CN7944" t="str">
            <v>2025-02-17</v>
          </cell>
          <cell r="CO7944">
            <v>818.18799999999999</v>
          </cell>
        </row>
        <row r="7945">
          <cell r="CJ7945" t="str">
            <v xml:space="preserve">NFT-/XUTR/DEUTH02504852221X </v>
          </cell>
          <cell r="CK7945" t="str">
            <v>2025-02-17</v>
          </cell>
          <cell r="CL7945">
            <v>8848.7009999999991</v>
          </cell>
          <cell r="CM7945" t="str">
            <v xml:space="preserve">NFT-/XUTR/DEUTH02504885186X </v>
          </cell>
          <cell r="CN7945" t="str">
            <v>2025-02-17</v>
          </cell>
          <cell r="CO7945">
            <v>469.76</v>
          </cell>
        </row>
        <row r="7946">
          <cell r="CJ7946" t="str">
            <v xml:space="preserve">NFT-/XUTR/DEUTH02504852221X </v>
          </cell>
          <cell r="CK7946" t="str">
            <v>2025-02-17</v>
          </cell>
          <cell r="CL7946">
            <v>8829.8209999999999</v>
          </cell>
          <cell r="CM7946" t="str">
            <v xml:space="preserve">NFT-/XUTR/DEUTH02504885186X </v>
          </cell>
          <cell r="CN7946" t="str">
            <v>2025-02-17</v>
          </cell>
          <cell r="CO7946">
            <v>469.76</v>
          </cell>
        </row>
        <row r="7947">
          <cell r="CJ7947" t="str">
            <v xml:space="preserve">NFT-/XUTR/DEUTH02504852221X </v>
          </cell>
          <cell r="CK7947" t="str">
            <v>2025-02-17</v>
          </cell>
          <cell r="CL7947">
            <v>43673.896000000001</v>
          </cell>
          <cell r="CM7947" t="str">
            <v xml:space="preserve">NFT-/XUTR/DEUTH02504885186X </v>
          </cell>
          <cell r="CN7947" t="str">
            <v>2025-02-17</v>
          </cell>
          <cell r="CO7947">
            <v>2303.1770000000001</v>
          </cell>
        </row>
        <row r="7948">
          <cell r="CJ7948" t="str">
            <v xml:space="preserve">NFT-/XUTR/DEUTH02504852221X </v>
          </cell>
          <cell r="CK7948" t="str">
            <v>2025-02-17</v>
          </cell>
          <cell r="CL7948">
            <v>43533.692999999999</v>
          </cell>
          <cell r="CM7948" t="str">
            <v xml:space="preserve">NFT-/XUTR/DEUTH02504885186X </v>
          </cell>
          <cell r="CN7948" t="str">
            <v>2025-02-17</v>
          </cell>
          <cell r="CO7948">
            <v>2337.143</v>
          </cell>
        </row>
        <row r="7949">
          <cell r="CJ7949" t="str">
            <v xml:space="preserve">NFT-/XUTR/DEUTH02504852221X </v>
          </cell>
          <cell r="CK7949" t="str">
            <v>2025-02-17</v>
          </cell>
          <cell r="CL7949">
            <v>88886.710999999996</v>
          </cell>
          <cell r="CM7949" t="str">
            <v xml:space="preserve">NFT-/XUTR/DEUTH02504885186X </v>
          </cell>
          <cell r="CN7949" t="str">
            <v>2025-02-17</v>
          </cell>
          <cell r="CO7949">
            <v>2911.7240000000002</v>
          </cell>
        </row>
        <row r="7950">
          <cell r="CJ7950" t="str">
            <v xml:space="preserve">NFT-/XUTR/DEUTH02504852221X </v>
          </cell>
          <cell r="CK7950" t="str">
            <v>2025-02-17</v>
          </cell>
          <cell r="CL7950">
            <v>8848.7009999999991</v>
          </cell>
          <cell r="CM7950" t="str">
            <v xml:space="preserve">NFT-/XUTR/DEUTH02504885186X </v>
          </cell>
          <cell r="CN7950" t="str">
            <v>2025-02-17</v>
          </cell>
          <cell r="CO7950">
            <v>469.76</v>
          </cell>
        </row>
        <row r="7951">
          <cell r="CJ7951" t="str">
            <v xml:space="preserve">NFT-/XUTR/DEUTH02504852221X </v>
          </cell>
          <cell r="CK7951" t="str">
            <v>2025-02-17</v>
          </cell>
          <cell r="CL7951">
            <v>8839.2610000000004</v>
          </cell>
          <cell r="CM7951" t="str">
            <v xml:space="preserve">NFT-/XUTR/DEUTH02504885186X </v>
          </cell>
          <cell r="CN7951" t="str">
            <v>2025-02-17</v>
          </cell>
          <cell r="CO7951">
            <v>469.76</v>
          </cell>
        </row>
        <row r="7952">
          <cell r="CJ7952" t="str">
            <v xml:space="preserve">NFT-/XUTR/DEUTH02504852221X </v>
          </cell>
          <cell r="CK7952" t="str">
            <v>2025-02-17</v>
          </cell>
          <cell r="CL7952">
            <v>174346.72</v>
          </cell>
          <cell r="CM7952" t="str">
            <v xml:space="preserve">NFT-/XUTR/DEUTH02504885186X </v>
          </cell>
          <cell r="CN7952" t="str">
            <v>2025-02-17</v>
          </cell>
          <cell r="CO7952">
            <v>9193.2839999999997</v>
          </cell>
        </row>
        <row r="7953">
          <cell r="CJ7953" t="str">
            <v xml:space="preserve">NFT-/XUTR/DEUTH02504852221X </v>
          </cell>
          <cell r="CK7953" t="str">
            <v>2025-02-17</v>
          </cell>
          <cell r="CL7953">
            <v>43572.52</v>
          </cell>
          <cell r="CM7953" t="str">
            <v xml:space="preserve">NFT-/XUTR/DEUTH02504885186X </v>
          </cell>
          <cell r="CN7953" t="str">
            <v>2025-02-17</v>
          </cell>
          <cell r="CO7953">
            <v>2298.326</v>
          </cell>
        </row>
        <row r="7954">
          <cell r="CJ7954" t="str">
            <v xml:space="preserve">NFT-/XUTR/DEUTH02504852221X </v>
          </cell>
          <cell r="CK7954" t="str">
            <v>2025-02-17</v>
          </cell>
          <cell r="CL7954">
            <v>2621.7669999999998</v>
          </cell>
        </row>
        <row r="7955">
          <cell r="CJ7955" t="str">
            <v xml:space="preserve">NFT-/XUTR/DEUTH02504852221X </v>
          </cell>
          <cell r="CK7955" t="str">
            <v>2025-02-17</v>
          </cell>
          <cell r="CL7955">
            <v>88886.710999999996</v>
          </cell>
          <cell r="CM7955" t="str">
            <v xml:space="preserve">NFT-/XUTR/DEUTH02504885186X </v>
          </cell>
          <cell r="CN7955" t="str">
            <v>2025-02-17</v>
          </cell>
          <cell r="CO7955">
            <v>2911.7240000000002</v>
          </cell>
        </row>
        <row r="7956">
          <cell r="CJ7956" t="str">
            <v xml:space="preserve">NFT-/XUTR/DEUTH02504852221X </v>
          </cell>
          <cell r="CK7956" t="str">
            <v>2025-02-17</v>
          </cell>
          <cell r="CL7956">
            <v>0</v>
          </cell>
          <cell r="CM7956" t="str">
            <v xml:space="preserve">NFT-/XUTR/DEUTH02504885186X </v>
          </cell>
          <cell r="CN7956" t="str">
            <v>2025-02-17</v>
          </cell>
          <cell r="CO7956">
            <v>0</v>
          </cell>
        </row>
        <row r="7957">
          <cell r="CJ7957" t="str">
            <v xml:space="preserve">NFT-/XUTR/DEUTH02504852221X </v>
          </cell>
          <cell r="CK7957" t="str">
            <v>2025-02-17</v>
          </cell>
          <cell r="CL7957">
            <v>87300.77</v>
          </cell>
          <cell r="CM7957" t="str">
            <v xml:space="preserve">NFT-/XUTR/DEUTH02504885186X </v>
          </cell>
          <cell r="CN7957" t="str">
            <v>2025-02-17</v>
          </cell>
          <cell r="CO7957">
            <v>4635.4679999999998</v>
          </cell>
        </row>
        <row r="7958">
          <cell r="CJ7958" t="str">
            <v xml:space="preserve">NFT-/XUTR/DEUTH02504852221X </v>
          </cell>
          <cell r="CK7958" t="str">
            <v>2025-02-17</v>
          </cell>
          <cell r="CL7958">
            <v>8811.3809999999994</v>
          </cell>
          <cell r="CM7958" t="str">
            <v xml:space="preserve">NFT-/XUTR/DEUTH02504885186X </v>
          </cell>
          <cell r="CN7958" t="str">
            <v>2025-02-17</v>
          </cell>
          <cell r="CO7958">
            <v>468.786</v>
          </cell>
        </row>
        <row r="7959">
          <cell r="CJ7959" t="str">
            <v xml:space="preserve">NFT-/XUTR/DEUTH02504852221X </v>
          </cell>
          <cell r="CK7959" t="str">
            <v>2025-02-17</v>
          </cell>
          <cell r="CL7959">
            <v>87182.8</v>
          </cell>
          <cell r="CM7959" t="str">
            <v xml:space="preserve">NFT-/XUTR/DEUTH02504885186X </v>
          </cell>
          <cell r="CN7959" t="str">
            <v>2025-02-17</v>
          </cell>
          <cell r="CO7959">
            <v>4596.6419999999998</v>
          </cell>
        </row>
        <row r="7960">
          <cell r="CJ7960" t="str">
            <v xml:space="preserve">NFT-/XUTR/DEUTH02504852221X </v>
          </cell>
          <cell r="CK7960" t="str">
            <v>2025-02-17</v>
          </cell>
          <cell r="CL7960">
            <v>43673.896000000001</v>
          </cell>
          <cell r="CM7960" t="str">
            <v xml:space="preserve">NFT-/XUTR/DEUTH02504885186X </v>
          </cell>
          <cell r="CN7960" t="str">
            <v>2025-02-17</v>
          </cell>
          <cell r="CO7960">
            <v>2303.1770000000001</v>
          </cell>
        </row>
        <row r="7961">
          <cell r="CJ7961" t="str">
            <v xml:space="preserve">NFT-/XUTR/DEUTH02504852221X </v>
          </cell>
          <cell r="CK7961" t="str">
            <v>2025-02-17</v>
          </cell>
          <cell r="CL7961">
            <v>174346.72</v>
          </cell>
          <cell r="CM7961" t="str">
            <v xml:space="preserve">NFT-/XUTR/DEUTH02504885186X </v>
          </cell>
          <cell r="CN7961" t="str">
            <v>2025-02-17</v>
          </cell>
          <cell r="CO7961">
            <v>9193.2839999999997</v>
          </cell>
        </row>
        <row r="7962">
          <cell r="CJ7962" t="str">
            <v xml:space="preserve">NFT-/XUTR/DEUTH02504852221X </v>
          </cell>
          <cell r="CK7962" t="str">
            <v>2025-02-17</v>
          </cell>
          <cell r="CL7962">
            <v>8848.7019999999993</v>
          </cell>
          <cell r="CM7962" t="str">
            <v xml:space="preserve">NFT-/XUTR/DEUTH02504885186X </v>
          </cell>
          <cell r="CN7962" t="str">
            <v>2025-02-17</v>
          </cell>
          <cell r="CO7962">
            <v>469.76</v>
          </cell>
        </row>
        <row r="7963">
          <cell r="CJ7963" t="str">
            <v xml:space="preserve">NFT-/XUTR/DEUTH02504852221X </v>
          </cell>
          <cell r="CK7963" t="str">
            <v>2025-02-17</v>
          </cell>
          <cell r="CL7963">
            <v>35394.824000000001</v>
          </cell>
          <cell r="CM7963" t="str">
            <v xml:space="preserve">NFT-/XUTR/DEUTH02504885186X </v>
          </cell>
          <cell r="CN7963" t="str">
            <v>2025-02-17</v>
          </cell>
          <cell r="CO7963">
            <v>1879.03</v>
          </cell>
        </row>
        <row r="7964">
          <cell r="CJ7964" t="str">
            <v xml:space="preserve">NFT-/XUTR/DEUTH02504852221X </v>
          </cell>
          <cell r="CK7964" t="str">
            <v>2025-02-17</v>
          </cell>
          <cell r="CL7964">
            <v>43655.016000000003</v>
          </cell>
          <cell r="CM7964" t="str">
            <v xml:space="preserve">NFT-/XUTR/DEUTH02504885186X </v>
          </cell>
          <cell r="CN7964" t="str">
            <v>2025-02-17</v>
          </cell>
          <cell r="CO7964">
            <v>2303.1770000000001</v>
          </cell>
        </row>
        <row r="7965">
          <cell r="CJ7965" t="str">
            <v xml:space="preserve">NFT-/XUTR/DEUTH02504852221X </v>
          </cell>
          <cell r="CK7965" t="str">
            <v>2025-02-17</v>
          </cell>
          <cell r="CL7965">
            <v>88905.591</v>
          </cell>
          <cell r="CM7965" t="str">
            <v xml:space="preserve">NFT-/XUTR/DEUTH02504885186X </v>
          </cell>
          <cell r="CN7965" t="str">
            <v>2025-02-17</v>
          </cell>
          <cell r="CO7965">
            <v>2911.7240000000002</v>
          </cell>
        </row>
        <row r="7966">
          <cell r="CJ7966" t="str">
            <v xml:space="preserve">NFT-/XUTR/DEUTH02504852221X </v>
          </cell>
          <cell r="CK7966" t="str">
            <v>2025-02-17</v>
          </cell>
          <cell r="CL7966">
            <v>44243.525000000001</v>
          </cell>
          <cell r="CM7966" t="str">
            <v xml:space="preserve">NFT-/XUTR/DEUTH02504885186X </v>
          </cell>
          <cell r="CN7966" t="str">
            <v>2025-02-17</v>
          </cell>
          <cell r="CO7966">
            <v>2348.79</v>
          </cell>
        </row>
        <row r="7967">
          <cell r="CJ7967" t="str">
            <v xml:space="preserve">NFT-/XUTR/DEUTH02504852221X </v>
          </cell>
          <cell r="CK7967" t="str">
            <v>2025-02-17</v>
          </cell>
          <cell r="CL7967">
            <v>8848.7019999999993</v>
          </cell>
          <cell r="CM7967" t="str">
            <v xml:space="preserve">NFT-/XUTR/DEUTH02504885186X </v>
          </cell>
          <cell r="CN7967" t="str">
            <v>2025-02-17</v>
          </cell>
          <cell r="CO7967">
            <v>469.76</v>
          </cell>
        </row>
        <row r="7968">
          <cell r="CJ7968" t="str">
            <v xml:space="preserve">NFT-/XUTR/DEUTH02504852221X </v>
          </cell>
          <cell r="CK7968" t="str">
            <v>2025-02-17</v>
          </cell>
          <cell r="CL7968">
            <v>88886.710999999996</v>
          </cell>
          <cell r="CM7968" t="str">
            <v xml:space="preserve">NFT-/XUTR/DEUTH02504885186X </v>
          </cell>
          <cell r="CN7968" t="str">
            <v>2025-02-17</v>
          </cell>
          <cell r="CO7968">
            <v>2911.7240000000002</v>
          </cell>
        </row>
        <row r="7969">
          <cell r="CJ7969" t="str">
            <v xml:space="preserve">NFT-/XUTR/DEUTH02504852221X </v>
          </cell>
          <cell r="CK7969" t="str">
            <v>2025-02-17</v>
          </cell>
          <cell r="CL7969">
            <v>17697.412</v>
          </cell>
          <cell r="CM7969" t="str">
            <v xml:space="preserve">NFT-/XUTR/DEUTH02504885186X </v>
          </cell>
          <cell r="CN7969" t="str">
            <v>2025-02-17</v>
          </cell>
          <cell r="CO7969">
            <v>939.52</v>
          </cell>
        </row>
        <row r="7970">
          <cell r="CJ7970" t="str">
            <v xml:space="preserve">NFT-/XUTR/DEUTH02504852221X </v>
          </cell>
          <cell r="CK7970" t="str">
            <v>2025-02-17</v>
          </cell>
          <cell r="CL7970">
            <v>8829.8209999999999</v>
          </cell>
          <cell r="CM7970" t="str">
            <v xml:space="preserve">NFT-/XUTR/DEUTH02504885186X </v>
          </cell>
          <cell r="CN7970" t="str">
            <v>2025-02-17</v>
          </cell>
          <cell r="CO7970">
            <v>469.76</v>
          </cell>
        </row>
        <row r="7971">
          <cell r="CJ7971" t="str">
            <v xml:space="preserve">NFT-/XUTR/DEUTH02504852221X </v>
          </cell>
          <cell r="CK7971" t="str">
            <v>2025-02-17</v>
          </cell>
          <cell r="CL7971">
            <v>88886.710999999996</v>
          </cell>
          <cell r="CM7971" t="str">
            <v xml:space="preserve">NFT-/XUTR/DEUTH02504885186X </v>
          </cell>
          <cell r="CN7971" t="str">
            <v>2025-02-17</v>
          </cell>
          <cell r="CO7971">
            <v>2911.7240000000002</v>
          </cell>
        </row>
        <row r="7972">
          <cell r="CJ7972" t="str">
            <v xml:space="preserve">NFT-/XUTR/DEUTH02504852221X </v>
          </cell>
          <cell r="CK7972" t="str">
            <v>2025-02-17</v>
          </cell>
          <cell r="CL7972">
            <v>8829.8209999999999</v>
          </cell>
          <cell r="CM7972" t="str">
            <v xml:space="preserve">NFT-/XUTR/DEUTH02504885186X </v>
          </cell>
          <cell r="CN7972" t="str">
            <v>2025-02-17</v>
          </cell>
          <cell r="CO7972">
            <v>469.76</v>
          </cell>
        </row>
        <row r="7973">
          <cell r="CJ7973" t="str">
            <v xml:space="preserve">NFT-/XUTR/DEUTH02504852221X </v>
          </cell>
          <cell r="CK7973" t="str">
            <v>2025-02-17</v>
          </cell>
          <cell r="CL7973">
            <v>8829.8209999999999</v>
          </cell>
          <cell r="CM7973" t="str">
            <v xml:space="preserve">NFT-/XUTR/DEUTH02504885186X </v>
          </cell>
          <cell r="CN7973" t="str">
            <v>2025-02-17</v>
          </cell>
          <cell r="CO7973">
            <v>469.76</v>
          </cell>
        </row>
        <row r="7974">
          <cell r="CJ7974" t="str">
            <v xml:space="preserve">NFT-/XUTR/DEUTH02504852221X </v>
          </cell>
          <cell r="CK7974" t="str">
            <v>2025-02-17</v>
          </cell>
          <cell r="CL7974">
            <v>8848.7019999999993</v>
          </cell>
          <cell r="CM7974" t="str">
            <v xml:space="preserve">NFT-/XUTR/DEUTH02504885186X </v>
          </cell>
          <cell r="CN7974" t="str">
            <v>2025-02-17</v>
          </cell>
          <cell r="CO7974">
            <v>469.76</v>
          </cell>
        </row>
        <row r="7975">
          <cell r="CJ7975" t="str">
            <v xml:space="preserve">NFT-/XUTR/DEUTH02504852221X </v>
          </cell>
          <cell r="CK7975" t="str">
            <v>2025-02-17</v>
          </cell>
          <cell r="CL7975">
            <v>8829.8209999999999</v>
          </cell>
          <cell r="CM7975" t="str">
            <v xml:space="preserve">NFT-/XUTR/DEUTH02504885186X </v>
          </cell>
          <cell r="CN7975" t="str">
            <v>2025-02-17</v>
          </cell>
          <cell r="CO7975">
            <v>469.76</v>
          </cell>
          <cell r="CP7975" t="str">
            <v xml:space="preserve">AXISCN0933919655 </v>
          </cell>
          <cell r="CQ7975" t="str">
            <v>2025-03-03</v>
          </cell>
          <cell r="CR7975">
            <v>-8829.8209999999999</v>
          </cell>
          <cell r="CS7975" t="str">
            <v xml:space="preserve">NFT-/XUTR/DEUTH02506635186X </v>
          </cell>
          <cell r="CT7975" t="str">
            <v>2025-03-07</v>
          </cell>
          <cell r="CU7975">
            <v>-469.76</v>
          </cell>
        </row>
        <row r="7976">
          <cell r="CJ7976" t="str">
            <v xml:space="preserve">NFT-/XUTR/DEUTH02504852221X </v>
          </cell>
          <cell r="CK7976" t="str">
            <v>2025-02-17</v>
          </cell>
          <cell r="CL7976">
            <v>5921.9840000000004</v>
          </cell>
        </row>
        <row r="7977">
          <cell r="CJ7977" t="str">
            <v xml:space="preserve">NFT-/XUTR/DEUTH02504852221X </v>
          </cell>
          <cell r="CK7977" t="str">
            <v>2025-02-17</v>
          </cell>
          <cell r="CL7977">
            <v>88886.710999999996</v>
          </cell>
          <cell r="CM7977" t="str">
            <v xml:space="preserve">NFT-/XUTR/DEUTH02504885186X </v>
          </cell>
          <cell r="CN7977" t="str">
            <v>2025-02-17</v>
          </cell>
          <cell r="CO7977">
            <v>2911.7240000000002</v>
          </cell>
        </row>
        <row r="7978">
          <cell r="CJ7978" t="str">
            <v xml:space="preserve">NFT-/XUTR/DEUTH02504852221X </v>
          </cell>
          <cell r="CK7978" t="str">
            <v>2025-02-17</v>
          </cell>
          <cell r="CL7978">
            <v>177792.302</v>
          </cell>
          <cell r="CM7978" t="str">
            <v xml:space="preserve">NFT-/XUTR/DEUTH02504885186X </v>
          </cell>
          <cell r="CN7978" t="str">
            <v>2025-02-17</v>
          </cell>
          <cell r="CO7978">
            <v>5823.4480000000003</v>
          </cell>
        </row>
        <row r="7979">
          <cell r="CJ7979" t="str">
            <v xml:space="preserve">NFT-/XUTR/DEUTH02504852221X </v>
          </cell>
          <cell r="CK7979" t="str">
            <v>2025-02-17</v>
          </cell>
          <cell r="CL7979">
            <v>88905.592000000004</v>
          </cell>
          <cell r="CM7979" t="str">
            <v xml:space="preserve">NFT-/XUTR/DEUTH02504885186X </v>
          </cell>
          <cell r="CN7979" t="str">
            <v>2025-02-17</v>
          </cell>
          <cell r="CO7979">
            <v>2911.723</v>
          </cell>
        </row>
        <row r="7980">
          <cell r="CJ7980" t="str">
            <v xml:space="preserve">NFT-/XUTR/DEUTH02505041359X </v>
          </cell>
          <cell r="CK7980" t="str">
            <v>2025-02-19</v>
          </cell>
          <cell r="CL7980">
            <v>89304.497000000003</v>
          </cell>
          <cell r="CM7980" t="str">
            <v xml:space="preserve">NFT-/XUTR/DEUTH02506635186X </v>
          </cell>
          <cell r="CN7980" t="str">
            <v>2025-03-07</v>
          </cell>
          <cell r="CO7980">
            <v>3056.3339999999998</v>
          </cell>
        </row>
        <row r="7981">
          <cell r="CJ7981" t="str">
            <v xml:space="preserve">NFT-/XUTR/DEUTH02505041359X </v>
          </cell>
          <cell r="CK7981" t="str">
            <v>2025-02-19</v>
          </cell>
          <cell r="CL7981">
            <v>88905.591</v>
          </cell>
          <cell r="CM7981" t="str">
            <v xml:space="preserve">NFT-/XUTR/DEUTH02506635186X </v>
          </cell>
          <cell r="CN7981" t="str">
            <v>2025-03-07</v>
          </cell>
          <cell r="CO7981">
            <v>2911.7240000000002</v>
          </cell>
        </row>
        <row r="7982">
          <cell r="CJ7982" t="str">
            <v xml:space="preserve">NFT-/XUTR/DEUTH02505041359X </v>
          </cell>
          <cell r="CK7982" t="str">
            <v>2025-02-19</v>
          </cell>
          <cell r="CL7982">
            <v>8904.0300000000007</v>
          </cell>
          <cell r="CM7982" t="str">
            <v xml:space="preserve">NFT-/XUTR/DEUTH02506635186X </v>
          </cell>
          <cell r="CN7982" t="str">
            <v>2025-03-07</v>
          </cell>
          <cell r="CO7982">
            <v>472.673</v>
          </cell>
        </row>
        <row r="7983">
          <cell r="CM7983" t="str">
            <v xml:space="preserve">NFT-/XUTR/DEUTH02506635186X </v>
          </cell>
          <cell r="CN7983" t="str">
            <v>2025-03-07</v>
          </cell>
          <cell r="CO7983">
            <v>0</v>
          </cell>
        </row>
        <row r="7984">
          <cell r="CJ7984" t="str">
            <v xml:space="preserve">NFT-/XUTR/DEUTH02505263103X </v>
          </cell>
          <cell r="CK7984" t="str">
            <v>2025-02-21</v>
          </cell>
          <cell r="CL7984">
            <v>7920.4</v>
          </cell>
          <cell r="CM7984" t="str">
            <v xml:space="preserve">NFT-/XUTR/DEUTH02506635186X </v>
          </cell>
          <cell r="CN7984" t="str">
            <v>2025-03-07</v>
          </cell>
          <cell r="CO7984">
            <v>1359.779</v>
          </cell>
        </row>
        <row r="7985">
          <cell r="CJ7985" t="str">
            <v xml:space="preserve">NFT-/XUTR/DEUTH02505263103X </v>
          </cell>
          <cell r="CK7985" t="str">
            <v>2025-02-21</v>
          </cell>
          <cell r="CL7985">
            <v>9377.2250000000004</v>
          </cell>
        </row>
        <row r="7986">
          <cell r="CJ7986" t="str">
            <v xml:space="preserve">NFT-/XUTR/DEUTH02505263103X </v>
          </cell>
          <cell r="CK7986" t="str">
            <v>2025-02-21</v>
          </cell>
          <cell r="CL7986">
            <v>18647.63</v>
          </cell>
        </row>
        <row r="7987">
          <cell r="CJ7987" t="str">
            <v xml:space="preserve">NFT-/XUTR/DEUTH02505263103X </v>
          </cell>
          <cell r="CK7987" t="str">
            <v>2025-02-21</v>
          </cell>
          <cell r="CL7987">
            <v>9280.1679999999997</v>
          </cell>
        </row>
        <row r="7988">
          <cell r="CJ7988" t="str">
            <v xml:space="preserve">NFT-/XUTR/DEUTH02505263103X </v>
          </cell>
          <cell r="CK7988" t="str">
            <v>2025-02-21</v>
          </cell>
          <cell r="CL7988">
            <v>91574.672000000006</v>
          </cell>
        </row>
        <row r="7989">
          <cell r="CJ7989" t="str">
            <v xml:space="preserve">NFT-/XUTR/DEUTH02505263103X </v>
          </cell>
          <cell r="CK7989" t="str">
            <v>2025-02-21</v>
          </cell>
          <cell r="CL7989">
            <v>6085.38</v>
          </cell>
        </row>
        <row r="7990">
          <cell r="CJ7990" t="str">
            <v xml:space="preserve">NFT-/XUTR/DEUTH02505263103X </v>
          </cell>
          <cell r="CK7990" t="str">
            <v>2025-02-21</v>
          </cell>
          <cell r="CL7990">
            <v>43322.114000000001</v>
          </cell>
          <cell r="CM7990" t="str">
            <v xml:space="preserve">NFT-/XUTR/DEUTH02506635186X </v>
          </cell>
          <cell r="CN7990" t="str">
            <v>2025-03-07</v>
          </cell>
          <cell r="CO7990">
            <v>2224.5590000000002</v>
          </cell>
        </row>
        <row r="7991">
          <cell r="CJ7991" t="str">
            <v xml:space="preserve">NFT-/XUTR/DEUTH02505263103X </v>
          </cell>
          <cell r="CK7991" t="str">
            <v>2025-02-21</v>
          </cell>
          <cell r="CL7991">
            <v>9377.2250000000004</v>
          </cell>
        </row>
        <row r="7992">
          <cell r="CJ7992" t="str">
            <v xml:space="preserve">NFT-/XUTR/DEUTH02505263103X </v>
          </cell>
          <cell r="CK7992" t="str">
            <v>2025-02-21</v>
          </cell>
          <cell r="CL7992">
            <v>45565.552000000003</v>
          </cell>
        </row>
        <row r="7993">
          <cell r="CJ7993" t="str">
            <v xml:space="preserve">NFT-/XUTR/DEUTH02505263103X </v>
          </cell>
          <cell r="CK7993" t="str">
            <v>2025-02-21</v>
          </cell>
          <cell r="CL7993">
            <v>8448.8310000000001</v>
          </cell>
          <cell r="CM7993" t="str">
            <v xml:space="preserve">NFT-/XUTR/DEUTH02506635186X </v>
          </cell>
          <cell r="CN7993" t="str">
            <v>2025-03-07</v>
          </cell>
          <cell r="CO7993">
            <v>947.28399999999999</v>
          </cell>
        </row>
        <row r="7994">
          <cell r="CJ7994" t="str">
            <v xml:space="preserve">NFT-/XUTR/DEUTH02505263103X </v>
          </cell>
          <cell r="CK7994" t="str">
            <v>2025-02-21</v>
          </cell>
          <cell r="CL7994">
            <v>9396.1059999999998</v>
          </cell>
          <cell r="CM7994" t="str">
            <v xml:space="preserve">NFT-/XUTR/DEUTH025055A0DPVX </v>
          </cell>
          <cell r="CN7994" t="str">
            <v>2025-02-24</v>
          </cell>
          <cell r="CO7994">
            <v>-9396.1059999999998</v>
          </cell>
        </row>
        <row r="7995">
          <cell r="CJ7995" t="str">
            <v xml:space="preserve">NFT-/XUTR/DEUTH02505263103X </v>
          </cell>
          <cell r="CK7995" t="str">
            <v>2025-02-21</v>
          </cell>
          <cell r="CL7995">
            <v>18647.63</v>
          </cell>
          <cell r="CM7995" t="str">
            <v xml:space="preserve">NFT-/XUTR/DEUTH025055A0DPVX </v>
          </cell>
          <cell r="CN7995" t="str">
            <v>2025-02-24</v>
          </cell>
          <cell r="CO7995">
            <v>-18647.63</v>
          </cell>
        </row>
        <row r="7996">
          <cell r="CJ7996" t="str">
            <v xml:space="preserve">NFT-/XUTR/DEUTH02505263103X </v>
          </cell>
          <cell r="CK7996" t="str">
            <v>2025-02-21</v>
          </cell>
          <cell r="CL7996">
            <v>1217.6079999999999</v>
          </cell>
        </row>
        <row r="7997">
          <cell r="CJ7997" t="str">
            <v xml:space="preserve">NFT-/XUTR/DEUTH025055A0DPVX </v>
          </cell>
          <cell r="CK7997" t="str">
            <v>2025-02-24</v>
          </cell>
          <cell r="CL7997">
            <v>18628.75</v>
          </cell>
        </row>
        <row r="7998">
          <cell r="CJ7998" t="str">
            <v xml:space="preserve">NFT-/XUTR/DEUTH025055A0DPVX </v>
          </cell>
          <cell r="CK7998" t="str">
            <v>2025-02-24</v>
          </cell>
          <cell r="CL7998">
            <v>8447.4159999999993</v>
          </cell>
          <cell r="CM7998" t="str">
            <v xml:space="preserve">NFT-/XUTR/DEUTH02506635186X </v>
          </cell>
          <cell r="CN7998" t="str">
            <v>2025-03-07</v>
          </cell>
          <cell r="CO7998">
            <v>949.22199999999998</v>
          </cell>
        </row>
        <row r="7999">
          <cell r="CJ7999" t="str">
            <v xml:space="preserve">NFT-/XUTR/DEUTH025055A0DPVX </v>
          </cell>
          <cell r="CK7999" t="str">
            <v>2025-02-24</v>
          </cell>
          <cell r="CL7999">
            <v>46167.834000000003</v>
          </cell>
        </row>
        <row r="8000">
          <cell r="CJ8000" t="str">
            <v xml:space="preserve">NFT-/XUTR/DEUTH025055A0DPVX </v>
          </cell>
          <cell r="CK8000" t="str">
            <v>2025-02-24</v>
          </cell>
          <cell r="CL8000">
            <v>1236.4880000000001</v>
          </cell>
        </row>
        <row r="8001">
          <cell r="CJ8001" t="str">
            <v xml:space="preserve">NFT-/XUTR/DEUTH025055A0DPVX </v>
          </cell>
          <cell r="CK8001" t="str">
            <v>2025-02-24</v>
          </cell>
          <cell r="CL8001">
            <v>9377.2250000000004</v>
          </cell>
        </row>
        <row r="8002">
          <cell r="CJ8002" t="str">
            <v xml:space="preserve">NFT-/XUTR/DEUTH025055A0DPVX </v>
          </cell>
          <cell r="CK8002" t="str">
            <v>2025-02-24</v>
          </cell>
          <cell r="CL8002">
            <v>8447.4159999999993</v>
          </cell>
          <cell r="CM8002" t="str">
            <v xml:space="preserve">NFT-/XUTR/DEUTH02506635186X </v>
          </cell>
          <cell r="CN8002" t="str">
            <v>2025-03-07</v>
          </cell>
          <cell r="CO8002">
            <v>949.22199999999998</v>
          </cell>
        </row>
        <row r="8003">
          <cell r="CJ8003" t="str">
            <v xml:space="preserve">NFT-/XUTR/DEUTH025055A0DPVX </v>
          </cell>
          <cell r="CK8003" t="str">
            <v>2025-02-24</v>
          </cell>
          <cell r="CL8003">
            <v>12036.071</v>
          </cell>
        </row>
        <row r="8004">
          <cell r="CJ8004" t="str">
            <v xml:space="preserve">NFT-/XUTR/DEUTH025055A0DPVX </v>
          </cell>
          <cell r="CK8004" t="str">
            <v>2025-02-24</v>
          </cell>
          <cell r="CL8004">
            <v>73833.994000000006</v>
          </cell>
        </row>
        <row r="8005">
          <cell r="CJ8005" t="str">
            <v xml:space="preserve">NFT-/XUTR/DEUTH025055A0DPVX </v>
          </cell>
          <cell r="CK8005" t="str">
            <v>2025-02-24</v>
          </cell>
          <cell r="CL8005">
            <v>18463.216</v>
          </cell>
        </row>
        <row r="8006">
          <cell r="CJ8006" t="str">
            <v xml:space="preserve">NFT-/XUTR/DEUTH025055A0DPVX </v>
          </cell>
          <cell r="CK8006" t="str">
            <v>2025-02-24</v>
          </cell>
          <cell r="CL8006">
            <v>18463.216</v>
          </cell>
        </row>
        <row r="8007">
          <cell r="CJ8007" t="str">
            <v xml:space="preserve">NFT-/XUTR/DEUTH025055A0DPVX </v>
          </cell>
          <cell r="CK8007" t="str">
            <v>2025-02-24</v>
          </cell>
          <cell r="CL8007">
            <v>45575.788</v>
          </cell>
        </row>
        <row r="8008">
          <cell r="CJ8008" t="str">
            <v xml:space="preserve">NFT-/XUTR/DEUTH025055A0DPVX </v>
          </cell>
          <cell r="CK8008" t="str">
            <v>2025-02-24</v>
          </cell>
          <cell r="CL8008">
            <v>9299.0470000000005</v>
          </cell>
        </row>
        <row r="8009">
          <cell r="CJ8009" t="str">
            <v xml:space="preserve">NFT-/XUTR/DEUTH025055A0DPVX </v>
          </cell>
          <cell r="CK8009" t="str">
            <v>2025-02-24</v>
          </cell>
          <cell r="CL8009">
            <v>92297.21</v>
          </cell>
        </row>
        <row r="8010">
          <cell r="CJ8010" t="str">
            <v xml:space="preserve">NFT-/XUTR/DEUTH025055A0DPVX </v>
          </cell>
          <cell r="CK8010" t="str">
            <v>2025-02-24</v>
          </cell>
          <cell r="CL8010">
            <v>18444.335999999999</v>
          </cell>
        </row>
        <row r="8011">
          <cell r="CJ8011" t="str">
            <v xml:space="preserve">NFT-/XUTR/DEUTH025055A0DPVX </v>
          </cell>
          <cell r="CK8011" t="str">
            <v>2025-02-24</v>
          </cell>
          <cell r="CL8011">
            <v>0</v>
          </cell>
          <cell r="CM8011" t="str">
            <v xml:space="preserve">NFT-/XUTR/DEUTH02506635186X </v>
          </cell>
          <cell r="CN8011" t="str">
            <v>2025-03-07</v>
          </cell>
          <cell r="CO8011">
            <v>0</v>
          </cell>
        </row>
        <row r="8012">
          <cell r="CJ8012" t="str">
            <v xml:space="preserve">NFT-/XUTR/DEUTH025055A0DPVX </v>
          </cell>
          <cell r="CK8012" t="str">
            <v>2025-02-24</v>
          </cell>
          <cell r="CL8012">
            <v>9289.6080000000002</v>
          </cell>
        </row>
        <row r="8013">
          <cell r="CJ8013" t="str">
            <v xml:space="preserve">NFT-/XUTR/DEUTH025055A0DPVX </v>
          </cell>
          <cell r="CK8013" t="str">
            <v>2025-02-24</v>
          </cell>
          <cell r="CL8013">
            <v>1207.8969999999999</v>
          </cell>
        </row>
        <row r="8014">
          <cell r="CJ8014" t="str">
            <v xml:space="preserve">NFT-/XUTR/DEUTH025055A0DPVX </v>
          </cell>
          <cell r="CK8014" t="str">
            <v>2025-02-24</v>
          </cell>
          <cell r="CL8014">
            <v>18453.776000000002</v>
          </cell>
        </row>
        <row r="8015">
          <cell r="CJ8015" t="str">
            <v xml:space="preserve">NFT-/XUTR/DEUTH025055A0DPVX </v>
          </cell>
          <cell r="CK8015" t="str">
            <v>2025-02-24</v>
          </cell>
          <cell r="CL8015">
            <v>92297.21</v>
          </cell>
        </row>
        <row r="8016">
          <cell r="CJ8016" t="str">
            <v xml:space="preserve">NFT-/XUTR/DEUTH025055A0DPVX </v>
          </cell>
          <cell r="CK8016" t="str">
            <v>2025-02-24</v>
          </cell>
          <cell r="CL8016">
            <v>0</v>
          </cell>
        </row>
        <row r="8017">
          <cell r="CJ8017" t="str">
            <v xml:space="preserve">NFT-/XUTR/DEUTH025055A0DPVX </v>
          </cell>
          <cell r="CK8017" t="str">
            <v>2025-02-24</v>
          </cell>
          <cell r="CL8017">
            <v>11599.846</v>
          </cell>
        </row>
        <row r="8018">
          <cell r="CJ8018" t="str">
            <v xml:space="preserve">NFT-/XUTR/DEUTH025055A0DPVX </v>
          </cell>
          <cell r="CK8018" t="str">
            <v>2025-02-24</v>
          </cell>
          <cell r="CL8018">
            <v>17535.346000000001</v>
          </cell>
          <cell r="CM8018" t="str">
            <v xml:space="preserve">NFT-/XUTR/DEUTH02506635186X </v>
          </cell>
          <cell r="CN8018" t="str">
            <v>2025-03-07</v>
          </cell>
          <cell r="CO8018">
            <v>927.87099999999998</v>
          </cell>
        </row>
        <row r="8019">
          <cell r="CJ8019" t="str">
            <v xml:space="preserve">NFT-/XUTR/DEUTH025055A0DPVX </v>
          </cell>
          <cell r="CK8019" t="str">
            <v>2025-02-24</v>
          </cell>
          <cell r="CL8019">
            <v>9299.0480000000007</v>
          </cell>
        </row>
        <row r="8020">
          <cell r="CJ8020" t="str">
            <v xml:space="preserve">NFT-/XUTR/DEUTH025055A0DPVX </v>
          </cell>
          <cell r="CK8020" t="str">
            <v>2025-02-24</v>
          </cell>
          <cell r="CL8020">
            <v>34208.362000000001</v>
          </cell>
          <cell r="CM8020" t="str">
            <v xml:space="preserve">NFT-/XUTR/DEUTH02506635186X </v>
          </cell>
          <cell r="CN8020" t="str">
            <v>2025-03-07</v>
          </cell>
          <cell r="CO8020">
            <v>628.93299999999999</v>
          </cell>
        </row>
        <row r="8021">
          <cell r="CJ8021" t="str">
            <v xml:space="preserve">NFT-/XUTR/DEUTH025055A0DPVX </v>
          </cell>
          <cell r="CK8021" t="str">
            <v>2025-02-24</v>
          </cell>
          <cell r="CL8021">
            <v>9357.2890000000007</v>
          </cell>
        </row>
        <row r="8022">
          <cell r="CJ8022" t="str">
            <v xml:space="preserve">NFT-/XUTR/DEUTH025055A0DPVX </v>
          </cell>
          <cell r="CK8022" t="str">
            <v>2025-02-24</v>
          </cell>
          <cell r="CL8022">
            <v>18551.106</v>
          </cell>
        </row>
        <row r="8023">
          <cell r="CJ8023" t="str">
            <v xml:space="preserve">NFT-/XUTR/DEUTH025055A0DPVX </v>
          </cell>
          <cell r="CK8023" t="str">
            <v>2025-02-24</v>
          </cell>
          <cell r="CL8023">
            <v>11715.782999999999</v>
          </cell>
        </row>
        <row r="8024">
          <cell r="CJ8024" t="str">
            <v xml:space="preserve">NFT-/XUTR/DEUTH025055A0DPVX </v>
          </cell>
          <cell r="CK8024" t="str">
            <v>2025-02-24</v>
          </cell>
          <cell r="CL8024">
            <v>0</v>
          </cell>
        </row>
        <row r="8025">
          <cell r="CJ8025" t="str">
            <v xml:space="preserve">NFT-/XUTR/DEUTH025055A0DPVX </v>
          </cell>
          <cell r="CK8025" t="str">
            <v>2025-02-24</v>
          </cell>
          <cell r="CL8025">
            <v>46050.839</v>
          </cell>
        </row>
        <row r="8026">
          <cell r="CJ8026" t="str">
            <v xml:space="preserve">NFT-/XUTR/DEUTH025055A0DPVX </v>
          </cell>
          <cell r="CK8026" t="str">
            <v>2025-02-24</v>
          </cell>
          <cell r="CL8026">
            <v>18628.75</v>
          </cell>
        </row>
        <row r="8027">
          <cell r="CJ8027" t="str">
            <v xml:space="preserve">NFT-/XUTR/DEUTH025055A0DPVX </v>
          </cell>
          <cell r="CK8027" t="str">
            <v>2025-02-24</v>
          </cell>
          <cell r="CL8027">
            <v>9377.2250000000004</v>
          </cell>
        </row>
        <row r="8028">
          <cell r="CJ8028" t="str">
            <v xml:space="preserve">NFT-/XUTR/DEUTH025055A0DPVX </v>
          </cell>
          <cell r="CK8028" t="str">
            <v>2025-02-24</v>
          </cell>
          <cell r="CL8028">
            <v>12036.07</v>
          </cell>
        </row>
        <row r="8029">
          <cell r="CJ8029" t="str">
            <v xml:space="preserve">NFT-/XUTR/DEUTH025055A0DPVX </v>
          </cell>
          <cell r="CK8029" t="str">
            <v>2025-02-24</v>
          </cell>
          <cell r="CL8029">
            <v>9094.7909999999993</v>
          </cell>
          <cell r="CM8029" t="str">
            <v xml:space="preserve">NFT-/XUTR/DEUTH02506635186X </v>
          </cell>
          <cell r="CN8029" t="str">
            <v>2025-03-07</v>
          </cell>
          <cell r="CO8029">
            <v>282.43400000000003</v>
          </cell>
        </row>
        <row r="8030">
          <cell r="CJ8030" t="str">
            <v xml:space="preserve">NFT-/XUTR/DEUTH025055A0DPVX </v>
          </cell>
          <cell r="CK8030" t="str">
            <v>2025-02-24</v>
          </cell>
          <cell r="CL8030">
            <v>45876.129000000001</v>
          </cell>
        </row>
        <row r="8031">
          <cell r="CJ8031" t="str">
            <v xml:space="preserve">NFT-/XUTR/DEUTH025055A0DPVX </v>
          </cell>
          <cell r="CK8031" t="str">
            <v>2025-02-24</v>
          </cell>
          <cell r="CL8031">
            <v>18628.75</v>
          </cell>
        </row>
        <row r="8032">
          <cell r="CJ8032" t="str">
            <v xml:space="preserve">NFT-/XUTR/DEUTH025055A0DPVX </v>
          </cell>
          <cell r="CK8032" t="str">
            <v>2025-02-24</v>
          </cell>
          <cell r="CL8032">
            <v>46724.415999999997</v>
          </cell>
        </row>
        <row r="8033">
          <cell r="CJ8033" t="str">
            <v xml:space="preserve">NFT-/XUTR/DEUTH025055A0DPVX </v>
          </cell>
          <cell r="CK8033" t="str">
            <v>2025-02-24</v>
          </cell>
          <cell r="CL8033">
            <v>9454.8799999999992</v>
          </cell>
          <cell r="CP8033" t="str">
            <v xml:space="preserve">AXISCN0933919655 </v>
          </cell>
          <cell r="CQ8033" t="str">
            <v>2025-03-03</v>
          </cell>
          <cell r="CR8033">
            <v>-9454.8799999999992</v>
          </cell>
        </row>
        <row r="8034">
          <cell r="CJ8034" t="str">
            <v xml:space="preserve">NFT-/XUTR/DEUTH025055A0DPVX </v>
          </cell>
          <cell r="CK8034" t="str">
            <v>2025-02-24</v>
          </cell>
          <cell r="CL8034">
            <v>1515.57</v>
          </cell>
        </row>
        <row r="8035">
          <cell r="CJ8035" t="str">
            <v xml:space="preserve">NFT-/XUTR/DEUTH025055A0DPVX </v>
          </cell>
          <cell r="CK8035" t="str">
            <v>2025-02-24</v>
          </cell>
          <cell r="CL8035">
            <v>9454.8799999999992</v>
          </cell>
        </row>
        <row r="8036">
          <cell r="CJ8036" t="str">
            <v xml:space="preserve">NFT-/XUTR/DEUTH025055A0DPVX </v>
          </cell>
          <cell r="CK8036" t="str">
            <v>2025-02-24</v>
          </cell>
          <cell r="CL8036">
            <v>18784.038</v>
          </cell>
        </row>
        <row r="8037">
          <cell r="CJ8037" t="str">
            <v xml:space="preserve">NFT-/XUTR/DEUTH025055A0DPVX </v>
          </cell>
          <cell r="CK8037" t="str">
            <v>2025-02-24</v>
          </cell>
          <cell r="CL8037">
            <v>93293.126000000004</v>
          </cell>
        </row>
        <row r="8038">
          <cell r="CJ8038" t="str">
            <v xml:space="preserve">NFT-/XUTR/DEUTH025055A0DPVX </v>
          </cell>
          <cell r="CK8038" t="str">
            <v>2025-02-24</v>
          </cell>
          <cell r="CL8038">
            <v>18784.038</v>
          </cell>
        </row>
        <row r="8039">
          <cell r="CJ8039" t="str">
            <v xml:space="preserve">NFT-/XUTR/DEUTH025055A0DPVX </v>
          </cell>
          <cell r="CK8039" t="str">
            <v>2025-02-24</v>
          </cell>
          <cell r="CL8039">
            <v>18802.918000000001</v>
          </cell>
        </row>
        <row r="8040">
          <cell r="CJ8040" t="str">
            <v xml:space="preserve">NFT-/XUTR/DEUTH025055A0DPVX </v>
          </cell>
          <cell r="CK8040" t="str">
            <v>2025-02-24</v>
          </cell>
          <cell r="CL8040">
            <v>9454.8799999999992</v>
          </cell>
        </row>
        <row r="8041">
          <cell r="CJ8041" t="str">
            <v xml:space="preserve">AXISCN0933919655 </v>
          </cell>
          <cell r="CK8041" t="str">
            <v>2025-03-03</v>
          </cell>
          <cell r="CL8041">
            <v>9464.5810000000001</v>
          </cell>
        </row>
        <row r="8042">
          <cell r="CJ8042" t="str">
            <v xml:space="preserve">AXISCN0933919655 </v>
          </cell>
          <cell r="CK8042" t="str">
            <v>2025-03-03</v>
          </cell>
          <cell r="CL8042">
            <v>18754.388999999999</v>
          </cell>
        </row>
        <row r="8043">
          <cell r="CJ8043" t="str">
            <v xml:space="preserve">NFT-/XUTR/DEUTH025055A0DPVX </v>
          </cell>
          <cell r="CK8043" t="str">
            <v>2025-02-24</v>
          </cell>
          <cell r="CL8043">
            <v>9120.9940000000006</v>
          </cell>
          <cell r="CM8043" t="str">
            <v xml:space="preserve">NFT-/XUTR/DEUTH02506635186X </v>
          </cell>
          <cell r="CN8043" t="str">
            <v>2025-03-07</v>
          </cell>
          <cell r="CO8043">
            <v>343.58800000000002</v>
          </cell>
        </row>
        <row r="8044">
          <cell r="CJ8044" t="str">
            <v xml:space="preserve">AXISCN0933919655 </v>
          </cell>
          <cell r="CK8044" t="str">
            <v>2025-03-03</v>
          </cell>
          <cell r="CL8044">
            <v>46230.392999999996</v>
          </cell>
          <cell r="CM8044" t="str">
            <v xml:space="preserve">NFT-/XUTR/DEUTH02506635186X </v>
          </cell>
          <cell r="CN8044" t="str">
            <v>2025-03-07</v>
          </cell>
          <cell r="CO8044">
            <v>101.908</v>
          </cell>
        </row>
        <row r="8045">
          <cell r="CJ8045" t="str">
            <v xml:space="preserve">AXISCN0933919655 </v>
          </cell>
          <cell r="CK8045" t="str">
            <v>2025-03-03</v>
          </cell>
          <cell r="CL8045">
            <v>18735.508999999998</v>
          </cell>
        </row>
        <row r="8046">
          <cell r="CJ8046" t="str">
            <v xml:space="preserve">AXISCN0933919655 </v>
          </cell>
          <cell r="CK8046" t="str">
            <v>2025-03-03</v>
          </cell>
          <cell r="CL8046">
            <v>6213.1559999999999</v>
          </cell>
        </row>
        <row r="8047">
          <cell r="CJ8047" t="str">
            <v xml:space="preserve">AXISCN0933919655 </v>
          </cell>
          <cell r="CK8047" t="str">
            <v>2025-03-03</v>
          </cell>
          <cell r="CL8047">
            <v>93321.706999999995</v>
          </cell>
        </row>
        <row r="8048">
          <cell r="CJ8048" t="str">
            <v xml:space="preserve">AXISCN0933919655 </v>
          </cell>
          <cell r="CK8048" t="str">
            <v>2025-03-03</v>
          </cell>
          <cell r="CL8048">
            <v>5989.9260000000004</v>
          </cell>
        </row>
        <row r="8049">
          <cell r="CJ8049" t="str">
            <v xml:space="preserve">NFT-/XUTR/DEUTH02506624761X </v>
          </cell>
          <cell r="CK8049" t="str">
            <v>2025-03-07</v>
          </cell>
          <cell r="CL8049">
            <v>0</v>
          </cell>
        </row>
        <row r="8050">
          <cell r="CJ8050" t="str">
            <v xml:space="preserve">AXISCN0933919655 </v>
          </cell>
          <cell r="CK8050" t="str">
            <v>2025-03-03</v>
          </cell>
          <cell r="CL8050">
            <v>18784.038</v>
          </cell>
        </row>
        <row r="8051">
          <cell r="CJ8051" t="str">
            <v xml:space="preserve">AXISCN0933919655 </v>
          </cell>
          <cell r="CK8051" t="str">
            <v>2025-03-03</v>
          </cell>
          <cell r="CL8051">
            <v>18754.388999999999</v>
          </cell>
          <cell r="CM8051" t="str">
            <v xml:space="preserve">NFT-/XUTR/DEUTH02507886743X </v>
          </cell>
          <cell r="CN8051" t="str">
            <v>2025-03-19</v>
          </cell>
          <cell r="CO8051">
            <v>-18831.089</v>
          </cell>
        </row>
        <row r="8052">
          <cell r="CJ8052" t="str">
            <v xml:space="preserve">AXISCN0933919655 </v>
          </cell>
          <cell r="CK8052" t="str">
            <v>2025-03-03</v>
          </cell>
          <cell r="CL8052">
            <v>24016.333999999999</v>
          </cell>
        </row>
        <row r="8053">
          <cell r="CJ8053" t="str">
            <v xml:space="preserve">AXISCN0933919655 </v>
          </cell>
          <cell r="CK8053" t="str">
            <v>2025-03-03</v>
          </cell>
          <cell r="CL8053">
            <v>18802.918000000001</v>
          </cell>
        </row>
        <row r="8054">
          <cell r="CJ8054" t="str">
            <v xml:space="preserve">AXISCN0933919655 </v>
          </cell>
          <cell r="CK8054" t="str">
            <v>2025-03-03</v>
          </cell>
          <cell r="CL8054">
            <v>46448.771000000001</v>
          </cell>
        </row>
        <row r="8055">
          <cell r="CJ8055" t="str">
            <v xml:space="preserve">AXISCN0933919655 </v>
          </cell>
          <cell r="CK8055" t="str">
            <v>2025-03-03</v>
          </cell>
          <cell r="CL8055">
            <v>9454.8799999999992</v>
          </cell>
        </row>
        <row r="8056">
          <cell r="CJ8056" t="str">
            <v xml:space="preserve">AXISCN0933919655 </v>
          </cell>
          <cell r="CK8056" t="str">
            <v>2025-03-03</v>
          </cell>
          <cell r="CL8056">
            <v>9473.76</v>
          </cell>
        </row>
        <row r="8057">
          <cell r="CJ8057" t="str">
            <v xml:space="preserve">AXISCN0933919655 </v>
          </cell>
          <cell r="CK8057" t="str">
            <v>2025-03-03</v>
          </cell>
          <cell r="CL8057">
            <v>18802.918000000001</v>
          </cell>
        </row>
        <row r="8058">
          <cell r="CJ8058" t="str">
            <v xml:space="preserve">AXISCN0933919655 </v>
          </cell>
          <cell r="CK8058" t="str">
            <v>2025-03-03</v>
          </cell>
          <cell r="CL8058">
            <v>18784.038</v>
          </cell>
        </row>
        <row r="8059">
          <cell r="CJ8059" t="str">
            <v xml:space="preserve">AXISCN0933919655 </v>
          </cell>
          <cell r="CK8059" t="str">
            <v>2025-03-03</v>
          </cell>
          <cell r="CL8059">
            <v>5989.9260000000004</v>
          </cell>
        </row>
        <row r="8060">
          <cell r="CJ8060" t="str">
            <v xml:space="preserve">AXISCN0936057554 </v>
          </cell>
          <cell r="CK8060" t="str">
            <v>2025-03-05</v>
          </cell>
          <cell r="CL8060">
            <v>9445.1679999999997</v>
          </cell>
        </row>
        <row r="8061">
          <cell r="CJ8061" t="str">
            <v xml:space="preserve">AXISCN0936057554 </v>
          </cell>
          <cell r="CK8061" t="str">
            <v>2025-03-05</v>
          </cell>
          <cell r="CL8061">
            <v>44075.714</v>
          </cell>
          <cell r="CM8061" t="str">
            <v xml:space="preserve">NFT-/XUTR/DEUTH02506635186X </v>
          </cell>
          <cell r="CN8061" t="str">
            <v>2025-03-07</v>
          </cell>
          <cell r="CO8061">
            <v>2324.529</v>
          </cell>
        </row>
        <row r="8062">
          <cell r="CJ8062" t="str">
            <v xml:space="preserve">AXISCN0936057554 </v>
          </cell>
          <cell r="CK8062" t="str">
            <v>2025-03-05</v>
          </cell>
          <cell r="CL8062">
            <v>18764.624</v>
          </cell>
        </row>
        <row r="8063">
          <cell r="CJ8063" t="str">
            <v xml:space="preserve">AXISCN0936057554 </v>
          </cell>
          <cell r="CK8063" t="str">
            <v>2025-03-05</v>
          </cell>
          <cell r="CL8063">
            <v>93205.77</v>
          </cell>
        </row>
        <row r="8064">
          <cell r="CJ8064" t="str">
            <v xml:space="preserve">AXISCN0936057554 </v>
          </cell>
          <cell r="CK8064" t="str">
            <v>2025-03-05</v>
          </cell>
          <cell r="CL8064">
            <v>44075.714</v>
          </cell>
          <cell r="CM8064" t="str">
            <v xml:space="preserve">NFT-/XUTR/DEUTH02506635186X </v>
          </cell>
          <cell r="CN8064" t="str">
            <v>2025-03-07</v>
          </cell>
          <cell r="CO8064">
            <v>2324.529</v>
          </cell>
        </row>
        <row r="8065">
          <cell r="CJ8065" t="str">
            <v xml:space="preserve">AXISCN0936057554 </v>
          </cell>
          <cell r="CK8065" t="str">
            <v>2025-03-05</v>
          </cell>
          <cell r="CL8065">
            <v>44075.714</v>
          </cell>
          <cell r="CM8065" t="str">
            <v xml:space="preserve">NFT-/XUTR/DEUTH02506635186X </v>
          </cell>
          <cell r="CN8065" t="str">
            <v>2025-03-07</v>
          </cell>
          <cell r="CO8065">
            <v>2324.529</v>
          </cell>
        </row>
        <row r="8066">
          <cell r="CJ8066" t="str">
            <v xml:space="preserve">AXISCN0936057554 </v>
          </cell>
          <cell r="CK8066" t="str">
            <v>2025-03-05</v>
          </cell>
          <cell r="CL8066">
            <v>9445.1679999999997</v>
          </cell>
        </row>
        <row r="8067">
          <cell r="CJ8067" t="str">
            <v xml:space="preserve">AXISCN0936057554 </v>
          </cell>
          <cell r="CK8067" t="str">
            <v>2025-03-05</v>
          </cell>
          <cell r="CL8067">
            <v>44056.834000000003</v>
          </cell>
          <cell r="CM8067" t="str">
            <v xml:space="preserve">NFT-/XUTR/DEUTH02506635186X </v>
          </cell>
          <cell r="CN8067" t="str">
            <v>2025-03-07</v>
          </cell>
          <cell r="CO8067">
            <v>2324.529</v>
          </cell>
        </row>
        <row r="8068">
          <cell r="CJ8068" t="str">
            <v xml:space="preserve">AXISCN0936057554 </v>
          </cell>
          <cell r="CK8068" t="str">
            <v>2025-03-05</v>
          </cell>
          <cell r="CL8068">
            <v>17131.588</v>
          </cell>
          <cell r="CM8068" t="str">
            <v xml:space="preserve">NFT-/XUTR/DEUTH02506635186X </v>
          </cell>
          <cell r="CN8068" t="str">
            <v>2025-03-07</v>
          </cell>
          <cell r="CO8068">
            <v>1651.915</v>
          </cell>
        </row>
        <row r="8069">
          <cell r="CJ8069" t="str">
            <v xml:space="preserve">AXISCN0936057554 </v>
          </cell>
          <cell r="CK8069" t="str">
            <v>2025-03-05</v>
          </cell>
          <cell r="CL8069">
            <v>88152.4</v>
          </cell>
          <cell r="CM8069" t="str">
            <v xml:space="preserve">NFT-/XUTR/DEUTH02506635186X </v>
          </cell>
          <cell r="CN8069" t="str">
            <v>2025-03-07</v>
          </cell>
          <cell r="CO8069">
            <v>4649.058</v>
          </cell>
        </row>
        <row r="8070">
          <cell r="CJ8070" t="str">
            <v xml:space="preserve">AXISCN0936057554 </v>
          </cell>
          <cell r="CK8070" t="str">
            <v>2025-03-05</v>
          </cell>
          <cell r="CL8070">
            <v>17821.225999999999</v>
          </cell>
          <cell r="CM8070" t="str">
            <v xml:space="preserve">NFT-/XUTR/DEUTH02506635186X </v>
          </cell>
          <cell r="CN8070" t="str">
            <v>2025-03-07</v>
          </cell>
          <cell r="CO8070">
            <v>943.39800000000002</v>
          </cell>
        </row>
        <row r="8071">
          <cell r="CJ8071" t="str">
            <v xml:space="preserve">AXISCN0936057554 </v>
          </cell>
          <cell r="CK8071" t="str">
            <v>2025-03-05</v>
          </cell>
          <cell r="CL8071">
            <v>17848.843000000001</v>
          </cell>
          <cell r="CM8071" t="str">
            <v xml:space="preserve">NFT-/XUTR/DEUTH02506635186X </v>
          </cell>
          <cell r="CN8071" t="str">
            <v>2025-03-07</v>
          </cell>
          <cell r="CO8071">
            <v>934.66099999999994</v>
          </cell>
        </row>
        <row r="8072">
          <cell r="CJ8072" t="str">
            <v xml:space="preserve">AXISCN0936057554 </v>
          </cell>
          <cell r="CK8072" t="str">
            <v>2025-03-05</v>
          </cell>
          <cell r="CL8072">
            <v>44075.714</v>
          </cell>
          <cell r="CM8072" t="str">
            <v xml:space="preserve">NFT-/XUTR/DEUTH02506635186X </v>
          </cell>
          <cell r="CN8072" t="str">
            <v>2025-03-07</v>
          </cell>
          <cell r="CO8072">
            <v>2324.529</v>
          </cell>
        </row>
        <row r="8073">
          <cell r="CJ8073" t="str">
            <v xml:space="preserve">AXISCN0936057554 </v>
          </cell>
          <cell r="CK8073" t="str">
            <v>2025-03-05</v>
          </cell>
          <cell r="CL8073">
            <v>9445.1679999999997</v>
          </cell>
        </row>
        <row r="8074">
          <cell r="CJ8074" t="str">
            <v xml:space="preserve">AXISCN0936057554 </v>
          </cell>
          <cell r="CK8074" t="str">
            <v>2025-03-05</v>
          </cell>
          <cell r="CL8074">
            <v>44075.714</v>
          </cell>
          <cell r="CM8074" t="str">
            <v xml:space="preserve">NFT-/XUTR/DEUTH02506635186X </v>
          </cell>
          <cell r="CN8074" t="str">
            <v>2025-03-07</v>
          </cell>
          <cell r="CO8074">
            <v>2324.529</v>
          </cell>
        </row>
        <row r="8075">
          <cell r="CJ8075" t="str">
            <v xml:space="preserve">AXISCN0936057554 </v>
          </cell>
          <cell r="CK8075" t="str">
            <v>2025-03-05</v>
          </cell>
          <cell r="CL8075">
            <v>8967.6440000000002</v>
          </cell>
          <cell r="CM8075" t="str">
            <v xml:space="preserve">NFT-/XUTR/DEUTH02506635186X </v>
          </cell>
          <cell r="CN8075" t="str">
            <v>2025-03-07</v>
          </cell>
          <cell r="CO8075">
            <v>477.524</v>
          </cell>
        </row>
        <row r="8076">
          <cell r="CJ8076" t="str">
            <v xml:space="preserve">AXISCN0936057554 </v>
          </cell>
          <cell r="CK8076" t="str">
            <v>2025-03-05</v>
          </cell>
          <cell r="CL8076">
            <v>0</v>
          </cell>
        </row>
        <row r="8077">
          <cell r="CJ8077" t="str">
            <v xml:space="preserve">AXISCN0936057554 </v>
          </cell>
          <cell r="CK8077" t="str">
            <v>2025-03-05</v>
          </cell>
          <cell r="CL8077">
            <v>9445.1679999999997</v>
          </cell>
        </row>
        <row r="8078">
          <cell r="CJ8078" t="str">
            <v xml:space="preserve">AXISCN0936057554 </v>
          </cell>
          <cell r="CK8078" t="str">
            <v>2025-03-05</v>
          </cell>
          <cell r="CL8078">
            <v>8967.6440000000002</v>
          </cell>
          <cell r="CM8078" t="str">
            <v xml:space="preserve">NFT-/XUTR/DEUTH02506635186X </v>
          </cell>
          <cell r="CN8078" t="str">
            <v>2025-03-07</v>
          </cell>
          <cell r="CO8078">
            <v>477.524</v>
          </cell>
        </row>
        <row r="8079">
          <cell r="CJ8079" t="str">
            <v xml:space="preserve">AXISCN0936057554 </v>
          </cell>
          <cell r="CK8079" t="str">
            <v>2025-03-05</v>
          </cell>
          <cell r="CL8079">
            <v>18764.624</v>
          </cell>
        </row>
        <row r="8080">
          <cell r="CJ8080" t="str">
            <v xml:space="preserve">AXISCN0936057554 </v>
          </cell>
          <cell r="CK8080" t="str">
            <v>2025-03-05</v>
          </cell>
          <cell r="CL8080">
            <v>8986.5239999999994</v>
          </cell>
          <cell r="CM8080" t="str">
            <v xml:space="preserve">NFT-/XUTR/DEUTH02506635186X </v>
          </cell>
          <cell r="CN8080" t="str">
            <v>2025-03-07</v>
          </cell>
          <cell r="CO8080">
            <v>477.524</v>
          </cell>
        </row>
        <row r="8081">
          <cell r="CJ8081" t="str">
            <v xml:space="preserve">AXISCN0936057554 </v>
          </cell>
          <cell r="CK8081" t="str">
            <v>2025-03-05</v>
          </cell>
          <cell r="CL8081">
            <v>2718.1120000000001</v>
          </cell>
          <cell r="CM8081" t="str">
            <v xml:space="preserve">NFT-/XUTR/DEUTH02506635186X </v>
          </cell>
          <cell r="CN8081" t="str">
            <v>2025-03-07</v>
          </cell>
          <cell r="CO8081">
            <v>59.204999999999998</v>
          </cell>
        </row>
        <row r="8082">
          <cell r="CJ8082" t="str">
            <v xml:space="preserve">NFT-/XUTR/DEUTH02506624761X </v>
          </cell>
          <cell r="CK8082" t="str">
            <v>2025-03-07</v>
          </cell>
          <cell r="CL8082">
            <v>8809.8850000000002</v>
          </cell>
          <cell r="CM8082" t="str">
            <v xml:space="preserve">NFT-/XUTR/DEUTH02506635186X </v>
          </cell>
          <cell r="CN8082" t="str">
            <v>2025-03-07</v>
          </cell>
          <cell r="CO8082">
            <v>673.57899999999995</v>
          </cell>
        </row>
        <row r="8083">
          <cell r="CJ8083" t="str">
            <v xml:space="preserve">NFT-/XUTR/DEUTH02506624761X </v>
          </cell>
          <cell r="CK8083" t="str">
            <v>2025-03-07</v>
          </cell>
          <cell r="CL8083">
            <v>9386.9380000000001</v>
          </cell>
          <cell r="CM8083" t="str">
            <v xml:space="preserve">NFT-/XUTR/DEUTH02506635186X </v>
          </cell>
          <cell r="CN8083" t="str">
            <v>2025-03-07</v>
          </cell>
          <cell r="CO8083">
            <v>116.47</v>
          </cell>
        </row>
        <row r="8084">
          <cell r="CJ8084" t="str">
            <v xml:space="preserve">NFT-/XUTR/DEUTH02506624761X </v>
          </cell>
          <cell r="CK8084" t="str">
            <v>2025-03-07</v>
          </cell>
          <cell r="CL8084">
            <v>90658.451000000001</v>
          </cell>
          <cell r="CM8084" t="str">
            <v xml:space="preserve">NFT-/XUTR/DEUTH02506635186X </v>
          </cell>
          <cell r="CN8084" t="str">
            <v>2025-03-07</v>
          </cell>
          <cell r="CO8084">
            <v>2951.5149999999999</v>
          </cell>
        </row>
        <row r="8085">
          <cell r="CJ8085" t="str">
            <v xml:space="preserve">NFT-/XUTR/DEUTH02506624761X </v>
          </cell>
          <cell r="CK8085" t="str">
            <v>2025-03-07</v>
          </cell>
          <cell r="CL8085">
            <v>45357.408000000003</v>
          </cell>
          <cell r="CM8085" t="str">
            <v xml:space="preserve">NFT-/XUTR/DEUTH02506635186X </v>
          </cell>
          <cell r="CN8085" t="str">
            <v>2025-03-07</v>
          </cell>
          <cell r="CO8085">
            <v>1406.3589999999999</v>
          </cell>
        </row>
        <row r="8086">
          <cell r="CJ8086" t="str">
            <v xml:space="preserve">NFT-/XUTR/DEUTH02506624761X </v>
          </cell>
          <cell r="CK8086" t="str">
            <v>2025-03-07</v>
          </cell>
          <cell r="CL8086">
            <v>90952.536999999997</v>
          </cell>
          <cell r="CM8086" t="str">
            <v xml:space="preserve">NFT-/XUTR/DEUTH02506635186X </v>
          </cell>
          <cell r="CN8086" t="str">
            <v>2025-03-07</v>
          </cell>
          <cell r="CO8086">
            <v>2815.6410000000001</v>
          </cell>
        </row>
        <row r="8087">
          <cell r="CJ8087" t="str">
            <v xml:space="preserve">NFT-/XUTR/DEUTH02506624761X </v>
          </cell>
          <cell r="CK8087" t="str">
            <v>2025-03-07</v>
          </cell>
          <cell r="CL8087">
            <v>9177.2950000000001</v>
          </cell>
          <cell r="CM8087" t="str">
            <v xml:space="preserve">NFT-/XUTR/DEUTH02506635186X </v>
          </cell>
          <cell r="CN8087" t="str">
            <v>2025-03-07</v>
          </cell>
          <cell r="CO8087">
            <v>287.286</v>
          </cell>
        </row>
        <row r="8088">
          <cell r="CJ8088" t="str">
            <v xml:space="preserve">NFT-/XUTR/DEUTH02506624761X </v>
          </cell>
          <cell r="CK8088" t="str">
            <v>2025-03-07</v>
          </cell>
          <cell r="CL8088">
            <v>9177.2950000000001</v>
          </cell>
          <cell r="CM8088" t="str">
            <v xml:space="preserve">NFT-/XUTR/DEUTH02506635186X </v>
          </cell>
          <cell r="CN8088" t="str">
            <v>2025-03-07</v>
          </cell>
          <cell r="CO8088">
            <v>287.286</v>
          </cell>
        </row>
        <row r="8089">
          <cell r="CJ8089" t="str">
            <v xml:space="preserve">NFT-/XUTR/DEUTH02506624761X </v>
          </cell>
          <cell r="CK8089" t="str">
            <v>2025-03-07</v>
          </cell>
          <cell r="CL8089">
            <v>9158.8469999999998</v>
          </cell>
          <cell r="CM8089" t="str">
            <v xml:space="preserve">NFT-/XUTR/DEUTH02506635186X </v>
          </cell>
          <cell r="CN8089" t="str">
            <v>2025-03-07</v>
          </cell>
          <cell r="CO8089">
            <v>286.322</v>
          </cell>
        </row>
        <row r="8090">
          <cell r="CJ8090" t="str">
            <v xml:space="preserve">NFT-/XUTR/DEUTH02506624761X </v>
          </cell>
          <cell r="CK8090" t="str">
            <v>2025-03-07</v>
          </cell>
          <cell r="CL8090">
            <v>135309.25</v>
          </cell>
          <cell r="CM8090" t="str">
            <v xml:space="preserve">NFT-/XUTR/DEUTH02506635186X </v>
          </cell>
          <cell r="CN8090" t="str">
            <v>2025-03-07</v>
          </cell>
          <cell r="CO8090">
            <v>4192.8860000000004</v>
          </cell>
        </row>
        <row r="8091">
          <cell r="CJ8091" t="str">
            <v xml:space="preserve">NFT-/XUTR/DEUTH02506624761X </v>
          </cell>
          <cell r="CK8091" t="str">
            <v>2025-03-07</v>
          </cell>
          <cell r="CL8091">
            <v>18881.094000000001</v>
          </cell>
        </row>
        <row r="8092">
          <cell r="CJ8092" t="str">
            <v xml:space="preserve">NFT-/XUTR/DEUTH02506624761X </v>
          </cell>
          <cell r="CK8092" t="str">
            <v>2025-03-07</v>
          </cell>
          <cell r="CL8092">
            <v>18725.273000000001</v>
          </cell>
        </row>
        <row r="8093">
          <cell r="CJ8093" t="str">
            <v xml:space="preserve">NFT-/XUTR/DEUTH02506624761X </v>
          </cell>
          <cell r="CK8093" t="str">
            <v>2025-03-07</v>
          </cell>
          <cell r="CL8093">
            <v>92885.481</v>
          </cell>
        </row>
        <row r="8094">
          <cell r="CJ8094" t="str">
            <v xml:space="preserve">NFT-/XUTR/DEUTH02506624761X </v>
          </cell>
          <cell r="CK8094" t="str">
            <v>2025-03-07</v>
          </cell>
          <cell r="CL8094">
            <v>5603.1</v>
          </cell>
          <cell r="CM8094" t="str">
            <v xml:space="preserve">NFT-/XUTR/DEUTH02506635186X </v>
          </cell>
          <cell r="CN8094" t="str">
            <v>2025-03-07</v>
          </cell>
          <cell r="CO8094">
            <v>298.93599999999998</v>
          </cell>
        </row>
        <row r="8095">
          <cell r="CJ8095" t="str">
            <v xml:space="preserve">NFT-/XUTR/DEUTH02506624761X </v>
          </cell>
          <cell r="CK8095" t="str">
            <v>2025-03-07</v>
          </cell>
          <cell r="CL8095">
            <v>9503.4079999999994</v>
          </cell>
        </row>
        <row r="8096">
          <cell r="CJ8096" t="str">
            <v xml:space="preserve">NFT-/XUTR/DEUTH02506624761X </v>
          </cell>
          <cell r="CK8096" t="str">
            <v>2025-03-07</v>
          </cell>
          <cell r="CL8096">
            <v>18725.273000000001</v>
          </cell>
        </row>
        <row r="8098">
          <cell r="CJ8098" t="str">
            <v xml:space="preserve">NFT-/XUTR/DEUTH02506624761X </v>
          </cell>
          <cell r="CK8098" t="str">
            <v>2025-03-07</v>
          </cell>
          <cell r="CL8098">
            <v>11880.782999999999</v>
          </cell>
        </row>
        <row r="8099">
          <cell r="CJ8099" t="str">
            <v xml:space="preserve">NFT-/XUTR/DEUTH02506624761X </v>
          </cell>
          <cell r="CK8099" t="str">
            <v>2025-03-07</v>
          </cell>
          <cell r="CL8099">
            <v>46938.468000000001</v>
          </cell>
        </row>
        <row r="8100">
          <cell r="CJ8100" t="str">
            <v xml:space="preserve">NFT-/XUTR/DEUTH02506624761X </v>
          </cell>
          <cell r="CK8100" t="str">
            <v>2025-03-07</v>
          </cell>
          <cell r="CL8100">
            <v>47155.78</v>
          </cell>
        </row>
        <row r="8101">
          <cell r="CJ8101" t="str">
            <v xml:space="preserve">NFT-/XUTR/DEUTH02506624761X </v>
          </cell>
          <cell r="CK8101" t="str">
            <v>2025-03-07</v>
          </cell>
          <cell r="CL8101">
            <v>46215.828999999998</v>
          </cell>
        </row>
        <row r="8102">
          <cell r="CJ8102" t="str">
            <v xml:space="preserve">NFT-/XUTR/DEUTH02506624761X </v>
          </cell>
          <cell r="CK8102" t="str">
            <v>2025-03-07</v>
          </cell>
          <cell r="CL8102">
            <v>9415.7909999999993</v>
          </cell>
        </row>
        <row r="8103">
          <cell r="CJ8103" t="str">
            <v xml:space="preserve">NFT-/XUTR/DEUTH02506624761X </v>
          </cell>
          <cell r="CK8103" t="str">
            <v>2025-03-07</v>
          </cell>
          <cell r="CL8103">
            <v>46206.389000000003</v>
          </cell>
        </row>
        <row r="8104">
          <cell r="CJ8104" t="str">
            <v xml:space="preserve">NFT-/XUTR/DEUTH02506624761X </v>
          </cell>
          <cell r="CK8104" t="str">
            <v>2025-03-07</v>
          </cell>
          <cell r="CL8104">
            <v>17775.077000000001</v>
          </cell>
          <cell r="CM8104" t="str">
            <v xml:space="preserve">NFT-/XUTR/DEUTH02506635186X </v>
          </cell>
          <cell r="CN8104" t="str">
            <v>2025-03-07</v>
          </cell>
          <cell r="CO8104">
            <v>940.48500000000001</v>
          </cell>
        </row>
        <row r="8105">
          <cell r="CJ8105" t="str">
            <v xml:space="preserve">NFT-/XUTR/DEUTH02506624761X </v>
          </cell>
          <cell r="CK8105" t="str">
            <v>2025-03-07</v>
          </cell>
          <cell r="CL8105">
            <v>5911.7479999999996</v>
          </cell>
        </row>
        <row r="8106">
          <cell r="CJ8106" t="str">
            <v xml:space="preserve">NFT-/XUTR/DEUTH02506624761X </v>
          </cell>
          <cell r="CK8106" t="str">
            <v>2025-03-07</v>
          </cell>
          <cell r="CL8106">
            <v>6106.3969999999999</v>
          </cell>
        </row>
        <row r="8107">
          <cell r="CJ8107" t="str">
            <v xml:space="preserve">NFT-/XUTR/DEUTH02506624761X </v>
          </cell>
          <cell r="CK8107" t="str">
            <v>2025-03-07</v>
          </cell>
          <cell r="CL8107">
            <v>11804.618</v>
          </cell>
        </row>
        <row r="8108">
          <cell r="CJ8108" t="str">
            <v xml:space="preserve">NFT-/XUTR/DEUTH02506975259X </v>
          </cell>
          <cell r="CK8108" t="str">
            <v>2025-03-10</v>
          </cell>
          <cell r="CL8108">
            <v>45614.080999999998</v>
          </cell>
        </row>
        <row r="8109">
          <cell r="CJ8109" t="str">
            <v xml:space="preserve">NFT-/XUTR/DEUTH02506975259X </v>
          </cell>
          <cell r="CK8109" t="str">
            <v>2025-03-10</v>
          </cell>
          <cell r="CL8109">
            <v>91833.816999999995</v>
          </cell>
          <cell r="CM8109" t="str">
            <v xml:space="preserve">NFT-/XUTR/DEUTH02508386458X </v>
          </cell>
          <cell r="CN8109" t="str">
            <v>2025-03-24</v>
          </cell>
          <cell r="CO8109">
            <v>-91987.217000000004</v>
          </cell>
        </row>
        <row r="8110">
          <cell r="CJ8110" t="str">
            <v xml:space="preserve">NFT-/XUTR/DEUTH02506975259X </v>
          </cell>
          <cell r="CK8110" t="str">
            <v>2025-03-10</v>
          </cell>
          <cell r="CL8110">
            <v>9308.76</v>
          </cell>
        </row>
        <row r="8111">
          <cell r="CJ8111" t="str">
            <v xml:space="preserve">NFT-/XUTR/DEUTH02506975259X </v>
          </cell>
          <cell r="CK8111" t="str">
            <v>2025-03-10</v>
          </cell>
          <cell r="CL8111">
            <v>18454.047999999999</v>
          </cell>
        </row>
        <row r="8112">
          <cell r="CJ8112" t="str">
            <v xml:space="preserve">NFT-/XUTR/DEUTH02506975259X </v>
          </cell>
          <cell r="CK8112" t="str">
            <v>2025-03-10</v>
          </cell>
          <cell r="CL8112">
            <v>18444.335999999999</v>
          </cell>
        </row>
        <row r="8113">
          <cell r="CJ8113" t="str">
            <v xml:space="preserve">NFT-/XUTR/DEUTH02506975259X </v>
          </cell>
          <cell r="CK8113" t="str">
            <v>2025-03-10</v>
          </cell>
          <cell r="CL8113">
            <v>18444.335999999999</v>
          </cell>
        </row>
        <row r="8114">
          <cell r="CJ8114" t="str">
            <v xml:space="preserve">NFT-/XUTR/DEUTH02506975259X </v>
          </cell>
          <cell r="CK8114" t="str">
            <v>2025-03-10</v>
          </cell>
          <cell r="CL8114">
            <v>5834.1040000000003</v>
          </cell>
        </row>
        <row r="8115">
          <cell r="CJ8115" t="str">
            <v xml:space="preserve">NFT-/XUTR/DEUTH02506975259X </v>
          </cell>
          <cell r="CK8115" t="str">
            <v>2025-03-10</v>
          </cell>
          <cell r="CL8115">
            <v>91170.456000000006</v>
          </cell>
        </row>
        <row r="8116">
          <cell r="CJ8116" t="str">
            <v xml:space="preserve">NFT-/XUTR/DEUTH02506975259X </v>
          </cell>
          <cell r="CK8116" t="str">
            <v>2025-03-10</v>
          </cell>
          <cell r="CL8116">
            <v>45594.667000000001</v>
          </cell>
        </row>
        <row r="8117">
          <cell r="CJ8117" t="str">
            <v xml:space="preserve">NFT-/XUTR/DEUTH02506975259X </v>
          </cell>
          <cell r="CK8117" t="str">
            <v>2025-03-10</v>
          </cell>
          <cell r="CL8117">
            <v>46476.38</v>
          </cell>
        </row>
        <row r="8118">
          <cell r="CJ8118" t="str">
            <v xml:space="preserve">NFT-/XUTR/DEUTH02506975259X </v>
          </cell>
          <cell r="CK8118" t="str">
            <v>2025-03-10</v>
          </cell>
          <cell r="CL8118">
            <v>18444.335999999999</v>
          </cell>
        </row>
        <row r="8119">
          <cell r="CJ8119" t="str">
            <v xml:space="preserve">NFT-/XUTR/DEUTH02506975259X </v>
          </cell>
          <cell r="CK8119" t="str">
            <v>2025-03-10</v>
          </cell>
          <cell r="CL8119">
            <v>46476.38</v>
          </cell>
        </row>
        <row r="8120">
          <cell r="CJ8120" t="str">
            <v xml:space="preserve">NFT-/XUTR/DEUTH02506975259X </v>
          </cell>
          <cell r="CK8120" t="str">
            <v>2025-03-10</v>
          </cell>
          <cell r="CL8120">
            <v>46476.38</v>
          </cell>
        </row>
        <row r="8121">
          <cell r="CJ8121" t="str">
            <v xml:space="preserve">NFT-/XUTR/DEUTH02506975259X </v>
          </cell>
          <cell r="CK8121" t="str">
            <v>2025-03-10</v>
          </cell>
          <cell r="CL8121">
            <v>2689.9720000000002</v>
          </cell>
        </row>
        <row r="8122">
          <cell r="CJ8122" t="str">
            <v xml:space="preserve">NFT-/XUTR/DEUTH02506975259X </v>
          </cell>
          <cell r="CK8122" t="str">
            <v>2025-03-10</v>
          </cell>
          <cell r="CL8122">
            <v>8885.15</v>
          </cell>
          <cell r="CM8122" t="str">
            <v xml:space="preserve">NFT-/XUTR/DEUTH02506994230X </v>
          </cell>
          <cell r="CN8122" t="str">
            <v>2025-03-10</v>
          </cell>
          <cell r="CO8122">
            <v>404.73099999999999</v>
          </cell>
        </row>
        <row r="8123">
          <cell r="CJ8123" t="str">
            <v xml:space="preserve">NFT-/XUTR/DEUTH02506975259X </v>
          </cell>
          <cell r="CK8123" t="str">
            <v>2025-03-10</v>
          </cell>
          <cell r="CL8123">
            <v>45193.381999999998</v>
          </cell>
          <cell r="CM8123" t="str">
            <v xml:space="preserve">NFT-/XUTR/DEUTH02506994230X </v>
          </cell>
          <cell r="CN8123" t="str">
            <v>2025-03-10</v>
          </cell>
          <cell r="CO8123">
            <v>401.81799999999998</v>
          </cell>
        </row>
        <row r="8124">
          <cell r="CJ8124" t="str">
            <v xml:space="preserve">NFT-/XUTR/DEUTH02506975259X </v>
          </cell>
          <cell r="CK8124" t="str">
            <v>2025-03-10</v>
          </cell>
          <cell r="CL8124">
            <v>46476.38</v>
          </cell>
        </row>
        <row r="8125">
          <cell r="CJ8125" t="str">
            <v xml:space="preserve">NFT-/XUTR/DEUTH02506975259X </v>
          </cell>
          <cell r="CK8125" t="str">
            <v>2025-03-10</v>
          </cell>
          <cell r="CL8125">
            <v>27878.274000000001</v>
          </cell>
        </row>
        <row r="8126">
          <cell r="CJ8126" t="str">
            <v xml:space="preserve">NFT-/XUTR/DEUTH02506975259X </v>
          </cell>
          <cell r="CK8126" t="str">
            <v>2025-03-10</v>
          </cell>
          <cell r="CL8126">
            <v>91766.409</v>
          </cell>
        </row>
        <row r="8127">
          <cell r="CJ8127" t="str">
            <v xml:space="preserve">NFT-/XUTR/DEUTH02506975259X </v>
          </cell>
          <cell r="CK8127" t="str">
            <v>2025-03-10</v>
          </cell>
          <cell r="CL8127">
            <v>2554.0880000000002</v>
          </cell>
        </row>
        <row r="8128">
          <cell r="CJ8128" t="str">
            <v xml:space="preserve">NFT-/XUTR/DEUTH02506975259X </v>
          </cell>
          <cell r="CK8128" t="str">
            <v>2025-03-10</v>
          </cell>
          <cell r="CL8128">
            <v>9299.0480000000007</v>
          </cell>
        </row>
        <row r="8129">
          <cell r="CJ8129" t="str">
            <v xml:space="preserve">NFT-/XUTR/DEUTH02506975259X </v>
          </cell>
          <cell r="CK8129" t="str">
            <v>2025-03-10</v>
          </cell>
          <cell r="CL8129">
            <v>45133.203000000001</v>
          </cell>
          <cell r="CM8129" t="str">
            <v xml:space="preserve">NFT-/XUTR/DEUTH02506994230X </v>
          </cell>
          <cell r="CN8129" t="str">
            <v>2025-03-10</v>
          </cell>
          <cell r="CO8129">
            <v>442.58300000000003</v>
          </cell>
        </row>
        <row r="8130">
          <cell r="CJ8130" t="str">
            <v xml:space="preserve">NFT-/XUTR/DEUTH02506975259X </v>
          </cell>
          <cell r="CK8130" t="str">
            <v>2025-03-10</v>
          </cell>
          <cell r="CL8130">
            <v>5795.8109999999997</v>
          </cell>
        </row>
        <row r="8131">
          <cell r="CJ8131" t="str">
            <v xml:space="preserve">NFT-/XUTR/DEUTH02506975259X </v>
          </cell>
          <cell r="CK8131" t="str">
            <v>2025-03-10</v>
          </cell>
          <cell r="CL8131">
            <v>18463.216</v>
          </cell>
        </row>
        <row r="8132">
          <cell r="CJ8132" t="str">
            <v xml:space="preserve">NFT-/XUTR/DEUTH02506975259X </v>
          </cell>
          <cell r="CK8132" t="str">
            <v>2025-03-10</v>
          </cell>
          <cell r="CL8132">
            <v>9299.0470000000005</v>
          </cell>
        </row>
        <row r="8133">
          <cell r="CJ8133" t="str">
            <v xml:space="preserve">NFT-/XUTR/DEUTH02506975259X </v>
          </cell>
          <cell r="CK8133" t="str">
            <v>2025-03-10</v>
          </cell>
          <cell r="CL8133">
            <v>45575.788</v>
          </cell>
        </row>
        <row r="8134">
          <cell r="CJ8134" t="str">
            <v xml:space="preserve">NFT-/XUTR/DEUTH02507166780X </v>
          </cell>
          <cell r="CK8134" t="str">
            <v>2025-03-12</v>
          </cell>
          <cell r="CL8134">
            <v>45624.315999999999</v>
          </cell>
        </row>
        <row r="8135">
          <cell r="CJ8135" t="str">
            <v xml:space="preserve">NFT-/XUTR/DEUTH02507166780X </v>
          </cell>
          <cell r="CK8135" t="str">
            <v>2025-03-12</v>
          </cell>
          <cell r="CL8135">
            <v>18482.63</v>
          </cell>
        </row>
        <row r="8136">
          <cell r="CJ8136" t="str">
            <v xml:space="preserve">NFT-/XUTR/DEUTH02507166780X </v>
          </cell>
          <cell r="CK8136" t="str">
            <v>2025-03-12</v>
          </cell>
          <cell r="CL8136">
            <v>45575.788</v>
          </cell>
        </row>
        <row r="8137">
          <cell r="CJ8137" t="str">
            <v xml:space="preserve">NFT-/XUTR/DEUTH02507166780X </v>
          </cell>
          <cell r="CK8137" t="str">
            <v>2025-03-12</v>
          </cell>
          <cell r="CL8137">
            <v>9289.8799999999992</v>
          </cell>
        </row>
        <row r="8138">
          <cell r="CJ8138" t="str">
            <v xml:space="preserve">NFT-/XUTR/DEUTH02507166780X </v>
          </cell>
          <cell r="CK8138" t="str">
            <v>2025-03-12</v>
          </cell>
          <cell r="CL8138">
            <v>17483.421999999999</v>
          </cell>
        </row>
        <row r="8139">
          <cell r="CJ8139" t="str">
            <v xml:space="preserve">NFT-/XUTR/DEUTH02507166780X </v>
          </cell>
          <cell r="CK8139" t="str">
            <v>2025-03-12</v>
          </cell>
          <cell r="CL8139">
            <v>45575.788</v>
          </cell>
        </row>
        <row r="8140">
          <cell r="CJ8140" t="str">
            <v xml:space="preserve">NFT-/XUTR/DEUTH02507166780X </v>
          </cell>
          <cell r="CK8140" t="str">
            <v>2025-03-12</v>
          </cell>
          <cell r="CL8140">
            <v>45624.315999999999</v>
          </cell>
        </row>
        <row r="8141">
          <cell r="CJ8141" t="str">
            <v xml:space="preserve">NFT-/XUTR/DEUTH02507166780X </v>
          </cell>
          <cell r="CK8141" t="str">
            <v>2025-03-12</v>
          </cell>
          <cell r="CL8141">
            <v>5795.8109999999997</v>
          </cell>
        </row>
        <row r="8142">
          <cell r="CJ8142" t="str">
            <v xml:space="preserve">NFT-/XUTR/DEUTH02507166780X </v>
          </cell>
          <cell r="CK8142" t="str">
            <v>2025-03-12</v>
          </cell>
          <cell r="CL8142">
            <v>9280.1679999999997</v>
          </cell>
        </row>
        <row r="8143">
          <cell r="CJ8143" t="str">
            <v xml:space="preserve">NFT-/XUTR/DEUTH02507166780X </v>
          </cell>
          <cell r="CK8143" t="str">
            <v>2025-03-12</v>
          </cell>
          <cell r="CL8143">
            <v>18599.099999999999</v>
          </cell>
        </row>
        <row r="8144">
          <cell r="CJ8144" t="str">
            <v xml:space="preserve">NFT-/XUTR/DEUTH02507166780X </v>
          </cell>
          <cell r="CK8144" t="str">
            <v>2025-03-12</v>
          </cell>
          <cell r="CL8144">
            <v>45928.544000000002</v>
          </cell>
        </row>
        <row r="8145">
          <cell r="CJ8145" t="str">
            <v xml:space="preserve">NFT-/XUTR/DEUTH02507166780X </v>
          </cell>
          <cell r="CK8145" t="str">
            <v>2025-03-12</v>
          </cell>
          <cell r="CL8145">
            <v>9289.8799999999992</v>
          </cell>
        </row>
        <row r="8146">
          <cell r="CJ8146" t="str">
            <v xml:space="preserve">NFT-/XUTR/DEUTH02507166780X </v>
          </cell>
          <cell r="CK8146" t="str">
            <v>2025-03-12</v>
          </cell>
          <cell r="CL8146">
            <v>18141.523000000001</v>
          </cell>
          <cell r="CM8146" t="str">
            <v xml:space="preserve">NFT-/XUTR/DEUTH025076A01PDX </v>
          </cell>
          <cell r="CN8146" t="str">
            <v>2025-03-17</v>
          </cell>
          <cell r="CO8146">
            <v>438.697</v>
          </cell>
        </row>
        <row r="8147">
          <cell r="CJ8147" t="str">
            <v xml:space="preserve">NFT-/XUTR/DEUTH02507166780X </v>
          </cell>
          <cell r="CK8147" t="str">
            <v>2025-03-12</v>
          </cell>
          <cell r="CL8147">
            <v>45944.07</v>
          </cell>
        </row>
        <row r="8148">
          <cell r="CJ8148" t="str">
            <v xml:space="preserve">NFT-/XUTR/DEUTH02507166780X </v>
          </cell>
          <cell r="CK8148" t="str">
            <v>2025-03-12</v>
          </cell>
          <cell r="CL8148">
            <v>9366.99</v>
          </cell>
        </row>
        <row r="8149">
          <cell r="CJ8149" t="str">
            <v xml:space="preserve">NFT-/XUTR/DEUTH02507166780X </v>
          </cell>
          <cell r="CK8149" t="str">
            <v>2025-03-12</v>
          </cell>
          <cell r="CL8149">
            <v>18764.624</v>
          </cell>
        </row>
        <row r="8150">
          <cell r="CJ8150" t="str">
            <v xml:space="preserve">NFT-/XUTR/DEUTH02507166780X </v>
          </cell>
          <cell r="CK8150" t="str">
            <v>2025-03-12</v>
          </cell>
          <cell r="CL8150">
            <v>45944.07</v>
          </cell>
        </row>
        <row r="8151">
          <cell r="CJ8151" t="str">
            <v xml:space="preserve">NFT-/XUTR/DEUTH02507166780X </v>
          </cell>
          <cell r="CK8151" t="str">
            <v>2025-03-12</v>
          </cell>
          <cell r="CL8151">
            <v>2631.2069999999999</v>
          </cell>
        </row>
        <row r="8152">
          <cell r="CJ8152" t="str">
            <v xml:space="preserve">NFT-/XUTR/DEUTH02507660292X </v>
          </cell>
          <cell r="CK8152" t="str">
            <v>2025-03-17</v>
          </cell>
          <cell r="CL8152">
            <v>46549.714999999997</v>
          </cell>
        </row>
        <row r="8153">
          <cell r="CJ8153" t="str">
            <v xml:space="preserve">NFT-/XUTR/DEUTH02507660292X </v>
          </cell>
          <cell r="CK8153" t="str">
            <v>2025-03-17</v>
          </cell>
          <cell r="CL8153">
            <v>44619.764999999999</v>
          </cell>
          <cell r="CM8153" t="str">
            <v xml:space="preserve">NFT-/XUTR/DEUTH025076A01PDX </v>
          </cell>
          <cell r="CN8153" t="str">
            <v>2025-03-17</v>
          </cell>
          <cell r="CO8153">
            <v>1625.713</v>
          </cell>
        </row>
        <row r="8154">
          <cell r="CJ8154" t="str">
            <v xml:space="preserve">NFT-/XUTR/DEUTH02507660292X </v>
          </cell>
          <cell r="CK8154" t="str">
            <v>2025-03-17</v>
          </cell>
          <cell r="CL8154">
            <v>90852.475000000006</v>
          </cell>
          <cell r="CM8154" t="str">
            <v xml:space="preserve">NFT-/XUTR/DEUTH025076A01PDX </v>
          </cell>
          <cell r="CN8154" t="str">
            <v>2025-03-17</v>
          </cell>
          <cell r="CO8154">
            <v>2819.52</v>
          </cell>
        </row>
        <row r="8155">
          <cell r="CJ8155" t="str">
            <v xml:space="preserve">NFT-/XUTR/DEUTH02507660292X </v>
          </cell>
          <cell r="CK8155" t="str">
            <v>2025-03-17</v>
          </cell>
          <cell r="CL8155">
            <v>18170.106</v>
          </cell>
          <cell r="CM8155" t="str">
            <v xml:space="preserve">NFT-/XUTR/DEUTH025076A01PDX </v>
          </cell>
          <cell r="CN8155" t="str">
            <v>2025-03-17</v>
          </cell>
          <cell r="CO8155">
            <v>564.87</v>
          </cell>
        </row>
        <row r="8156">
          <cell r="CJ8156" t="str">
            <v xml:space="preserve">NFT-/XUTR/DEUTH02507660292X </v>
          </cell>
          <cell r="CK8156" t="str">
            <v>2025-03-17</v>
          </cell>
          <cell r="CL8156">
            <v>90171.225000000006</v>
          </cell>
          <cell r="CM8156" t="str">
            <v xml:space="preserve">NFT-/XUTR/DEUTH025076A01PDX </v>
          </cell>
          <cell r="CN8156" t="str">
            <v>2025-03-17</v>
          </cell>
          <cell r="CO8156">
            <v>2791.377</v>
          </cell>
        </row>
        <row r="8157">
          <cell r="CJ8157" t="str">
            <v xml:space="preserve">NFT-/XUTR/DEUTH02507660292X </v>
          </cell>
          <cell r="CK8157" t="str">
            <v>2025-03-17</v>
          </cell>
          <cell r="CL8157">
            <v>18292.924999999999</v>
          </cell>
          <cell r="CM8157" t="str">
            <v xml:space="preserve">NFT-/XUTR/DEUTH025076A01PDX </v>
          </cell>
          <cell r="CN8157" t="str">
            <v>2025-03-17</v>
          </cell>
          <cell r="CO8157">
            <v>423.17</v>
          </cell>
        </row>
        <row r="8158">
          <cell r="CJ8158" t="str">
            <v xml:space="preserve">NFT-/XUTR/DEUTH02507660292X </v>
          </cell>
          <cell r="CK8158" t="str">
            <v>2025-03-17</v>
          </cell>
          <cell r="CL8158">
            <v>46245.478000000003</v>
          </cell>
        </row>
        <row r="8159">
          <cell r="CJ8159" t="str">
            <v xml:space="preserve">NFT-/XUTR/DEUTH02507660292X </v>
          </cell>
          <cell r="CK8159" t="str">
            <v>2025-03-17</v>
          </cell>
          <cell r="CL8159">
            <v>18170.106</v>
          </cell>
          <cell r="CM8159" t="str">
            <v xml:space="preserve">NFT-/XUTR/DEUTH025076A01PDX </v>
          </cell>
          <cell r="CN8159" t="str">
            <v>2025-03-17</v>
          </cell>
          <cell r="CO8159">
            <v>564.87</v>
          </cell>
        </row>
        <row r="8160">
          <cell r="CJ8160" t="str">
            <v xml:space="preserve">NFT-/XUTR/DEUTH02507660292X </v>
          </cell>
          <cell r="CK8160" t="str">
            <v>2025-03-17</v>
          </cell>
          <cell r="CL8160">
            <v>11638.14</v>
          </cell>
        </row>
        <row r="8161">
          <cell r="CJ8161" t="str">
            <v xml:space="preserve">NFT-/XUTR/DEUTH02507660292X </v>
          </cell>
          <cell r="CK8161" t="str">
            <v>2025-03-17</v>
          </cell>
          <cell r="CL8161">
            <v>9416.0519999999997</v>
          </cell>
        </row>
        <row r="8162">
          <cell r="CJ8162" t="str">
            <v xml:space="preserve">NFT-/XUTR/DEUTH02507660292X </v>
          </cell>
          <cell r="CK8162" t="str">
            <v>2025-03-17</v>
          </cell>
          <cell r="CL8162">
            <v>18151.225999999999</v>
          </cell>
          <cell r="CM8162" t="str">
            <v xml:space="preserve">NFT-/XUTR/DEUTH025076A01PDX </v>
          </cell>
          <cell r="CN8162" t="str">
            <v>2025-03-17</v>
          </cell>
          <cell r="CO8162">
            <v>564.87</v>
          </cell>
        </row>
        <row r="8163">
          <cell r="CJ8163" t="str">
            <v xml:space="preserve">NFT-/XUTR/DEUTH02507660292X </v>
          </cell>
          <cell r="CK8163" t="str">
            <v>2025-03-17</v>
          </cell>
          <cell r="CL8163">
            <v>18716.096000000001</v>
          </cell>
        </row>
        <row r="8164">
          <cell r="CJ8164" t="str">
            <v xml:space="preserve">NFT-/XUTR/DEUTH02507660292X </v>
          </cell>
          <cell r="CK8164" t="str">
            <v>2025-03-17</v>
          </cell>
          <cell r="CL8164">
            <v>1207.8969999999999</v>
          </cell>
        </row>
        <row r="8165">
          <cell r="CJ8165" t="str">
            <v xml:space="preserve">NFT-/XUTR/DEUTH02507660292X </v>
          </cell>
          <cell r="CK8165" t="str">
            <v>2025-03-17</v>
          </cell>
          <cell r="CL8165">
            <v>6113.3530000000001</v>
          </cell>
        </row>
        <row r="8166">
          <cell r="CJ8166" t="str">
            <v xml:space="preserve">NFT-/XUTR/DEUTH02507660292X </v>
          </cell>
          <cell r="CK8166" t="str">
            <v>2025-03-17</v>
          </cell>
          <cell r="CL8166">
            <v>18734.974999999999</v>
          </cell>
        </row>
        <row r="8167">
          <cell r="CJ8167" t="str">
            <v xml:space="preserve">NFT-/XUTR/DEUTH02507660292X </v>
          </cell>
          <cell r="CK8167" t="str">
            <v>2025-03-17</v>
          </cell>
          <cell r="CL8167">
            <v>1207.8969999999999</v>
          </cell>
        </row>
        <row r="8168">
          <cell r="CJ8168" t="str">
            <v xml:space="preserve">NFT-/XUTR/DEUTH02507660292X </v>
          </cell>
          <cell r="CK8168" t="str">
            <v>2025-03-17</v>
          </cell>
          <cell r="CL8168">
            <v>9425.7549999999992</v>
          </cell>
        </row>
        <row r="8169">
          <cell r="CJ8169" t="str">
            <v xml:space="preserve">NFT-/XUTR/DEUTH02507660292X </v>
          </cell>
          <cell r="CK8169" t="str">
            <v>2025-03-17</v>
          </cell>
          <cell r="CL8169">
            <v>18320.543000000001</v>
          </cell>
          <cell r="CM8169" t="str">
            <v xml:space="preserve">NFT-/XUTR/DEUTH025076A01PDX </v>
          </cell>
          <cell r="CN8169" t="str">
            <v>2025-03-17</v>
          </cell>
          <cell r="CO8169">
            <v>375.61599999999999</v>
          </cell>
        </row>
        <row r="8170">
          <cell r="CJ8170" t="str">
            <v xml:space="preserve">NFT-/XUTR/DEUTH02507660292X </v>
          </cell>
          <cell r="CK8170" t="str">
            <v>2025-03-17</v>
          </cell>
          <cell r="CL8170">
            <v>1515.57</v>
          </cell>
        </row>
        <row r="8171">
          <cell r="CJ8171" t="str">
            <v xml:space="preserve">NFT-/XUTR/DEUTH02507660292X </v>
          </cell>
          <cell r="CK8171" t="str">
            <v>2025-03-17</v>
          </cell>
          <cell r="CL8171">
            <v>9216.1119999999992</v>
          </cell>
          <cell r="CM8171" t="str">
            <v xml:space="preserve">NFT-/XUTR/DEUTH025076A01PDX </v>
          </cell>
          <cell r="CN8171" t="str">
            <v>2025-03-17</v>
          </cell>
          <cell r="CO8171">
            <v>190.22900000000001</v>
          </cell>
        </row>
        <row r="8172">
          <cell r="CJ8172" t="str">
            <v xml:space="preserve">NFT-/XUTR/DEUTH02507660292X </v>
          </cell>
          <cell r="CK8172" t="str">
            <v>2025-03-17</v>
          </cell>
          <cell r="CL8172">
            <v>75618.952999999994</v>
          </cell>
        </row>
        <row r="8173">
          <cell r="CJ8173" t="str">
            <v xml:space="preserve">NFT-/XUTR/DEUTH02507660292X </v>
          </cell>
          <cell r="CK8173" t="str">
            <v>2025-03-17</v>
          </cell>
          <cell r="CL8173">
            <v>9235.5259999999998</v>
          </cell>
          <cell r="CM8173" t="str">
            <v xml:space="preserve">NFT-/XUTR/DEUTH025076A01PDX </v>
          </cell>
          <cell r="CN8173" t="str">
            <v>2025-03-17</v>
          </cell>
          <cell r="CO8173">
            <v>170.82499999999999</v>
          </cell>
        </row>
        <row r="8174">
          <cell r="CJ8174" t="str">
            <v xml:space="preserve">NFT-/XUTR/DEUTH02507660292X </v>
          </cell>
          <cell r="CK8174" t="str">
            <v>2025-03-17</v>
          </cell>
          <cell r="CL8174">
            <v>45540.313999999998</v>
          </cell>
          <cell r="CM8174" t="str">
            <v xml:space="preserve">NFT-/XUTR/DEUTH025076A01PDX </v>
          </cell>
          <cell r="CN8174" t="str">
            <v>2025-03-17</v>
          </cell>
          <cell r="CO8174">
            <v>931.74800000000005</v>
          </cell>
        </row>
        <row r="8175">
          <cell r="CJ8175" t="str">
            <v xml:space="preserve">NFT-/XUTR/DEUTH02507660292X </v>
          </cell>
          <cell r="CK8175" t="str">
            <v>2025-03-17</v>
          </cell>
          <cell r="CL8175">
            <v>9216.1119999999992</v>
          </cell>
          <cell r="CM8175" t="str">
            <v xml:space="preserve">NFT-/XUTR/DEUTH025076A01PDX </v>
          </cell>
          <cell r="CN8175" t="str">
            <v>2025-03-17</v>
          </cell>
          <cell r="CO8175">
            <v>190.22900000000001</v>
          </cell>
        </row>
        <row r="8176">
          <cell r="CJ8176" t="str">
            <v xml:space="preserve">NFT-/XUTR/DEUTH02507660292X </v>
          </cell>
          <cell r="CK8176" t="str">
            <v>2025-03-17</v>
          </cell>
          <cell r="CL8176">
            <v>9406.3510000000006</v>
          </cell>
        </row>
        <row r="8177">
          <cell r="CJ8177" t="str">
            <v xml:space="preserve">NFT-/XUTR/DEUTH02507660292X </v>
          </cell>
          <cell r="CK8177" t="str">
            <v>2025-03-17</v>
          </cell>
          <cell r="CL8177">
            <v>9234.9930000000004</v>
          </cell>
          <cell r="CM8177" t="str">
            <v xml:space="preserve">NFT-/XUTR/DEUTH025076A01PDX </v>
          </cell>
          <cell r="CN8177" t="str">
            <v>2025-03-17</v>
          </cell>
          <cell r="CO8177">
            <v>190.22800000000001</v>
          </cell>
        </row>
        <row r="8178">
          <cell r="CJ8178" t="str">
            <v xml:space="preserve">NFT-/XUTR/DEUTH02507660292X </v>
          </cell>
          <cell r="CK8178" t="str">
            <v>2025-03-17</v>
          </cell>
          <cell r="CL8178">
            <v>0</v>
          </cell>
          <cell r="CM8178" t="str">
            <v xml:space="preserve">NFT-/XUTR/DEUTH025076A01PDX </v>
          </cell>
          <cell r="CN8178" t="str">
            <v>2025-03-17</v>
          </cell>
          <cell r="CO8178">
            <v>0</v>
          </cell>
        </row>
        <row r="8179">
          <cell r="CJ8179" t="str">
            <v xml:space="preserve">NFT-/XUTR/DEUTH02507660292X </v>
          </cell>
          <cell r="CK8179" t="str">
            <v>2025-03-17</v>
          </cell>
          <cell r="CL8179">
            <v>11326.579</v>
          </cell>
          <cell r="CM8179" t="str">
            <v xml:space="preserve">NFT-/XUTR/DEUTH025076A01PDX </v>
          </cell>
          <cell r="CN8179" t="str">
            <v>2025-03-17</v>
          </cell>
          <cell r="CO8179">
            <v>845.36400000000003</v>
          </cell>
        </row>
        <row r="8180">
          <cell r="CJ8180" t="str">
            <v xml:space="preserve">NFT-/XUTR/DEUTH02507660292X </v>
          </cell>
          <cell r="CK8180" t="str">
            <v>2025-03-17</v>
          </cell>
          <cell r="CL8180">
            <v>45260.792000000001</v>
          </cell>
          <cell r="CM8180" t="str">
            <v xml:space="preserve">NFT-/XUTR/DEUTH025076A01PDX </v>
          </cell>
          <cell r="CN8180" t="str">
            <v>2025-03-17</v>
          </cell>
          <cell r="CO8180">
            <v>925.93299999999999</v>
          </cell>
        </row>
        <row r="8181">
          <cell r="CJ8181" t="str">
            <v xml:space="preserve">NFT-/XUTR/DEUTH02507660292X </v>
          </cell>
          <cell r="CK8181" t="str">
            <v>2025-03-17</v>
          </cell>
          <cell r="CL8181">
            <v>6028.7430000000004</v>
          </cell>
        </row>
        <row r="8182">
          <cell r="CJ8182" t="str">
            <v xml:space="preserve">NFT-/XUTR/DEUTH02507660292X </v>
          </cell>
          <cell r="CK8182" t="str">
            <v>2025-03-17</v>
          </cell>
          <cell r="CL8182">
            <v>5851.57</v>
          </cell>
          <cell r="CM8182" t="str">
            <v xml:space="preserve">NFT-/XUTR/DEUTH025076A01PDX </v>
          </cell>
          <cell r="CN8182" t="str">
            <v>2025-03-17</v>
          </cell>
          <cell r="CO8182">
            <v>166.93799999999999</v>
          </cell>
        </row>
        <row r="8183">
          <cell r="CJ8183" t="str">
            <v xml:space="preserve">NFT-/XUTR/DEUTH02507660292X </v>
          </cell>
          <cell r="CK8183" t="str">
            <v>2025-03-17</v>
          </cell>
          <cell r="CL8183">
            <v>44760.942000000003</v>
          </cell>
          <cell r="CM8183" t="str">
            <v xml:space="preserve">NFT-/XUTR/DEUTH025076A01PDX </v>
          </cell>
          <cell r="CN8183" t="str">
            <v>2025-03-17</v>
          </cell>
          <cell r="CO8183">
            <v>1386.9559999999999</v>
          </cell>
          <cell r="CP8183" t="str">
            <v xml:space="preserve">NFT-/XUTR/DEUTH02507886743X </v>
          </cell>
          <cell r="CQ8183" t="str">
            <v>2025-03-19</v>
          </cell>
          <cell r="CR8183">
            <v>-44760.942000000003</v>
          </cell>
          <cell r="CS8183" t="str">
            <v xml:space="preserve">NFT-/XUTR/DEUTH025078A0BAGX </v>
          </cell>
          <cell r="CT8183" t="str">
            <v>2025-03-19</v>
          </cell>
          <cell r="CU8183">
            <v>-1386.9559999999999</v>
          </cell>
        </row>
        <row r="8184">
          <cell r="CJ8184" t="str">
            <v xml:space="preserve">NFT-/XUTR/DEUTH02507660292X </v>
          </cell>
          <cell r="CK8184" t="str">
            <v>2025-03-17</v>
          </cell>
          <cell r="CL8184">
            <v>17916.346000000001</v>
          </cell>
          <cell r="CM8184" t="str">
            <v xml:space="preserve">NFT-/XUTR/DEUTH025076A01PDX </v>
          </cell>
          <cell r="CN8184" t="str">
            <v>2025-03-17</v>
          </cell>
          <cell r="CO8184">
            <v>751.22199999999998</v>
          </cell>
        </row>
        <row r="8185">
          <cell r="CJ8185" t="str">
            <v xml:space="preserve">NFT-/XUTR/DEUTH02507660292X </v>
          </cell>
          <cell r="CK8185" t="str">
            <v>2025-03-17</v>
          </cell>
          <cell r="CL8185">
            <v>9111.2909999999993</v>
          </cell>
          <cell r="CM8185" t="str">
            <v xml:space="preserve">NFT-/XUTR/DEUTH025076A01PDX </v>
          </cell>
          <cell r="CN8185" t="str">
            <v>2025-03-17</v>
          </cell>
          <cell r="CO8185">
            <v>285.34800000000001</v>
          </cell>
        </row>
        <row r="8186">
          <cell r="CJ8186" t="str">
            <v xml:space="preserve">NFT-/XUTR/DEUTH02507660292X </v>
          </cell>
          <cell r="CK8186" t="str">
            <v>2025-03-17</v>
          </cell>
          <cell r="CL8186">
            <v>44760.942000000003</v>
          </cell>
          <cell r="CM8186" t="str">
            <v xml:space="preserve">NFT-/XUTR/DEUTH025076A01PDX </v>
          </cell>
          <cell r="CN8186" t="str">
            <v>2025-03-17</v>
          </cell>
          <cell r="CO8186">
            <v>1386.9559999999999</v>
          </cell>
        </row>
        <row r="8187">
          <cell r="CJ8187" t="str">
            <v xml:space="preserve">NFT-/XUTR/DEUTH02507660292X </v>
          </cell>
          <cell r="CK8187" t="str">
            <v>2025-03-17</v>
          </cell>
          <cell r="CL8187">
            <v>44760.940999999999</v>
          </cell>
          <cell r="CM8187" t="str">
            <v xml:space="preserve">NFT-/XUTR/DEUTH025076A01PDX </v>
          </cell>
          <cell r="CN8187" t="str">
            <v>2025-03-17</v>
          </cell>
          <cell r="CO8187">
            <v>1386.9570000000001</v>
          </cell>
        </row>
        <row r="8188">
          <cell r="CJ8188" t="str">
            <v xml:space="preserve">NFT-/XUTR/DEUTH02507660292X </v>
          </cell>
          <cell r="CK8188" t="str">
            <v>2025-03-17</v>
          </cell>
          <cell r="CL8188">
            <v>44630.883000000002</v>
          </cell>
          <cell r="CM8188" t="str">
            <v xml:space="preserve">NFT-/XUTR/DEUTH025076A01PDX </v>
          </cell>
          <cell r="CN8188" t="str">
            <v>2025-03-17</v>
          </cell>
          <cell r="CO8188">
            <v>1517.0050000000001</v>
          </cell>
          <cell r="CP8188" t="str">
            <v xml:space="preserve">NFT-/XUTR/DEUTH02508386458X </v>
          </cell>
          <cell r="CQ8188" t="str">
            <v>2025-03-24</v>
          </cell>
          <cell r="CR8188">
            <v>-44630.883000000002</v>
          </cell>
          <cell r="CS8188" t="str">
            <v xml:space="preserve">NFT-/XUTR/DEUTH025083A06D2X </v>
          </cell>
          <cell r="CT8188" t="str">
            <v>2025-03-24</v>
          </cell>
          <cell r="CU8188">
            <v>-1517.0050000000001</v>
          </cell>
        </row>
        <row r="8189">
          <cell r="CJ8189" t="str">
            <v xml:space="preserve">NFT-/XUTR/DEUTH02507660292X </v>
          </cell>
          <cell r="CK8189" t="str">
            <v>2025-03-17</v>
          </cell>
          <cell r="CL8189">
            <v>44760.942000000003</v>
          </cell>
          <cell r="CM8189" t="str">
            <v xml:space="preserve">NFT-/XUTR/DEUTH025076A01PDX </v>
          </cell>
          <cell r="CN8189" t="str">
            <v>2025-03-17</v>
          </cell>
          <cell r="CO8189">
            <v>1386.9559999999999</v>
          </cell>
          <cell r="CP8189" t="str">
            <v xml:space="preserve">NFT-/XUTR/DEUTH02507886743X </v>
          </cell>
          <cell r="CQ8189" t="str">
            <v>2025-03-19</v>
          </cell>
          <cell r="CR8189">
            <v>-44760.942000000003</v>
          </cell>
          <cell r="CS8189" t="str">
            <v xml:space="preserve">NFT-/XUTR/DEUTH025078A0BAGX </v>
          </cell>
          <cell r="CT8189" t="str">
            <v>2025-03-19</v>
          </cell>
          <cell r="CU8189">
            <v>-1386.9559999999999</v>
          </cell>
        </row>
        <row r="8190">
          <cell r="CJ8190" t="str">
            <v xml:space="preserve">NFT-/XUTR/DEUTH02507660292X </v>
          </cell>
          <cell r="CK8190" t="str">
            <v>2025-03-17</v>
          </cell>
          <cell r="CL8190">
            <v>44760.940999999999</v>
          </cell>
          <cell r="CM8190" t="str">
            <v xml:space="preserve">NFT-/XUTR/DEUTH025076A01PDX </v>
          </cell>
          <cell r="CN8190" t="str">
            <v>2025-03-17</v>
          </cell>
          <cell r="CO8190">
            <v>1386.9570000000001</v>
          </cell>
        </row>
        <row r="8191">
          <cell r="CJ8191" t="str">
            <v xml:space="preserve">NFT-/XUTR/DEUTH02507660292X </v>
          </cell>
          <cell r="CK8191" t="str">
            <v>2025-03-17</v>
          </cell>
          <cell r="CL8191">
            <v>27391.49</v>
          </cell>
          <cell r="CM8191" t="str">
            <v xml:space="preserve">NFT-/XUTR/DEUTH025076A01PDX </v>
          </cell>
          <cell r="CN8191" t="str">
            <v>2025-03-17</v>
          </cell>
          <cell r="CO8191">
            <v>856.05399999999997</v>
          </cell>
        </row>
        <row r="8192">
          <cell r="CJ8192" t="str">
            <v xml:space="preserve">NFT-/XUTR/DEUTH02507660292X </v>
          </cell>
          <cell r="CK8192" t="str">
            <v>2025-03-17</v>
          </cell>
          <cell r="CL8192">
            <v>67274.922999999995</v>
          </cell>
          <cell r="CM8192" t="str">
            <v xml:space="preserve">NFT-/XUTR/DEUTH025076A01PDX </v>
          </cell>
          <cell r="CN8192" t="str">
            <v>2025-03-17</v>
          </cell>
          <cell r="CO8192">
            <v>2083.8240000000001</v>
          </cell>
        </row>
        <row r="8193">
          <cell r="CJ8193" t="str">
            <v xml:space="preserve">NFT-/XUTR/DEUTH02507660292X </v>
          </cell>
          <cell r="CK8193" t="str">
            <v>2025-03-17</v>
          </cell>
          <cell r="CL8193">
            <v>44760.942000000003</v>
          </cell>
          <cell r="CM8193" t="str">
            <v xml:space="preserve">NFT-/XUTR/DEUTH025076A01PDX </v>
          </cell>
          <cell r="CN8193" t="str">
            <v>2025-03-17</v>
          </cell>
          <cell r="CO8193">
            <v>1386.9559999999999</v>
          </cell>
          <cell r="CP8193" t="str">
            <v xml:space="preserve">NFT-/XUTR/DEUTH02507886743X </v>
          </cell>
          <cell r="CQ8193" t="str">
            <v>2025-03-19</v>
          </cell>
          <cell r="CR8193">
            <v>-44760.942000000003</v>
          </cell>
          <cell r="CS8193" t="str">
            <v xml:space="preserve">NFT-/XUTR/DEUTH025078A0BAGX </v>
          </cell>
          <cell r="CT8193" t="str">
            <v>2025-03-19</v>
          </cell>
          <cell r="CU8193">
            <v>-1386.9559999999999</v>
          </cell>
        </row>
        <row r="8194">
          <cell r="CJ8194" t="str">
            <v xml:space="preserve">NFT-/XUTR/DEUTH02507660292X </v>
          </cell>
          <cell r="CK8194" t="str">
            <v>2025-03-17</v>
          </cell>
          <cell r="CL8194">
            <v>9396.6389999999992</v>
          </cell>
        </row>
        <row r="8195">
          <cell r="CJ8195" t="str">
            <v xml:space="preserve">NFT-/XUTR/DEUTH02507660292X </v>
          </cell>
          <cell r="CK8195" t="str">
            <v>2025-03-17</v>
          </cell>
          <cell r="CL8195">
            <v>46129.017</v>
          </cell>
        </row>
        <row r="8196">
          <cell r="CJ8196" t="str">
            <v xml:space="preserve">NFT-/XUTR/DEUTH02507660292X </v>
          </cell>
          <cell r="CK8196" t="str">
            <v>2025-03-17</v>
          </cell>
          <cell r="CL8196">
            <v>45008.97</v>
          </cell>
          <cell r="CM8196" t="str">
            <v xml:space="preserve">NFT-/XUTR/DEUTH025076A01PDX </v>
          </cell>
          <cell r="CN8196" t="str">
            <v>2025-03-17</v>
          </cell>
          <cell r="CO8196">
            <v>1395.683</v>
          </cell>
        </row>
        <row r="8197">
          <cell r="CJ8197" t="str">
            <v xml:space="preserve">NFT-/XUTR/DEUTH02507660292X </v>
          </cell>
          <cell r="CK8197" t="str">
            <v>2025-03-17</v>
          </cell>
          <cell r="CL8197">
            <v>18104.634999999998</v>
          </cell>
          <cell r="CM8197" t="str">
            <v xml:space="preserve">NFT-/XUTR/DEUTH025076A01PDX </v>
          </cell>
          <cell r="CN8197" t="str">
            <v>2025-03-17</v>
          </cell>
          <cell r="CO8197">
            <v>562.93100000000004</v>
          </cell>
        </row>
        <row r="8198">
          <cell r="CJ8198" t="str">
            <v xml:space="preserve">NFT-/XUTR/DEUTH02507660292X </v>
          </cell>
          <cell r="CK8198" t="str">
            <v>2025-03-17</v>
          </cell>
          <cell r="CL8198">
            <v>89926.644</v>
          </cell>
          <cell r="CM8198" t="str">
            <v xml:space="preserve">NFT-/XUTR/DEUTH025076A01PDX </v>
          </cell>
          <cell r="CN8198" t="str">
            <v>2025-03-17</v>
          </cell>
          <cell r="CO8198">
            <v>2783.614</v>
          </cell>
        </row>
        <row r="8199">
          <cell r="CJ8199" t="str">
            <v xml:space="preserve">NFT-/XUTR/DEUTH02507660292X </v>
          </cell>
          <cell r="CK8199" t="str">
            <v>2025-03-17</v>
          </cell>
          <cell r="CL8199">
            <v>44760.940999999999</v>
          </cell>
          <cell r="CM8199" t="str">
            <v xml:space="preserve">NFT-/XUTR/DEUTH025076A01PDX </v>
          </cell>
          <cell r="CN8199" t="str">
            <v>2025-03-17</v>
          </cell>
          <cell r="CO8199">
            <v>1386.9570000000001</v>
          </cell>
        </row>
        <row r="8200">
          <cell r="CJ8200" t="str">
            <v xml:space="preserve">NFT-/XUTR/DEUTH02507660292X </v>
          </cell>
          <cell r="CK8200" t="str">
            <v>2025-03-17</v>
          </cell>
          <cell r="CL8200">
            <v>27391.49</v>
          </cell>
          <cell r="CM8200" t="str">
            <v xml:space="preserve">NFT-/XUTR/DEUTH025076A01PDX </v>
          </cell>
          <cell r="CN8200" t="str">
            <v>2025-03-17</v>
          </cell>
          <cell r="CO8200">
            <v>853.14200000000005</v>
          </cell>
        </row>
        <row r="8201">
          <cell r="CJ8201" t="str">
            <v xml:space="preserve">NFT-/XUTR/DEUTH02507660292X </v>
          </cell>
          <cell r="CK8201" t="str">
            <v>2025-03-17</v>
          </cell>
          <cell r="CL8201">
            <v>90083.429000000004</v>
          </cell>
          <cell r="CM8201" t="str">
            <v xml:space="preserve">NFT-/XUTR/DEUTH025076A01PDX </v>
          </cell>
          <cell r="CN8201" t="str">
            <v>2025-03-17</v>
          </cell>
          <cell r="CO8201">
            <v>2789.4290000000001</v>
          </cell>
        </row>
        <row r="8202">
          <cell r="CJ8202" t="str">
            <v xml:space="preserve">NFT-/XUTR/DEUTH02507660292X </v>
          </cell>
          <cell r="CK8202" t="str">
            <v>2025-03-17</v>
          </cell>
          <cell r="CL8202">
            <v>18113.111000000001</v>
          </cell>
          <cell r="CM8202" t="str">
            <v xml:space="preserve">NFT-/XUTR/DEUTH025076A01PDX </v>
          </cell>
          <cell r="CN8202" t="str">
            <v>2025-03-17</v>
          </cell>
          <cell r="CO8202">
            <v>563.90599999999995</v>
          </cell>
        </row>
        <row r="8203">
          <cell r="CJ8203" t="str">
            <v xml:space="preserve">NFT-/XUTR/DEUTH02507660292X </v>
          </cell>
          <cell r="CK8203" t="str">
            <v>2025-03-17</v>
          </cell>
          <cell r="CL8203">
            <v>18104.634999999998</v>
          </cell>
          <cell r="CM8203" t="str">
            <v xml:space="preserve">NFT-/XUTR/DEUTH025076A01PDX </v>
          </cell>
          <cell r="CN8203" t="str">
            <v>2025-03-17</v>
          </cell>
          <cell r="CO8203">
            <v>562.93100000000004</v>
          </cell>
        </row>
        <row r="8204">
          <cell r="CJ8204" t="str">
            <v xml:space="preserve">NFT-/XUTR/DEUTH02507660292X </v>
          </cell>
          <cell r="CK8204" t="str">
            <v>2025-03-17</v>
          </cell>
          <cell r="CL8204">
            <v>37354.021999999997</v>
          </cell>
        </row>
        <row r="8205">
          <cell r="CJ8205" t="str">
            <v xml:space="preserve">NFT-/XUTR/DEUTH02507660292X </v>
          </cell>
          <cell r="CK8205" t="str">
            <v>2025-03-17</v>
          </cell>
          <cell r="CL8205">
            <v>44742.061999999998</v>
          </cell>
          <cell r="CM8205" t="str">
            <v xml:space="preserve">NFT-/XUTR/DEUTH025076A01PDX </v>
          </cell>
          <cell r="CN8205" t="str">
            <v>2025-03-17</v>
          </cell>
          <cell r="CO8205">
            <v>1386.9559999999999</v>
          </cell>
        </row>
        <row r="8206">
          <cell r="CJ8206" t="str">
            <v xml:space="preserve">NFT-/XUTR/DEUTH02507660292X </v>
          </cell>
          <cell r="CK8206" t="str">
            <v>2025-03-17</v>
          </cell>
          <cell r="CL8206">
            <v>9121.7060000000001</v>
          </cell>
          <cell r="CM8206" t="str">
            <v xml:space="preserve">NFT-/XUTR/DEUTH025076A01PDX </v>
          </cell>
          <cell r="CN8206" t="str">
            <v>2025-03-17</v>
          </cell>
          <cell r="CO8206">
            <v>284.37400000000002</v>
          </cell>
        </row>
        <row r="8207">
          <cell r="CJ8207" t="str">
            <v xml:space="preserve">NFT-/XUTR/DEUTH02507660292X </v>
          </cell>
          <cell r="CK8207" t="str">
            <v>2025-03-17</v>
          </cell>
          <cell r="CL8207">
            <v>9111.2909999999993</v>
          </cell>
          <cell r="CM8207" t="str">
            <v xml:space="preserve">NFT-/XUTR/DEUTH025076A01PDX </v>
          </cell>
          <cell r="CN8207" t="str">
            <v>2025-03-17</v>
          </cell>
          <cell r="CO8207">
            <v>285.34800000000001</v>
          </cell>
        </row>
        <row r="8208">
          <cell r="CJ8208" t="str">
            <v xml:space="preserve">NFT-/XUTR/DEUTH02507660292X </v>
          </cell>
          <cell r="CK8208" t="str">
            <v>2025-03-17</v>
          </cell>
          <cell r="CL8208">
            <v>73139.577000000005</v>
          </cell>
          <cell r="CM8208" t="str">
            <v xml:space="preserve">NFT-/XUTR/DEUTH025076A01PDX </v>
          </cell>
          <cell r="CN8208" t="str">
            <v>2025-03-17</v>
          </cell>
          <cell r="CO8208">
            <v>2265.3240000000001</v>
          </cell>
        </row>
        <row r="8209">
          <cell r="CJ8209" t="str">
            <v xml:space="preserve">NFT-/XUTR/DEUTH02507660292X </v>
          </cell>
          <cell r="CK8209" t="str">
            <v>2025-03-17</v>
          </cell>
          <cell r="CL8209">
            <v>89907.763999999996</v>
          </cell>
          <cell r="CM8209" t="str">
            <v xml:space="preserve">NFT-/XUTR/DEUTH025076A01PDX </v>
          </cell>
          <cell r="CN8209" t="str">
            <v>2025-03-17</v>
          </cell>
          <cell r="CO8209">
            <v>2783.614</v>
          </cell>
        </row>
        <row r="8210">
          <cell r="CJ8210" t="str">
            <v xml:space="preserve">NFT-/XUTR/DEUTH02507660292X </v>
          </cell>
          <cell r="CK8210" t="str">
            <v>2025-03-17</v>
          </cell>
          <cell r="CL8210">
            <v>44742.061999999998</v>
          </cell>
          <cell r="CM8210" t="str">
            <v xml:space="preserve">NFT-/XUTR/DEUTH025076A01PDX </v>
          </cell>
          <cell r="CN8210" t="str">
            <v>2025-03-17</v>
          </cell>
          <cell r="CO8210">
            <v>1386.9559999999999</v>
          </cell>
        </row>
        <row r="8211">
          <cell r="CJ8211" t="str">
            <v xml:space="preserve">NFT-/XUTR/DEUTH02507660292X </v>
          </cell>
          <cell r="CK8211" t="str">
            <v>2025-03-17</v>
          </cell>
          <cell r="CL8211">
            <v>18123.514999999999</v>
          </cell>
          <cell r="CM8211" t="str">
            <v xml:space="preserve">NFT-/XUTR/DEUTH025076A01PDX </v>
          </cell>
          <cell r="CN8211" t="str">
            <v>2025-03-17</v>
          </cell>
          <cell r="CO8211">
            <v>562.93100000000004</v>
          </cell>
        </row>
        <row r="8212">
          <cell r="CJ8212" t="str">
            <v xml:space="preserve">NFT-/XUTR/DEUTH02507660292X </v>
          </cell>
          <cell r="CK8212" t="str">
            <v>2025-03-17</v>
          </cell>
          <cell r="CL8212">
            <v>36228.160000000003</v>
          </cell>
          <cell r="CM8212" t="str">
            <v xml:space="preserve">NFT-/XUTR/DEUTH025076A01PDX </v>
          </cell>
          <cell r="CN8212" t="str">
            <v>2025-03-17</v>
          </cell>
          <cell r="CO8212">
            <v>1125.8620000000001</v>
          </cell>
        </row>
        <row r="8213">
          <cell r="CJ8213" t="str">
            <v xml:space="preserve">NFT-/XUTR/DEUTH02507660292X </v>
          </cell>
          <cell r="CK8213" t="str">
            <v>2025-03-17</v>
          </cell>
          <cell r="CL8213">
            <v>17544.082999999999</v>
          </cell>
          <cell r="CM8213" t="str">
            <v xml:space="preserve">NFT-/XUTR/DEUTH025076A01PDX </v>
          </cell>
          <cell r="CN8213" t="str">
            <v>2025-03-17</v>
          </cell>
          <cell r="CO8213">
            <v>1142.364</v>
          </cell>
        </row>
        <row r="8214">
          <cell r="CJ8214" t="str">
            <v xml:space="preserve">NFT-/XUTR/DEUTH02507660292X </v>
          </cell>
          <cell r="CK8214" t="str">
            <v>2025-03-17</v>
          </cell>
          <cell r="CL8214">
            <v>17803.760999999999</v>
          </cell>
          <cell r="CM8214" t="str">
            <v xml:space="preserve">NFT-/XUTR/DEUTH025076A01PDX </v>
          </cell>
          <cell r="CN8214" t="str">
            <v>2025-03-17</v>
          </cell>
          <cell r="CO8214">
            <v>863.81500000000005</v>
          </cell>
        </row>
        <row r="8215">
          <cell r="CJ8215" t="str">
            <v xml:space="preserve">NFT-/XUTR/DEUTH02507660292X </v>
          </cell>
          <cell r="CK8215" t="str">
            <v>2025-03-17</v>
          </cell>
          <cell r="CL8215">
            <v>18667.565999999999</v>
          </cell>
        </row>
        <row r="8216">
          <cell r="CJ8216" t="str">
            <v xml:space="preserve">NFT-/XUTR/DEUTH02507660292X </v>
          </cell>
          <cell r="CK8216" t="str">
            <v>2025-03-17</v>
          </cell>
          <cell r="CL8216">
            <v>18123.513999999999</v>
          </cell>
          <cell r="CM8216" t="str">
            <v xml:space="preserve">NFT-/XUTR/DEUTH025076A01PDX </v>
          </cell>
          <cell r="CN8216" t="str">
            <v>2025-03-17</v>
          </cell>
          <cell r="CO8216">
            <v>562.93100000000004</v>
          </cell>
        </row>
        <row r="8217">
          <cell r="CJ8217" t="str">
            <v xml:space="preserve">NFT-/XUTR/DEUTH02507660292X </v>
          </cell>
          <cell r="CK8217" t="str">
            <v>2025-03-17</v>
          </cell>
          <cell r="CL8217">
            <v>90102.308999999994</v>
          </cell>
          <cell r="CM8217" t="str">
            <v xml:space="preserve">NFT-/XUTR/DEUTH025076A01PDX </v>
          </cell>
          <cell r="CN8217" t="str">
            <v>2025-03-17</v>
          </cell>
          <cell r="CO8217">
            <v>2789.4279999999999</v>
          </cell>
        </row>
        <row r="8218">
          <cell r="CJ8218" t="str">
            <v xml:space="preserve">NFT-/XUTR/DEUTH02507660292X </v>
          </cell>
          <cell r="CK8218" t="str">
            <v>2025-03-17</v>
          </cell>
          <cell r="CL8218">
            <v>9111.2909999999993</v>
          </cell>
          <cell r="CM8218" t="str">
            <v xml:space="preserve">NFT-/XUTR/DEUTH025076A01PDX </v>
          </cell>
          <cell r="CN8218" t="str">
            <v>2025-03-17</v>
          </cell>
          <cell r="CO8218">
            <v>285.34800000000001</v>
          </cell>
        </row>
        <row r="8219">
          <cell r="CJ8219" t="str">
            <v xml:space="preserve">NFT-/XUTR/DEUTH02507660292X </v>
          </cell>
          <cell r="CK8219" t="str">
            <v>2025-03-17</v>
          </cell>
          <cell r="CL8219">
            <v>90102.308999999994</v>
          </cell>
          <cell r="CM8219" t="str">
            <v xml:space="preserve">NFT-/XUTR/DEUTH025076A01PDX </v>
          </cell>
          <cell r="CN8219" t="str">
            <v>2025-03-17</v>
          </cell>
          <cell r="CO8219">
            <v>2789.4279999999999</v>
          </cell>
        </row>
        <row r="8220">
          <cell r="CJ8220" t="str">
            <v xml:space="preserve">NFT-/XUTR/DEUTH02507660292X </v>
          </cell>
          <cell r="CK8220" t="str">
            <v>2025-03-17</v>
          </cell>
          <cell r="CL8220">
            <v>9130.1710000000003</v>
          </cell>
          <cell r="CM8220" t="str">
            <v xml:space="preserve">NFT-/XUTR/DEUTH025076A01PDX </v>
          </cell>
          <cell r="CN8220" t="str">
            <v>2025-03-17</v>
          </cell>
          <cell r="CO8220">
            <v>285.34800000000001</v>
          </cell>
        </row>
        <row r="8221">
          <cell r="CJ8221" t="str">
            <v xml:space="preserve">NFT-/XUTR/DEUTH02507660292X </v>
          </cell>
          <cell r="CK8221" t="str">
            <v>2025-03-17</v>
          </cell>
          <cell r="CL8221">
            <v>9415.5190000000002</v>
          </cell>
        </row>
        <row r="8222">
          <cell r="CJ8222" t="str">
            <v xml:space="preserve">NFT-/XUTR/DEUTH02507660292X </v>
          </cell>
          <cell r="CK8222" t="str">
            <v>2025-03-17</v>
          </cell>
          <cell r="CL8222">
            <v>11408.643</v>
          </cell>
          <cell r="CM8222" t="str">
            <v xml:space="preserve">NFT-/XUTR/DEUTH025076A01PDX </v>
          </cell>
          <cell r="CN8222" t="str">
            <v>2025-03-17</v>
          </cell>
          <cell r="CO8222">
            <v>356.202</v>
          </cell>
        </row>
        <row r="8223">
          <cell r="CJ8223" t="str">
            <v xml:space="preserve">NFT-/XUTR/DEUTH02507660292X </v>
          </cell>
          <cell r="CK8223" t="str">
            <v>2025-03-17</v>
          </cell>
          <cell r="CL8223">
            <v>44760.940999999999</v>
          </cell>
          <cell r="CM8223" t="str">
            <v xml:space="preserve">NFT-/XUTR/DEUTH025076A01PDX </v>
          </cell>
          <cell r="CN8223" t="str">
            <v>2025-03-17</v>
          </cell>
          <cell r="CO8223">
            <v>1386.9570000000001</v>
          </cell>
        </row>
        <row r="8224">
          <cell r="CJ8224" t="str">
            <v xml:space="preserve">NFT-/XUTR/DEUTH02507660292X </v>
          </cell>
          <cell r="CK8224" t="str">
            <v>2025-03-17</v>
          </cell>
          <cell r="CL8224">
            <v>89907.763999999996</v>
          </cell>
          <cell r="CM8224" t="str">
            <v xml:space="preserve">NFT-/XUTR/DEUTH025076A01PDX </v>
          </cell>
          <cell r="CN8224" t="str">
            <v>2025-03-17</v>
          </cell>
          <cell r="CO8224">
            <v>2783.614</v>
          </cell>
        </row>
        <row r="8225">
          <cell r="CJ8225" t="str">
            <v xml:space="preserve">NFT-/XUTR/DEUTH02507660292X </v>
          </cell>
          <cell r="CK8225" t="str">
            <v>2025-03-17</v>
          </cell>
          <cell r="CL8225">
            <v>89869.900999999998</v>
          </cell>
          <cell r="CM8225" t="str">
            <v xml:space="preserve">NFT-/XUTR/DEUTH025076A01PDX </v>
          </cell>
          <cell r="CN8225" t="str">
            <v>2025-03-17</v>
          </cell>
          <cell r="CO8225">
            <v>2821.4670000000001</v>
          </cell>
        </row>
        <row r="8226">
          <cell r="CJ8226" t="str">
            <v xml:space="preserve">NFT-/XUTR/DEUTH02507660292X </v>
          </cell>
          <cell r="CK8226" t="str">
            <v>2025-03-17</v>
          </cell>
          <cell r="CL8226">
            <v>89951.872000000003</v>
          </cell>
          <cell r="CM8226" t="str">
            <v xml:space="preserve">NFT-/XUTR/DEUTH025076A01PDX </v>
          </cell>
          <cell r="CN8226" t="str">
            <v>2025-03-17</v>
          </cell>
          <cell r="CO8226">
            <v>2939.8760000000002</v>
          </cell>
        </row>
        <row r="8227">
          <cell r="CJ8227" t="str">
            <v xml:space="preserve">NFT-/XUTR/DEUTH02507660292X </v>
          </cell>
          <cell r="CK8227" t="str">
            <v>2025-03-17</v>
          </cell>
          <cell r="CL8227">
            <v>90102.308999999994</v>
          </cell>
          <cell r="CM8227" t="str">
            <v xml:space="preserve">NFT-/XUTR/DEUTH025076A01PDX </v>
          </cell>
          <cell r="CN8227" t="str">
            <v>2025-03-17</v>
          </cell>
          <cell r="CO8227">
            <v>2789.4290000000001</v>
          </cell>
        </row>
        <row r="8228">
          <cell r="CJ8228" t="str">
            <v xml:space="preserve">NFT-/XUTR/DEUTH02507886743X </v>
          </cell>
          <cell r="CK8228" t="str">
            <v>2025-03-19</v>
          </cell>
          <cell r="CL8228">
            <v>44153.358</v>
          </cell>
          <cell r="CM8228" t="str">
            <v xml:space="preserve">NFT-/XUTR/DEUTH025078A0BAGX </v>
          </cell>
          <cell r="CN8228" t="str">
            <v>2025-03-19</v>
          </cell>
          <cell r="CO8228">
            <v>2328.4050000000002</v>
          </cell>
        </row>
        <row r="8229">
          <cell r="CJ8229" t="str">
            <v xml:space="preserve">NFT-/XUTR/DEUTH02507886743X </v>
          </cell>
          <cell r="CK8229" t="str">
            <v>2025-03-19</v>
          </cell>
          <cell r="CL8229">
            <v>43882.572999999997</v>
          </cell>
          <cell r="CM8229" t="str">
            <v xml:space="preserve">NFT-/XUTR/DEUTH025078A0BAGX </v>
          </cell>
          <cell r="CN8229" t="str">
            <v>2025-03-19</v>
          </cell>
          <cell r="CO8229">
            <v>2313.8519999999999</v>
          </cell>
        </row>
        <row r="8230">
          <cell r="CJ8230" t="str">
            <v xml:space="preserve">NFT-/XUTR/DEUTH02507886743X </v>
          </cell>
          <cell r="CK8230" t="str">
            <v>2025-03-19</v>
          </cell>
          <cell r="CL8230">
            <v>0</v>
          </cell>
          <cell r="CM8230" t="str">
            <v xml:space="preserve">NFT-/XUTR/DEUTH025078A0BAGX </v>
          </cell>
          <cell r="CN8230" t="str">
            <v>2025-03-19</v>
          </cell>
          <cell r="CO8230">
            <v>0</v>
          </cell>
        </row>
        <row r="8231">
          <cell r="CJ8231" t="str">
            <v xml:space="preserve">NFT-/XUTR/DEUTH02507886743X </v>
          </cell>
          <cell r="CK8231" t="str">
            <v>2025-03-19</v>
          </cell>
          <cell r="CL8231">
            <v>43882.572999999997</v>
          </cell>
          <cell r="CM8231" t="str">
            <v xml:space="preserve">NFT-/XUTR/DEUTH025078A0BAGX </v>
          </cell>
          <cell r="CN8231" t="str">
            <v>2025-03-19</v>
          </cell>
          <cell r="CO8231">
            <v>2313.8519999999999</v>
          </cell>
        </row>
        <row r="8232">
          <cell r="CJ8232" t="str">
            <v xml:space="preserve">NFT-/XUTR/DEUTH02507886743X </v>
          </cell>
          <cell r="CK8232" t="str">
            <v>2025-03-19</v>
          </cell>
          <cell r="CL8232">
            <v>8930.7649999999994</v>
          </cell>
          <cell r="CM8232" t="str">
            <v xml:space="preserve">NFT-/XUTR/DEUTH025078A0BAGX </v>
          </cell>
          <cell r="CN8232" t="str">
            <v>2025-03-19</v>
          </cell>
          <cell r="CO8232">
            <v>475.58499999999998</v>
          </cell>
        </row>
        <row r="8233">
          <cell r="CJ8233" t="str">
            <v xml:space="preserve">NFT-/XUTR/DEUTH02507886743X </v>
          </cell>
          <cell r="CK8233" t="str">
            <v>2025-03-19</v>
          </cell>
          <cell r="CL8233">
            <v>36283.917999999998</v>
          </cell>
          <cell r="CM8233" t="str">
            <v xml:space="preserve">NFT-/XUTR/DEUTH025078A0BAGX </v>
          </cell>
          <cell r="CN8233" t="str">
            <v>2025-03-19</v>
          </cell>
          <cell r="CO8233">
            <v>1127.8119999999999</v>
          </cell>
        </row>
        <row r="8234">
          <cell r="CJ8234" t="str">
            <v xml:space="preserve">NFT-/XUTR/DEUTH02507886743X </v>
          </cell>
          <cell r="CK8234" t="str">
            <v>2025-03-19</v>
          </cell>
          <cell r="CL8234">
            <v>67349.664000000004</v>
          </cell>
          <cell r="CM8234" t="str">
            <v xml:space="preserve">NFT-/XUTR/DEUTH025078A0BAGX </v>
          </cell>
          <cell r="CN8234" t="str">
            <v>2025-03-19</v>
          </cell>
          <cell r="CO8234">
            <v>2086.7359999999999</v>
          </cell>
        </row>
        <row r="8235">
          <cell r="CJ8235" t="str">
            <v xml:space="preserve">NFT-/XUTR/DEUTH02507886743X </v>
          </cell>
          <cell r="CK8235" t="str">
            <v>2025-03-19</v>
          </cell>
          <cell r="CL8235">
            <v>9120.9940000000006</v>
          </cell>
          <cell r="CM8235" t="str">
            <v xml:space="preserve">NFT-/XUTR/DEUTH025078A0BAGX </v>
          </cell>
          <cell r="CN8235" t="str">
            <v>2025-03-19</v>
          </cell>
          <cell r="CO8235">
            <v>285.34800000000001</v>
          </cell>
        </row>
        <row r="8236">
          <cell r="CJ8236" t="str">
            <v xml:space="preserve">NFT-/XUTR/DEUTH02507886743X </v>
          </cell>
          <cell r="CK8236" t="str">
            <v>2025-03-19</v>
          </cell>
          <cell r="CL8236">
            <v>18686.98</v>
          </cell>
        </row>
        <row r="8237">
          <cell r="CJ8237" t="str">
            <v xml:space="preserve">NFT-/XUTR/DEUTH02507886743X </v>
          </cell>
          <cell r="CK8237" t="str">
            <v>2025-03-19</v>
          </cell>
          <cell r="CL8237">
            <v>18141.955000000002</v>
          </cell>
          <cell r="CM8237" t="str">
            <v xml:space="preserve">NFT-/XUTR/DEUTH025078A0BAGX </v>
          </cell>
          <cell r="CN8237" t="str">
            <v>2025-03-19</v>
          </cell>
          <cell r="CO8237">
            <v>563.90599999999995</v>
          </cell>
        </row>
        <row r="8238">
          <cell r="CJ8238" t="str">
            <v xml:space="preserve">NFT-/XUTR/DEUTH02507886743X </v>
          </cell>
          <cell r="CK8238" t="str">
            <v>2025-03-19</v>
          </cell>
          <cell r="CL8238">
            <v>17765.374</v>
          </cell>
          <cell r="CM8238" t="str">
            <v xml:space="preserve">NFT-/XUTR/DEUTH025078A0BAGX </v>
          </cell>
          <cell r="CN8238" t="str">
            <v>2025-03-19</v>
          </cell>
          <cell r="CO8238">
            <v>940.48500000000001</v>
          </cell>
        </row>
        <row r="8239">
          <cell r="CJ8239" t="str">
            <v xml:space="preserve">NFT-/XUTR/DEUTH02507886743X </v>
          </cell>
          <cell r="CK8239" t="str">
            <v>2025-03-19</v>
          </cell>
          <cell r="CL8239">
            <v>44134.478000000003</v>
          </cell>
          <cell r="CM8239" t="str">
            <v xml:space="preserve">NFT-/XUTR/DEUTH025078A0BAGX </v>
          </cell>
          <cell r="CN8239" t="str">
            <v>2025-03-19</v>
          </cell>
          <cell r="CO8239">
            <v>2328.4050000000002</v>
          </cell>
        </row>
        <row r="8240">
          <cell r="CJ8240" t="str">
            <v xml:space="preserve">NFT-/XUTR/DEUTH02507886743X </v>
          </cell>
          <cell r="CK8240" t="str">
            <v>2025-03-19</v>
          </cell>
          <cell r="CL8240">
            <v>8950.6200000000008</v>
          </cell>
          <cell r="CM8240" t="str">
            <v xml:space="preserve">NFT-/XUTR/DEUTH025078A0BAGX </v>
          </cell>
          <cell r="CN8240" t="str">
            <v>2025-03-19</v>
          </cell>
          <cell r="CO8240">
            <v>474.61099999999999</v>
          </cell>
        </row>
        <row r="8241">
          <cell r="CJ8241" t="str">
            <v xml:space="preserve">NFT-/XUTR/DEUTH02507886743X </v>
          </cell>
          <cell r="CK8241" t="str">
            <v>2025-03-19</v>
          </cell>
          <cell r="CL8241">
            <v>9406.3510000000006</v>
          </cell>
        </row>
        <row r="8242">
          <cell r="CJ8242" t="str">
            <v xml:space="preserve">NFT-/XUTR/DEUTH02507886743X </v>
          </cell>
          <cell r="CK8242" t="str">
            <v>2025-03-19</v>
          </cell>
          <cell r="CL8242">
            <v>9406.3510000000006</v>
          </cell>
        </row>
        <row r="8243">
          <cell r="CJ8243" t="str">
            <v xml:space="preserve">NFT-/XUTR/DEUTH02507886743X </v>
          </cell>
          <cell r="CK8243" t="str">
            <v>2025-03-19</v>
          </cell>
          <cell r="CL8243">
            <v>18619.038</v>
          </cell>
        </row>
        <row r="8244">
          <cell r="CJ8244" t="str">
            <v xml:space="preserve">NFT-/XUTR/DEUTH02508386458X </v>
          </cell>
          <cell r="CK8244" t="str">
            <v>2025-03-24</v>
          </cell>
          <cell r="CL8244">
            <v>89757.316000000006</v>
          </cell>
          <cell r="CM8244" t="str">
            <v xml:space="preserve">NFT-/XUTR/DEUTH025083A06D2X </v>
          </cell>
          <cell r="CN8244" t="str">
            <v>2025-03-24</v>
          </cell>
          <cell r="CO8244">
            <v>2911.7240000000002</v>
          </cell>
        </row>
        <row r="8245">
          <cell r="CJ8245" t="str">
            <v xml:space="preserve">NFT-/XUTR/DEUTH02508386458X </v>
          </cell>
          <cell r="CK8245" t="str">
            <v>2025-03-24</v>
          </cell>
          <cell r="CL8245">
            <v>6052.527</v>
          </cell>
        </row>
        <row r="8246">
          <cell r="CJ8246" t="str">
            <v xml:space="preserve">NFT-/XUTR/DEUTH02508386458X </v>
          </cell>
          <cell r="CK8246" t="str">
            <v>2025-03-24</v>
          </cell>
          <cell r="CL8246">
            <v>75230.721999999994</v>
          </cell>
        </row>
        <row r="8247">
          <cell r="CJ8247" t="str">
            <v xml:space="preserve">NFT-/XUTR/DEUTH02508386458X </v>
          </cell>
          <cell r="CK8247" t="str">
            <v>2025-03-24</v>
          </cell>
          <cell r="CL8247">
            <v>89604.407000000007</v>
          </cell>
          <cell r="CM8247" t="str">
            <v xml:space="preserve">NFT-/XUTR/DEUTH025083A06D2X </v>
          </cell>
          <cell r="CN8247" t="str">
            <v>2025-03-24</v>
          </cell>
          <cell r="CO8247">
            <v>2911.7240000000002</v>
          </cell>
        </row>
        <row r="8248">
          <cell r="CJ8248" t="str">
            <v xml:space="preserve">NFT-/XUTR/DEUTH02508386458X </v>
          </cell>
          <cell r="CK8248" t="str">
            <v>2025-03-24</v>
          </cell>
          <cell r="CL8248">
            <v>89757.316000000006</v>
          </cell>
          <cell r="CM8248" t="str">
            <v xml:space="preserve">NFT-/XUTR/DEUTH025083A06D2X </v>
          </cell>
          <cell r="CN8248" t="str">
            <v>2025-03-24</v>
          </cell>
          <cell r="CO8248">
            <v>2911.7240000000002</v>
          </cell>
        </row>
        <row r="8249">
          <cell r="CJ8249" t="str">
            <v xml:space="preserve">NFT-/XUTR/DEUTH02508386458X </v>
          </cell>
          <cell r="CK8249" t="str">
            <v>2025-03-24</v>
          </cell>
          <cell r="CL8249">
            <v>72599.936000000002</v>
          </cell>
          <cell r="CM8249" t="str">
            <v xml:space="preserve">NFT-/XUTR/DEUTH025083A06D2X </v>
          </cell>
          <cell r="CN8249" t="str">
            <v>2025-03-24</v>
          </cell>
          <cell r="CO8249">
            <v>2911.7240000000002</v>
          </cell>
        </row>
        <row r="8250">
          <cell r="CJ8250" t="str">
            <v xml:space="preserve">NFT-/XUTR/DEUTH02508386458X </v>
          </cell>
          <cell r="CK8250" t="str">
            <v>2025-03-24</v>
          </cell>
          <cell r="CL8250">
            <v>89915.527000000002</v>
          </cell>
          <cell r="CM8250" t="str">
            <v xml:space="preserve">NFT-/XUTR/DEUTH025083A06D2X </v>
          </cell>
          <cell r="CN8250" t="str">
            <v>2025-03-24</v>
          </cell>
          <cell r="CO8250">
            <v>2911.7240000000002</v>
          </cell>
        </row>
        <row r="8251">
          <cell r="CJ8251" t="str">
            <v xml:space="preserve">NFT-/XUTR/DEUTH02508386458X </v>
          </cell>
          <cell r="CK8251" t="str">
            <v>2025-03-24</v>
          </cell>
          <cell r="CL8251">
            <v>75230.721999999994</v>
          </cell>
        </row>
        <row r="8252">
          <cell r="CJ8252" t="str">
            <v xml:space="preserve">NFT-/XUTR/DEUTH02508386458X </v>
          </cell>
          <cell r="CK8252" t="str">
            <v>2025-03-24</v>
          </cell>
          <cell r="CL8252">
            <v>11987.541999999999</v>
          </cell>
        </row>
        <row r="8253">
          <cell r="CJ8253" t="str">
            <v xml:space="preserve">NFT-/XUTR/DEUTH02508544440X </v>
          </cell>
          <cell r="CK8253" t="str">
            <v>2025-03-26</v>
          </cell>
          <cell r="CL8253">
            <v>17701.32</v>
          </cell>
          <cell r="CM8253" t="str">
            <v xml:space="preserve">NFT-/XUTR/DEUTH02508580339X </v>
          </cell>
          <cell r="CN8253" t="str">
            <v>2025-03-26</v>
          </cell>
          <cell r="CO8253">
            <v>936.60900000000004</v>
          </cell>
        </row>
        <row r="8254">
          <cell r="CJ8254" t="str">
            <v xml:space="preserve">NFT-/XUTR/DEUTH02508544440X </v>
          </cell>
          <cell r="CK8254" t="str">
            <v>2025-03-26</v>
          </cell>
          <cell r="CL8254">
            <v>18619.038</v>
          </cell>
        </row>
        <row r="8255">
          <cell r="CJ8255" t="str">
            <v xml:space="preserve">NFT-/XUTR/DEUTH02508544440X </v>
          </cell>
          <cell r="CK8255" t="str">
            <v>2025-03-26</v>
          </cell>
          <cell r="CL8255">
            <v>18619.038</v>
          </cell>
        </row>
        <row r="8256">
          <cell r="CJ8256" t="str">
            <v xml:space="preserve">NFT-/XUTR/DEUTH02508544440X </v>
          </cell>
          <cell r="CK8256" t="str">
            <v>2025-03-26</v>
          </cell>
          <cell r="CL8256">
            <v>17682.439999999999</v>
          </cell>
          <cell r="CM8256" t="str">
            <v xml:space="preserve">NFT-/XUTR/DEUTH02508580339X </v>
          </cell>
          <cell r="CN8256" t="str">
            <v>2025-03-26</v>
          </cell>
          <cell r="CO8256">
            <v>936.60900000000004</v>
          </cell>
        </row>
        <row r="8257">
          <cell r="CJ8257" t="str">
            <v xml:space="preserve">NFT-/XUTR/DEUTH02508544440X </v>
          </cell>
          <cell r="CK8257" t="str">
            <v>2025-03-26</v>
          </cell>
          <cell r="CL8257">
            <v>35403.601999999999</v>
          </cell>
          <cell r="CM8257" t="str">
            <v xml:space="preserve">NFT-/XUTR/DEUTH02508580339X </v>
          </cell>
          <cell r="CN8257" t="str">
            <v>2025-03-26</v>
          </cell>
          <cell r="CO8257">
            <v>1871.268</v>
          </cell>
        </row>
        <row r="8258">
          <cell r="CJ8258" t="str">
            <v xml:space="preserve">NFT-/XUTR/DEUTH02508544440X </v>
          </cell>
          <cell r="CK8258" t="str">
            <v>2025-03-26</v>
          </cell>
          <cell r="CL8258">
            <v>18619.038</v>
          </cell>
        </row>
        <row r="8259">
          <cell r="CJ8259" t="str">
            <v xml:space="preserve">NFT-/XUTR/DEUTH02508544440X </v>
          </cell>
          <cell r="CK8259" t="str">
            <v>2025-03-26</v>
          </cell>
          <cell r="CL8259">
            <v>17682.439999999999</v>
          </cell>
          <cell r="CM8259" t="str">
            <v xml:space="preserve">NFT-/XUTR/DEUTH02508580339X </v>
          </cell>
          <cell r="CN8259" t="str">
            <v>2025-03-26</v>
          </cell>
          <cell r="CO8259">
            <v>936.60900000000004</v>
          </cell>
        </row>
        <row r="8260">
          <cell r="CJ8260" t="str">
            <v xml:space="preserve">NFT-/XUTR/DEUTH02508544440X </v>
          </cell>
          <cell r="CK8260" t="str">
            <v>2025-03-26</v>
          </cell>
          <cell r="CL8260">
            <v>8913.0280000000002</v>
          </cell>
          <cell r="CM8260" t="str">
            <v xml:space="preserve">NFT-/XUTR/DEUTH02508580339X </v>
          </cell>
          <cell r="CN8260" t="str">
            <v>2025-03-26</v>
          </cell>
          <cell r="CO8260">
            <v>473.637</v>
          </cell>
        </row>
        <row r="8261">
          <cell r="CJ8261" t="str">
            <v xml:space="preserve">NFT-/XUTR/DEUTH02508544440X </v>
          </cell>
          <cell r="CK8261" t="str">
            <v>2025-03-26</v>
          </cell>
          <cell r="CL8261">
            <v>9377.2250000000004</v>
          </cell>
        </row>
        <row r="8262">
          <cell r="CJ8262" t="str">
            <v xml:space="preserve">NFT-/XUTR/DEUTH02508544440X </v>
          </cell>
          <cell r="CK8262" t="str">
            <v>2025-03-26</v>
          </cell>
          <cell r="CL8262">
            <v>17621.998</v>
          </cell>
          <cell r="CM8262" t="str">
            <v xml:space="preserve">NFT-/XUTR/DEUTH02508580339X </v>
          </cell>
          <cell r="CN8262" t="str">
            <v>2025-03-26</v>
          </cell>
          <cell r="CO8262">
            <v>1006.489</v>
          </cell>
        </row>
        <row r="8263">
          <cell r="CJ8263" t="str">
            <v xml:space="preserve">NFT-/XUTR/DEUTH02508544440X </v>
          </cell>
          <cell r="CK8263" t="str">
            <v>2025-03-26</v>
          </cell>
          <cell r="CL8263">
            <v>8903.5879999999997</v>
          </cell>
          <cell r="CM8263" t="str">
            <v xml:space="preserve">NFT-/XUTR/DEUTH02508580339X </v>
          </cell>
          <cell r="CN8263" t="str">
            <v>2025-03-26</v>
          </cell>
          <cell r="CO8263">
            <v>473.637</v>
          </cell>
        </row>
        <row r="8264">
          <cell r="CJ8264" t="str">
            <v xml:space="preserve">NFT-/XUTR/DEUTH02508544440X </v>
          </cell>
          <cell r="CK8264" t="str">
            <v>2025-03-26</v>
          </cell>
          <cell r="CL8264">
            <v>43986.953000000001</v>
          </cell>
          <cell r="CM8264" t="str">
            <v xml:space="preserve">NFT-/XUTR/DEUTH02508580339X </v>
          </cell>
          <cell r="CN8264" t="str">
            <v>2025-03-26</v>
          </cell>
          <cell r="CO8264">
            <v>2320.6419999999998</v>
          </cell>
        </row>
        <row r="8265">
          <cell r="CJ8265" t="str">
            <v xml:space="preserve">NFT-/XUTR/DEUTH02508544440X </v>
          </cell>
          <cell r="CK8265" t="str">
            <v>2025-03-26</v>
          </cell>
          <cell r="CL8265">
            <v>8903.5879999999997</v>
          </cell>
          <cell r="CM8265" t="str">
            <v xml:space="preserve">NFT-/XUTR/DEUTH02508580339X </v>
          </cell>
          <cell r="CN8265" t="str">
            <v>2025-03-26</v>
          </cell>
          <cell r="CO8265">
            <v>473.637</v>
          </cell>
        </row>
        <row r="8266">
          <cell r="CJ8266" t="str">
            <v xml:space="preserve">NFT-/XUTR/DEUTH02508544440X </v>
          </cell>
          <cell r="CK8266" t="str">
            <v>2025-03-26</v>
          </cell>
          <cell r="CL8266">
            <v>18619.038</v>
          </cell>
        </row>
        <row r="8267">
          <cell r="CJ8267" t="str">
            <v xml:space="preserve">NFT-/XUTR/DEUTH02508544440X </v>
          </cell>
          <cell r="CK8267" t="str">
            <v>2025-03-26</v>
          </cell>
          <cell r="CL8267">
            <v>46292.508999999998</v>
          </cell>
          <cell r="CM8267" t="str">
            <v xml:space="preserve">NFT-/XUTR/DEUTH02508580339X </v>
          </cell>
          <cell r="CN8267" t="str">
            <v>2025-03-26</v>
          </cell>
          <cell r="CO8267">
            <v>33.966000000000001</v>
          </cell>
        </row>
        <row r="8268">
          <cell r="CJ8268" t="str">
            <v xml:space="preserve">NFT-/XUTR/DEUTH02508544440X </v>
          </cell>
          <cell r="CK8268" t="str">
            <v>2025-03-26</v>
          </cell>
          <cell r="CL8268">
            <v>9260.7649999999994</v>
          </cell>
          <cell r="CM8268" t="str">
            <v xml:space="preserve">NFT-/XUTR/DEUTH02508580339X </v>
          </cell>
          <cell r="CN8268" t="str">
            <v>2025-03-26</v>
          </cell>
          <cell r="CO8268">
            <v>116.47</v>
          </cell>
        </row>
        <row r="8269">
          <cell r="CJ8269" t="str">
            <v xml:space="preserve">NFT-/XUTR/DEUTH02508544440X </v>
          </cell>
          <cell r="CK8269" t="str">
            <v>2025-03-26</v>
          </cell>
          <cell r="CL8269">
            <v>18686.98</v>
          </cell>
        </row>
        <row r="8270">
          <cell r="CJ8270" t="str">
            <v xml:space="preserve">NFT-/XUTR/DEUTH02508544440X </v>
          </cell>
          <cell r="CK8270" t="str">
            <v>2025-03-26</v>
          </cell>
          <cell r="CL8270">
            <v>9406.3510000000006</v>
          </cell>
        </row>
        <row r="8271">
          <cell r="CJ8271" t="str">
            <v xml:space="preserve">NFT-/XUTR/DEUTH02508544440X </v>
          </cell>
          <cell r="CK8271" t="str">
            <v>2025-03-26</v>
          </cell>
          <cell r="CL8271">
            <v>16873.419000000002</v>
          </cell>
          <cell r="CM8271" t="str">
            <v xml:space="preserve">NFT-/XUTR/DEUTH02508580339X </v>
          </cell>
          <cell r="CN8271" t="str">
            <v>2025-03-26</v>
          </cell>
          <cell r="CO8271">
            <v>1832.441</v>
          </cell>
        </row>
        <row r="8272">
          <cell r="CJ8272" t="str">
            <v xml:space="preserve">NFT-/XUTR/DEUTH02508544440X </v>
          </cell>
          <cell r="CK8272" t="str">
            <v>2025-03-26</v>
          </cell>
          <cell r="CL8272">
            <v>44163.071000000004</v>
          </cell>
          <cell r="CM8272" t="str">
            <v xml:space="preserve">NFT-/XUTR/DEUTH02508580339X </v>
          </cell>
          <cell r="CN8272" t="str">
            <v>2025-03-26</v>
          </cell>
          <cell r="CO8272">
            <v>2328.4050000000002</v>
          </cell>
        </row>
        <row r="8273">
          <cell r="CJ8273" t="str">
            <v xml:space="preserve">NFT-/XUTR/DEUTH02508544440X </v>
          </cell>
          <cell r="CK8273" t="str">
            <v>2025-03-26</v>
          </cell>
          <cell r="CL8273">
            <v>44163.071000000004</v>
          </cell>
          <cell r="CM8273" t="str">
            <v xml:space="preserve">NFT-/XUTR/DEUTH02508580339X </v>
          </cell>
          <cell r="CN8273" t="str">
            <v>2025-03-26</v>
          </cell>
          <cell r="CO8273">
            <v>2328.4050000000002</v>
          </cell>
        </row>
        <row r="8274">
          <cell r="CJ8274" t="str">
            <v xml:space="preserve">NFT-/XUTR/DEUTH02508544440X </v>
          </cell>
          <cell r="CK8274" t="str">
            <v>2025-03-26</v>
          </cell>
          <cell r="CL8274">
            <v>17766.348999999998</v>
          </cell>
          <cell r="CM8274" t="str">
            <v xml:space="preserve">NFT-/XUTR/DEUTH02508580339X </v>
          </cell>
          <cell r="CN8274" t="str">
            <v>2025-03-26</v>
          </cell>
          <cell r="CO8274">
            <v>939.52</v>
          </cell>
        </row>
        <row r="8275">
          <cell r="CJ8275" t="str">
            <v xml:space="preserve">NFT-/XUTR/DEUTH02508544440X </v>
          </cell>
          <cell r="CK8275" t="str">
            <v>2025-03-26</v>
          </cell>
          <cell r="CL8275">
            <v>46472.593999999997</v>
          </cell>
        </row>
        <row r="8276">
          <cell r="CJ8276" t="str">
            <v xml:space="preserve">NFT-/XUTR/DEUTH02508544440X </v>
          </cell>
          <cell r="CK8276" t="str">
            <v>2025-03-26</v>
          </cell>
          <cell r="CL8276">
            <v>5359.4639999999999</v>
          </cell>
        </row>
        <row r="8277">
          <cell r="CJ8277" t="str">
            <v xml:space="preserve">NFT-/XUTR/DEUTH02508544440X </v>
          </cell>
          <cell r="CK8277" t="str">
            <v>2025-03-26</v>
          </cell>
          <cell r="CL8277">
            <v>2689.9720000000002</v>
          </cell>
        </row>
        <row r="8278">
          <cell r="CJ8278" t="str">
            <v xml:space="preserve">NFT-/XUTR/DEUTH02508544440X </v>
          </cell>
          <cell r="CK8278" t="str">
            <v>2025-03-26</v>
          </cell>
          <cell r="CL8278">
            <v>18686.98</v>
          </cell>
        </row>
        <row r="8279">
          <cell r="CJ8279" t="str">
            <v xml:space="preserve">NFT-/XUTR/DEUTH02508544440X </v>
          </cell>
          <cell r="CK8279" t="str">
            <v>2025-03-26</v>
          </cell>
          <cell r="CL8279">
            <v>18870.861000000001</v>
          </cell>
        </row>
        <row r="8280">
          <cell r="CJ8280" t="str">
            <v xml:space="preserve">NFT-/XUTR/DEUTH02508544440X </v>
          </cell>
          <cell r="CK8280" t="str">
            <v>2025-03-26</v>
          </cell>
          <cell r="CL8280">
            <v>18851.98</v>
          </cell>
        </row>
        <row r="8281">
          <cell r="CJ8281" t="str">
            <v xml:space="preserve">NFT-/XUTR/DEUTH02508544440X </v>
          </cell>
          <cell r="CK8281" t="str">
            <v>2025-03-26</v>
          </cell>
          <cell r="CL8281">
            <v>46880.239000000001</v>
          </cell>
        </row>
        <row r="8282">
          <cell r="CJ8282" t="str">
            <v xml:space="preserve">NFT-/XUTR/DEUTH02508544440X </v>
          </cell>
          <cell r="CK8282" t="str">
            <v>2025-03-26</v>
          </cell>
          <cell r="CL8282">
            <v>47432.934000000001</v>
          </cell>
        </row>
        <row r="8283">
          <cell r="CJ8283" t="str">
            <v xml:space="preserve">NFT-/XUTR/DEUTH02508544440X </v>
          </cell>
          <cell r="CK8283" t="str">
            <v>2025-03-26</v>
          </cell>
          <cell r="CL8283">
            <v>18116.286</v>
          </cell>
          <cell r="CM8283" t="str">
            <v xml:space="preserve">NFT-/XUTR/DEUTH02508580339X </v>
          </cell>
          <cell r="CN8283" t="str">
            <v>2025-03-26</v>
          </cell>
          <cell r="CO8283">
            <v>958.92499999999995</v>
          </cell>
        </row>
        <row r="8284">
          <cell r="CJ8284" t="str">
            <v xml:space="preserve">NFT-/XUTR/DEUTH02508544440X </v>
          </cell>
          <cell r="CK8284" t="str">
            <v>2025-03-26</v>
          </cell>
          <cell r="CL8284">
            <v>18870.86</v>
          </cell>
        </row>
        <row r="8285">
          <cell r="CJ8285" t="str">
            <v xml:space="preserve">NFT-/XUTR/DEUTH02508544440X </v>
          </cell>
          <cell r="CK8285" t="str">
            <v>2025-03-26</v>
          </cell>
          <cell r="CL8285">
            <v>9600.4660000000003</v>
          </cell>
        </row>
        <row r="8286">
          <cell r="CJ8286" t="str">
            <v xml:space="preserve">NFT-/XUTR/DEUTH02508544440X </v>
          </cell>
          <cell r="CK8286" t="str">
            <v>2025-03-26</v>
          </cell>
          <cell r="CL8286">
            <v>2728.7890000000002</v>
          </cell>
        </row>
        <row r="8287">
          <cell r="CJ8287" t="str">
            <v xml:space="preserve">NFT-/XUTR/DEUTH02508544440X </v>
          </cell>
          <cell r="CK8287" t="str">
            <v>2025-03-26</v>
          </cell>
          <cell r="CL8287">
            <v>19238.682000000001</v>
          </cell>
        </row>
        <row r="8288">
          <cell r="CJ8288" t="str">
            <v xml:space="preserve">NFT-/XUTR/DEUTH02508544440X </v>
          </cell>
          <cell r="CK8288" t="str">
            <v>2025-03-26</v>
          </cell>
          <cell r="CL8288">
            <v>19084.921999999999</v>
          </cell>
        </row>
        <row r="8289">
          <cell r="CJ8289" t="str">
            <v xml:space="preserve">NFT-/XUTR/DEUTH02508544440X </v>
          </cell>
          <cell r="CK8289" t="str">
            <v>2025-03-26</v>
          </cell>
          <cell r="CL8289">
            <v>19103.802</v>
          </cell>
        </row>
        <row r="8290">
          <cell r="CJ8290" t="str">
            <v xml:space="preserve">NFT-/XUTR/DEUTH02508544440X </v>
          </cell>
          <cell r="CK8290" t="str">
            <v>2025-03-26</v>
          </cell>
          <cell r="CL8290">
            <v>94904.695999999996</v>
          </cell>
        </row>
        <row r="8291">
          <cell r="CJ8291" t="str">
            <v xml:space="preserve">NFT-/XUTR/DEUTH02508544440X </v>
          </cell>
          <cell r="CK8291" t="str">
            <v>2025-03-26</v>
          </cell>
          <cell r="CL8291">
            <v>9531.5499999999993</v>
          </cell>
          <cell r="CM8291" t="str">
            <v xml:space="preserve">NFT-/XUTR/DEUTH02508580339X </v>
          </cell>
          <cell r="CN8291" t="str">
            <v>2025-03-26</v>
          </cell>
          <cell r="CO8291">
            <v>68.906000000000006</v>
          </cell>
        </row>
        <row r="8292">
          <cell r="CJ8292" t="str">
            <v xml:space="preserve">NFT-/XUTR/DEUTH02508544440X </v>
          </cell>
          <cell r="CK8292" t="str">
            <v>2025-03-26</v>
          </cell>
          <cell r="CL8292">
            <v>6193.7430000000004</v>
          </cell>
        </row>
        <row r="8294">
          <cell r="CJ8294" t="str">
            <v xml:space="preserve">NFT-/XUTR/DEUTH02508544440X </v>
          </cell>
          <cell r="CK8294" t="str">
            <v>2025-03-26</v>
          </cell>
          <cell r="CL8294">
            <v>9600.4660000000003</v>
          </cell>
        </row>
        <row r="8296">
          <cell r="CJ8296" t="str">
            <v xml:space="preserve">NFT-/XUTR/DEUTH02508544440X </v>
          </cell>
          <cell r="CK8296" t="str">
            <v>2025-03-26</v>
          </cell>
          <cell r="CL8296">
            <v>9600.4660000000003</v>
          </cell>
        </row>
        <row r="8297">
          <cell r="CJ8297" t="str">
            <v xml:space="preserve">NFT-/XUTR/DEUTH02508544440X </v>
          </cell>
          <cell r="CK8297" t="str">
            <v>2025-03-26</v>
          </cell>
          <cell r="CL8297">
            <v>47452.347999999998</v>
          </cell>
        </row>
        <row r="8298">
          <cell r="CJ8298" t="str">
            <v xml:space="preserve">NFT-/XUTR/DEUTH02508544440X </v>
          </cell>
          <cell r="CK8298" t="str">
            <v>2025-03-26</v>
          </cell>
          <cell r="CL8298">
            <v>12143.362999999999</v>
          </cell>
        </row>
        <row r="8299">
          <cell r="CJ8299" t="str">
            <v xml:space="preserve">NFT-/XUTR/DEUTH02508544440X </v>
          </cell>
          <cell r="CK8299" t="str">
            <v>2025-03-26</v>
          </cell>
          <cell r="CL8299">
            <v>19288.686000000002</v>
          </cell>
        </row>
        <row r="8300">
          <cell r="CJ8300" t="str">
            <v xml:space="preserve">NFT-/XUTR/DEUTH02508544440X </v>
          </cell>
          <cell r="CK8300" t="str">
            <v>2025-03-26</v>
          </cell>
          <cell r="CL8300">
            <v>19055.796999999999</v>
          </cell>
        </row>
        <row r="8301">
          <cell r="CJ8301" t="str">
            <v xml:space="preserve">NFT-/XUTR/DEUTH02508544440X </v>
          </cell>
          <cell r="CK8301" t="str">
            <v>2025-03-26</v>
          </cell>
          <cell r="CL8301">
            <v>6193.2089999999998</v>
          </cell>
        </row>
        <row r="8302">
          <cell r="CJ8302" t="str">
            <v xml:space="preserve">NFT-/XUTR/DEUTH02508544440X </v>
          </cell>
          <cell r="CK8302" t="str">
            <v>2025-03-26</v>
          </cell>
          <cell r="CL8302">
            <v>94613.103000000003</v>
          </cell>
        </row>
        <row r="8303">
          <cell r="CJ8303" t="str">
            <v xml:space="preserve">NFT-/XUTR/DEUTH02508544440X </v>
          </cell>
          <cell r="CK8303" t="str">
            <v>2025-03-26</v>
          </cell>
          <cell r="CL8303">
            <v>19074.677</v>
          </cell>
        </row>
        <row r="8304">
          <cell r="CJ8304" t="str">
            <v xml:space="preserve">NFT-/XUTR/DEUTH02508544440X </v>
          </cell>
          <cell r="CK8304" t="str">
            <v>2025-03-26</v>
          </cell>
          <cell r="CL8304">
            <v>19055.796999999999</v>
          </cell>
        </row>
        <row r="8305">
          <cell r="CJ8305" t="str">
            <v xml:space="preserve">NFT-/XUTR/DEUTH02508544440X </v>
          </cell>
          <cell r="CK8305" t="str">
            <v>2025-03-26</v>
          </cell>
          <cell r="CL8305">
            <v>9706.9629999999997</v>
          </cell>
          <cell r="CM8305" t="str">
            <v xml:space="preserve">NFT-/XUTR/DEUTH025087A08X8X </v>
          </cell>
          <cell r="CN8305" t="str">
            <v>2025-03-28</v>
          </cell>
          <cell r="CO8305">
            <v>-9706.9629999999997</v>
          </cell>
        </row>
        <row r="8306">
          <cell r="CJ8306" t="str">
            <v xml:space="preserve">NFT-/XUTR/DEUTH02508544440X </v>
          </cell>
          <cell r="CK8306" t="str">
            <v>2025-03-26</v>
          </cell>
          <cell r="CL8306">
            <v>19278.764999999999</v>
          </cell>
          <cell r="CM8306" t="str">
            <v xml:space="preserve">NFT-/XUTR/DEUTH025087A08X8X </v>
          </cell>
          <cell r="CN8306" t="str">
            <v>2025-03-28</v>
          </cell>
          <cell r="CO8306">
            <v>-19278.764999999999</v>
          </cell>
        </row>
        <row r="8307">
          <cell r="CJ8307" t="str">
            <v xml:space="preserve">NFT-/XUTR/DEUTH02508544440X </v>
          </cell>
          <cell r="CK8307" t="str">
            <v>2025-03-26</v>
          </cell>
          <cell r="CL8307">
            <v>94832.896999999997</v>
          </cell>
        </row>
        <row r="8308">
          <cell r="CJ8308" t="str">
            <v xml:space="preserve">NFT-/XUTR/DEUTH02508544440X </v>
          </cell>
          <cell r="CK8308" t="str">
            <v>2025-03-26</v>
          </cell>
          <cell r="CL8308">
            <v>47384.406000000003</v>
          </cell>
        </row>
        <row r="8309">
          <cell r="CJ8309" t="str">
            <v xml:space="preserve">NFT-/XUTR/DEUTH02508544440X </v>
          </cell>
          <cell r="CK8309" t="str">
            <v>2025-03-26</v>
          </cell>
          <cell r="CL8309">
            <v>2748.2020000000002</v>
          </cell>
        </row>
        <row r="8310">
          <cell r="CJ8310" t="str">
            <v xml:space="preserve">NFT-/XUTR/DEUTH02508544440X </v>
          </cell>
          <cell r="CK8310" t="str">
            <v>2025-03-26</v>
          </cell>
          <cell r="CL8310">
            <v>95881.649000000005</v>
          </cell>
        </row>
        <row r="8311">
          <cell r="CJ8311" t="str">
            <v xml:space="preserve">NFT-/XUTR/DEUTH025087A08X8X </v>
          </cell>
          <cell r="CK8311" t="str">
            <v>2025-03-28</v>
          </cell>
          <cell r="CL8311">
            <v>5925.3360000000002</v>
          </cell>
          <cell r="CM8311" t="str">
            <v xml:space="preserve">NFT-/XUTR/DEUTH025087A0N4AX </v>
          </cell>
          <cell r="CN8311" t="str">
            <v>2025-03-28</v>
          </cell>
          <cell r="CO8311">
            <v>316.411</v>
          </cell>
        </row>
        <row r="8312">
          <cell r="CJ8312" t="str">
            <v xml:space="preserve">NFT-/XUTR/DEUTH025087A08X8X </v>
          </cell>
          <cell r="CK8312" t="str">
            <v>2025-03-28</v>
          </cell>
          <cell r="CL8312">
            <v>9716.4030000000002</v>
          </cell>
        </row>
        <row r="8313">
          <cell r="CJ8313" t="str">
            <v xml:space="preserve">NFT-/XUTR/DEUTH025087A08X8X </v>
          </cell>
          <cell r="CK8313" t="str">
            <v>2025-03-28</v>
          </cell>
          <cell r="CL8313">
            <v>9697.5229999999992</v>
          </cell>
        </row>
        <row r="8314">
          <cell r="CJ8314" t="str">
            <v xml:space="preserve">NFT-/XUTR/DEUTH025087A08X8X </v>
          </cell>
          <cell r="CK8314" t="str">
            <v>2025-03-28</v>
          </cell>
          <cell r="CL8314">
            <v>47889.64</v>
          </cell>
          <cell r="CM8314" t="str">
            <v xml:space="preserve">NFT-/XUTR/DEUTH02509242112X </v>
          </cell>
          <cell r="CN8314" t="str">
            <v>2025-04-02</v>
          </cell>
          <cell r="CO8314">
            <v>-47889.64</v>
          </cell>
        </row>
        <row r="8315">
          <cell r="CJ8315" t="str">
            <v xml:space="preserve">NFT-/XUTR/DEUTH025087A08X8X </v>
          </cell>
          <cell r="CK8315" t="str">
            <v>2025-03-28</v>
          </cell>
          <cell r="CL8315">
            <v>96163.11</v>
          </cell>
        </row>
        <row r="8316">
          <cell r="CJ8316" t="str">
            <v xml:space="preserve">NFT-/XUTR/DEUTH025087A08X8X </v>
          </cell>
          <cell r="CK8316" t="str">
            <v>2025-03-28</v>
          </cell>
          <cell r="CL8316">
            <v>48025.514000000003</v>
          </cell>
        </row>
        <row r="8317">
          <cell r="CJ8317" t="str">
            <v xml:space="preserve">NFT-/XUTR/DEUTH025087A08X8X </v>
          </cell>
          <cell r="CK8317" t="str">
            <v>2025-03-28</v>
          </cell>
          <cell r="CL8317">
            <v>9726.6389999999992</v>
          </cell>
        </row>
        <row r="8318">
          <cell r="CJ8318" t="str">
            <v xml:space="preserve">NFT-/XUTR/DEUTH025087A08X8X </v>
          </cell>
          <cell r="CK8318" t="str">
            <v>2025-03-28</v>
          </cell>
          <cell r="CL8318">
            <v>6184.04</v>
          </cell>
        </row>
        <row r="8319">
          <cell r="CJ8319" t="str">
            <v xml:space="preserve">NFT-/XUTR/DEUTH02509242112X </v>
          </cell>
          <cell r="CK8319" t="str">
            <v>2025-04-02</v>
          </cell>
          <cell r="CL8319">
            <v>57753.953999999998</v>
          </cell>
        </row>
        <row r="8320">
          <cell r="CJ8320" t="str">
            <v xml:space="preserve">NFT-/XUTR/DEUTH02509242112X </v>
          </cell>
          <cell r="CK8320" t="str">
            <v>2025-04-02</v>
          </cell>
          <cell r="CL8320">
            <v>38441.067999999999</v>
          </cell>
        </row>
        <row r="8321">
          <cell r="CJ8321" t="str">
            <v xml:space="preserve">NFT-/XUTR/DEUTH02509242112X </v>
          </cell>
          <cell r="CK8321" t="str">
            <v>2025-04-02</v>
          </cell>
          <cell r="CL8321">
            <v>38441.067999999999</v>
          </cell>
        </row>
        <row r="8322">
          <cell r="CJ8322" t="str">
            <v xml:space="preserve">NFT-/XUTR/DEUTH02509242112X </v>
          </cell>
          <cell r="CK8322" t="str">
            <v>2025-04-02</v>
          </cell>
          <cell r="CL8322">
            <v>9668.3979999999992</v>
          </cell>
        </row>
        <row r="8323">
          <cell r="CJ8323" t="str">
            <v xml:space="preserve">NFT-/XUTR/DEUTH02509242112X </v>
          </cell>
          <cell r="CK8323" t="str">
            <v>2025-04-02</v>
          </cell>
          <cell r="CL8323">
            <v>9668.3979999999992</v>
          </cell>
        </row>
        <row r="8327">
          <cell r="CJ8327" t="str">
            <v xml:space="preserve">NFT-/XUTR/DEUTH02509242112X </v>
          </cell>
          <cell r="CK8327" t="str">
            <v>2025-04-02</v>
          </cell>
          <cell r="CL8327">
            <v>19211.094000000001</v>
          </cell>
        </row>
        <row r="8329">
          <cell r="CJ8329" t="str">
            <v xml:space="preserve">NFT-/XUTR/DEUTH02509242112X </v>
          </cell>
          <cell r="CK8329" t="str">
            <v>2025-04-02</v>
          </cell>
          <cell r="CL8329">
            <v>38459.946000000004</v>
          </cell>
        </row>
        <row r="8330">
          <cell r="CJ8330" t="str">
            <v xml:space="preserve">NFT-/XUTR/DEUTH02509242112X </v>
          </cell>
          <cell r="CK8330" t="str">
            <v>2025-04-02</v>
          </cell>
          <cell r="CL8330">
            <v>47772.635999999999</v>
          </cell>
        </row>
        <row r="8332">
          <cell r="CJ8332" t="str">
            <v xml:space="preserve">NFT-/XUTR/DEUTH02509242112X </v>
          </cell>
          <cell r="CK8332" t="str">
            <v>2025-04-02</v>
          </cell>
          <cell r="CL8332">
            <v>19229.973000000002</v>
          </cell>
        </row>
        <row r="8334">
          <cell r="CJ8334" t="str">
            <v xml:space="preserve">NFT-/XUTR/DEUTH02509242112X </v>
          </cell>
          <cell r="CK8334" t="str">
            <v>2025-04-02</v>
          </cell>
          <cell r="CL8334">
            <v>19229.973999999998</v>
          </cell>
        </row>
        <row r="8335">
          <cell r="CJ8335" t="str">
            <v xml:space="preserve">NFT-/XUTR/DEUTH02509242112X </v>
          </cell>
          <cell r="CK8335" t="str">
            <v>2025-04-02</v>
          </cell>
          <cell r="CL8335">
            <v>9566.49</v>
          </cell>
          <cell r="CM8335" t="str">
            <v xml:space="preserve">NFT-/XUTR/DEUTH02509278186X </v>
          </cell>
          <cell r="CN8335" t="str">
            <v>2025-04-02</v>
          </cell>
          <cell r="CO8335">
            <v>14.561999999999999</v>
          </cell>
        </row>
        <row r="8336">
          <cell r="CJ8336" t="str">
            <v xml:space="preserve">NFT-/XUTR/DEUTH02509242112X </v>
          </cell>
          <cell r="CK8336" t="str">
            <v>2025-04-02</v>
          </cell>
          <cell r="CL8336">
            <v>19064.973999999998</v>
          </cell>
        </row>
        <row r="8337">
          <cell r="CJ8337" t="str">
            <v xml:space="preserve">NFT-/XUTR/DEUTH02509242112X </v>
          </cell>
          <cell r="CK8337" t="str">
            <v>2025-04-02</v>
          </cell>
          <cell r="CL8337">
            <v>9599.9320000000007</v>
          </cell>
        </row>
        <row r="8338">
          <cell r="CJ8338" t="str">
            <v xml:space="preserve">NFT-/XUTR/DEUTH02509242112X </v>
          </cell>
          <cell r="CK8338" t="str">
            <v>2025-04-02</v>
          </cell>
          <cell r="CL8338">
            <v>19064.973999999998</v>
          </cell>
        </row>
        <row r="8339">
          <cell r="CJ8339" t="str">
            <v xml:space="preserve">NFT-/XUTR/DEUTH02509242112X </v>
          </cell>
          <cell r="CK8339" t="str">
            <v>2025-04-02</v>
          </cell>
          <cell r="CL8339">
            <v>47374.703999999998</v>
          </cell>
          <cell r="CM8339" t="str">
            <v xml:space="preserve">NFT-/XUTR/DEUTH02509464192X </v>
          </cell>
          <cell r="CN8339" t="str">
            <v>2025-04-04</v>
          </cell>
          <cell r="CO8339">
            <v>-47374.703999999998</v>
          </cell>
        </row>
        <row r="8340">
          <cell r="CJ8340" t="str">
            <v xml:space="preserve">NFT-/XUTR/DEUTH02509242112X </v>
          </cell>
          <cell r="CK8340" t="str">
            <v>2025-04-02</v>
          </cell>
          <cell r="CL8340">
            <v>18424.933000000001</v>
          </cell>
          <cell r="CM8340" t="str">
            <v xml:space="preserve">NFT-/XUTR/DEUTH02509278186X </v>
          </cell>
          <cell r="CN8340" t="str">
            <v>2025-04-02</v>
          </cell>
          <cell r="CO8340">
            <v>621.17200000000003</v>
          </cell>
        </row>
        <row r="8341">
          <cell r="CJ8341" t="str">
            <v xml:space="preserve">NFT-/XUTR/DEUTH02509242112X </v>
          </cell>
          <cell r="CK8341" t="str">
            <v>2025-04-02</v>
          </cell>
          <cell r="CL8341">
            <v>19046.094000000001</v>
          </cell>
        </row>
        <row r="8342">
          <cell r="CJ8342" t="str">
            <v xml:space="preserve">NFT-/XUTR/DEUTH02509242112X </v>
          </cell>
          <cell r="CK8342" t="str">
            <v>2025-04-02</v>
          </cell>
          <cell r="CL8342">
            <v>9581.0519999999997</v>
          </cell>
        </row>
        <row r="8343">
          <cell r="CJ8343" t="str">
            <v xml:space="preserve">NFT-/XUTR/DEUTH02509242112X </v>
          </cell>
          <cell r="CK8343" t="str">
            <v>2025-04-02</v>
          </cell>
          <cell r="CL8343">
            <v>19064.973999999998</v>
          </cell>
        </row>
        <row r="8344">
          <cell r="CJ8344" t="str">
            <v xml:space="preserve">NFT-/XUTR/DEUTH02509242112X </v>
          </cell>
          <cell r="CK8344" t="str">
            <v>2025-04-02</v>
          </cell>
          <cell r="CL8344">
            <v>94603.13</v>
          </cell>
        </row>
        <row r="8345">
          <cell r="CJ8345" t="str">
            <v xml:space="preserve">NFT-/XUTR/DEUTH02509242112X </v>
          </cell>
          <cell r="CK8345" t="str">
            <v>2025-04-02</v>
          </cell>
          <cell r="CL8345">
            <v>19064.973999999998</v>
          </cell>
        </row>
        <row r="8346">
          <cell r="CJ8346" t="str">
            <v xml:space="preserve">NFT-/XUTR/DEUTH02509242112X </v>
          </cell>
          <cell r="CK8346" t="str">
            <v>2025-04-02</v>
          </cell>
          <cell r="CL8346">
            <v>47089.88</v>
          </cell>
        </row>
        <row r="8347">
          <cell r="CJ8347" t="str">
            <v xml:space="preserve">NFT-/XUTR/DEUTH02509242112X </v>
          </cell>
          <cell r="CK8347" t="str">
            <v>2025-04-02</v>
          </cell>
          <cell r="CL8347">
            <v>9581.0519999999997</v>
          </cell>
        </row>
        <row r="8348">
          <cell r="CJ8348" t="str">
            <v xml:space="preserve">NFT-/XUTR/DEUTH02509242112X </v>
          </cell>
          <cell r="CK8348" t="str">
            <v>2025-04-02</v>
          </cell>
          <cell r="CL8348">
            <v>94813.482999999993</v>
          </cell>
        </row>
        <row r="8349">
          <cell r="CJ8349" t="str">
            <v xml:space="preserve">NFT-/XUTR/DEUTH02509242112X </v>
          </cell>
          <cell r="CK8349" t="str">
            <v>2025-04-02</v>
          </cell>
          <cell r="CL8349">
            <v>9581.0519999999997</v>
          </cell>
        </row>
        <row r="8350">
          <cell r="CJ8350" t="str">
            <v xml:space="preserve">NFT-/XUTR/DEUTH02509242112X </v>
          </cell>
          <cell r="CK8350" t="str">
            <v>2025-04-02</v>
          </cell>
          <cell r="CL8350">
            <v>93641.994000000006</v>
          </cell>
          <cell r="CM8350" t="str">
            <v xml:space="preserve">NFT-/XUTR/DEUTH02509278186X </v>
          </cell>
          <cell r="CN8350" t="str">
            <v>2025-04-02</v>
          </cell>
          <cell r="CO8350">
            <v>970.57500000000005</v>
          </cell>
        </row>
        <row r="8351">
          <cell r="CJ8351" t="str">
            <v xml:space="preserve">NFT-/XUTR/DEUTH02509242112X </v>
          </cell>
          <cell r="CK8351" t="str">
            <v>2025-04-02</v>
          </cell>
          <cell r="CL8351">
            <v>94813.482999999993</v>
          </cell>
        </row>
        <row r="8352">
          <cell r="CJ8352" t="str">
            <v xml:space="preserve">NFT-/XUTR/DEUTH02509242112X </v>
          </cell>
          <cell r="CK8352" t="str">
            <v>2025-04-02</v>
          </cell>
          <cell r="CL8352">
            <v>9115.6090000000004</v>
          </cell>
          <cell r="CM8352" t="str">
            <v xml:space="preserve">NFT-/XUTR/DEUTH02509278186X </v>
          </cell>
          <cell r="CN8352" t="str">
            <v>2025-04-02</v>
          </cell>
          <cell r="CO8352">
            <v>484.31400000000002</v>
          </cell>
        </row>
        <row r="8353">
          <cell r="CJ8353" t="str">
            <v xml:space="preserve">NFT-/XUTR/DEUTH02509242112X </v>
          </cell>
          <cell r="CK8353" t="str">
            <v>2025-04-02</v>
          </cell>
          <cell r="CL8353">
            <v>70775.790999999997</v>
          </cell>
        </row>
        <row r="8354">
          <cell r="CJ8354" t="str">
            <v xml:space="preserve">NFT-/XUTR/DEUTH02509242112X </v>
          </cell>
          <cell r="CK8354" t="str">
            <v>2025-04-02</v>
          </cell>
          <cell r="CL8354">
            <v>9590.4920000000002</v>
          </cell>
        </row>
        <row r="8355">
          <cell r="CJ8355" t="str">
            <v xml:space="preserve">NFT-/XUTR/DEUTH02509242112X </v>
          </cell>
          <cell r="CK8355" t="str">
            <v>2025-04-02</v>
          </cell>
          <cell r="CL8355">
            <v>9581.0519999999997</v>
          </cell>
        </row>
        <row r="8357">
          <cell r="CJ8357" t="str">
            <v xml:space="preserve">NFT-/XUTR/DEUTH02509464192X </v>
          </cell>
          <cell r="CK8357" t="str">
            <v>2025-04-04</v>
          </cell>
          <cell r="CL8357">
            <v>9580.5190000000002</v>
          </cell>
        </row>
        <row r="8358">
          <cell r="CJ8358" t="str">
            <v xml:space="preserve">NFT-/XUTR/DEUTH02509464192X </v>
          </cell>
          <cell r="CK8358" t="str">
            <v>2025-04-04</v>
          </cell>
          <cell r="CL8358">
            <v>9561.6389999999992</v>
          </cell>
        </row>
        <row r="8359">
          <cell r="CJ8359" t="str">
            <v xml:space="preserve">NFT-/XUTR/DEUTH02509464192X </v>
          </cell>
          <cell r="CK8359" t="str">
            <v>2025-04-04</v>
          </cell>
          <cell r="CL8359">
            <v>47248.52</v>
          </cell>
        </row>
        <row r="8360">
          <cell r="CJ8360" t="str">
            <v xml:space="preserve">NFT-/XUTR/DEUTH02509464192X </v>
          </cell>
          <cell r="CK8360" t="str">
            <v>2025-04-04</v>
          </cell>
          <cell r="CL8360">
            <v>6086.9840000000004</v>
          </cell>
        </row>
        <row r="8361">
          <cell r="CJ8361" t="str">
            <v xml:space="preserve">NFT-/XUTR/DEUTH02509464192X </v>
          </cell>
          <cell r="CK8361" t="str">
            <v>2025-04-04</v>
          </cell>
          <cell r="CL8361">
            <v>18997.565999999999</v>
          </cell>
        </row>
        <row r="8362">
          <cell r="CJ8362" t="str">
            <v xml:space="preserve">NFT-/XUTR/DEUTH02509464192X </v>
          </cell>
          <cell r="CK8362" t="str">
            <v>2025-04-04</v>
          </cell>
          <cell r="CL8362">
            <v>94478.172000000006</v>
          </cell>
        </row>
        <row r="8363">
          <cell r="CJ8363" t="str">
            <v xml:space="preserve">NFT-/XUTR/DEUTH02509464192X </v>
          </cell>
          <cell r="CK8363" t="str">
            <v>2025-04-04</v>
          </cell>
          <cell r="CL8363">
            <v>19016.446</v>
          </cell>
        </row>
        <row r="8364">
          <cell r="CJ8364" t="str">
            <v xml:space="preserve">NFT-/XUTR/DEUTH02509464192X </v>
          </cell>
          <cell r="CK8364" t="str">
            <v>2025-04-04</v>
          </cell>
          <cell r="CL8364">
            <v>47229.641000000003</v>
          </cell>
        </row>
        <row r="8365">
          <cell r="CJ8365" t="str">
            <v xml:space="preserve">NFT-/XUTR/DEUTH02509464192X </v>
          </cell>
          <cell r="CK8365" t="str">
            <v>2025-04-04</v>
          </cell>
          <cell r="CL8365">
            <v>46963.707000000002</v>
          </cell>
        </row>
        <row r="8366">
          <cell r="CJ8366" t="str">
            <v xml:space="preserve">NFT-/XUTR/DEUTH02509464192X </v>
          </cell>
          <cell r="CK8366" t="str">
            <v>2025-04-04</v>
          </cell>
          <cell r="CL8366">
            <v>18478.86</v>
          </cell>
        </row>
        <row r="8367">
          <cell r="CJ8367" t="str">
            <v xml:space="preserve">NFT-/XUTR/DEUTH02509464192X </v>
          </cell>
          <cell r="CK8367" t="str">
            <v>2025-04-04</v>
          </cell>
          <cell r="CL8367">
            <v>9561.6389999999992</v>
          </cell>
        </row>
        <row r="8368">
          <cell r="CJ8368" t="str">
            <v xml:space="preserve">NFT-/XUTR/DEUTH02509464192X </v>
          </cell>
          <cell r="CK8368" t="str">
            <v>2025-04-04</v>
          </cell>
          <cell r="CL8368">
            <v>47229.641000000003</v>
          </cell>
        </row>
        <row r="8369">
          <cell r="CJ8369" t="str">
            <v xml:space="preserve">NFT-/XUTR/DEUTH02509464192X </v>
          </cell>
          <cell r="CK8369" t="str">
            <v>2025-04-04</v>
          </cell>
          <cell r="CL8369">
            <v>9561.6389999999992</v>
          </cell>
        </row>
        <row r="8370">
          <cell r="CJ8370" t="str">
            <v xml:space="preserve">NFT-/XUTR/DEUTH02509464192X </v>
          </cell>
          <cell r="CK8370" t="str">
            <v>2025-04-04</v>
          </cell>
          <cell r="CL8370">
            <v>94991.096999999994</v>
          </cell>
        </row>
        <row r="8371">
          <cell r="CJ8371" t="str">
            <v xml:space="preserve">NFT-/XUTR/DEUTH02509464192X </v>
          </cell>
          <cell r="CK8371" t="str">
            <v>2025-04-04</v>
          </cell>
          <cell r="CL8371">
            <v>9629.5810000000001</v>
          </cell>
        </row>
        <row r="8372">
          <cell r="CJ8372" t="str">
            <v xml:space="preserve">NFT-/XUTR/DEUTH02509464192X </v>
          </cell>
          <cell r="CK8372" t="str">
            <v>2025-04-04</v>
          </cell>
          <cell r="CL8372">
            <v>94561.138000000006</v>
          </cell>
        </row>
        <row r="8373">
          <cell r="CJ8373" t="str">
            <v xml:space="preserve">NFT-/XUTR/DEUTH02509464192X </v>
          </cell>
          <cell r="CK8373" t="str">
            <v>2025-04-04</v>
          </cell>
          <cell r="CL8373">
            <v>9678.11</v>
          </cell>
          <cell r="CM8373" t="str">
            <v xml:space="preserve">NFT-/XUTR/DEUTH02509940345X </v>
          </cell>
          <cell r="CN8373" t="str">
            <v>2025-04-09</v>
          </cell>
          <cell r="CO8373">
            <v>-9678.11</v>
          </cell>
        </row>
        <row r="8374">
          <cell r="CJ8374" t="str">
            <v xml:space="preserve">NFT-/XUTR/DEUTH02509464192X </v>
          </cell>
          <cell r="CK8374" t="str">
            <v>2025-04-04</v>
          </cell>
          <cell r="CL8374">
            <v>9629.5810000000001</v>
          </cell>
        </row>
        <row r="8375">
          <cell r="CJ8375" t="str">
            <v xml:space="preserve">NFT-/XUTR/DEUTH02509464192X </v>
          </cell>
          <cell r="CK8375" t="str">
            <v>2025-04-04</v>
          </cell>
          <cell r="CL8375">
            <v>19230.508000000002</v>
          </cell>
          <cell r="CM8375" t="str">
            <v xml:space="preserve">NFT-/XUTR/DEUTH02509940345X </v>
          </cell>
          <cell r="CN8375" t="str">
            <v>2025-04-09</v>
          </cell>
          <cell r="CO8375">
            <v>-19230.508000000002</v>
          </cell>
        </row>
        <row r="8376">
          <cell r="CJ8376" t="str">
            <v xml:space="preserve">NFT-/XUTR/DEUTH02509464192X </v>
          </cell>
          <cell r="CK8376" t="str">
            <v>2025-04-04</v>
          </cell>
          <cell r="CL8376">
            <v>94360.224000000002</v>
          </cell>
        </row>
        <row r="8377">
          <cell r="CJ8377" t="str">
            <v xml:space="preserve">NFT-/XUTR/DEUTH02509464192X </v>
          </cell>
          <cell r="CK8377" t="str">
            <v>2025-04-04</v>
          </cell>
          <cell r="CL8377">
            <v>47283.995000000003</v>
          </cell>
        </row>
        <row r="8378">
          <cell r="CJ8378" t="str">
            <v xml:space="preserve">NFT-/XUTR/DEUTH02509464192X </v>
          </cell>
          <cell r="CK8378" t="str">
            <v>2025-04-04</v>
          </cell>
          <cell r="CL8378">
            <v>19230.508000000002</v>
          </cell>
        </row>
        <row r="8379">
          <cell r="CJ8379" t="str">
            <v xml:space="preserve">NFT-/XUTR/DEUTH02509464192X </v>
          </cell>
          <cell r="CK8379" t="str">
            <v>2025-04-04</v>
          </cell>
          <cell r="CL8379">
            <v>2718.5540000000001</v>
          </cell>
        </row>
        <row r="8380">
          <cell r="CJ8380" t="str">
            <v xml:space="preserve">NFT-/XUTR/DEUTH02509757419X </v>
          </cell>
          <cell r="CK8380" t="str">
            <v>2025-04-07</v>
          </cell>
          <cell r="CL8380">
            <v>18429.784</v>
          </cell>
          <cell r="CM8380" t="str">
            <v xml:space="preserve">NFT-/XUTR/DEUTH02509786051X </v>
          </cell>
          <cell r="CN8380" t="str">
            <v>2025-04-07</v>
          </cell>
          <cell r="CO8380">
            <v>975.42499999999995</v>
          </cell>
        </row>
        <row r="8381">
          <cell r="CJ8381" t="str">
            <v xml:space="preserve">NFT-/XUTR/DEUTH02509757419X </v>
          </cell>
          <cell r="CK8381" t="str">
            <v>2025-04-07</v>
          </cell>
          <cell r="CL8381">
            <v>1582.979</v>
          </cell>
        </row>
        <row r="8382">
          <cell r="CJ8382" t="str">
            <v xml:space="preserve">NFT-/XUTR/DEUTH02509757419X </v>
          </cell>
          <cell r="CK8382" t="str">
            <v>2025-04-07</v>
          </cell>
          <cell r="CL8382">
            <v>19405.208999999999</v>
          </cell>
        </row>
        <row r="8383">
          <cell r="CJ8383" t="str">
            <v xml:space="preserve">NFT-/XUTR/DEUTH02509757419X </v>
          </cell>
          <cell r="CK8383" t="str">
            <v>2025-04-07</v>
          </cell>
          <cell r="CL8383">
            <v>36423.24</v>
          </cell>
          <cell r="CM8383" t="str">
            <v xml:space="preserve">NFT-/XUTR/DEUTH02509786051X </v>
          </cell>
          <cell r="CN8383" t="str">
            <v>2025-04-07</v>
          </cell>
          <cell r="CO8383">
            <v>2407.0239999999999</v>
          </cell>
        </row>
        <row r="8384">
          <cell r="CJ8384" t="str">
            <v xml:space="preserve">NFT-/XUTR/DEUTH02509757419X </v>
          </cell>
          <cell r="CK8384" t="str">
            <v>2025-04-07</v>
          </cell>
          <cell r="CL8384">
            <v>96001.023000000001</v>
          </cell>
        </row>
        <row r="8385">
          <cell r="CJ8385" t="str">
            <v xml:space="preserve">NFT-/XUTR/DEUTH02509757419X </v>
          </cell>
          <cell r="CK8385" t="str">
            <v>2025-04-07</v>
          </cell>
          <cell r="CL8385">
            <v>45579.14</v>
          </cell>
          <cell r="CM8385" t="str">
            <v xml:space="preserve">NFT-/XUTR/DEUTH02509786051X </v>
          </cell>
          <cell r="CN8385" t="str">
            <v>2025-04-07</v>
          </cell>
          <cell r="CO8385">
            <v>2403.1460000000002</v>
          </cell>
        </row>
        <row r="8386">
          <cell r="CJ8386" t="str">
            <v xml:space="preserve">NFT-/XUTR/DEUTH02509757419X </v>
          </cell>
          <cell r="CK8386" t="str">
            <v>2025-04-07</v>
          </cell>
          <cell r="CL8386">
            <v>18453.513999999999</v>
          </cell>
          <cell r="CM8386" t="str">
            <v xml:space="preserve">NFT-/XUTR/DEUTH02509786051X </v>
          </cell>
          <cell r="CN8386" t="str">
            <v>2025-04-07</v>
          </cell>
          <cell r="CO8386">
            <v>970.57500000000005</v>
          </cell>
        </row>
        <row r="8387">
          <cell r="CJ8387" t="str">
            <v xml:space="preserve">NFT-/XUTR/DEUTH02509757419X </v>
          </cell>
          <cell r="CK8387" t="str">
            <v>2025-04-07</v>
          </cell>
          <cell r="CL8387">
            <v>9281.8449999999993</v>
          </cell>
          <cell r="CM8387" t="str">
            <v xml:space="preserve">NFT-/XUTR/DEUTH02509786051X </v>
          </cell>
          <cell r="CN8387" t="str">
            <v>2025-04-07</v>
          </cell>
          <cell r="CO8387">
            <v>493.05099999999999</v>
          </cell>
        </row>
        <row r="8388">
          <cell r="CJ8388" t="str">
            <v xml:space="preserve">NFT-/XUTR/DEUTH02509757419X </v>
          </cell>
          <cell r="CK8388" t="str">
            <v>2025-04-07</v>
          </cell>
          <cell r="CL8388">
            <v>93639.615999999995</v>
          </cell>
          <cell r="CM8388" t="str">
            <v xml:space="preserve">NFT-/XUTR/DEUTH02509786051X </v>
          </cell>
          <cell r="CN8388" t="str">
            <v>2025-04-07</v>
          </cell>
          <cell r="CO8388">
            <v>2911.7240000000002</v>
          </cell>
        </row>
        <row r="8389">
          <cell r="CJ8389" t="str">
            <v xml:space="preserve">NFT-/XUTR/DEUTH02509757419X </v>
          </cell>
          <cell r="CK8389" t="str">
            <v>2025-04-07</v>
          </cell>
          <cell r="CL8389">
            <v>9765.4560000000001</v>
          </cell>
        </row>
        <row r="8390">
          <cell r="CJ8390" t="str">
            <v xml:space="preserve">NFT-/XUTR/DEUTH02509757419X </v>
          </cell>
          <cell r="CK8390" t="str">
            <v>2025-04-07</v>
          </cell>
          <cell r="CL8390">
            <v>9272.4050000000007</v>
          </cell>
          <cell r="CM8390" t="str">
            <v xml:space="preserve">NFT-/XUTR/DEUTH02509786051X </v>
          </cell>
          <cell r="CN8390" t="str">
            <v>2025-04-07</v>
          </cell>
          <cell r="CO8390">
            <v>493.05099999999999</v>
          </cell>
        </row>
        <row r="8391">
          <cell r="CJ8391" t="str">
            <v xml:space="preserve">NFT-/XUTR/DEUTH02509757419X </v>
          </cell>
          <cell r="CK8391" t="str">
            <v>2025-04-07</v>
          </cell>
          <cell r="CL8391">
            <v>45334.118000000002</v>
          </cell>
          <cell r="CM8391" t="str">
            <v xml:space="preserve">NFT-/XUTR/DEUTH02509786051X </v>
          </cell>
          <cell r="CN8391" t="str">
            <v>2025-04-07</v>
          </cell>
          <cell r="CO8391">
            <v>2629.29</v>
          </cell>
        </row>
        <row r="8392">
          <cell r="CJ8392" t="str">
            <v xml:space="preserve">NFT-/XUTR/DEUTH02509757419X </v>
          </cell>
          <cell r="CK8392" t="str">
            <v>2025-04-07</v>
          </cell>
          <cell r="CL8392">
            <v>18448.664000000001</v>
          </cell>
          <cell r="CM8392" t="str">
            <v xml:space="preserve">NFT-/XUTR/DEUTH02509786051X </v>
          </cell>
          <cell r="CN8392" t="str">
            <v>2025-04-07</v>
          </cell>
          <cell r="CO8392">
            <v>975.42499999999995</v>
          </cell>
        </row>
        <row r="8393">
          <cell r="CJ8393" t="str">
            <v xml:space="preserve">NFT-/XUTR/DEUTH02509757419X </v>
          </cell>
          <cell r="CK8393" t="str">
            <v>2025-04-07</v>
          </cell>
          <cell r="CL8393">
            <v>9272.4050000000007</v>
          </cell>
          <cell r="CM8393" t="str">
            <v xml:space="preserve">NFT-/XUTR/DEUTH02509786051X </v>
          </cell>
          <cell r="CN8393" t="str">
            <v>2025-04-07</v>
          </cell>
          <cell r="CO8393">
            <v>493.05099999999999</v>
          </cell>
        </row>
        <row r="8394">
          <cell r="CJ8394" t="str">
            <v xml:space="preserve">NFT-/XUTR/DEUTH02509757419X </v>
          </cell>
          <cell r="CK8394" t="str">
            <v>2025-04-07</v>
          </cell>
          <cell r="CL8394">
            <v>18439.223999999998</v>
          </cell>
          <cell r="CM8394" t="str">
            <v xml:space="preserve">NFT-/XUTR/DEUTH02509786051X </v>
          </cell>
          <cell r="CN8394" t="str">
            <v>2025-04-07</v>
          </cell>
          <cell r="CO8394">
            <v>975.42499999999995</v>
          </cell>
        </row>
        <row r="8395">
          <cell r="CJ8395" t="str">
            <v xml:space="preserve">NFT-/XUTR/DEUTH02509757419X </v>
          </cell>
          <cell r="CK8395" t="str">
            <v>2025-04-07</v>
          </cell>
          <cell r="CL8395">
            <v>19405.208999999999</v>
          </cell>
        </row>
        <row r="8396">
          <cell r="CJ8396" t="str">
            <v xml:space="preserve">NFT-/XUTR/DEUTH02509757419X </v>
          </cell>
          <cell r="CK8396" t="str">
            <v>2025-04-07</v>
          </cell>
          <cell r="CL8396">
            <v>93176.653999999995</v>
          </cell>
          <cell r="CM8396" t="str">
            <v xml:space="preserve">NFT-/XUTR/DEUTH02509786051X </v>
          </cell>
          <cell r="CN8396" t="str">
            <v>2025-04-07</v>
          </cell>
          <cell r="CO8396">
            <v>3144.6660000000002</v>
          </cell>
        </row>
        <row r="8397">
          <cell r="CJ8397" t="str">
            <v xml:space="preserve">NFT-/XUTR/DEUTH02509757419X </v>
          </cell>
          <cell r="CK8397" t="str">
            <v>2025-04-07</v>
          </cell>
          <cell r="CL8397">
            <v>19549.802</v>
          </cell>
        </row>
        <row r="8398">
          <cell r="CJ8398" t="str">
            <v xml:space="preserve">NFT-/XUTR/DEUTH02509757419X </v>
          </cell>
          <cell r="CK8398" t="str">
            <v>2025-04-07</v>
          </cell>
          <cell r="CL8398">
            <v>0</v>
          </cell>
          <cell r="CM8398" t="str">
            <v xml:space="preserve">NFT-/XUTR/DEUTH02509786051X </v>
          </cell>
          <cell r="CN8398" t="str">
            <v>2025-04-07</v>
          </cell>
          <cell r="CO8398">
            <v>0</v>
          </cell>
        </row>
        <row r="8399">
          <cell r="CJ8399" t="str">
            <v xml:space="preserve">NFT-/XUTR/DEUTH02509757419X </v>
          </cell>
          <cell r="CK8399" t="str">
            <v>2025-04-07</v>
          </cell>
          <cell r="CL8399">
            <v>47788.161999999997</v>
          </cell>
          <cell r="CM8399" t="str">
            <v xml:space="preserve">NFT-/XUTR/DEUTH02509786051X </v>
          </cell>
          <cell r="CN8399" t="str">
            <v>2025-04-07</v>
          </cell>
          <cell r="CO8399">
            <v>194.11600000000001</v>
          </cell>
        </row>
        <row r="8400">
          <cell r="CJ8400" t="str">
            <v xml:space="preserve">NFT-/XUTR/DEUTH02509757419X </v>
          </cell>
          <cell r="CK8400" t="str">
            <v>2025-04-07</v>
          </cell>
          <cell r="CL8400">
            <v>96001.023000000001</v>
          </cell>
        </row>
        <row r="8401">
          <cell r="CJ8401" t="str">
            <v xml:space="preserve">NFT-/XUTR/DEUTH02509757419X </v>
          </cell>
          <cell r="CK8401" t="str">
            <v>2025-04-07</v>
          </cell>
          <cell r="CL8401">
            <v>18429.784</v>
          </cell>
          <cell r="CM8401" t="str">
            <v xml:space="preserve">NFT-/XUTR/DEUTH02509786051X </v>
          </cell>
          <cell r="CN8401" t="str">
            <v>2025-04-07</v>
          </cell>
          <cell r="CO8401">
            <v>975.42499999999995</v>
          </cell>
        </row>
        <row r="8402">
          <cell r="CJ8402" t="str">
            <v xml:space="preserve">NFT-/XUTR/DEUTH02509757419X </v>
          </cell>
          <cell r="CK8402" t="str">
            <v>2025-04-07</v>
          </cell>
          <cell r="CL8402">
            <v>93409.596000000005</v>
          </cell>
          <cell r="CM8402" t="str">
            <v xml:space="preserve">NFT-/XUTR/DEUTH02509786051X </v>
          </cell>
          <cell r="CN8402" t="str">
            <v>2025-04-07</v>
          </cell>
          <cell r="CO8402">
            <v>2911.7240000000002</v>
          </cell>
        </row>
        <row r="8403">
          <cell r="CJ8403" t="str">
            <v xml:space="preserve">NFT-/XUTR/DEUTH02509757419X </v>
          </cell>
          <cell r="CK8403" t="str">
            <v>2025-04-07</v>
          </cell>
          <cell r="CL8403">
            <v>19280</v>
          </cell>
          <cell r="CM8403" t="str">
            <v xml:space="preserve">NFT-/XUTR/DEUTH02509786051X </v>
          </cell>
          <cell r="CN8403" t="str">
            <v>2025-04-07</v>
          </cell>
          <cell r="CO8403">
            <v>57.267000000000003</v>
          </cell>
        </row>
        <row r="8404">
          <cell r="CJ8404" t="str">
            <v xml:space="preserve">NFT-/XUTR/DEUTH02509757419X </v>
          </cell>
          <cell r="CK8404" t="str">
            <v>2025-04-07</v>
          </cell>
          <cell r="CL8404">
            <v>45797.078999999998</v>
          </cell>
          <cell r="CM8404" t="str">
            <v xml:space="preserve">NFT-/XUTR/DEUTH02509786051X </v>
          </cell>
          <cell r="CN8404" t="str">
            <v>2025-04-07</v>
          </cell>
          <cell r="CO8404">
            <v>2166.3180000000002</v>
          </cell>
        </row>
        <row r="8405">
          <cell r="CJ8405" t="str">
            <v xml:space="preserve">NFT-/XUTR/DEUTH02509757419X </v>
          </cell>
          <cell r="CK8405" t="str">
            <v>2025-04-07</v>
          </cell>
          <cell r="CL8405">
            <v>0</v>
          </cell>
          <cell r="CM8405" t="str">
            <v xml:space="preserve">NFT-/XUTR/DEUTH02509786051X </v>
          </cell>
          <cell r="CN8405" t="str">
            <v>2025-04-07</v>
          </cell>
          <cell r="CO8405">
            <v>0</v>
          </cell>
        </row>
        <row r="8406">
          <cell r="CJ8406" t="str">
            <v xml:space="preserve">NFT-/XUTR/DEUTH02509757419X </v>
          </cell>
          <cell r="CK8406" t="str">
            <v>2025-04-07</v>
          </cell>
          <cell r="CL8406">
            <v>45560.26</v>
          </cell>
          <cell r="CM8406" t="str">
            <v xml:space="preserve">NFT-/XUTR/DEUTH02509786051X </v>
          </cell>
          <cell r="CN8406" t="str">
            <v>2025-04-07</v>
          </cell>
          <cell r="CO8406">
            <v>2403.1469999999999</v>
          </cell>
          <cell r="CP8406" t="str">
            <v xml:space="preserve">NFT-/XUTR/DEUTH02509940345X </v>
          </cell>
          <cell r="CQ8406" t="str">
            <v>2025-04-09</v>
          </cell>
          <cell r="CR8406">
            <v>-45560.26</v>
          </cell>
          <cell r="CS8406" t="str">
            <v xml:space="preserve">NFT-/XUTR/DEUTH02509969486X </v>
          </cell>
          <cell r="CT8406" t="str">
            <v>2025-04-09</v>
          </cell>
          <cell r="CU8406">
            <v>-2403.1469999999999</v>
          </cell>
        </row>
        <row r="8407">
          <cell r="CJ8407" t="str">
            <v xml:space="preserve">NFT-/XUTR/DEUTH02509757419X </v>
          </cell>
          <cell r="CK8407" t="str">
            <v>2025-04-07</v>
          </cell>
          <cell r="CL8407">
            <v>96019.903000000006</v>
          </cell>
          <cell r="CP8407" t="str">
            <v xml:space="preserve">NFT-/XUTR/DEUTH02510641465X </v>
          </cell>
          <cell r="CQ8407" t="str">
            <v>2025-04-16</v>
          </cell>
          <cell r="CR8407">
            <v>-96019.903000000006</v>
          </cell>
        </row>
        <row r="8408">
          <cell r="CJ8408" t="str">
            <v xml:space="preserve">NFT-/XUTR/DEUTH02509757419X </v>
          </cell>
          <cell r="CK8408" t="str">
            <v>2025-04-07</v>
          </cell>
          <cell r="CL8408">
            <v>18317.189999999999</v>
          </cell>
          <cell r="CM8408" t="str">
            <v xml:space="preserve">NFT-/XUTR/DEUTH02509786051X </v>
          </cell>
          <cell r="CN8408" t="str">
            <v>2025-04-07</v>
          </cell>
          <cell r="CO8408">
            <v>1088.01</v>
          </cell>
        </row>
        <row r="8409">
          <cell r="CJ8409" t="str">
            <v xml:space="preserve">NFT-/XUTR/DEUTH02509757419X </v>
          </cell>
          <cell r="CK8409" t="str">
            <v>2025-04-07</v>
          </cell>
          <cell r="CL8409">
            <v>45579.14</v>
          </cell>
          <cell r="CM8409" t="str">
            <v xml:space="preserve">NFT-/XUTR/DEUTH02509786051X </v>
          </cell>
          <cell r="CN8409" t="str">
            <v>2025-04-07</v>
          </cell>
          <cell r="CO8409">
            <v>2403.1460000000002</v>
          </cell>
        </row>
        <row r="8410">
          <cell r="CJ8410" t="str">
            <v xml:space="preserve">NFT-/XUTR/DEUTH02509757419X </v>
          </cell>
          <cell r="CK8410" t="str">
            <v>2025-04-07</v>
          </cell>
          <cell r="CL8410">
            <v>45560.26</v>
          </cell>
          <cell r="CM8410" t="str">
            <v xml:space="preserve">NFT-/XUTR/DEUTH02509786051X </v>
          </cell>
          <cell r="CN8410" t="str">
            <v>2025-04-07</v>
          </cell>
          <cell r="CO8410">
            <v>2403.1469999999999</v>
          </cell>
        </row>
        <row r="8411">
          <cell r="CJ8411" t="str">
            <v xml:space="preserve">NFT-/XUTR/DEUTH02509757419X </v>
          </cell>
          <cell r="CK8411" t="str">
            <v>2025-04-07</v>
          </cell>
          <cell r="CL8411">
            <v>19337.267</v>
          </cell>
        </row>
        <row r="8412">
          <cell r="CJ8412" t="str">
            <v xml:space="preserve">NFT-/XUTR/DEUTH02509757419X </v>
          </cell>
          <cell r="CK8412" t="str">
            <v>2025-04-07</v>
          </cell>
          <cell r="CL8412">
            <v>45579.14</v>
          </cell>
          <cell r="CM8412" t="str">
            <v xml:space="preserve">NFT-/XUTR/DEUTH02509786051X </v>
          </cell>
          <cell r="CN8412" t="str">
            <v>2025-04-07</v>
          </cell>
          <cell r="CO8412">
            <v>2403.1460000000002</v>
          </cell>
        </row>
        <row r="8413">
          <cell r="CJ8413" t="str">
            <v xml:space="preserve">NFT-/XUTR/DEUTH02509757419X </v>
          </cell>
          <cell r="CK8413" t="str">
            <v>2025-04-07</v>
          </cell>
          <cell r="CL8413">
            <v>45579.14</v>
          </cell>
          <cell r="CM8413" t="str">
            <v xml:space="preserve">NFT-/XUTR/DEUTH02509786051X </v>
          </cell>
          <cell r="CN8413" t="str">
            <v>2025-04-07</v>
          </cell>
          <cell r="CO8413">
            <v>2403.1460000000002</v>
          </cell>
        </row>
        <row r="8414">
          <cell r="CJ8414" t="str">
            <v xml:space="preserve">NFT-/XUTR/DEUTH02509757419X </v>
          </cell>
          <cell r="CK8414" t="str">
            <v>2025-04-07</v>
          </cell>
          <cell r="CL8414">
            <v>48902.82</v>
          </cell>
        </row>
        <row r="8415">
          <cell r="CJ8415" t="str">
            <v xml:space="preserve">NFT-/XUTR/DEUTH02509757419X </v>
          </cell>
          <cell r="CK8415" t="str">
            <v>2025-04-07</v>
          </cell>
          <cell r="CL8415">
            <v>53071.487999999998</v>
          </cell>
          <cell r="CM8415" t="str">
            <v xml:space="preserve">NFT-/XUTR/DEUTH02509786051X </v>
          </cell>
          <cell r="CN8415" t="str">
            <v>2025-04-07</v>
          </cell>
          <cell r="CO8415">
            <v>5179.9610000000002</v>
          </cell>
        </row>
        <row r="8416">
          <cell r="CJ8416" t="str">
            <v xml:space="preserve">NFT-/XUTR/DEUTH02509757419X </v>
          </cell>
          <cell r="CK8416" t="str">
            <v>2025-04-07</v>
          </cell>
          <cell r="CL8416">
            <v>9291.2849999999999</v>
          </cell>
          <cell r="CM8416" t="str">
            <v xml:space="preserve">NFT-/XUTR/DEUTH02509786051X </v>
          </cell>
          <cell r="CN8416" t="str">
            <v>2025-04-07</v>
          </cell>
          <cell r="CO8416">
            <v>493.05099999999999</v>
          </cell>
        </row>
        <row r="8417">
          <cell r="CJ8417" t="str">
            <v xml:space="preserve">NFT-/XUTR/DEUTH02509757419X </v>
          </cell>
          <cell r="CK8417" t="str">
            <v>2025-04-07</v>
          </cell>
          <cell r="CL8417">
            <v>36897.317999999999</v>
          </cell>
          <cell r="CM8417" t="str">
            <v xml:space="preserve">NFT-/XUTR/DEUTH02509786051X </v>
          </cell>
          <cell r="CN8417" t="str">
            <v>2025-04-07</v>
          </cell>
          <cell r="CO8417">
            <v>1950.85</v>
          </cell>
        </row>
        <row r="8418">
          <cell r="CJ8418" t="str">
            <v xml:space="preserve">NFT-/XUTR/DEUTH02509757419X </v>
          </cell>
          <cell r="CK8418" t="str">
            <v>2025-04-07</v>
          </cell>
          <cell r="CL8418">
            <v>93227.122000000003</v>
          </cell>
          <cell r="CM8418" t="str">
            <v xml:space="preserve">NFT-/XUTR/DEUTH02509786051X </v>
          </cell>
          <cell r="CN8418" t="str">
            <v>2025-04-07</v>
          </cell>
          <cell r="CO8418">
            <v>3094.1880000000001</v>
          </cell>
        </row>
        <row r="8419">
          <cell r="CJ8419" t="str">
            <v xml:space="preserve">NFT-/XUTR/DEUTH02509757419X </v>
          </cell>
          <cell r="CK8419" t="str">
            <v>2025-04-07</v>
          </cell>
          <cell r="CL8419">
            <v>45560.26</v>
          </cell>
          <cell r="CM8419" t="str">
            <v xml:space="preserve">NFT-/XUTR/DEUTH02509786051X </v>
          </cell>
          <cell r="CN8419" t="str">
            <v>2025-04-07</v>
          </cell>
          <cell r="CO8419">
            <v>2403.1469999999999</v>
          </cell>
        </row>
        <row r="8420">
          <cell r="CJ8420" t="str">
            <v xml:space="preserve">NFT-/XUTR/DEUTH02509757419X </v>
          </cell>
          <cell r="CK8420" t="str">
            <v>2025-04-07</v>
          </cell>
          <cell r="CL8420">
            <v>18448.664000000001</v>
          </cell>
          <cell r="CM8420" t="str">
            <v xml:space="preserve">NFT-/XUTR/DEUTH02509786051X </v>
          </cell>
          <cell r="CN8420" t="str">
            <v>2025-04-07</v>
          </cell>
          <cell r="CO8420">
            <v>975.42499999999995</v>
          </cell>
        </row>
        <row r="8421">
          <cell r="CJ8421" t="str">
            <v xml:space="preserve">NFT-/XUTR/DEUTH02509757419X </v>
          </cell>
          <cell r="CK8421" t="str">
            <v>2025-04-07</v>
          </cell>
          <cell r="CL8421">
            <v>8977.7970000000005</v>
          </cell>
          <cell r="CM8421" t="str">
            <v xml:space="preserve">NFT-/XUTR/DEUTH02509786051X </v>
          </cell>
          <cell r="CN8421" t="str">
            <v>2025-04-07</v>
          </cell>
          <cell r="CO8421">
            <v>806.55</v>
          </cell>
        </row>
        <row r="8422">
          <cell r="CJ8422" t="str">
            <v xml:space="preserve">NFT-/XUTR/DEUTH02509757419X </v>
          </cell>
          <cell r="CK8422" t="str">
            <v>2025-04-07</v>
          </cell>
          <cell r="CL8422">
            <v>9281.8449999999993</v>
          </cell>
          <cell r="CM8422" t="str">
            <v xml:space="preserve">NFT-/XUTR/DEUTH02509786051X </v>
          </cell>
          <cell r="CN8422" t="str">
            <v>2025-04-07</v>
          </cell>
          <cell r="CO8422">
            <v>493.05099999999999</v>
          </cell>
          <cell r="CP8422" t="str">
            <v xml:space="preserve">NFT-/XUTR/DEUTH02509940345X </v>
          </cell>
          <cell r="CQ8422" t="str">
            <v>2025-04-09</v>
          </cell>
          <cell r="CR8422">
            <v>-9281.8449999999993</v>
          </cell>
          <cell r="CS8422" t="str">
            <v xml:space="preserve">NFT-/XUTR/DEUTH02509969486X </v>
          </cell>
          <cell r="CT8422" t="str">
            <v>2025-04-09</v>
          </cell>
          <cell r="CU8422">
            <v>-493.05099999999999</v>
          </cell>
        </row>
        <row r="8423">
          <cell r="CJ8423" t="str">
            <v xml:space="preserve">NFT-/XUTR/DEUTH02509757419X </v>
          </cell>
          <cell r="CK8423" t="str">
            <v>2025-04-07</v>
          </cell>
          <cell r="CL8423">
            <v>18448.663</v>
          </cell>
          <cell r="CM8423" t="str">
            <v xml:space="preserve">NFT-/XUTR/DEUTH02509786051X </v>
          </cell>
          <cell r="CN8423" t="str">
            <v>2025-04-07</v>
          </cell>
          <cell r="CO8423">
            <v>975.42600000000004</v>
          </cell>
        </row>
        <row r="8424">
          <cell r="CJ8424" t="str">
            <v xml:space="preserve">NFT-/XUTR/DEUTH02509757419X </v>
          </cell>
          <cell r="CK8424" t="str">
            <v>2025-04-07</v>
          </cell>
          <cell r="CL8424">
            <v>47963.396999999997</v>
          </cell>
        </row>
        <row r="8425">
          <cell r="CJ8425" t="str">
            <v xml:space="preserve">NFT-/XUTR/DEUTH02509757419X </v>
          </cell>
          <cell r="CK8425" t="str">
            <v>2025-04-07</v>
          </cell>
          <cell r="CL8425">
            <v>9291.2849999999999</v>
          </cell>
          <cell r="CM8425" t="str">
            <v xml:space="preserve">NFT-/XUTR/DEUTH02509786051X </v>
          </cell>
          <cell r="CN8425" t="str">
            <v>2025-04-07</v>
          </cell>
          <cell r="CO8425">
            <v>493.05099999999999</v>
          </cell>
        </row>
        <row r="8426">
          <cell r="CJ8426" t="str">
            <v xml:space="preserve">NFT-/XUTR/DEUTH02509757419X </v>
          </cell>
          <cell r="CK8426" t="str">
            <v>2025-04-07</v>
          </cell>
          <cell r="CL8426">
            <v>93089.297999999995</v>
          </cell>
          <cell r="CM8426" t="str">
            <v xml:space="preserve">NFT-/XUTR/DEUTH02509786051X </v>
          </cell>
          <cell r="CN8426" t="str">
            <v>2025-04-07</v>
          </cell>
          <cell r="CO8426">
            <v>2911.7240000000002</v>
          </cell>
        </row>
        <row r="8427">
          <cell r="CJ8427" t="str">
            <v xml:space="preserve">NFT-/XUTR/DEUTH02509757419X </v>
          </cell>
          <cell r="CK8427" t="str">
            <v>2025-04-07</v>
          </cell>
          <cell r="CL8427">
            <v>18439.223999999998</v>
          </cell>
          <cell r="CM8427" t="str">
            <v xml:space="preserve">NFT-/XUTR/DEUTH02509786051X </v>
          </cell>
          <cell r="CN8427" t="str">
            <v>2025-04-07</v>
          </cell>
          <cell r="CO8427">
            <v>975.42499999999995</v>
          </cell>
          <cell r="CP8427" t="str">
            <v xml:space="preserve">NFT-/XUTR/DEUTH02509940345X </v>
          </cell>
          <cell r="CQ8427" t="str">
            <v>2025-04-09</v>
          </cell>
          <cell r="CR8427">
            <v>-18439.223999999998</v>
          </cell>
          <cell r="CS8427" t="str">
            <v xml:space="preserve">NFT-/XUTR/DEUTH02509969486X </v>
          </cell>
          <cell r="CT8427" t="str">
            <v>2025-04-09</v>
          </cell>
          <cell r="CU8427">
            <v>-975.42499999999995</v>
          </cell>
        </row>
        <row r="8428">
          <cell r="CJ8428" t="str">
            <v xml:space="preserve">NFT-/XUTR/DEUTH02509757419X </v>
          </cell>
          <cell r="CK8428" t="str">
            <v>2025-04-07</v>
          </cell>
          <cell r="CL8428">
            <v>36907.027999999998</v>
          </cell>
          <cell r="CM8428" t="str">
            <v xml:space="preserve">NFT-/XUTR/DEUTH02509786051X </v>
          </cell>
          <cell r="CN8428" t="str">
            <v>2025-04-07</v>
          </cell>
          <cell r="CO8428">
            <v>1941.15</v>
          </cell>
        </row>
        <row r="8429">
          <cell r="CJ8429" t="str">
            <v xml:space="preserve">NFT-/XUTR/DEUTH02509757419X </v>
          </cell>
          <cell r="CK8429" t="str">
            <v>2025-04-07</v>
          </cell>
          <cell r="CL8429">
            <v>18443.803</v>
          </cell>
          <cell r="CM8429" t="str">
            <v xml:space="preserve">NFT-/XUTR/DEUTH02509786051X </v>
          </cell>
          <cell r="CN8429" t="str">
            <v>2025-04-07</v>
          </cell>
          <cell r="CO8429">
            <v>980.27599999999995</v>
          </cell>
        </row>
        <row r="8430">
          <cell r="CJ8430" t="str">
            <v xml:space="preserve">NFT-/XUTR/DEUTH02509757419X </v>
          </cell>
          <cell r="CK8430" t="str">
            <v>2025-04-07</v>
          </cell>
          <cell r="CL8430">
            <v>9281.1419999999998</v>
          </cell>
          <cell r="CM8430" t="str">
            <v xml:space="preserve">NFT-/XUTR/DEUTH02509786051X </v>
          </cell>
          <cell r="CN8430" t="str">
            <v>2025-04-07</v>
          </cell>
          <cell r="CO8430">
            <v>494.02499999999998</v>
          </cell>
        </row>
        <row r="8431">
          <cell r="CJ8431" t="str">
            <v xml:space="preserve">NFT-/XUTR/DEUTH02509757419X </v>
          </cell>
          <cell r="CK8431" t="str">
            <v>2025-04-07</v>
          </cell>
          <cell r="CL8431">
            <v>18448.664000000001</v>
          </cell>
          <cell r="CM8431" t="str">
            <v xml:space="preserve">NFT-/XUTR/DEUTH02509786051X </v>
          </cell>
          <cell r="CN8431" t="str">
            <v>2025-04-07</v>
          </cell>
          <cell r="CO8431">
            <v>975.42499999999995</v>
          </cell>
        </row>
        <row r="8432">
          <cell r="CJ8432" t="str">
            <v xml:space="preserve">NFT-/XUTR/DEUTH02509757419X </v>
          </cell>
          <cell r="CK8432" t="str">
            <v>2025-04-07</v>
          </cell>
          <cell r="CL8432">
            <v>17821.225999999999</v>
          </cell>
          <cell r="CM8432" t="str">
            <v xml:space="preserve">NFT-/XUTR/DEUTH02509786051X </v>
          </cell>
          <cell r="CN8432" t="str">
            <v>2025-04-07</v>
          </cell>
          <cell r="CO8432">
            <v>1583.973</v>
          </cell>
        </row>
        <row r="8433">
          <cell r="CJ8433" t="str">
            <v xml:space="preserve">NFT-/XUTR/DEUTH02509757419X </v>
          </cell>
          <cell r="CK8433" t="str">
            <v>2025-04-07</v>
          </cell>
          <cell r="CL8433">
            <v>55341.661999999997</v>
          </cell>
          <cell r="CM8433" t="str">
            <v xml:space="preserve">NFT-/XUTR/DEUTH02509786051X </v>
          </cell>
          <cell r="CN8433" t="str">
            <v>2025-04-07</v>
          </cell>
          <cell r="CO8433">
            <v>2911.7249999999999</v>
          </cell>
          <cell r="CP8433" t="str">
            <v xml:space="preserve">NFT-/XUTR/DEUTH02509940345X </v>
          </cell>
          <cell r="CQ8433" t="str">
            <v>2025-04-09</v>
          </cell>
          <cell r="CR8433">
            <v>-55341.661999999997</v>
          </cell>
          <cell r="CS8433" t="str">
            <v xml:space="preserve">NFT-/XUTR/DEUTH02509969486X </v>
          </cell>
          <cell r="CT8433" t="str">
            <v>2025-04-09</v>
          </cell>
          <cell r="CU8433">
            <v>-2911.7249999999999</v>
          </cell>
        </row>
        <row r="8434">
          <cell r="CJ8434" t="str">
            <v xml:space="preserve">NFT-/XUTR/DEUTH02509757419X </v>
          </cell>
          <cell r="CK8434" t="str">
            <v>2025-04-07</v>
          </cell>
          <cell r="CL8434">
            <v>92914.596999999994</v>
          </cell>
          <cell r="CM8434" t="str">
            <v xml:space="preserve">NFT-/XUTR/DEUTH02509786051X </v>
          </cell>
          <cell r="CN8434" t="str">
            <v>2025-04-07</v>
          </cell>
          <cell r="CO8434">
            <v>3532.8960000000002</v>
          </cell>
        </row>
        <row r="8435">
          <cell r="CJ8435" t="str">
            <v xml:space="preserve">NFT-/XUTR/DEUTH02509757419X </v>
          </cell>
          <cell r="CK8435" t="str">
            <v>2025-04-07</v>
          </cell>
          <cell r="CL8435">
            <v>9272.4050000000007</v>
          </cell>
          <cell r="CM8435" t="str">
            <v xml:space="preserve">NFT-/XUTR/DEUTH02509786051X </v>
          </cell>
          <cell r="CN8435" t="str">
            <v>2025-04-07</v>
          </cell>
          <cell r="CO8435">
            <v>493.05099999999999</v>
          </cell>
        </row>
        <row r="8436">
          <cell r="CJ8436" t="str">
            <v xml:space="preserve">NFT-/XUTR/DEUTH02509757419X </v>
          </cell>
          <cell r="CK8436" t="str">
            <v>2025-04-07</v>
          </cell>
          <cell r="CL8436">
            <v>0</v>
          </cell>
          <cell r="CM8436" t="str">
            <v xml:space="preserve">NFT-/XUTR/DEUTH02509786051X </v>
          </cell>
          <cell r="CN8436" t="str">
            <v>2025-04-07</v>
          </cell>
          <cell r="CO8436">
            <v>0</v>
          </cell>
        </row>
        <row r="8437">
          <cell r="CJ8437" t="str">
            <v xml:space="preserve">NFT-/XUTR/DEUTH02509757419X </v>
          </cell>
          <cell r="CK8437" t="str">
            <v>2025-04-07</v>
          </cell>
          <cell r="CL8437">
            <v>17578.581999999999</v>
          </cell>
          <cell r="CM8437" t="str">
            <v xml:space="preserve">NFT-/XUTR/DEUTH02509786051X </v>
          </cell>
          <cell r="CN8437" t="str">
            <v>2025-04-07</v>
          </cell>
          <cell r="CO8437">
            <v>1826.617</v>
          </cell>
        </row>
        <row r="8438">
          <cell r="CJ8438" t="str">
            <v xml:space="preserve">NFT-/XUTR/DEUTH02509757419X </v>
          </cell>
          <cell r="CK8438" t="str">
            <v>2025-04-07</v>
          </cell>
          <cell r="CL8438">
            <v>18429.784</v>
          </cell>
          <cell r="CM8438" t="str">
            <v xml:space="preserve">NFT-/XUTR/DEUTH02509786051X </v>
          </cell>
          <cell r="CN8438" t="str">
            <v>2025-04-07</v>
          </cell>
          <cell r="CO8438">
            <v>975.42499999999995</v>
          </cell>
        </row>
        <row r="8439">
          <cell r="CJ8439" t="str">
            <v xml:space="preserve">NFT-/XUTR/DEUTH02509757419X </v>
          </cell>
          <cell r="CK8439" t="str">
            <v>2025-04-07</v>
          </cell>
          <cell r="CL8439">
            <v>9272.4050000000007</v>
          </cell>
          <cell r="CM8439" t="str">
            <v xml:space="preserve">NFT-/XUTR/DEUTH02509786051X </v>
          </cell>
          <cell r="CN8439" t="str">
            <v>2025-04-07</v>
          </cell>
          <cell r="CO8439">
            <v>493.05099999999999</v>
          </cell>
        </row>
        <row r="8440">
          <cell r="CJ8440" t="str">
            <v xml:space="preserve">NFT-/XUTR/DEUTH02509757419X </v>
          </cell>
          <cell r="CK8440" t="str">
            <v>2025-04-07</v>
          </cell>
          <cell r="CL8440">
            <v>18429.784</v>
          </cell>
          <cell r="CM8440" t="str">
            <v xml:space="preserve">NFT-/XUTR/DEUTH02509786051X </v>
          </cell>
          <cell r="CN8440" t="str">
            <v>2025-04-07</v>
          </cell>
          <cell r="CO8440">
            <v>975.42499999999995</v>
          </cell>
        </row>
        <row r="8441">
          <cell r="CJ8441" t="str">
            <v xml:space="preserve">NFT-/XUTR/DEUTH02509757419X </v>
          </cell>
          <cell r="CK8441" t="str">
            <v>2025-04-07</v>
          </cell>
          <cell r="CL8441">
            <v>18429.784</v>
          </cell>
          <cell r="CM8441" t="str">
            <v xml:space="preserve">NFT-/XUTR/DEUTH02509786051X </v>
          </cell>
          <cell r="CN8441" t="str">
            <v>2025-04-07</v>
          </cell>
          <cell r="CO8441">
            <v>975.42499999999995</v>
          </cell>
        </row>
        <row r="8442">
          <cell r="CJ8442" t="str">
            <v xml:space="preserve">NFT-/XUTR/DEUTH02509757419X </v>
          </cell>
          <cell r="CK8442" t="str">
            <v>2025-04-07</v>
          </cell>
          <cell r="CL8442">
            <v>17507.737000000001</v>
          </cell>
          <cell r="CM8442" t="str">
            <v xml:space="preserve">NFT-/XUTR/DEUTH02509786051X </v>
          </cell>
          <cell r="CN8442" t="str">
            <v>2025-04-07</v>
          </cell>
          <cell r="CO8442">
            <v>1897.472</v>
          </cell>
        </row>
        <row r="8443">
          <cell r="CJ8443" t="str">
            <v xml:space="preserve">NFT-/XUTR/DEUTH02509757419X </v>
          </cell>
          <cell r="CK8443" t="str">
            <v>2025-04-07</v>
          </cell>
          <cell r="CL8443">
            <v>9300.0220000000008</v>
          </cell>
          <cell r="CM8443" t="str">
            <v xml:space="preserve">NFT-/XUTR/DEUTH02509786051X </v>
          </cell>
          <cell r="CN8443" t="str">
            <v>2025-04-07</v>
          </cell>
          <cell r="CO8443">
            <v>494.02600000000001</v>
          </cell>
        </row>
        <row r="8444">
          <cell r="CJ8444" t="str">
            <v xml:space="preserve">NFT-/XUTR/DEUTH02509757419X </v>
          </cell>
          <cell r="CK8444" t="str">
            <v>2025-04-07</v>
          </cell>
          <cell r="CL8444">
            <v>17507.737000000001</v>
          </cell>
          <cell r="CM8444" t="str">
            <v xml:space="preserve">NFT-/XUTR/DEUTH02509786051X </v>
          </cell>
          <cell r="CN8444" t="str">
            <v>2025-04-07</v>
          </cell>
          <cell r="CO8444">
            <v>1897.472</v>
          </cell>
        </row>
        <row r="8445">
          <cell r="CJ8445" t="str">
            <v xml:space="preserve">NFT-/XUTR/DEUTH02509757419X </v>
          </cell>
          <cell r="CK8445" t="str">
            <v>2025-04-07</v>
          </cell>
          <cell r="CL8445">
            <v>0</v>
          </cell>
          <cell r="CM8445" t="str">
            <v xml:space="preserve">NFT-/XUTR/DEUTH02509786051X </v>
          </cell>
          <cell r="CN8445" t="str">
            <v>2025-04-07</v>
          </cell>
          <cell r="CO8445">
            <v>0</v>
          </cell>
        </row>
        <row r="8446">
          <cell r="CJ8446" t="str">
            <v xml:space="preserve">NFT-/XUTR/DEUTH02509757419X </v>
          </cell>
          <cell r="CK8446" t="str">
            <v>2025-04-07</v>
          </cell>
          <cell r="CL8446">
            <v>18429.784</v>
          </cell>
          <cell r="CM8446" t="str">
            <v xml:space="preserve">NFT-/XUTR/DEUTH02509786051X </v>
          </cell>
          <cell r="CN8446" t="str">
            <v>2025-04-07</v>
          </cell>
          <cell r="CO8446">
            <v>975.42499999999995</v>
          </cell>
        </row>
        <row r="8447">
          <cell r="CJ8447" t="str">
            <v xml:space="preserve">NFT-/XUTR/DEUTH02509757419X </v>
          </cell>
          <cell r="CK8447" t="str">
            <v>2025-04-07</v>
          </cell>
          <cell r="CL8447">
            <v>93239.745999999999</v>
          </cell>
          <cell r="CM8447" t="str">
            <v xml:space="preserve">NFT-/XUTR/DEUTH02509786051X </v>
          </cell>
          <cell r="CN8447" t="str">
            <v>2025-04-07</v>
          </cell>
          <cell r="CO8447">
            <v>3207.7469999999998</v>
          </cell>
        </row>
        <row r="8448">
          <cell r="CJ8448" t="str">
            <v xml:space="preserve">NFT-/XUTR/DEUTH02509757419X </v>
          </cell>
          <cell r="CK8448" t="str">
            <v>2025-04-07</v>
          </cell>
          <cell r="CL8448">
            <v>18439.223999999998</v>
          </cell>
          <cell r="CM8448" t="str">
            <v xml:space="preserve">NFT-/XUTR/DEUTH02509786051X </v>
          </cell>
          <cell r="CN8448" t="str">
            <v>2025-04-07</v>
          </cell>
          <cell r="CO8448">
            <v>975.42499999999995</v>
          </cell>
          <cell r="CP8448" t="str">
            <v xml:space="preserve">NFT-/XUTR/DEUTH02509940345X </v>
          </cell>
          <cell r="CQ8448" t="str">
            <v>2025-04-09</v>
          </cell>
          <cell r="CR8448">
            <v>-18439.223999999998</v>
          </cell>
          <cell r="CS8448" t="str">
            <v xml:space="preserve">NFT-/XUTR/DEUTH02509969486X </v>
          </cell>
          <cell r="CT8448" t="str">
            <v>2025-04-09</v>
          </cell>
          <cell r="CU8448">
            <v>-975.42499999999995</v>
          </cell>
        </row>
        <row r="8449">
          <cell r="CJ8449" t="str">
            <v xml:space="preserve">NFT-/XUTR/DEUTH02509757419X </v>
          </cell>
          <cell r="CK8449" t="str">
            <v>2025-04-07</v>
          </cell>
          <cell r="CL8449">
            <v>6261.1509999999998</v>
          </cell>
        </row>
        <row r="8450">
          <cell r="CJ8450" t="str">
            <v xml:space="preserve">NFT-/XUTR/DEUTH02509757419X </v>
          </cell>
          <cell r="CK8450" t="str">
            <v>2025-04-07</v>
          </cell>
          <cell r="CL8450">
            <v>18448.664000000001</v>
          </cell>
          <cell r="CM8450" t="str">
            <v xml:space="preserve">NFT-/XUTR/DEUTH02509786051X </v>
          </cell>
          <cell r="CN8450" t="str">
            <v>2025-04-07</v>
          </cell>
          <cell r="CO8450">
            <v>975.42499999999995</v>
          </cell>
        </row>
        <row r="8451">
          <cell r="CJ8451" t="str">
            <v xml:space="preserve">NFT-/XUTR/DEUTH02509757419X </v>
          </cell>
          <cell r="CK8451" t="str">
            <v>2025-04-07</v>
          </cell>
          <cell r="CL8451">
            <v>18429.784</v>
          </cell>
          <cell r="CM8451" t="str">
            <v xml:space="preserve">NFT-/XUTR/DEUTH02509786051X </v>
          </cell>
          <cell r="CN8451" t="str">
            <v>2025-04-07</v>
          </cell>
          <cell r="CO8451">
            <v>975.42499999999995</v>
          </cell>
          <cell r="CP8451" t="str">
            <v xml:space="preserve">NFT-/XUTR/DEUTH02509940345X </v>
          </cell>
          <cell r="CQ8451" t="str">
            <v>2025-04-09</v>
          </cell>
          <cell r="CR8451">
            <v>-18429.784</v>
          </cell>
          <cell r="CS8451" t="str">
            <v xml:space="preserve">NFT-/XUTR/DEUTH02509969486X </v>
          </cell>
          <cell r="CT8451" t="str">
            <v>2025-04-09</v>
          </cell>
          <cell r="CU8451">
            <v>-975.42499999999995</v>
          </cell>
        </row>
        <row r="8452">
          <cell r="CJ8452" t="str">
            <v xml:space="preserve">NFT-/XUTR/DEUTH02509757419X </v>
          </cell>
          <cell r="CK8452" t="str">
            <v>2025-04-07</v>
          </cell>
          <cell r="CL8452">
            <v>18429.784</v>
          </cell>
          <cell r="CM8452" t="str">
            <v xml:space="preserve">NFT-/XUTR/DEUTH02509786051X </v>
          </cell>
          <cell r="CN8452" t="str">
            <v>2025-04-07</v>
          </cell>
          <cell r="CO8452">
            <v>975.42499999999995</v>
          </cell>
        </row>
        <row r="8453">
          <cell r="CJ8453" t="str">
            <v xml:space="preserve">NFT-/XUTR/DEUTH02509757419X </v>
          </cell>
          <cell r="CK8453" t="str">
            <v>2025-04-07</v>
          </cell>
          <cell r="CL8453">
            <v>9272.4050000000007</v>
          </cell>
          <cell r="CM8453" t="str">
            <v xml:space="preserve">NFT-/XUTR/DEUTH02509786051X </v>
          </cell>
          <cell r="CN8453" t="str">
            <v>2025-04-07</v>
          </cell>
          <cell r="CO8453">
            <v>493.05099999999999</v>
          </cell>
        </row>
        <row r="8454">
          <cell r="CJ8454" t="str">
            <v xml:space="preserve">NFT-/XUTR/DEUTH02509757419X </v>
          </cell>
          <cell r="CK8454" t="str">
            <v>2025-04-07</v>
          </cell>
          <cell r="CL8454">
            <v>18429.784</v>
          </cell>
          <cell r="CM8454" t="str">
            <v xml:space="preserve">NFT-/XUTR/DEUTH02509786051X </v>
          </cell>
          <cell r="CN8454" t="str">
            <v>2025-04-07</v>
          </cell>
          <cell r="CO8454">
            <v>975.42499999999995</v>
          </cell>
        </row>
        <row r="8455">
          <cell r="CJ8455" t="str">
            <v xml:space="preserve">NFT-/XUTR/DEUTH02509757419X </v>
          </cell>
          <cell r="CK8455" t="str">
            <v>2025-04-07</v>
          </cell>
          <cell r="CL8455">
            <v>17901.781999999999</v>
          </cell>
          <cell r="CM8455" t="str">
            <v xml:space="preserve">NFT-/XUTR/DEUTH02509786051X </v>
          </cell>
          <cell r="CN8455" t="str">
            <v>2025-04-07</v>
          </cell>
          <cell r="CO8455">
            <v>1503.4159999999999</v>
          </cell>
        </row>
        <row r="8456">
          <cell r="CJ8456" t="str">
            <v xml:space="preserve">NFT-/XUTR/DEUTH02509757419X </v>
          </cell>
          <cell r="CK8456" t="str">
            <v>2025-04-07</v>
          </cell>
          <cell r="CL8456">
            <v>9784.3359999999993</v>
          </cell>
        </row>
        <row r="8457">
          <cell r="CJ8457" t="str">
            <v xml:space="preserve">NFT-/XUTR/DEUTH02509757419X </v>
          </cell>
          <cell r="CK8457" t="str">
            <v>2025-04-07</v>
          </cell>
          <cell r="CL8457">
            <v>69164.107000000004</v>
          </cell>
          <cell r="CM8457" t="str">
            <v xml:space="preserve">NFT-/XUTR/DEUTH02509786051X </v>
          </cell>
          <cell r="CN8457" t="str">
            <v>2025-04-07</v>
          </cell>
          <cell r="CO8457">
            <v>2911.7240000000002</v>
          </cell>
        </row>
        <row r="8458">
          <cell r="CJ8458" t="str">
            <v xml:space="preserve">NFT-/XUTR/DEUTH02509757419X </v>
          </cell>
          <cell r="CK8458" t="str">
            <v>2025-04-07</v>
          </cell>
          <cell r="CL8458">
            <v>9274.3529999999992</v>
          </cell>
          <cell r="CM8458" t="str">
            <v xml:space="preserve">NFT-/XUTR/DEUTH02509786051X </v>
          </cell>
          <cell r="CN8458" t="str">
            <v>2025-04-07</v>
          </cell>
          <cell r="CO8458">
            <v>491.113</v>
          </cell>
          <cell r="CP8458" t="str">
            <v xml:space="preserve">NFT-/XUTR/DEUTH02509940345X </v>
          </cell>
          <cell r="CQ8458" t="str">
            <v>2025-04-09</v>
          </cell>
          <cell r="CR8458">
            <v>-9274.3529999999992</v>
          </cell>
          <cell r="CS8458" t="str">
            <v xml:space="preserve">NFT-/XUTR/DEUTH02509969486X </v>
          </cell>
          <cell r="CT8458" t="str">
            <v>2025-04-09</v>
          </cell>
          <cell r="CU8458">
            <v>-491.113</v>
          </cell>
        </row>
        <row r="8459">
          <cell r="CJ8459" t="str">
            <v xml:space="preserve">NFT-/XUTR/DEUTH02509757419X </v>
          </cell>
          <cell r="CK8459" t="str">
            <v>2025-04-07</v>
          </cell>
          <cell r="CL8459">
            <v>9274.3529999999992</v>
          </cell>
          <cell r="CM8459" t="str">
            <v xml:space="preserve">NFT-/XUTR/DEUTH02509786051X </v>
          </cell>
          <cell r="CN8459" t="str">
            <v>2025-04-07</v>
          </cell>
          <cell r="CO8459">
            <v>491.113</v>
          </cell>
          <cell r="CP8459" t="str">
            <v xml:space="preserve">NFT-/XUTR/DEUTH02509940345X </v>
          </cell>
          <cell r="CQ8459" t="str">
            <v>2025-04-09</v>
          </cell>
          <cell r="CR8459">
            <v>-9274.3529999999992</v>
          </cell>
          <cell r="CS8459" t="str">
            <v xml:space="preserve">NFT-/XUTR/DEUTH02509969486X </v>
          </cell>
          <cell r="CT8459" t="str">
            <v>2025-04-09</v>
          </cell>
          <cell r="CU8459">
            <v>-491.113</v>
          </cell>
        </row>
        <row r="8460">
          <cell r="CJ8460" t="str">
            <v xml:space="preserve">NFT-/XUTR/DEUTH02509757419X </v>
          </cell>
          <cell r="CK8460" t="str">
            <v>2025-04-07</v>
          </cell>
          <cell r="CL8460">
            <v>18429.784</v>
          </cell>
          <cell r="CM8460" t="str">
            <v xml:space="preserve">NFT-/XUTR/DEUTH02509786051X </v>
          </cell>
          <cell r="CN8460" t="str">
            <v>2025-04-07</v>
          </cell>
          <cell r="CO8460">
            <v>975.42499999999995</v>
          </cell>
        </row>
        <row r="8461">
          <cell r="CJ8461" t="str">
            <v xml:space="preserve">NFT-/XUTR/DEUTH02509757419X </v>
          </cell>
          <cell r="CK8461" t="str">
            <v>2025-04-07</v>
          </cell>
          <cell r="CL8461">
            <v>18448.664000000001</v>
          </cell>
          <cell r="CM8461" t="str">
            <v xml:space="preserve">NFT-/XUTR/DEUTH02509786051X </v>
          </cell>
          <cell r="CN8461" t="str">
            <v>2025-04-07</v>
          </cell>
          <cell r="CO8461">
            <v>975.42499999999995</v>
          </cell>
        </row>
        <row r="8462">
          <cell r="CJ8462" t="str">
            <v xml:space="preserve">NFT-/XUTR/DEUTH02509757419X </v>
          </cell>
          <cell r="CK8462" t="str">
            <v>2025-04-07</v>
          </cell>
          <cell r="CL8462">
            <v>9291.2849999999999</v>
          </cell>
          <cell r="CM8462" t="str">
            <v xml:space="preserve">NFT-/XUTR/DEUTH02509786051X </v>
          </cell>
          <cell r="CN8462" t="str">
            <v>2025-04-07</v>
          </cell>
          <cell r="CO8462">
            <v>493.05099999999999</v>
          </cell>
        </row>
        <row r="8463">
          <cell r="CJ8463" t="str">
            <v xml:space="preserve">NFT-/XUTR/DEUTH02509757419X </v>
          </cell>
          <cell r="CK8463" t="str">
            <v>2025-04-07</v>
          </cell>
          <cell r="CL8463">
            <v>18429.784</v>
          </cell>
          <cell r="CM8463" t="str">
            <v xml:space="preserve">NFT-/XUTR/DEUTH02509786051X </v>
          </cell>
          <cell r="CN8463" t="str">
            <v>2025-04-07</v>
          </cell>
          <cell r="CO8463">
            <v>975.42499999999995</v>
          </cell>
        </row>
        <row r="8464">
          <cell r="CJ8464" t="str">
            <v xml:space="preserve">NFT-/XUTR/DEUTH02509757419X </v>
          </cell>
          <cell r="CK8464" t="str">
            <v>2025-04-07</v>
          </cell>
          <cell r="CL8464">
            <v>36897.317999999999</v>
          </cell>
          <cell r="CM8464" t="str">
            <v xml:space="preserve">NFT-/XUTR/DEUTH02509786051X </v>
          </cell>
          <cell r="CN8464" t="str">
            <v>2025-04-07</v>
          </cell>
          <cell r="CO8464">
            <v>1950.85</v>
          </cell>
        </row>
        <row r="8465">
          <cell r="CJ8465" t="str">
            <v xml:space="preserve">NFT-/XUTR/DEUTH02509757419X </v>
          </cell>
          <cell r="CK8465" t="str">
            <v>2025-04-07</v>
          </cell>
          <cell r="CL8465">
            <v>19424.089</v>
          </cell>
        </row>
        <row r="8466">
          <cell r="CJ8466" t="str">
            <v xml:space="preserve">NFT-/XUTR/DEUTH02509757419X </v>
          </cell>
          <cell r="CK8466" t="str">
            <v>2025-04-07</v>
          </cell>
          <cell r="CL8466">
            <v>8878.35</v>
          </cell>
          <cell r="CM8466" t="str">
            <v xml:space="preserve">NFT-/XUTR/DEUTH02509786051X </v>
          </cell>
          <cell r="CN8466" t="str">
            <v>2025-04-07</v>
          </cell>
          <cell r="CO8466">
            <v>887.10599999999999</v>
          </cell>
        </row>
        <row r="8467">
          <cell r="CJ8467" t="str">
            <v xml:space="preserve">NFT-/XUTR/DEUTH02509757419X </v>
          </cell>
          <cell r="CK8467" t="str">
            <v>2025-04-07</v>
          </cell>
          <cell r="CL8467">
            <v>18448.664000000001</v>
          </cell>
          <cell r="CM8467" t="str">
            <v xml:space="preserve">NFT-/XUTR/DEUTH02509786051X </v>
          </cell>
          <cell r="CN8467" t="str">
            <v>2025-04-07</v>
          </cell>
          <cell r="CO8467">
            <v>975.42499999999995</v>
          </cell>
        </row>
        <row r="8468">
          <cell r="CJ8468" t="str">
            <v xml:space="preserve">NFT-/XUTR/DEUTH02509757419X </v>
          </cell>
          <cell r="CK8468" t="str">
            <v>2025-04-07</v>
          </cell>
          <cell r="CL8468">
            <v>0</v>
          </cell>
          <cell r="CM8468" t="str">
            <v xml:space="preserve">NFT-/XUTR/DEUTH02509786051X </v>
          </cell>
          <cell r="CN8468" t="str">
            <v>2025-04-07</v>
          </cell>
          <cell r="CO8468">
            <v>0</v>
          </cell>
        </row>
        <row r="8469">
          <cell r="CJ8469" t="str">
            <v xml:space="preserve">NFT-/XUTR/DEUTH02509757419X </v>
          </cell>
          <cell r="CK8469" t="str">
            <v>2025-04-07</v>
          </cell>
          <cell r="CL8469">
            <v>55360.542000000001</v>
          </cell>
          <cell r="CM8469" t="str">
            <v xml:space="preserve">NFT-/XUTR/DEUTH02509786051X </v>
          </cell>
          <cell r="CN8469" t="str">
            <v>2025-04-07</v>
          </cell>
          <cell r="CO8469">
            <v>2911.7249999999999</v>
          </cell>
        </row>
        <row r="8470">
          <cell r="CJ8470" t="str">
            <v xml:space="preserve">NFT-/XUTR/DEUTH02509757419X </v>
          </cell>
          <cell r="CK8470" t="str">
            <v>2025-04-07</v>
          </cell>
          <cell r="CL8470">
            <v>9291.2849999999999</v>
          </cell>
          <cell r="CM8470" t="str">
            <v xml:space="preserve">NFT-/XUTR/DEUTH02509786051X </v>
          </cell>
          <cell r="CN8470" t="str">
            <v>2025-04-07</v>
          </cell>
          <cell r="CO8470">
            <v>493.05099999999999</v>
          </cell>
        </row>
        <row r="8471">
          <cell r="CJ8471" t="str">
            <v xml:space="preserve">NFT-/XUTR/DEUTH02509757419X </v>
          </cell>
          <cell r="CK8471" t="str">
            <v>2025-04-07</v>
          </cell>
          <cell r="CL8471">
            <v>18448.664000000001</v>
          </cell>
          <cell r="CM8471" t="str">
            <v xml:space="preserve">NFT-/XUTR/DEUTH02509786051X </v>
          </cell>
          <cell r="CN8471" t="str">
            <v>2025-04-07</v>
          </cell>
          <cell r="CO8471">
            <v>975.42499999999995</v>
          </cell>
        </row>
        <row r="8472">
          <cell r="CJ8472" t="str">
            <v xml:space="preserve">NFT-/XUTR/DEUTH02509757419X </v>
          </cell>
          <cell r="CK8472" t="str">
            <v>2025-04-07</v>
          </cell>
          <cell r="CL8472">
            <v>18429.784</v>
          </cell>
          <cell r="CM8472" t="str">
            <v xml:space="preserve">NFT-/XUTR/DEUTH02509786051X </v>
          </cell>
          <cell r="CN8472" t="str">
            <v>2025-04-07</v>
          </cell>
          <cell r="CO8472">
            <v>975.42499999999995</v>
          </cell>
        </row>
        <row r="8473">
          <cell r="CJ8473" t="str">
            <v xml:space="preserve">NFT-/XUTR/DEUTH02509757419X </v>
          </cell>
          <cell r="CK8473" t="str">
            <v>2025-04-07</v>
          </cell>
          <cell r="CL8473">
            <v>18429.784</v>
          </cell>
          <cell r="CM8473" t="str">
            <v xml:space="preserve">NFT-/XUTR/DEUTH02509786051X </v>
          </cell>
          <cell r="CN8473" t="str">
            <v>2025-04-07</v>
          </cell>
          <cell r="CO8473">
            <v>975.42499999999995</v>
          </cell>
        </row>
        <row r="8474">
          <cell r="CJ8474" t="str">
            <v xml:space="preserve">NFT-/XUTR/DEUTH02509757419X </v>
          </cell>
          <cell r="CK8474" t="str">
            <v>2025-04-07</v>
          </cell>
          <cell r="CL8474">
            <v>17507.737000000001</v>
          </cell>
          <cell r="CM8474" t="str">
            <v xml:space="preserve">NFT-/XUTR/DEUTH02509786051X </v>
          </cell>
          <cell r="CN8474" t="str">
            <v>2025-04-07</v>
          </cell>
          <cell r="CO8474">
            <v>1897.472</v>
          </cell>
        </row>
        <row r="8475">
          <cell r="CJ8475" t="str">
            <v xml:space="preserve">NFT-/XUTR/DEUTH02509757419X </v>
          </cell>
          <cell r="CK8475" t="str">
            <v>2025-04-07</v>
          </cell>
          <cell r="CL8475">
            <v>18448.664000000001</v>
          </cell>
          <cell r="CM8475" t="str">
            <v xml:space="preserve">NFT-/XUTR/DEUTH02509786051X </v>
          </cell>
          <cell r="CN8475" t="str">
            <v>2025-04-07</v>
          </cell>
          <cell r="CO8475">
            <v>975.42499999999995</v>
          </cell>
        </row>
        <row r="8476">
          <cell r="CJ8476" t="str">
            <v xml:space="preserve">NFT-/XUTR/DEUTH02509757419X </v>
          </cell>
          <cell r="CK8476" t="str">
            <v>2025-04-07</v>
          </cell>
          <cell r="CL8476">
            <v>18448.664000000001</v>
          </cell>
          <cell r="CM8476" t="str">
            <v xml:space="preserve">NFT-/XUTR/DEUTH02509786051X </v>
          </cell>
          <cell r="CN8476" t="str">
            <v>2025-04-07</v>
          </cell>
          <cell r="CO8476">
            <v>975.42499999999995</v>
          </cell>
        </row>
        <row r="8477">
          <cell r="CJ8477" t="str">
            <v xml:space="preserve">NFT-/XUTR/DEUTH02509757419X </v>
          </cell>
          <cell r="CK8477" t="str">
            <v>2025-04-07</v>
          </cell>
          <cell r="CL8477">
            <v>93658.495999999999</v>
          </cell>
          <cell r="CM8477" t="str">
            <v xml:space="preserve">NFT-/XUTR/DEUTH02509786051X </v>
          </cell>
          <cell r="CN8477" t="str">
            <v>2025-04-07</v>
          </cell>
          <cell r="CO8477">
            <v>2911.7240000000002</v>
          </cell>
        </row>
        <row r="8478">
          <cell r="CJ8478" t="str">
            <v xml:space="preserve">NFT-/XUTR/DEUTH02509757419X </v>
          </cell>
          <cell r="CK8478" t="str">
            <v>2025-04-07</v>
          </cell>
          <cell r="CL8478">
            <v>18429.784</v>
          </cell>
          <cell r="CM8478" t="str">
            <v xml:space="preserve">NFT-/XUTR/DEUTH02509786051X </v>
          </cell>
          <cell r="CN8478" t="str">
            <v>2025-04-07</v>
          </cell>
          <cell r="CO8478">
            <v>975.42499999999995</v>
          </cell>
          <cell r="CP8478" t="str">
            <v xml:space="preserve">NFT-/XUTR/DEUTH02509940345X </v>
          </cell>
          <cell r="CQ8478" t="str">
            <v>2025-04-09</v>
          </cell>
          <cell r="CR8478">
            <v>-18429.784</v>
          </cell>
          <cell r="CS8478" t="str">
            <v xml:space="preserve">NFT-/XUTR/DEUTH02509969486X </v>
          </cell>
          <cell r="CT8478" t="str">
            <v>2025-04-09</v>
          </cell>
          <cell r="CU8478">
            <v>-975.42499999999995</v>
          </cell>
        </row>
        <row r="8479">
          <cell r="CJ8479" t="str">
            <v xml:space="preserve">NFT-/XUTR/DEUTH02509757419X </v>
          </cell>
          <cell r="CK8479" t="str">
            <v>2025-04-07</v>
          </cell>
          <cell r="CL8479">
            <v>9281.1419999999998</v>
          </cell>
          <cell r="CM8479" t="str">
            <v xml:space="preserve">NFT-/XUTR/DEUTH02509786051X </v>
          </cell>
          <cell r="CN8479" t="str">
            <v>2025-04-07</v>
          </cell>
          <cell r="CO8479">
            <v>494.02499999999998</v>
          </cell>
        </row>
        <row r="8480">
          <cell r="CJ8480" t="str">
            <v xml:space="preserve">NFT-/XUTR/DEUTH02509940345X </v>
          </cell>
          <cell r="CK8480" t="str">
            <v>2025-04-09</v>
          </cell>
          <cell r="CL8480">
            <v>96570.218999999997</v>
          </cell>
        </row>
        <row r="8481">
          <cell r="CJ8481" t="str">
            <v xml:space="preserve">NFT-/XUTR/DEUTH02509940345X </v>
          </cell>
          <cell r="CK8481" t="str">
            <v>2025-04-09</v>
          </cell>
          <cell r="CL8481">
            <v>45624.315999999999</v>
          </cell>
          <cell r="CM8481" t="str">
            <v xml:space="preserve">NFT-/XUTR/DEUTH02509969486X </v>
          </cell>
          <cell r="CN8481" t="str">
            <v>2025-04-09</v>
          </cell>
          <cell r="CO8481">
            <v>2407.0230000000001</v>
          </cell>
        </row>
        <row r="8482">
          <cell r="CJ8482" t="str">
            <v xml:space="preserve">NFT-/XUTR/DEUTH02509940345X </v>
          </cell>
          <cell r="CK8482" t="str">
            <v>2025-04-09</v>
          </cell>
          <cell r="CL8482">
            <v>45624.315999999999</v>
          </cell>
          <cell r="CM8482" t="str">
            <v xml:space="preserve">NFT-/XUTR/DEUTH02509969486X </v>
          </cell>
          <cell r="CN8482" t="str">
            <v>2025-04-09</v>
          </cell>
          <cell r="CO8482">
            <v>2407.0230000000001</v>
          </cell>
        </row>
        <row r="8483">
          <cell r="CJ8483" t="str">
            <v xml:space="preserve">NFT-/XUTR/DEUTH02509940345X </v>
          </cell>
          <cell r="CK8483" t="str">
            <v>2025-04-09</v>
          </cell>
          <cell r="CL8483">
            <v>18041.021000000001</v>
          </cell>
          <cell r="CM8483" t="str">
            <v xml:space="preserve">NFT-/XUTR/DEUTH02509969486X </v>
          </cell>
          <cell r="CN8483" t="str">
            <v>2025-04-09</v>
          </cell>
          <cell r="CO8483">
            <v>1402.4829999999999</v>
          </cell>
        </row>
        <row r="8484">
          <cell r="CJ8484" t="str">
            <v xml:space="preserve">NFT-/XUTR/DEUTH02509940345X </v>
          </cell>
          <cell r="CK8484" t="str">
            <v>2025-04-09</v>
          </cell>
          <cell r="CL8484">
            <v>45756.754000000001</v>
          </cell>
          <cell r="CM8484" t="str">
            <v xml:space="preserve">NFT-/XUTR/DEUTH02509969486X </v>
          </cell>
          <cell r="CN8484" t="str">
            <v>2025-04-09</v>
          </cell>
          <cell r="CO8484">
            <v>2293.4650000000001</v>
          </cell>
        </row>
        <row r="8485">
          <cell r="CJ8485" t="str">
            <v xml:space="preserve">NFT-/XUTR/DEUTH02509940345X </v>
          </cell>
          <cell r="CK8485" t="str">
            <v>2025-04-09</v>
          </cell>
          <cell r="CL8485">
            <v>45624.315999999999</v>
          </cell>
          <cell r="CM8485" t="str">
            <v xml:space="preserve">NFT-/XUTR/DEUTH02509969486X </v>
          </cell>
          <cell r="CN8485" t="str">
            <v>2025-04-09</v>
          </cell>
          <cell r="CO8485">
            <v>2407.0230000000001</v>
          </cell>
        </row>
        <row r="8486">
          <cell r="CJ8486" t="str">
            <v xml:space="preserve">NFT-/XUTR/DEUTH02509940345X </v>
          </cell>
          <cell r="CK8486" t="str">
            <v>2025-04-09</v>
          </cell>
          <cell r="CL8486">
            <v>17545.057000000001</v>
          </cell>
          <cell r="CM8486" t="str">
            <v xml:space="preserve">NFT-/XUTR/DEUTH02509969486X </v>
          </cell>
          <cell r="CN8486" t="str">
            <v>2025-04-09</v>
          </cell>
          <cell r="CO8486">
            <v>1898.4459999999999</v>
          </cell>
        </row>
        <row r="8487">
          <cell r="CJ8487" t="str">
            <v xml:space="preserve">NFT-/XUTR/DEUTH02509940345X </v>
          </cell>
          <cell r="CK8487" t="str">
            <v>2025-04-09</v>
          </cell>
          <cell r="CL8487">
            <v>45867.934000000001</v>
          </cell>
          <cell r="CM8487" t="str">
            <v xml:space="preserve">NFT-/XUTR/DEUTH02509969486X </v>
          </cell>
          <cell r="CN8487" t="str">
            <v>2025-04-09</v>
          </cell>
          <cell r="CO8487">
            <v>2419.6379999999999</v>
          </cell>
        </row>
        <row r="8488">
          <cell r="CJ8488" t="str">
            <v xml:space="preserve">NFT-/XUTR/DEUTH02509940345X </v>
          </cell>
          <cell r="CK8488" t="str">
            <v>2025-04-09</v>
          </cell>
          <cell r="CL8488">
            <v>45624.315999999999</v>
          </cell>
          <cell r="CM8488" t="str">
            <v xml:space="preserve">NFT-/XUTR/DEUTH02509969486X </v>
          </cell>
          <cell r="CN8488" t="str">
            <v>2025-04-09</v>
          </cell>
          <cell r="CO8488">
            <v>2407.0230000000001</v>
          </cell>
        </row>
        <row r="8489">
          <cell r="CJ8489" t="str">
            <v xml:space="preserve">NFT-/XUTR/DEUTH02509940345X </v>
          </cell>
          <cell r="CK8489" t="str">
            <v>2025-04-09</v>
          </cell>
          <cell r="CL8489">
            <v>93459.09</v>
          </cell>
          <cell r="CM8489" t="str">
            <v xml:space="preserve">NFT-/XUTR/DEUTH02509969486X </v>
          </cell>
          <cell r="CN8489" t="str">
            <v>2025-04-09</v>
          </cell>
          <cell r="CO8489">
            <v>2988.404</v>
          </cell>
        </row>
        <row r="8490">
          <cell r="CJ8490" t="str">
            <v xml:space="preserve">NFT-/XUTR/DEUTH02509940345X </v>
          </cell>
          <cell r="CK8490" t="str">
            <v>2025-04-09</v>
          </cell>
          <cell r="CL8490">
            <v>45867.934000000001</v>
          </cell>
          <cell r="CM8490" t="str">
            <v xml:space="preserve">NFT-/XUTR/DEUTH02509969486X </v>
          </cell>
          <cell r="CN8490" t="str">
            <v>2025-04-09</v>
          </cell>
          <cell r="CO8490">
            <v>2419.6379999999999</v>
          </cell>
        </row>
        <row r="8491">
          <cell r="CJ8491" t="str">
            <v xml:space="preserve">NFT-/XUTR/DEUTH02509940345X </v>
          </cell>
          <cell r="CK8491" t="str">
            <v>2025-04-09</v>
          </cell>
          <cell r="CL8491">
            <v>45867.934000000001</v>
          </cell>
          <cell r="CM8491" t="str">
            <v xml:space="preserve">NFT-/XUTR/DEUTH02509969486X </v>
          </cell>
          <cell r="CN8491" t="str">
            <v>2025-04-09</v>
          </cell>
          <cell r="CO8491">
            <v>2419.6379999999999</v>
          </cell>
        </row>
        <row r="8492">
          <cell r="CJ8492" t="str">
            <v xml:space="preserve">NFT-/XUTR/DEUTH02509940345X </v>
          </cell>
          <cell r="CK8492" t="str">
            <v>2025-04-09</v>
          </cell>
          <cell r="CL8492">
            <v>45615.578999999998</v>
          </cell>
          <cell r="CM8492" t="str">
            <v xml:space="preserve">NFT-/XUTR/DEUTH02509969486X </v>
          </cell>
          <cell r="CN8492" t="str">
            <v>2025-04-09</v>
          </cell>
          <cell r="CO8492">
            <v>2415.7600000000002</v>
          </cell>
        </row>
        <row r="8493">
          <cell r="CJ8493" t="str">
            <v xml:space="preserve">NFT-/XUTR/DEUTH02509940345X </v>
          </cell>
          <cell r="CK8493" t="str">
            <v>2025-04-09</v>
          </cell>
          <cell r="CL8493">
            <v>45867.934000000001</v>
          </cell>
          <cell r="CM8493" t="str">
            <v xml:space="preserve">NFT-/XUTR/DEUTH02509969486X </v>
          </cell>
          <cell r="CN8493" t="str">
            <v>2025-04-09</v>
          </cell>
          <cell r="CO8493">
            <v>2419.6379999999999</v>
          </cell>
        </row>
        <row r="8494">
          <cell r="CJ8494" t="str">
            <v xml:space="preserve">NFT-/XUTR/DEUTH02509940345X </v>
          </cell>
          <cell r="CK8494" t="str">
            <v>2025-04-09</v>
          </cell>
          <cell r="CL8494">
            <v>45643.196000000004</v>
          </cell>
          <cell r="CM8494" t="str">
            <v xml:space="preserve">NFT-/XUTR/DEUTH02509969486X </v>
          </cell>
          <cell r="CN8494" t="str">
            <v>2025-04-09</v>
          </cell>
          <cell r="CO8494">
            <v>2407.0230000000001</v>
          </cell>
        </row>
        <row r="8495">
          <cell r="CJ8495" t="str">
            <v xml:space="preserve">NFT-/XUTR/DEUTH02509940345X </v>
          </cell>
          <cell r="CK8495" t="str">
            <v>2025-04-09</v>
          </cell>
          <cell r="CL8495">
            <v>9775.1669999999995</v>
          </cell>
        </row>
        <row r="8496">
          <cell r="CJ8496" t="str">
            <v xml:space="preserve">NFT-/XUTR/DEUTH02509940345X </v>
          </cell>
          <cell r="CK8496" t="str">
            <v>2025-04-09</v>
          </cell>
          <cell r="CL8496">
            <v>93594</v>
          </cell>
          <cell r="CM8496" t="str">
            <v xml:space="preserve">NFT-/XUTR/DEUTH02509969486X </v>
          </cell>
          <cell r="CN8496" t="str">
            <v>2025-04-09</v>
          </cell>
          <cell r="CO8496">
            <v>2911.7240000000002</v>
          </cell>
        </row>
        <row r="8497">
          <cell r="CJ8497" t="str">
            <v xml:space="preserve">NFT-/XUTR/DEUTH02509940345X </v>
          </cell>
          <cell r="CK8497" t="str">
            <v>2025-04-09</v>
          </cell>
          <cell r="CL8497">
            <v>45624.315999999999</v>
          </cell>
          <cell r="CM8497" t="str">
            <v xml:space="preserve">NFT-/XUTR/DEUTH02509969486X </v>
          </cell>
          <cell r="CN8497" t="str">
            <v>2025-04-09</v>
          </cell>
          <cell r="CO8497">
            <v>2407.0230000000001</v>
          </cell>
        </row>
        <row r="8498">
          <cell r="CJ8498" t="str">
            <v xml:space="preserve">NFT-/XUTR/DEUTH02509940345X </v>
          </cell>
          <cell r="CK8498" t="str">
            <v>2025-04-09</v>
          </cell>
          <cell r="CL8498">
            <v>45867.934000000001</v>
          </cell>
          <cell r="CM8498" t="str">
            <v xml:space="preserve">NFT-/XUTR/DEUTH02509969486X </v>
          </cell>
          <cell r="CN8498" t="str">
            <v>2025-04-09</v>
          </cell>
          <cell r="CO8498">
            <v>2419.6379999999999</v>
          </cell>
        </row>
        <row r="8499">
          <cell r="CJ8499" t="str">
            <v xml:space="preserve">NFT-/XUTR/DEUTH02509940345X </v>
          </cell>
          <cell r="CK8499" t="str">
            <v>2025-04-09</v>
          </cell>
          <cell r="CL8499">
            <v>45643.196000000004</v>
          </cell>
          <cell r="CM8499" t="str">
            <v xml:space="preserve">NFT-/XUTR/DEUTH02509969486X </v>
          </cell>
          <cell r="CN8499" t="str">
            <v>2025-04-09</v>
          </cell>
          <cell r="CO8499">
            <v>2407.0239999999999</v>
          </cell>
        </row>
        <row r="8500">
          <cell r="CJ8500" t="str">
            <v xml:space="preserve">NFT-/XUTR/DEUTH02509940345X </v>
          </cell>
          <cell r="CK8500" t="str">
            <v>2025-04-09</v>
          </cell>
          <cell r="CL8500">
            <v>9019.5259999999998</v>
          </cell>
          <cell r="CM8500" t="str">
            <v xml:space="preserve">NFT-/XUTR/DEUTH02509969486X </v>
          </cell>
          <cell r="CN8500" t="str">
            <v>2025-04-09</v>
          </cell>
          <cell r="CO8500">
            <v>774.52099999999996</v>
          </cell>
        </row>
        <row r="8501">
          <cell r="CJ8501" t="str">
            <v xml:space="preserve">NFT-/XUTR/DEUTH02509940345X </v>
          </cell>
          <cell r="CK8501" t="str">
            <v>2025-04-09</v>
          </cell>
          <cell r="CL8501">
            <v>45624.315999999999</v>
          </cell>
          <cell r="CM8501" t="str">
            <v xml:space="preserve">NFT-/XUTR/DEUTH02509969486X </v>
          </cell>
          <cell r="CN8501" t="str">
            <v>2025-04-09</v>
          </cell>
          <cell r="CO8501">
            <v>2407.0230000000001</v>
          </cell>
          <cell r="CP8501" t="str">
            <v xml:space="preserve">NFT-/XUTR/DEUTH02510641465X </v>
          </cell>
          <cell r="CQ8501" t="str">
            <v>2025-04-16</v>
          </cell>
          <cell r="CR8501">
            <v>-45624.315999999999</v>
          </cell>
          <cell r="CS8501" t="str">
            <v xml:space="preserve">NFT-/XUTR/DEUTH025106A0574X </v>
          </cell>
          <cell r="CT8501" t="str">
            <v>2025-04-16</v>
          </cell>
          <cell r="CU8501">
            <v>-2407.0230000000001</v>
          </cell>
        </row>
        <row r="8502">
          <cell r="CJ8502" t="str">
            <v xml:space="preserve">NFT-/XUTR/DEUTH02509940345X </v>
          </cell>
          <cell r="CK8502" t="str">
            <v>2025-04-09</v>
          </cell>
          <cell r="CL8502">
            <v>45867.934000000001</v>
          </cell>
          <cell r="CM8502" t="str">
            <v xml:space="preserve">NFT-/XUTR/DEUTH02509969486X </v>
          </cell>
          <cell r="CN8502" t="str">
            <v>2025-04-09</v>
          </cell>
          <cell r="CO8502">
            <v>2419.6379999999999</v>
          </cell>
        </row>
        <row r="8504">
          <cell r="CJ8504" t="str">
            <v xml:space="preserve">NFT-/XUTR/DEUTH02509940345X </v>
          </cell>
          <cell r="CK8504" t="str">
            <v>2025-04-09</v>
          </cell>
          <cell r="CL8504">
            <v>45867.934000000001</v>
          </cell>
          <cell r="CM8504" t="str">
            <v xml:space="preserve">NFT-/XUTR/DEUTH02509969486X </v>
          </cell>
          <cell r="CN8504" t="str">
            <v>2025-04-09</v>
          </cell>
          <cell r="CO8504">
            <v>2419.6379999999999</v>
          </cell>
          <cell r="CP8504" t="str">
            <v xml:space="preserve">NFT-/XUTR/DEUTH02510641465X </v>
          </cell>
          <cell r="CQ8504" t="str">
            <v>2025-04-16</v>
          </cell>
          <cell r="CR8504">
            <v>-45867.934000000001</v>
          </cell>
          <cell r="CS8504" t="str">
            <v xml:space="preserve">NFT-/XUTR/DEUTH025106A0574X </v>
          </cell>
          <cell r="CT8504" t="str">
            <v>2025-04-16</v>
          </cell>
          <cell r="CU8504">
            <v>-2419.6379999999999</v>
          </cell>
        </row>
        <row r="8505">
          <cell r="CJ8505" t="str">
            <v xml:space="preserve">NFT-/XUTR/DEUTH02509940345X </v>
          </cell>
          <cell r="CK8505" t="str">
            <v>2025-04-09</v>
          </cell>
          <cell r="CL8505">
            <v>45867.934000000001</v>
          </cell>
          <cell r="CM8505" t="str">
            <v xml:space="preserve">NFT-/XUTR/DEUTH02509969486X </v>
          </cell>
          <cell r="CN8505" t="str">
            <v>2025-04-09</v>
          </cell>
          <cell r="CO8505">
            <v>2419.6379999999999</v>
          </cell>
        </row>
        <row r="8506">
          <cell r="CJ8506" t="str">
            <v xml:space="preserve">NFT-/XUTR/DEUTH02509940345X </v>
          </cell>
          <cell r="CK8506" t="str">
            <v>2025-04-09</v>
          </cell>
          <cell r="CL8506">
            <v>9300.0220000000008</v>
          </cell>
          <cell r="CM8506" t="str">
            <v xml:space="preserve">NFT-/XUTR/DEUTH02509969486X </v>
          </cell>
          <cell r="CN8506" t="str">
            <v>2025-04-09</v>
          </cell>
          <cell r="CO8506">
            <v>494.02499999999998</v>
          </cell>
        </row>
        <row r="8507">
          <cell r="CJ8507" t="str">
            <v xml:space="preserve">NFT-/XUTR/DEUTH02509940345X </v>
          </cell>
          <cell r="CK8507" t="str">
            <v>2025-04-09</v>
          </cell>
          <cell r="CL8507">
            <v>45867.934000000001</v>
          </cell>
          <cell r="CM8507" t="str">
            <v xml:space="preserve">NFT-/XUTR/DEUTH02509969486X </v>
          </cell>
          <cell r="CN8507" t="str">
            <v>2025-04-09</v>
          </cell>
          <cell r="CO8507">
            <v>2419.6379999999999</v>
          </cell>
        </row>
        <row r="8509">
          <cell r="CJ8509" t="str">
            <v xml:space="preserve">NFT-/XUTR/DEUTH02509940345X </v>
          </cell>
          <cell r="CK8509" t="str">
            <v>2025-04-09</v>
          </cell>
          <cell r="CL8509">
            <v>9300.0220000000008</v>
          </cell>
          <cell r="CM8509" t="str">
            <v xml:space="preserve">NFT-/XUTR/DEUTH02509969486X </v>
          </cell>
          <cell r="CN8509" t="str">
            <v>2025-04-09</v>
          </cell>
          <cell r="CO8509">
            <v>494.02499999999998</v>
          </cell>
        </row>
        <row r="8510">
          <cell r="CJ8510" t="str">
            <v xml:space="preserve">NFT-/XUTR/DEUTH02509940345X </v>
          </cell>
          <cell r="CK8510" t="str">
            <v>2025-04-09</v>
          </cell>
          <cell r="CL8510">
            <v>46502.06</v>
          </cell>
          <cell r="CM8510" t="str">
            <v xml:space="preserve">NFT-/XUTR/DEUTH02509969486X </v>
          </cell>
          <cell r="CN8510" t="str">
            <v>2025-04-09</v>
          </cell>
          <cell r="CO8510">
            <v>2470.1149999999998</v>
          </cell>
        </row>
        <row r="8511">
          <cell r="CJ8511" t="str">
            <v xml:space="preserve">NFT-/XUTR/DEUTH02509940345X </v>
          </cell>
          <cell r="CK8511" t="str">
            <v>2025-04-09</v>
          </cell>
          <cell r="CL8511">
            <v>45624.315999999999</v>
          </cell>
          <cell r="CM8511" t="str">
            <v xml:space="preserve">NFT-/XUTR/DEUTH02509969486X </v>
          </cell>
          <cell r="CN8511" t="str">
            <v>2025-04-09</v>
          </cell>
          <cell r="CO8511">
            <v>2407.0230000000001</v>
          </cell>
        </row>
        <row r="8512">
          <cell r="CJ8512" t="str">
            <v xml:space="preserve">NFT-/XUTR/DEUTH02509940345X </v>
          </cell>
          <cell r="CK8512" t="str">
            <v>2025-04-09</v>
          </cell>
          <cell r="CL8512">
            <v>45643.196000000004</v>
          </cell>
          <cell r="CM8512" t="str">
            <v xml:space="preserve">NFT-/XUTR/DEUTH02509969486X </v>
          </cell>
          <cell r="CN8512" t="str">
            <v>2025-04-09</v>
          </cell>
          <cell r="CO8512">
            <v>2407.0230000000001</v>
          </cell>
        </row>
        <row r="8513">
          <cell r="CJ8513" t="str">
            <v xml:space="preserve">NFT-/XUTR/DEUTH02509940345X </v>
          </cell>
          <cell r="CK8513" t="str">
            <v>2025-04-09</v>
          </cell>
          <cell r="CL8513">
            <v>96447.493000000002</v>
          </cell>
        </row>
        <row r="8514">
          <cell r="CJ8514" t="str">
            <v xml:space="preserve">NFT-/XUTR/DEUTH02509940345X </v>
          </cell>
          <cell r="CK8514" t="str">
            <v>2025-04-09</v>
          </cell>
          <cell r="CL8514">
            <v>9281.1419999999998</v>
          </cell>
          <cell r="CM8514" t="str">
            <v xml:space="preserve">NFT-/XUTR/DEUTH02509969486X </v>
          </cell>
          <cell r="CN8514" t="str">
            <v>2025-04-09</v>
          </cell>
          <cell r="CO8514">
            <v>494.02499999999998</v>
          </cell>
        </row>
        <row r="8516">
          <cell r="CJ8516" t="str">
            <v xml:space="preserve">NFT-/XUTR/DEUTH02509940345X </v>
          </cell>
          <cell r="CK8516" t="str">
            <v>2025-04-09</v>
          </cell>
          <cell r="CL8516">
            <v>69355.31</v>
          </cell>
          <cell r="CM8516" t="str">
            <v xml:space="preserve">NFT-/XUTR/DEUTH02509969486X </v>
          </cell>
          <cell r="CN8516" t="str">
            <v>2025-04-09</v>
          </cell>
          <cell r="CO8516">
            <v>2836.9929999999999</v>
          </cell>
        </row>
        <row r="8518">
          <cell r="CJ8518" t="str">
            <v xml:space="preserve">NFT-/XUTR/DEUTH02509940345X </v>
          </cell>
          <cell r="CK8518" t="str">
            <v>2025-04-09</v>
          </cell>
          <cell r="CL8518">
            <v>45867.934000000001</v>
          </cell>
          <cell r="CM8518" t="str">
            <v xml:space="preserve">NFT-/XUTR/DEUTH02509969486X </v>
          </cell>
          <cell r="CN8518" t="str">
            <v>2025-04-09</v>
          </cell>
          <cell r="CO8518">
            <v>2419.6379999999999</v>
          </cell>
        </row>
        <row r="8519">
          <cell r="CJ8519" t="str">
            <v xml:space="preserve">NFT-/XUTR/DEUTH02509940345X </v>
          </cell>
          <cell r="CK8519" t="str">
            <v>2025-04-09</v>
          </cell>
          <cell r="CL8519">
            <v>45624.315999999999</v>
          </cell>
          <cell r="CM8519" t="str">
            <v xml:space="preserve">NFT-/XUTR/DEUTH02509969486X </v>
          </cell>
          <cell r="CN8519" t="str">
            <v>2025-04-09</v>
          </cell>
          <cell r="CO8519">
            <v>2407.0230000000001</v>
          </cell>
        </row>
        <row r="8521">
          <cell r="CJ8521" t="str">
            <v xml:space="preserve">NFT-/XUTR/DEUTH02509940345X </v>
          </cell>
          <cell r="CK8521" t="str">
            <v>2025-04-09</v>
          </cell>
          <cell r="CL8521">
            <v>45643.196000000004</v>
          </cell>
          <cell r="CM8521" t="str">
            <v xml:space="preserve">NFT-/XUTR/DEUTH02509969486X </v>
          </cell>
          <cell r="CN8521" t="str">
            <v>2025-04-09</v>
          </cell>
          <cell r="CO8521">
            <v>2407.0230000000001</v>
          </cell>
        </row>
        <row r="8522">
          <cell r="CJ8522" t="str">
            <v xml:space="preserve">NFT-/XUTR/DEUTH02509940345X </v>
          </cell>
          <cell r="CK8522" t="str">
            <v>2025-04-09</v>
          </cell>
          <cell r="CL8522">
            <v>9300.0220000000008</v>
          </cell>
          <cell r="CM8522" t="str">
            <v xml:space="preserve">NFT-/XUTR/DEUTH02509969486X </v>
          </cell>
          <cell r="CN8522" t="str">
            <v>2025-04-09</v>
          </cell>
          <cell r="CO8522">
            <v>494.02499999999998</v>
          </cell>
        </row>
        <row r="8523">
          <cell r="CJ8523" t="str">
            <v xml:space="preserve">NFT-/XUTR/DEUTH02509940345X </v>
          </cell>
          <cell r="CK8523" t="str">
            <v>2025-04-09</v>
          </cell>
          <cell r="CL8523">
            <v>44945.887999999999</v>
          </cell>
          <cell r="CM8523" t="str">
            <v xml:space="preserve">NFT-/XUTR/DEUTH02509969486X </v>
          </cell>
          <cell r="CN8523" t="str">
            <v>2025-04-09</v>
          </cell>
          <cell r="CO8523">
            <v>3341.6840000000002</v>
          </cell>
        </row>
        <row r="8524">
          <cell r="CJ8524" t="str">
            <v xml:space="preserve">NFT-/XUTR/DEUTH02509940345X </v>
          </cell>
          <cell r="CK8524" t="str">
            <v>2025-04-09</v>
          </cell>
          <cell r="CL8524">
            <v>45867.934000000001</v>
          </cell>
          <cell r="CM8524" t="str">
            <v xml:space="preserve">NFT-/XUTR/DEUTH02509969486X </v>
          </cell>
          <cell r="CN8524" t="str">
            <v>2025-04-09</v>
          </cell>
          <cell r="CO8524">
            <v>2419.6379999999999</v>
          </cell>
        </row>
        <row r="8525">
          <cell r="CJ8525" t="str">
            <v xml:space="preserve">NFT-/XUTR/DEUTH02509940345X </v>
          </cell>
          <cell r="CK8525" t="str">
            <v>2025-04-09</v>
          </cell>
          <cell r="CL8525">
            <v>48306.451999999997</v>
          </cell>
        </row>
        <row r="8526">
          <cell r="CJ8526" t="str">
            <v xml:space="preserve">NFT-/XUTR/DEUTH02509940345X </v>
          </cell>
          <cell r="CK8526" t="str">
            <v>2025-04-09</v>
          </cell>
          <cell r="CL8526">
            <v>45575.788</v>
          </cell>
          <cell r="CM8526" t="str">
            <v xml:space="preserve">NFT-/XUTR/DEUTH02509969486X </v>
          </cell>
          <cell r="CN8526" t="str">
            <v>2025-04-09</v>
          </cell>
          <cell r="CO8526">
            <v>2711.7840000000001</v>
          </cell>
        </row>
        <row r="8527">
          <cell r="CJ8527" t="str">
            <v xml:space="preserve">NFT-/XUTR/DEUTH02509940345X </v>
          </cell>
          <cell r="CK8527" t="str">
            <v>2025-04-09</v>
          </cell>
          <cell r="CL8527">
            <v>45643.196000000004</v>
          </cell>
          <cell r="CM8527" t="str">
            <v xml:space="preserve">NFT-/XUTR/DEUTH02509969486X </v>
          </cell>
          <cell r="CN8527" t="str">
            <v>2025-04-09</v>
          </cell>
          <cell r="CO8527">
            <v>2407.0239999999999</v>
          </cell>
        </row>
        <row r="8528">
          <cell r="CJ8528" t="str">
            <v xml:space="preserve">NFT-/XUTR/DEUTH02509940345X </v>
          </cell>
          <cell r="CK8528" t="str">
            <v>2025-04-09</v>
          </cell>
          <cell r="CL8528">
            <v>9237.4639999999999</v>
          </cell>
          <cell r="CM8528" t="str">
            <v xml:space="preserve">NFT-/XUTR/DEUTH02509969486X </v>
          </cell>
          <cell r="CN8528" t="str">
            <v>2025-04-09</v>
          </cell>
          <cell r="CO8528">
            <v>702.69200000000001</v>
          </cell>
        </row>
        <row r="8529">
          <cell r="CJ8529" t="str">
            <v xml:space="preserve">NFT-/XUTR/DEUTH02509940345X </v>
          </cell>
          <cell r="CK8529" t="str">
            <v>2025-04-09</v>
          </cell>
          <cell r="CL8529">
            <v>45886.813999999998</v>
          </cell>
          <cell r="CM8529" t="str">
            <v xml:space="preserve">NFT-/XUTR/DEUTH02509969486X </v>
          </cell>
          <cell r="CN8529" t="str">
            <v>2025-04-09</v>
          </cell>
          <cell r="CO8529">
            <v>2419.6379999999999</v>
          </cell>
        </row>
        <row r="8530">
          <cell r="CJ8530" t="str">
            <v xml:space="preserve">NFT-/XUTR/DEUTH02509940345X </v>
          </cell>
          <cell r="CK8530" t="str">
            <v>2025-04-09</v>
          </cell>
          <cell r="CL8530">
            <v>9096.7289999999994</v>
          </cell>
          <cell r="CM8530" t="str">
            <v xml:space="preserve">NFT-/XUTR/DEUTH02509969486X </v>
          </cell>
          <cell r="CN8530" t="str">
            <v>2025-04-09</v>
          </cell>
          <cell r="CO8530">
            <v>678.42899999999997</v>
          </cell>
        </row>
        <row r="8531">
          <cell r="CJ8531" t="str">
            <v xml:space="preserve">NFT-/XUTR/DEUTH02509940345X </v>
          </cell>
          <cell r="CK8531" t="str">
            <v>2025-04-09</v>
          </cell>
          <cell r="CL8531">
            <v>18356.017</v>
          </cell>
          <cell r="CM8531" t="str">
            <v xml:space="preserve">NFT-/XUTR/DEUTH02509969486X </v>
          </cell>
          <cell r="CN8531" t="str">
            <v>2025-04-09</v>
          </cell>
          <cell r="CO8531">
            <v>1068.607</v>
          </cell>
        </row>
        <row r="8532">
          <cell r="CJ8532" t="str">
            <v xml:space="preserve">NFT-/XUTR/DEUTH02509940345X </v>
          </cell>
          <cell r="CK8532" t="str">
            <v>2025-04-09</v>
          </cell>
          <cell r="CL8532">
            <v>36764.353999999999</v>
          </cell>
          <cell r="CM8532" t="str">
            <v xml:space="preserve">NFT-/XUTR/DEUTH02509969486X </v>
          </cell>
          <cell r="CN8532" t="str">
            <v>2025-04-09</v>
          </cell>
          <cell r="CO8532">
            <v>2777.788</v>
          </cell>
        </row>
        <row r="8533">
          <cell r="CJ8533" t="str">
            <v xml:space="preserve">NFT-/XUTR/DEUTH02509940345X </v>
          </cell>
          <cell r="CK8533" t="str">
            <v>2025-04-09</v>
          </cell>
          <cell r="CL8533">
            <v>8789.4959999999992</v>
          </cell>
          <cell r="CM8533" t="str">
            <v xml:space="preserve">NFT-/XUTR/DEUTH02509969486X </v>
          </cell>
          <cell r="CN8533" t="str">
            <v>2025-04-09</v>
          </cell>
          <cell r="CO8533">
            <v>1169.54</v>
          </cell>
        </row>
        <row r="8534">
          <cell r="CJ8534" t="str">
            <v xml:space="preserve">NFT-/XUTR/DEUTH02509940345X </v>
          </cell>
          <cell r="CK8534" t="str">
            <v>2025-04-09</v>
          </cell>
          <cell r="CL8534">
            <v>18372.256000000001</v>
          </cell>
          <cell r="CM8534" t="str">
            <v xml:space="preserve">NFT-/XUTR/DEUTH02509969486X </v>
          </cell>
          <cell r="CN8534" t="str">
            <v>2025-04-09</v>
          </cell>
          <cell r="CO8534">
            <v>1389.8589999999999</v>
          </cell>
        </row>
        <row r="8535">
          <cell r="CJ8535" t="str">
            <v xml:space="preserve">NFT-/XUTR/DEUTH02509940345X </v>
          </cell>
          <cell r="CK8535" t="str">
            <v>2025-04-09</v>
          </cell>
          <cell r="CL8535">
            <v>18305.017</v>
          </cell>
          <cell r="CM8535" t="str">
            <v xml:space="preserve">NFT-/XUTR/DEUTH02509969486X </v>
          </cell>
          <cell r="CN8535" t="str">
            <v>2025-04-09</v>
          </cell>
          <cell r="CO8535">
            <v>1466.539</v>
          </cell>
        </row>
        <row r="8536">
          <cell r="CJ8536" t="str">
            <v xml:space="preserve">NFT-/XUTR/DEUTH02509940345X </v>
          </cell>
          <cell r="CK8536" t="str">
            <v>2025-04-09</v>
          </cell>
          <cell r="CL8536">
            <v>45394.728000000003</v>
          </cell>
          <cell r="CM8536" t="str">
            <v xml:space="preserve">NFT-/XUTR/DEUTH02509969486X </v>
          </cell>
          <cell r="CN8536" t="str">
            <v>2025-04-09</v>
          </cell>
          <cell r="CO8536">
            <v>2911.7240000000002</v>
          </cell>
        </row>
        <row r="8537">
          <cell r="CJ8537" t="str">
            <v xml:space="preserve">NFT-/XUTR/DEUTH02509940345X </v>
          </cell>
          <cell r="CK8537" t="str">
            <v>2025-04-09</v>
          </cell>
          <cell r="CL8537">
            <v>9281.1419999999998</v>
          </cell>
          <cell r="CM8537" t="str">
            <v xml:space="preserve">NFT-/XUTR/DEUTH02509969486X </v>
          </cell>
          <cell r="CN8537" t="str">
            <v>2025-04-09</v>
          </cell>
          <cell r="CO8537">
            <v>494.02499999999998</v>
          </cell>
        </row>
        <row r="8538">
          <cell r="CJ8538" t="str">
            <v xml:space="preserve">NFT-/XUTR/DEUTH02509940345X </v>
          </cell>
          <cell r="CK8538" t="str">
            <v>2025-04-09</v>
          </cell>
          <cell r="CL8538">
            <v>9294.7060000000001</v>
          </cell>
          <cell r="CM8538" t="str">
            <v xml:space="preserve">NFT-/XUTR/DEUTH02509969486X </v>
          </cell>
          <cell r="CN8538" t="str">
            <v>2025-04-09</v>
          </cell>
          <cell r="CO8538">
            <v>493.05099999999999</v>
          </cell>
        </row>
        <row r="8539">
          <cell r="CJ8539" t="str">
            <v xml:space="preserve">NFT-/XUTR/DEUTH02509940345X </v>
          </cell>
          <cell r="CK8539" t="str">
            <v>2025-04-09</v>
          </cell>
          <cell r="CL8539">
            <v>96466.373000000007</v>
          </cell>
        </row>
        <row r="8540">
          <cell r="CJ8540" t="str">
            <v xml:space="preserve">NFT-/XUTR/DEUTH02509940345X </v>
          </cell>
          <cell r="CK8540" t="str">
            <v>2025-04-09</v>
          </cell>
          <cell r="CL8540">
            <v>36934.203999999998</v>
          </cell>
          <cell r="CM8540" t="str">
            <v xml:space="preserve">NFT-/XUTR/DEUTH02509969486X </v>
          </cell>
          <cell r="CN8540" t="str">
            <v>2025-04-09</v>
          </cell>
          <cell r="CO8540">
            <v>1952.798</v>
          </cell>
        </row>
        <row r="8541">
          <cell r="CJ8541" t="str">
            <v xml:space="preserve">NFT-/XUTR/DEUTH02509940345X </v>
          </cell>
          <cell r="CK8541" t="str">
            <v>2025-04-09</v>
          </cell>
          <cell r="CL8541">
            <v>18362.815999999999</v>
          </cell>
          <cell r="CM8541" t="str">
            <v xml:space="preserve">NFT-/XUTR/DEUTH02509969486X </v>
          </cell>
          <cell r="CN8541" t="str">
            <v>2025-04-09</v>
          </cell>
          <cell r="CO8541">
            <v>1389.8589999999999</v>
          </cell>
        </row>
        <row r="8542">
          <cell r="CJ8542" t="str">
            <v xml:space="preserve">NFT-/XUTR/DEUTH02509940345X </v>
          </cell>
          <cell r="CK8542" t="str">
            <v>2025-04-09</v>
          </cell>
          <cell r="CL8542">
            <v>18362.815999999999</v>
          </cell>
          <cell r="CM8542" t="str">
            <v xml:space="preserve">NFT-/XUTR/DEUTH02509969486X </v>
          </cell>
          <cell r="CN8542" t="str">
            <v>2025-04-09</v>
          </cell>
          <cell r="CO8542">
            <v>1389.8589999999999</v>
          </cell>
        </row>
        <row r="8543">
          <cell r="CJ8543" t="str">
            <v xml:space="preserve">NFT-/XUTR/DEUTH02509940345X </v>
          </cell>
          <cell r="CK8543" t="str">
            <v>2025-04-09</v>
          </cell>
          <cell r="CL8543">
            <v>45119.614999999998</v>
          </cell>
          <cell r="CM8543" t="str">
            <v xml:space="preserve">NFT-/XUTR/DEUTH02509969486X </v>
          </cell>
          <cell r="CN8543" t="str">
            <v>2025-04-09</v>
          </cell>
          <cell r="CO8543">
            <v>2911.7240000000002</v>
          </cell>
        </row>
        <row r="8544">
          <cell r="CJ8544" t="str">
            <v xml:space="preserve">NFT-/XUTR/DEUTH02509940345X </v>
          </cell>
          <cell r="CK8544" t="str">
            <v>2025-04-09</v>
          </cell>
          <cell r="CL8544">
            <v>45375.847999999998</v>
          </cell>
          <cell r="CM8544" t="str">
            <v xml:space="preserve">NFT-/XUTR/DEUTH02509969486X </v>
          </cell>
          <cell r="CN8544" t="str">
            <v>2025-04-09</v>
          </cell>
          <cell r="CO8544">
            <v>2911.7240000000002</v>
          </cell>
        </row>
        <row r="8545">
          <cell r="CJ8545" t="str">
            <v xml:space="preserve">NFT-/XUTR/DEUTH02509940345X </v>
          </cell>
          <cell r="CK8545" t="str">
            <v>2025-04-09</v>
          </cell>
          <cell r="CL8545">
            <v>18448.222000000002</v>
          </cell>
          <cell r="CM8545" t="str">
            <v xml:space="preserve">NFT-/XUTR/DEUTH02509969486X </v>
          </cell>
          <cell r="CN8545" t="str">
            <v>2025-04-09</v>
          </cell>
          <cell r="CO8545">
            <v>976.4</v>
          </cell>
        </row>
        <row r="8546">
          <cell r="CJ8546" t="str">
            <v xml:space="preserve">NFT-/XUTR/DEUTH02509940345X </v>
          </cell>
          <cell r="CK8546" t="str">
            <v>2025-04-09</v>
          </cell>
          <cell r="CL8546">
            <v>18448.222000000002</v>
          </cell>
          <cell r="CM8546" t="str">
            <v xml:space="preserve">NFT-/XUTR/DEUTH02509969486X </v>
          </cell>
          <cell r="CN8546" t="str">
            <v>2025-04-09</v>
          </cell>
          <cell r="CO8546">
            <v>976.4</v>
          </cell>
        </row>
        <row r="8547">
          <cell r="CJ8547" t="str">
            <v xml:space="preserve">NFT-/XUTR/DEUTH02509940345X </v>
          </cell>
          <cell r="CK8547" t="str">
            <v>2025-04-09</v>
          </cell>
          <cell r="CL8547">
            <v>46834.955000000002</v>
          </cell>
          <cell r="CM8547" t="str">
            <v xml:space="preserve">NFT-/XUTR/DEUTH02509969486X </v>
          </cell>
          <cell r="CN8547" t="str">
            <v>2025-04-09</v>
          </cell>
          <cell r="CO8547">
            <v>2960.2550000000001</v>
          </cell>
        </row>
        <row r="8548">
          <cell r="CJ8548" t="str">
            <v xml:space="preserve">NFT-/XUTR/DEUTH02509940345X </v>
          </cell>
          <cell r="CK8548" t="str">
            <v>2025-04-09</v>
          </cell>
          <cell r="CL8548">
            <v>18373.22</v>
          </cell>
          <cell r="CM8548" t="str">
            <v xml:space="preserve">NFT-/XUTR/DEUTH02509969486X </v>
          </cell>
          <cell r="CN8548" t="str">
            <v>2025-04-09</v>
          </cell>
          <cell r="CO8548">
            <v>1388.894</v>
          </cell>
        </row>
        <row r="8549">
          <cell r="CJ8549" t="str">
            <v xml:space="preserve">NFT-/XUTR/DEUTH02509940345X </v>
          </cell>
          <cell r="CK8549" t="str">
            <v>2025-04-09</v>
          </cell>
          <cell r="CL8549">
            <v>45394.728000000003</v>
          </cell>
          <cell r="CM8549" t="str">
            <v xml:space="preserve">NFT-/XUTR/DEUTH02509969486X </v>
          </cell>
          <cell r="CN8549" t="str">
            <v>2025-04-09</v>
          </cell>
          <cell r="CO8549">
            <v>2911.7240000000002</v>
          </cell>
        </row>
        <row r="8550">
          <cell r="CJ8550" t="str">
            <v xml:space="preserve">NFT-/XUTR/DEUTH02509940345X </v>
          </cell>
          <cell r="CK8550" t="str">
            <v>2025-04-09</v>
          </cell>
          <cell r="CL8550">
            <v>18448.222000000002</v>
          </cell>
          <cell r="CM8550" t="str">
            <v xml:space="preserve">NFT-/XUTR/DEUTH02509969486X </v>
          </cell>
          <cell r="CN8550" t="str">
            <v>2025-04-09</v>
          </cell>
          <cell r="CO8550">
            <v>976.4</v>
          </cell>
        </row>
        <row r="8551">
          <cell r="CJ8551" t="str">
            <v xml:space="preserve">NFT-/XUTR/DEUTH02509940345X </v>
          </cell>
          <cell r="CK8551" t="str">
            <v>2025-04-09</v>
          </cell>
          <cell r="CL8551">
            <v>18601.02</v>
          </cell>
          <cell r="CM8551" t="str">
            <v xml:space="preserve">NFT-/XUTR/DEUTH02509969486X </v>
          </cell>
          <cell r="CN8551" t="str">
            <v>2025-04-09</v>
          </cell>
          <cell r="CO8551">
            <v>986.10199999999998</v>
          </cell>
        </row>
        <row r="8552">
          <cell r="CJ8552" t="str">
            <v xml:space="preserve">NFT-/XUTR/DEUTH02509940345X </v>
          </cell>
          <cell r="CK8552" t="str">
            <v>2025-04-09</v>
          </cell>
          <cell r="CL8552">
            <v>45886.813999999998</v>
          </cell>
          <cell r="CM8552" t="str">
            <v xml:space="preserve">NFT-/XUTR/DEUTH02509969486X </v>
          </cell>
          <cell r="CN8552" t="str">
            <v>2025-04-09</v>
          </cell>
          <cell r="CO8552">
            <v>2419.6379999999999</v>
          </cell>
        </row>
        <row r="8553">
          <cell r="CJ8553" t="str">
            <v xml:space="preserve">NFT-/XUTR/DEUTH02509940345X </v>
          </cell>
          <cell r="CK8553" t="str">
            <v>2025-04-09</v>
          </cell>
          <cell r="CL8553">
            <v>18460.812000000002</v>
          </cell>
          <cell r="CM8553" t="str">
            <v xml:space="preserve">NFT-/XUTR/DEUTH02509969486X </v>
          </cell>
          <cell r="CN8553" t="str">
            <v>2025-04-09</v>
          </cell>
          <cell r="CO8553">
            <v>976.4</v>
          </cell>
        </row>
        <row r="8554">
          <cell r="CJ8554" t="str">
            <v xml:space="preserve">NFT-/XUTR/DEUTH02509940345X </v>
          </cell>
          <cell r="CK8554" t="str">
            <v>2025-04-09</v>
          </cell>
          <cell r="CL8554">
            <v>18362.815999999999</v>
          </cell>
          <cell r="CM8554" t="str">
            <v xml:space="preserve">NFT-/XUTR/DEUTH02509969486X </v>
          </cell>
          <cell r="CN8554" t="str">
            <v>2025-04-09</v>
          </cell>
          <cell r="CO8554">
            <v>1389.8589999999999</v>
          </cell>
        </row>
        <row r="8555">
          <cell r="CJ8555" t="str">
            <v xml:space="preserve">NFT-/XUTR/DEUTH02509940345X </v>
          </cell>
          <cell r="CK8555" t="str">
            <v>2025-04-09</v>
          </cell>
          <cell r="CL8555">
            <v>18381.696</v>
          </cell>
          <cell r="CM8555" t="str">
            <v xml:space="preserve">NFT-/XUTR/DEUTH02509969486X </v>
          </cell>
          <cell r="CN8555" t="str">
            <v>2025-04-09</v>
          </cell>
          <cell r="CO8555">
            <v>1389.8579999999999</v>
          </cell>
        </row>
        <row r="8556">
          <cell r="CJ8556" t="str">
            <v xml:space="preserve">NFT-/XUTR/DEUTH02509940345X </v>
          </cell>
          <cell r="CK8556" t="str">
            <v>2025-04-09</v>
          </cell>
          <cell r="CL8556">
            <v>23578.128000000001</v>
          </cell>
          <cell r="CM8556" t="str">
            <v xml:space="preserve">NFT-/XUTR/DEUTH02509969486X </v>
          </cell>
          <cell r="CN8556" t="str">
            <v>2025-04-09</v>
          </cell>
          <cell r="CO8556">
            <v>725.99199999999996</v>
          </cell>
        </row>
        <row r="8557">
          <cell r="CJ8557" t="str">
            <v xml:space="preserve">NFT-/XUTR/DEUTH02509940345X </v>
          </cell>
          <cell r="CK8557" t="str">
            <v>2025-04-09</v>
          </cell>
          <cell r="CL8557">
            <v>93991.94</v>
          </cell>
          <cell r="CM8557" t="str">
            <v xml:space="preserve">NFT-/XUTR/DEUTH02509969486X </v>
          </cell>
          <cell r="CN8557" t="str">
            <v>2025-04-09</v>
          </cell>
          <cell r="CO8557">
            <v>2911.7240000000002</v>
          </cell>
        </row>
        <row r="8558">
          <cell r="CJ8558" t="str">
            <v xml:space="preserve">NFT-/XUTR/DEUTH02509940345X </v>
          </cell>
          <cell r="CK8558" t="str">
            <v>2025-04-09</v>
          </cell>
          <cell r="CL8558">
            <v>36203.896000000001</v>
          </cell>
          <cell r="CM8558" t="str">
            <v xml:space="preserve">NFT-/XUTR/DEUTH02509969486X </v>
          </cell>
          <cell r="CN8558" t="str">
            <v>2025-04-09</v>
          </cell>
          <cell r="CO8558">
            <v>3321.306</v>
          </cell>
        </row>
        <row r="8559">
          <cell r="CJ8559" t="str">
            <v xml:space="preserve">NFT-/XUTR/DEUTH02509940345X </v>
          </cell>
          <cell r="CK8559" t="str">
            <v>2025-04-09</v>
          </cell>
          <cell r="CL8559">
            <v>18362.815999999999</v>
          </cell>
          <cell r="CM8559" t="str">
            <v xml:space="preserve">NFT-/XUTR/DEUTH02509969486X </v>
          </cell>
          <cell r="CN8559" t="str">
            <v>2025-04-09</v>
          </cell>
          <cell r="CO8559">
            <v>1389.8589999999999</v>
          </cell>
        </row>
        <row r="8560">
          <cell r="CJ8560" t="str">
            <v xml:space="preserve">NFT-/XUTR/DEUTH02509940345X </v>
          </cell>
          <cell r="CK8560" t="str">
            <v>2025-04-09</v>
          </cell>
          <cell r="CL8560">
            <v>36764.356</v>
          </cell>
          <cell r="CM8560" t="str">
            <v xml:space="preserve">NFT-/XUTR/DEUTH02509969486X </v>
          </cell>
          <cell r="CN8560" t="str">
            <v>2025-04-09</v>
          </cell>
          <cell r="CO8560">
            <v>2777.79</v>
          </cell>
        </row>
        <row r="8561">
          <cell r="CJ8561" t="str">
            <v xml:space="preserve">NFT-/XUTR/DEUTH02509940345X </v>
          </cell>
          <cell r="CK8561" t="str">
            <v>2025-04-09</v>
          </cell>
          <cell r="CL8561">
            <v>18076.935000000001</v>
          </cell>
          <cell r="CM8561" t="str">
            <v xml:space="preserve">NFT-/XUTR/DEUTH02509969486X </v>
          </cell>
          <cell r="CN8561" t="str">
            <v>2025-04-09</v>
          </cell>
          <cell r="CO8561">
            <v>1366.568</v>
          </cell>
        </row>
        <row r="8562">
          <cell r="CJ8562" t="str">
            <v xml:space="preserve">NFT-/XUTR/DEUTH02509940345X </v>
          </cell>
          <cell r="CK8562" t="str">
            <v>2025-04-09</v>
          </cell>
          <cell r="CL8562">
            <v>18460.812000000002</v>
          </cell>
          <cell r="CM8562" t="str">
            <v xml:space="preserve">NFT-/XUTR/DEUTH02509969486X </v>
          </cell>
          <cell r="CN8562" t="str">
            <v>2025-04-09</v>
          </cell>
          <cell r="CO8562">
            <v>976.4</v>
          </cell>
        </row>
        <row r="8563">
          <cell r="CJ8563" t="str">
            <v xml:space="preserve">NFT-/XUTR/DEUTH02509940345X </v>
          </cell>
          <cell r="CK8563" t="str">
            <v>2025-04-09</v>
          </cell>
          <cell r="CL8563">
            <v>6202.92</v>
          </cell>
        </row>
        <row r="8564">
          <cell r="CJ8564" t="str">
            <v xml:space="preserve">NFT-/XUTR/DEUTH02509940345X </v>
          </cell>
          <cell r="CK8564" t="str">
            <v>2025-04-09</v>
          </cell>
          <cell r="CL8564">
            <v>17479.053</v>
          </cell>
          <cell r="CM8564" t="str">
            <v xml:space="preserve">NFT-/XUTR/DEUTH02509969486X </v>
          </cell>
          <cell r="CN8564" t="str">
            <v>2025-04-09</v>
          </cell>
          <cell r="CO8564">
            <v>2292.5010000000002</v>
          </cell>
        </row>
        <row r="8565">
          <cell r="CJ8565" t="str">
            <v xml:space="preserve">NFT-/XUTR/DEUTH02509940345X </v>
          </cell>
          <cell r="CK8565" t="str">
            <v>2025-04-09</v>
          </cell>
          <cell r="CL8565">
            <v>36745.474000000002</v>
          </cell>
          <cell r="CM8565" t="str">
            <v xml:space="preserve">NFT-/XUTR/DEUTH02509969486X </v>
          </cell>
          <cell r="CN8565" t="str">
            <v>2025-04-09</v>
          </cell>
          <cell r="CO8565">
            <v>2779.7280000000001</v>
          </cell>
        </row>
        <row r="8566">
          <cell r="CJ8566" t="str">
            <v xml:space="preserve">NFT-/XUTR/DEUTH02509940345X </v>
          </cell>
          <cell r="CK8566" t="str">
            <v>2025-04-09</v>
          </cell>
          <cell r="CL8566">
            <v>11541.082</v>
          </cell>
          <cell r="CM8566" t="str">
            <v xml:space="preserve">NFT-/XUTR/DEUTH02509969486X </v>
          </cell>
          <cell r="CN8566" t="str">
            <v>2025-04-09</v>
          </cell>
          <cell r="CO8566">
            <v>611.46</v>
          </cell>
        </row>
        <row r="8567">
          <cell r="CJ8567" t="str">
            <v xml:space="preserve">NFT-/XUTR/DEUTH02509940345X </v>
          </cell>
          <cell r="CK8567" t="str">
            <v>2025-04-09</v>
          </cell>
          <cell r="CL8567">
            <v>17661.5</v>
          </cell>
          <cell r="CM8567" t="str">
            <v xml:space="preserve">NFT-/XUTR/DEUTH02509969486X </v>
          </cell>
          <cell r="CN8567" t="str">
            <v>2025-04-09</v>
          </cell>
          <cell r="CO8567">
            <v>1927.5619999999999</v>
          </cell>
        </row>
        <row r="8568">
          <cell r="CJ8568" t="str">
            <v xml:space="preserve">NFT-/XUTR/DEUTH02509940345X </v>
          </cell>
          <cell r="CK8568" t="str">
            <v>2025-04-09</v>
          </cell>
          <cell r="CL8568">
            <v>18362.815999999999</v>
          </cell>
          <cell r="CM8568" t="str">
            <v xml:space="preserve">NFT-/XUTR/DEUTH02509969486X </v>
          </cell>
          <cell r="CN8568" t="str">
            <v>2025-04-09</v>
          </cell>
          <cell r="CO8568">
            <v>1389.8589999999999</v>
          </cell>
        </row>
        <row r="8570">
          <cell r="CJ8570" t="str">
            <v xml:space="preserve">NFT-/XUTR/DEUTH02509940345X </v>
          </cell>
          <cell r="CK8570" t="str">
            <v>2025-04-09</v>
          </cell>
          <cell r="CL8570">
            <v>18362.815999999999</v>
          </cell>
          <cell r="CM8570" t="str">
            <v xml:space="preserve">NFT-/XUTR/DEUTH02509969486X </v>
          </cell>
          <cell r="CN8570" t="str">
            <v>2025-04-09</v>
          </cell>
          <cell r="CO8570">
            <v>1389.8589999999999</v>
          </cell>
        </row>
        <row r="8571">
          <cell r="CJ8571" t="str">
            <v xml:space="preserve">NFT-/XUTR/DEUTH02509940345X </v>
          </cell>
          <cell r="CK8571" t="str">
            <v>2025-04-09</v>
          </cell>
          <cell r="CL8571">
            <v>5952.0720000000001</v>
          </cell>
          <cell r="CM8571" t="str">
            <v xml:space="preserve">NFT-/XUTR/DEUTH02509969486X </v>
          </cell>
          <cell r="CN8571" t="str">
            <v>2025-04-09</v>
          </cell>
          <cell r="CO8571">
            <v>455.19799999999998</v>
          </cell>
        </row>
        <row r="8572">
          <cell r="CJ8572" t="str">
            <v xml:space="preserve">NFT-/XUTR/DEUTH02509940345X </v>
          </cell>
          <cell r="CK8572" t="str">
            <v>2025-04-09</v>
          </cell>
          <cell r="CL8572">
            <v>36947.794000000002</v>
          </cell>
          <cell r="CM8572" t="str">
            <v xml:space="preserve">NFT-/XUTR/DEUTH02509969486X </v>
          </cell>
          <cell r="CN8572" t="str">
            <v>2025-04-09</v>
          </cell>
          <cell r="CO8572">
            <v>1939.21</v>
          </cell>
        </row>
        <row r="8573">
          <cell r="CJ8573" t="str">
            <v xml:space="preserve">NFT-/XUTR/DEUTH02509940345X </v>
          </cell>
          <cell r="CK8573" t="str">
            <v>2025-04-09</v>
          </cell>
          <cell r="CL8573">
            <v>18381.696</v>
          </cell>
          <cell r="CM8573" t="str">
            <v xml:space="preserve">NFT-/XUTR/DEUTH02509969486X </v>
          </cell>
          <cell r="CN8573" t="str">
            <v>2025-04-09</v>
          </cell>
          <cell r="CO8573">
            <v>1389.8589999999999</v>
          </cell>
        </row>
        <row r="8574">
          <cell r="CJ8574" t="str">
            <v xml:space="preserve">NFT-/XUTR/DEUTH02509940345X </v>
          </cell>
          <cell r="CK8574" t="str">
            <v>2025-04-09</v>
          </cell>
          <cell r="CL8574">
            <v>18362.815999999999</v>
          </cell>
          <cell r="CM8574" t="str">
            <v xml:space="preserve">NFT-/XUTR/DEUTH02509969486X </v>
          </cell>
          <cell r="CN8574" t="str">
            <v>2025-04-09</v>
          </cell>
          <cell r="CO8574">
            <v>1389.8589999999999</v>
          </cell>
        </row>
        <row r="8575">
          <cell r="CJ8575" t="str">
            <v xml:space="preserve">NFT-/XUTR/DEUTH02509940345X </v>
          </cell>
          <cell r="CK8575" t="str">
            <v>2025-04-09</v>
          </cell>
          <cell r="CL8575">
            <v>45119.614999999998</v>
          </cell>
          <cell r="CM8575" t="str">
            <v xml:space="preserve">NFT-/XUTR/DEUTH02509969486X </v>
          </cell>
          <cell r="CN8575" t="str">
            <v>2025-04-09</v>
          </cell>
          <cell r="CO8575">
            <v>2911.7240000000002</v>
          </cell>
        </row>
        <row r="8576">
          <cell r="CJ8576" t="str">
            <v xml:space="preserve">NFT-/XUTR/DEUTH02509940345X </v>
          </cell>
          <cell r="CK8576" t="str">
            <v>2025-04-09</v>
          </cell>
          <cell r="CL8576">
            <v>9365.5519999999997</v>
          </cell>
          <cell r="CM8576" t="str">
            <v xml:space="preserve">NFT-/XUTR/DEUTH02509969486X </v>
          </cell>
          <cell r="CN8576" t="str">
            <v>2025-04-09</v>
          </cell>
          <cell r="CO8576">
            <v>587.19600000000003</v>
          </cell>
        </row>
        <row r="8577">
          <cell r="CJ8577" t="str">
            <v xml:space="preserve">NFT-/XUTR/DEUTH02509940345X </v>
          </cell>
          <cell r="CK8577" t="str">
            <v>2025-04-09</v>
          </cell>
          <cell r="CL8577">
            <v>18381.696</v>
          </cell>
          <cell r="CM8577" t="str">
            <v xml:space="preserve">NFT-/XUTR/DEUTH02509969486X </v>
          </cell>
          <cell r="CN8577" t="str">
            <v>2025-04-09</v>
          </cell>
          <cell r="CO8577">
            <v>1389.8589999999999</v>
          </cell>
        </row>
        <row r="8578">
          <cell r="CJ8578" t="str">
            <v xml:space="preserve">NFT-/XUTR/DEUTH02509940345X </v>
          </cell>
          <cell r="CK8578" t="str">
            <v>2025-04-09</v>
          </cell>
          <cell r="CL8578">
            <v>36764.353999999999</v>
          </cell>
          <cell r="CM8578" t="str">
            <v xml:space="preserve">NFT-/XUTR/DEUTH02509969486X </v>
          </cell>
          <cell r="CN8578" t="str">
            <v>2025-04-09</v>
          </cell>
          <cell r="CO8578">
            <v>2779.7280000000001</v>
          </cell>
        </row>
        <row r="8579">
          <cell r="CJ8579" t="str">
            <v xml:space="preserve">NFT-/XUTR/DEUTH02509940345X </v>
          </cell>
          <cell r="CK8579" t="str">
            <v>2025-04-09</v>
          </cell>
          <cell r="CL8579">
            <v>23063.284</v>
          </cell>
          <cell r="CM8579" t="str">
            <v xml:space="preserve">NFT-/XUTR/DEUTH02509969486X </v>
          </cell>
          <cell r="CN8579" t="str">
            <v>2025-04-09</v>
          </cell>
          <cell r="CO8579">
            <v>1222.92</v>
          </cell>
        </row>
        <row r="8580">
          <cell r="CJ8580" t="str">
            <v xml:space="preserve">NFT-/XUTR/DEUTH02509940345X </v>
          </cell>
          <cell r="CK8580" t="str">
            <v>2025-04-09</v>
          </cell>
          <cell r="CL8580">
            <v>18448.222000000002</v>
          </cell>
          <cell r="CM8580" t="str">
            <v xml:space="preserve">NFT-/XUTR/DEUTH02509969486X </v>
          </cell>
          <cell r="CN8580" t="str">
            <v>2025-04-09</v>
          </cell>
          <cell r="CO8580">
            <v>976.4</v>
          </cell>
        </row>
        <row r="8581">
          <cell r="CJ8581" t="str">
            <v xml:space="preserve">NFT-/XUTR/DEUTH02509940345X </v>
          </cell>
          <cell r="CK8581" t="str">
            <v>2025-04-09</v>
          </cell>
          <cell r="CL8581">
            <v>18467.101999999999</v>
          </cell>
          <cell r="CM8581" t="str">
            <v xml:space="preserve">NFT-/XUTR/DEUTH02509969486X </v>
          </cell>
          <cell r="CN8581" t="str">
            <v>2025-04-09</v>
          </cell>
          <cell r="CO8581">
            <v>976.4</v>
          </cell>
        </row>
        <row r="8582">
          <cell r="CJ8582" t="str">
            <v xml:space="preserve">NFT-/XUTR/DEUTH02509940345X </v>
          </cell>
          <cell r="CK8582" t="str">
            <v>2025-04-09</v>
          </cell>
          <cell r="CL8582">
            <v>45886.813999999998</v>
          </cell>
          <cell r="CM8582" t="str">
            <v xml:space="preserve">NFT-/XUTR/DEUTH02509969486X </v>
          </cell>
          <cell r="CN8582" t="str">
            <v>2025-04-09</v>
          </cell>
          <cell r="CO8582">
            <v>2419.6379999999999</v>
          </cell>
        </row>
        <row r="8583">
          <cell r="CJ8583" t="str">
            <v xml:space="preserve">NFT-/XUTR/DEUTH02509940345X </v>
          </cell>
          <cell r="CK8583" t="str">
            <v>2025-04-09</v>
          </cell>
          <cell r="CL8583">
            <v>18362.815999999999</v>
          </cell>
          <cell r="CM8583" t="str">
            <v xml:space="preserve">NFT-/XUTR/DEUTH02509969486X </v>
          </cell>
          <cell r="CN8583" t="str">
            <v>2025-04-09</v>
          </cell>
          <cell r="CO8583">
            <v>1389.8589999999999</v>
          </cell>
        </row>
        <row r="8584">
          <cell r="CJ8584" t="str">
            <v xml:space="preserve">NFT-/XUTR/DEUTH02509940345X </v>
          </cell>
          <cell r="CK8584" t="str">
            <v>2025-04-09</v>
          </cell>
          <cell r="CL8584">
            <v>45119.614999999998</v>
          </cell>
          <cell r="CM8584" t="str">
            <v xml:space="preserve">NFT-/XUTR/DEUTH02509969486X </v>
          </cell>
          <cell r="CN8584" t="str">
            <v>2025-04-09</v>
          </cell>
          <cell r="CO8584">
            <v>2911.7240000000002</v>
          </cell>
        </row>
        <row r="8586">
          <cell r="CJ8586" t="str">
            <v xml:space="preserve">NFT-/XUTR/DEUTH02509940345X </v>
          </cell>
          <cell r="CK8586" t="str">
            <v>2025-04-09</v>
          </cell>
          <cell r="CL8586">
            <v>9237.4639999999999</v>
          </cell>
          <cell r="CM8586" t="str">
            <v xml:space="preserve">NFT-/XUTR/DEUTH02509969486X </v>
          </cell>
          <cell r="CN8586" t="str">
            <v>2025-04-09</v>
          </cell>
          <cell r="CO8586">
            <v>702.69200000000001</v>
          </cell>
        </row>
        <row r="8587">
          <cell r="CJ8587" t="str">
            <v xml:space="preserve">NFT-/XUTR/DEUTH02509940345X </v>
          </cell>
          <cell r="CK8587" t="str">
            <v>2025-04-09</v>
          </cell>
          <cell r="CL8587">
            <v>18362.815999999999</v>
          </cell>
          <cell r="CM8587" t="str">
            <v xml:space="preserve">NFT-/XUTR/DEUTH02509969486X </v>
          </cell>
          <cell r="CN8587" t="str">
            <v>2025-04-09</v>
          </cell>
          <cell r="CO8587">
            <v>1389.8589999999999</v>
          </cell>
        </row>
        <row r="8588">
          <cell r="CJ8588" t="str">
            <v xml:space="preserve">NFT-/XUTR/DEUTH02509940345X </v>
          </cell>
          <cell r="CK8588" t="str">
            <v>2025-04-09</v>
          </cell>
          <cell r="CL8588">
            <v>9281.1419999999998</v>
          </cell>
          <cell r="CM8588" t="str">
            <v xml:space="preserve">NFT-/XUTR/DEUTH02509969486X </v>
          </cell>
          <cell r="CN8588" t="str">
            <v>2025-04-09</v>
          </cell>
          <cell r="CO8588">
            <v>494.02499999999998</v>
          </cell>
        </row>
        <row r="8589">
          <cell r="CJ8589" t="str">
            <v xml:space="preserve">NFT-/XUTR/DEUTH02509940345X </v>
          </cell>
          <cell r="CK8589" t="str">
            <v>2025-04-09</v>
          </cell>
          <cell r="CL8589">
            <v>57832.11</v>
          </cell>
          <cell r="CM8589" t="str">
            <v xml:space="preserve">NFT-/XUTR/DEUTH02509969486X </v>
          </cell>
          <cell r="CN8589" t="str">
            <v>2025-04-09</v>
          </cell>
          <cell r="CO8589">
            <v>2911.72</v>
          </cell>
        </row>
        <row r="8590">
          <cell r="CJ8590" t="str">
            <v xml:space="preserve">NFT-/XUTR/DEUTH02509940345X </v>
          </cell>
          <cell r="CK8590" t="str">
            <v>2025-04-09</v>
          </cell>
          <cell r="CL8590">
            <v>11296.489</v>
          </cell>
          <cell r="CM8590" t="str">
            <v xml:space="preserve">NFT-/XUTR/DEUTH02509969486X </v>
          </cell>
          <cell r="CN8590" t="str">
            <v>2025-04-09</v>
          </cell>
          <cell r="CO8590">
            <v>856.04200000000003</v>
          </cell>
        </row>
        <row r="8591">
          <cell r="CJ8591" t="str">
            <v xml:space="preserve">NFT-/XUTR/DEUTH02509940345X </v>
          </cell>
          <cell r="CK8591" t="str">
            <v>2025-04-09</v>
          </cell>
          <cell r="CL8591">
            <v>37205.987999999998</v>
          </cell>
          <cell r="CM8591" t="str">
            <v xml:space="preserve">NFT-/XUTR/DEUTH02509969486X </v>
          </cell>
          <cell r="CN8591" t="str">
            <v>2025-04-09</v>
          </cell>
          <cell r="CO8591">
            <v>2325.4920000000002</v>
          </cell>
        </row>
        <row r="8592">
          <cell r="CJ8592" t="str">
            <v xml:space="preserve">NFT-/XUTR/DEUTH02509940345X </v>
          </cell>
          <cell r="CK8592" t="str">
            <v>2025-04-09</v>
          </cell>
          <cell r="CL8592">
            <v>9256.3439999999991</v>
          </cell>
          <cell r="CM8592" t="str">
            <v xml:space="preserve">NFT-/XUTR/DEUTH02509969486X </v>
          </cell>
          <cell r="CN8592" t="str">
            <v>2025-04-09</v>
          </cell>
          <cell r="CO8592">
            <v>702.69299999999998</v>
          </cell>
        </row>
        <row r="8593">
          <cell r="CJ8593" t="str">
            <v xml:space="preserve">NFT-/XUTR/DEUTH02509940345X </v>
          </cell>
          <cell r="CK8593" t="str">
            <v>2025-04-09</v>
          </cell>
          <cell r="CL8593">
            <v>45607.815999999999</v>
          </cell>
          <cell r="CM8593" t="str">
            <v xml:space="preserve">NFT-/XUTR/DEUTH02509969486X </v>
          </cell>
          <cell r="CN8593" t="str">
            <v>2025-04-09</v>
          </cell>
          <cell r="CO8593">
            <v>2679.7559999999999</v>
          </cell>
        </row>
        <row r="8594">
          <cell r="CJ8594" t="str">
            <v xml:space="preserve">NFT-/XUTR/DEUTH02509940345X </v>
          </cell>
          <cell r="CK8594" t="str">
            <v>2025-04-09</v>
          </cell>
          <cell r="CL8594">
            <v>93765.798999999999</v>
          </cell>
          <cell r="CM8594" t="str">
            <v xml:space="preserve">NFT-/XUTR/DEUTH02509969486X </v>
          </cell>
          <cell r="CN8594" t="str">
            <v>2025-04-09</v>
          </cell>
          <cell r="CO8594">
            <v>2911.7240000000002</v>
          </cell>
        </row>
        <row r="8595">
          <cell r="CJ8595" t="str">
            <v xml:space="preserve">NFT-/XUTR/DEUTH02509940345X </v>
          </cell>
          <cell r="CK8595" t="str">
            <v>2025-04-09</v>
          </cell>
          <cell r="CL8595">
            <v>18448.222000000002</v>
          </cell>
          <cell r="CM8595" t="str">
            <v xml:space="preserve">NFT-/XUTR/DEUTH02509969486X </v>
          </cell>
          <cell r="CN8595" t="str">
            <v>2025-04-09</v>
          </cell>
          <cell r="CO8595">
            <v>976.4</v>
          </cell>
        </row>
        <row r="8596">
          <cell r="CJ8596" t="str">
            <v xml:space="preserve">NFT-/XUTR/DEUTH02509940345X </v>
          </cell>
          <cell r="CK8596" t="str">
            <v>2025-04-09</v>
          </cell>
          <cell r="CL8596">
            <v>36745.474000000002</v>
          </cell>
          <cell r="CM8596" t="str">
            <v xml:space="preserve">NFT-/XUTR/DEUTH02509969486X </v>
          </cell>
          <cell r="CN8596" t="str">
            <v>2025-04-09</v>
          </cell>
          <cell r="CO8596">
            <v>2779.7280000000001</v>
          </cell>
        </row>
        <row r="8597">
          <cell r="CJ8597" t="str">
            <v xml:space="preserve">NFT-/XUTR/DEUTH02509940345X </v>
          </cell>
          <cell r="CK8597" t="str">
            <v>2025-04-09</v>
          </cell>
          <cell r="CL8597">
            <v>11541.082</v>
          </cell>
          <cell r="CM8597" t="str">
            <v xml:space="preserve">NFT-/XUTR/DEUTH02509969486X </v>
          </cell>
          <cell r="CN8597" t="str">
            <v>2025-04-09</v>
          </cell>
          <cell r="CO8597">
            <v>611.46</v>
          </cell>
        </row>
        <row r="8598">
          <cell r="CJ8598" t="str">
            <v xml:space="preserve">NFT-/XUTR/DEUTH02509940345X </v>
          </cell>
          <cell r="CK8598" t="str">
            <v>2025-04-09</v>
          </cell>
          <cell r="CL8598">
            <v>45886.813999999998</v>
          </cell>
          <cell r="CM8598" t="str">
            <v xml:space="preserve">NFT-/XUTR/DEUTH02509969486X </v>
          </cell>
          <cell r="CN8598" t="str">
            <v>2025-04-09</v>
          </cell>
          <cell r="CO8598">
            <v>2419.6379999999999</v>
          </cell>
        </row>
        <row r="8599">
          <cell r="CJ8599" t="str">
            <v xml:space="preserve">NFT-/XUTR/DEUTH02509940345X </v>
          </cell>
          <cell r="CK8599" t="str">
            <v>2025-04-09</v>
          </cell>
          <cell r="CL8599">
            <v>9102.9940000000006</v>
          </cell>
          <cell r="CM8599" t="str">
            <v xml:space="preserve">NFT-/XUTR/DEUTH02509969486X </v>
          </cell>
          <cell r="CN8599" t="str">
            <v>2025-04-09</v>
          </cell>
          <cell r="CO8599">
            <v>691.053</v>
          </cell>
          <cell r="CP8599" t="str">
            <v xml:space="preserve">NFT-/XUTR/DEUTH02510641465X </v>
          </cell>
          <cell r="CQ8599" t="str">
            <v>2025-04-16</v>
          </cell>
          <cell r="CR8599">
            <v>-9102.9940000000006</v>
          </cell>
          <cell r="CS8599" t="str">
            <v xml:space="preserve">NFT-/XUTR/DEUTH025106A0574X </v>
          </cell>
          <cell r="CT8599" t="str">
            <v>2025-04-16</v>
          </cell>
          <cell r="CU8599">
            <v>-691.053</v>
          </cell>
        </row>
        <row r="8600">
          <cell r="CJ8600" t="str">
            <v xml:space="preserve">NFT-/XUTR/DEUTH02509940345X </v>
          </cell>
          <cell r="CK8600" t="str">
            <v>2025-04-09</v>
          </cell>
          <cell r="CL8600">
            <v>93612.88</v>
          </cell>
          <cell r="CM8600" t="str">
            <v xml:space="preserve">NFT-/XUTR/DEUTH02509969486X </v>
          </cell>
          <cell r="CN8600" t="str">
            <v>2025-04-09</v>
          </cell>
          <cell r="CO8600">
            <v>2911.723</v>
          </cell>
        </row>
        <row r="8601">
          <cell r="CJ8601" t="str">
            <v xml:space="preserve">NFT-/XUTR/DEUTH02509940345X </v>
          </cell>
          <cell r="CK8601" t="str">
            <v>2025-04-09</v>
          </cell>
          <cell r="CL8601">
            <v>45394.728000000003</v>
          </cell>
          <cell r="CM8601" t="str">
            <v xml:space="preserve">NFT-/XUTR/DEUTH02509969486X </v>
          </cell>
          <cell r="CN8601" t="str">
            <v>2025-04-09</v>
          </cell>
          <cell r="CO8601">
            <v>2911.7240000000002</v>
          </cell>
        </row>
        <row r="8602">
          <cell r="CJ8602" t="str">
            <v xml:space="preserve">NFT-/XUTR/DEUTH02509940345X </v>
          </cell>
          <cell r="CK8602" t="str">
            <v>2025-04-09</v>
          </cell>
          <cell r="CL8602">
            <v>9256.3439999999991</v>
          </cell>
          <cell r="CM8602" t="str">
            <v xml:space="preserve">NFT-/XUTR/DEUTH02509969486X </v>
          </cell>
          <cell r="CN8602" t="str">
            <v>2025-04-09</v>
          </cell>
          <cell r="CO8602">
            <v>702.69200000000001</v>
          </cell>
        </row>
        <row r="8603">
          <cell r="CJ8603" t="str">
            <v xml:space="preserve">NFT-/XUTR/DEUTH02509940345X </v>
          </cell>
          <cell r="CK8603" t="str">
            <v>2025-04-09</v>
          </cell>
          <cell r="CL8603">
            <v>11277.62</v>
          </cell>
          <cell r="CM8603" t="str">
            <v xml:space="preserve">NFT-/XUTR/DEUTH02509969486X </v>
          </cell>
          <cell r="CN8603" t="str">
            <v>2025-04-09</v>
          </cell>
          <cell r="CO8603">
            <v>856.04200000000003</v>
          </cell>
        </row>
        <row r="8604">
          <cell r="CJ8604" t="str">
            <v xml:space="preserve">NFT-/XUTR/DEUTH02509940345X </v>
          </cell>
          <cell r="CK8604" t="str">
            <v>2025-04-09</v>
          </cell>
          <cell r="CL8604">
            <v>11296.489</v>
          </cell>
          <cell r="CM8604" t="str">
            <v xml:space="preserve">NFT-/XUTR/DEUTH02509969486X </v>
          </cell>
          <cell r="CN8604" t="str">
            <v>2025-04-09</v>
          </cell>
          <cell r="CO8604">
            <v>856.04200000000003</v>
          </cell>
        </row>
        <row r="8605">
          <cell r="CJ8605" t="str">
            <v xml:space="preserve">NFT-/XUTR/DEUTH02509940345X </v>
          </cell>
          <cell r="CK8605" t="str">
            <v>2025-04-09</v>
          </cell>
          <cell r="CL8605">
            <v>18362.815999999999</v>
          </cell>
          <cell r="CM8605" t="str">
            <v xml:space="preserve">NFT-/XUTR/DEUTH02509969486X </v>
          </cell>
          <cell r="CN8605" t="str">
            <v>2025-04-09</v>
          </cell>
          <cell r="CO8605">
            <v>1389.8589999999999</v>
          </cell>
        </row>
        <row r="8606">
          <cell r="CJ8606" t="str">
            <v xml:space="preserve">NFT-/XUTR/DEUTH02509940345X </v>
          </cell>
          <cell r="CK8606" t="str">
            <v>2025-04-09</v>
          </cell>
          <cell r="CL8606">
            <v>8922.0280000000002</v>
          </cell>
          <cell r="CM8606" t="str">
            <v xml:space="preserve">NFT-/XUTR/DEUTH02509969486X </v>
          </cell>
          <cell r="CN8606" t="str">
            <v>2025-04-09</v>
          </cell>
          <cell r="CO8606">
            <v>1018.129</v>
          </cell>
        </row>
        <row r="8607">
          <cell r="CJ8607" t="str">
            <v xml:space="preserve">NFT-/XUTR/DEUTH02509940345X </v>
          </cell>
          <cell r="CK8607" t="str">
            <v>2025-04-09</v>
          </cell>
          <cell r="CL8607">
            <v>18448.222000000002</v>
          </cell>
          <cell r="CM8607" t="str">
            <v xml:space="preserve">NFT-/XUTR/DEUTH02509969486X </v>
          </cell>
          <cell r="CN8607" t="str">
            <v>2025-04-09</v>
          </cell>
          <cell r="CO8607">
            <v>976.4</v>
          </cell>
        </row>
        <row r="8608">
          <cell r="CJ8608" t="str">
            <v xml:space="preserve">NFT-/XUTR/DEUTH02509940345X </v>
          </cell>
          <cell r="CK8608" t="str">
            <v>2025-04-09</v>
          </cell>
          <cell r="CL8608">
            <v>36764.353999999999</v>
          </cell>
          <cell r="CM8608" t="str">
            <v xml:space="preserve">NFT-/XUTR/DEUTH02509969486X </v>
          </cell>
          <cell r="CN8608" t="str">
            <v>2025-04-09</v>
          </cell>
          <cell r="CO8608">
            <v>2779.7280000000001</v>
          </cell>
        </row>
        <row r="8609">
          <cell r="CJ8609" t="str">
            <v xml:space="preserve">NFT-/XUTR/DEUTH02509940345X </v>
          </cell>
          <cell r="CK8609" t="str">
            <v>2025-04-09</v>
          </cell>
          <cell r="CL8609">
            <v>11296.49</v>
          </cell>
          <cell r="CM8609" t="str">
            <v xml:space="preserve">NFT-/XUTR/DEUTH02509969486X </v>
          </cell>
          <cell r="CN8609" t="str">
            <v>2025-04-09</v>
          </cell>
          <cell r="CO8609">
            <v>856.04200000000003</v>
          </cell>
        </row>
        <row r="8610">
          <cell r="CJ8610" t="str">
            <v xml:space="preserve">NFT-/XUTR/DEUTH02509940345X </v>
          </cell>
          <cell r="CK8610" t="str">
            <v>2025-04-09</v>
          </cell>
          <cell r="CL8610">
            <v>36764.353999999999</v>
          </cell>
          <cell r="CM8610" t="str">
            <v xml:space="preserve">NFT-/XUTR/DEUTH02509969486X </v>
          </cell>
          <cell r="CN8610" t="str">
            <v>2025-04-09</v>
          </cell>
          <cell r="CO8610">
            <v>2779.7280000000001</v>
          </cell>
        </row>
        <row r="8611">
          <cell r="CJ8611" t="str">
            <v xml:space="preserve">NFT-/XUTR/DEUTH02509940345X </v>
          </cell>
          <cell r="CK8611" t="str">
            <v>2025-04-09</v>
          </cell>
          <cell r="CL8611">
            <v>11526.498</v>
          </cell>
          <cell r="CM8611" t="str">
            <v xml:space="preserve">NFT-/XUTR/DEUTH02509969486X </v>
          </cell>
          <cell r="CN8611" t="str">
            <v>2025-04-09</v>
          </cell>
          <cell r="CO8611">
            <v>879.34199999999998</v>
          </cell>
          <cell r="CP8611" t="str">
            <v xml:space="preserve">NFT-/XUTR/DEUTH02510641465X </v>
          </cell>
          <cell r="CQ8611" t="str">
            <v>2025-04-16</v>
          </cell>
          <cell r="CR8611">
            <v>-11526.498</v>
          </cell>
          <cell r="CS8611" t="str">
            <v xml:space="preserve">NFT-/XUTR/DEUTH025106A0574X </v>
          </cell>
          <cell r="CT8611" t="str">
            <v>2025-04-16</v>
          </cell>
          <cell r="CU8611">
            <v>-879.34199999999998</v>
          </cell>
        </row>
        <row r="8612">
          <cell r="CJ8612" t="str">
            <v xml:space="preserve">NFT-/XUTR/DEUTH02509940345X </v>
          </cell>
          <cell r="CK8612" t="str">
            <v>2025-04-09</v>
          </cell>
          <cell r="CL8612">
            <v>36745.474000000002</v>
          </cell>
          <cell r="CM8612" t="str">
            <v xml:space="preserve">NFT-/XUTR/DEUTH02509969486X </v>
          </cell>
          <cell r="CN8612" t="str">
            <v>2025-04-09</v>
          </cell>
          <cell r="CO8612">
            <v>2779.7280000000001</v>
          </cell>
        </row>
        <row r="8613">
          <cell r="CJ8613" t="str">
            <v xml:space="preserve">NFT-/XUTR/DEUTH02509940345X </v>
          </cell>
          <cell r="CK8613" t="str">
            <v>2025-04-09</v>
          </cell>
          <cell r="CL8613">
            <v>45679.563999999998</v>
          </cell>
          <cell r="CM8613" t="str">
            <v xml:space="preserve">NFT-/XUTR/DEUTH02509969486X </v>
          </cell>
          <cell r="CN8613" t="str">
            <v>2025-04-09</v>
          </cell>
          <cell r="CO8613">
            <v>2911.7240000000002</v>
          </cell>
        </row>
        <row r="8614">
          <cell r="CJ8614" t="str">
            <v xml:space="preserve">NFT-/XUTR/DEUTH02509940345X </v>
          </cell>
          <cell r="CK8614" t="str">
            <v>2025-04-09</v>
          </cell>
          <cell r="CL8614">
            <v>18467.101999999999</v>
          </cell>
          <cell r="CM8614" t="str">
            <v xml:space="preserve">NFT-/XUTR/DEUTH02509969486X </v>
          </cell>
          <cell r="CN8614" t="str">
            <v>2025-04-09</v>
          </cell>
          <cell r="CO8614">
            <v>976.4</v>
          </cell>
        </row>
        <row r="8615">
          <cell r="CJ8615" t="str">
            <v xml:space="preserve">NFT-/XUTR/DEUTH02509940345X </v>
          </cell>
          <cell r="CK8615" t="str">
            <v>2025-04-09</v>
          </cell>
          <cell r="CL8615">
            <v>9209.3230000000003</v>
          </cell>
          <cell r="CM8615" t="str">
            <v xml:space="preserve">NFT-/XUTR/DEUTH02509969486X </v>
          </cell>
          <cell r="CN8615" t="str">
            <v>2025-04-09</v>
          </cell>
          <cell r="CO8615">
            <v>730.84400000000005</v>
          </cell>
        </row>
        <row r="8616">
          <cell r="CJ8616" t="str">
            <v xml:space="preserve">NFT-/XUTR/DEUTH02509940345X </v>
          </cell>
          <cell r="CK8616" t="str">
            <v>2025-04-09</v>
          </cell>
          <cell r="CL8616">
            <v>36945.845999999998</v>
          </cell>
          <cell r="CM8616" t="str">
            <v xml:space="preserve">NFT-/XUTR/DEUTH02509969486X </v>
          </cell>
          <cell r="CN8616" t="str">
            <v>2025-04-09</v>
          </cell>
          <cell r="CO8616">
            <v>1941.15</v>
          </cell>
          <cell r="CP8616" t="str">
            <v xml:space="preserve">NFT-/XUTR/DEUTH02510641465X </v>
          </cell>
          <cell r="CQ8616" t="str">
            <v>2025-04-16</v>
          </cell>
          <cell r="CR8616">
            <v>-36945.845999999998</v>
          </cell>
          <cell r="CS8616" t="str">
            <v xml:space="preserve">NFT-/XUTR/DEUTH025106A0574X </v>
          </cell>
          <cell r="CT8616" t="str">
            <v>2025-04-16</v>
          </cell>
          <cell r="CU8616">
            <v>-1941.15</v>
          </cell>
        </row>
        <row r="8617">
          <cell r="CJ8617" t="str">
            <v xml:space="preserve">NFT-/XUTR/DEUTH02509940345X </v>
          </cell>
          <cell r="CK8617" t="str">
            <v>2025-04-09</v>
          </cell>
          <cell r="CL8617">
            <v>18362.815999999999</v>
          </cell>
          <cell r="CM8617" t="str">
            <v xml:space="preserve">NFT-/XUTR/DEUTH02509969486X </v>
          </cell>
          <cell r="CN8617" t="str">
            <v>2025-04-09</v>
          </cell>
          <cell r="CO8617">
            <v>1389.8589999999999</v>
          </cell>
        </row>
        <row r="8618">
          <cell r="CJ8618" t="str">
            <v xml:space="preserve">NFT-/XUTR/DEUTH02509940345X </v>
          </cell>
          <cell r="CK8618" t="str">
            <v>2025-04-09</v>
          </cell>
          <cell r="CL8618">
            <v>36153.86</v>
          </cell>
          <cell r="CM8618" t="str">
            <v xml:space="preserve">NFT-/XUTR/DEUTH02509969486X </v>
          </cell>
          <cell r="CN8618" t="str">
            <v>2025-04-09</v>
          </cell>
          <cell r="CO8618">
            <v>2733.136</v>
          </cell>
        </row>
        <row r="8619">
          <cell r="CJ8619" t="str">
            <v xml:space="preserve">NFT-/XUTR/DEUTH02509940345X </v>
          </cell>
          <cell r="CK8619" t="str">
            <v>2025-04-09</v>
          </cell>
          <cell r="CL8619">
            <v>9237.4639999999999</v>
          </cell>
          <cell r="CM8619" t="str">
            <v xml:space="preserve">NFT-/XUTR/DEUTH02509969486X </v>
          </cell>
          <cell r="CN8619" t="str">
            <v>2025-04-09</v>
          </cell>
          <cell r="CO8619">
            <v>702.69200000000001</v>
          </cell>
        </row>
        <row r="8620">
          <cell r="CJ8620" t="str">
            <v xml:space="preserve">NFT-/XUTR/DEUTH02509940345X </v>
          </cell>
          <cell r="CK8620" t="str">
            <v>2025-04-09</v>
          </cell>
          <cell r="CL8620">
            <v>18398.186000000002</v>
          </cell>
          <cell r="CM8620" t="str">
            <v xml:space="preserve">NFT-/XUTR/DEUTH02509969486X </v>
          </cell>
          <cell r="CN8620" t="str">
            <v>2025-04-09</v>
          </cell>
          <cell r="CO8620">
            <v>1373.367</v>
          </cell>
        </row>
        <row r="8621">
          <cell r="CJ8621" t="str">
            <v xml:space="preserve">NFT-/XUTR/DEUTH02509940345X </v>
          </cell>
          <cell r="CK8621" t="str">
            <v>2025-04-09</v>
          </cell>
          <cell r="CL8621">
            <v>36764.353999999999</v>
          </cell>
          <cell r="CM8621" t="str">
            <v xml:space="preserve">NFT-/XUTR/DEUTH02509969486X </v>
          </cell>
          <cell r="CN8621" t="str">
            <v>2025-04-09</v>
          </cell>
          <cell r="CO8621">
            <v>2777.788</v>
          </cell>
        </row>
        <row r="8622">
          <cell r="CJ8622" t="str">
            <v xml:space="preserve">NFT-/XUTR/DEUTH02509940345X </v>
          </cell>
          <cell r="CK8622" t="str">
            <v>2025-04-09</v>
          </cell>
          <cell r="CL8622">
            <v>45886.813999999998</v>
          </cell>
          <cell r="CM8622" t="str">
            <v xml:space="preserve">NFT-/XUTR/DEUTH02509969486X </v>
          </cell>
          <cell r="CN8622" t="str">
            <v>2025-04-09</v>
          </cell>
          <cell r="CO8622">
            <v>2419.6379999999999</v>
          </cell>
        </row>
        <row r="8623">
          <cell r="CJ8623" t="str">
            <v xml:space="preserve">NFT-/XUTR/DEUTH02509940345X </v>
          </cell>
          <cell r="CK8623" t="str">
            <v>2025-04-09</v>
          </cell>
          <cell r="CL8623">
            <v>9237.4639999999999</v>
          </cell>
          <cell r="CM8623" t="str">
            <v xml:space="preserve">NFT-/XUTR/DEUTH02509969486X </v>
          </cell>
          <cell r="CN8623" t="str">
            <v>2025-04-09</v>
          </cell>
          <cell r="CO8623">
            <v>702.69200000000001</v>
          </cell>
        </row>
        <row r="8624">
          <cell r="CJ8624" t="str">
            <v xml:space="preserve">NFT-/XUTR/DEUTH02509940345X </v>
          </cell>
          <cell r="CK8624" t="str">
            <v>2025-04-09</v>
          </cell>
          <cell r="CL8624">
            <v>18467.101999999999</v>
          </cell>
          <cell r="CM8624" t="str">
            <v xml:space="preserve">NFT-/XUTR/DEUTH02509969486X </v>
          </cell>
          <cell r="CN8624" t="str">
            <v>2025-04-09</v>
          </cell>
          <cell r="CO8624">
            <v>976.4</v>
          </cell>
        </row>
        <row r="8625">
          <cell r="CJ8625" t="str">
            <v xml:space="preserve">NFT-/XUTR/DEUTH02509940345X </v>
          </cell>
          <cell r="CK8625" t="str">
            <v>2025-04-09</v>
          </cell>
          <cell r="CL8625">
            <v>18601.02</v>
          </cell>
          <cell r="CM8625" t="str">
            <v xml:space="preserve">NFT-/XUTR/DEUTH02509969486X </v>
          </cell>
          <cell r="CN8625" t="str">
            <v>2025-04-09</v>
          </cell>
          <cell r="CO8625">
            <v>988.05</v>
          </cell>
        </row>
        <row r="8626">
          <cell r="CJ8626" t="str">
            <v xml:space="preserve">NFT-/XUTR/DEUTH02509940345X </v>
          </cell>
          <cell r="CK8626" t="str">
            <v>2025-04-09</v>
          </cell>
          <cell r="CL8626">
            <v>11522.201999999999</v>
          </cell>
          <cell r="CM8626" t="str">
            <v xml:space="preserve">NFT-/XUTR/DEUTH02509969486X </v>
          </cell>
          <cell r="CN8626" t="str">
            <v>2025-04-09</v>
          </cell>
          <cell r="CO8626">
            <v>611.46</v>
          </cell>
          <cell r="CP8626" t="str">
            <v xml:space="preserve">NFT-/XUTR/DEUTH02510641465X </v>
          </cell>
          <cell r="CQ8626" t="str">
            <v>2025-04-16</v>
          </cell>
          <cell r="CR8626">
            <v>-11522.201999999999</v>
          </cell>
          <cell r="CS8626" t="str">
            <v xml:space="preserve">NFT-/XUTR/DEUTH025106A0574X </v>
          </cell>
          <cell r="CT8626" t="str">
            <v>2025-04-16</v>
          </cell>
          <cell r="CU8626">
            <v>-611.46</v>
          </cell>
        </row>
        <row r="8627">
          <cell r="CJ8627" t="str">
            <v xml:space="preserve">NFT-/XUTR/DEUTH02509940345X </v>
          </cell>
          <cell r="CK8627" t="str">
            <v>2025-04-09</v>
          </cell>
          <cell r="CL8627">
            <v>9940.1669999999995</v>
          </cell>
        </row>
        <row r="8628">
          <cell r="CJ8628" t="str">
            <v xml:space="preserve">NFT-/XUTR/DEUTH02509940345X </v>
          </cell>
          <cell r="CK8628" t="str">
            <v>2025-04-09</v>
          </cell>
          <cell r="CL8628">
            <v>45886.813999999998</v>
          </cell>
          <cell r="CM8628" t="str">
            <v xml:space="preserve">NFT-/XUTR/DEUTH02509969486X </v>
          </cell>
          <cell r="CN8628" t="str">
            <v>2025-04-09</v>
          </cell>
          <cell r="CO8628">
            <v>2419.6379999999999</v>
          </cell>
        </row>
        <row r="8629">
          <cell r="CJ8629" t="str">
            <v xml:space="preserve">NFT-/XUTR/DEUTH02509940345X </v>
          </cell>
          <cell r="CK8629" t="str">
            <v>2025-04-09</v>
          </cell>
          <cell r="CL8629">
            <v>18228.87</v>
          </cell>
          <cell r="CM8629" t="str">
            <v xml:space="preserve">NFT-/XUTR/DEUTH02509969486X </v>
          </cell>
          <cell r="CN8629" t="str">
            <v>2025-04-09</v>
          </cell>
          <cell r="CO8629">
            <v>1380.1559999999999</v>
          </cell>
        </row>
        <row r="8630">
          <cell r="CJ8630" t="str">
            <v xml:space="preserve">NFT-/XUTR/DEUTH02509940345X </v>
          </cell>
          <cell r="CK8630" t="str">
            <v>2025-04-09</v>
          </cell>
          <cell r="CL8630">
            <v>18381.696</v>
          </cell>
          <cell r="CM8630" t="str">
            <v xml:space="preserve">NFT-/XUTR/DEUTH02509969486X </v>
          </cell>
          <cell r="CN8630" t="str">
            <v>2025-04-09</v>
          </cell>
          <cell r="CO8630">
            <v>1389.8589999999999</v>
          </cell>
        </row>
        <row r="8631">
          <cell r="CJ8631" t="str">
            <v xml:space="preserve">NFT-/XUTR/DEUTH02509940345X </v>
          </cell>
          <cell r="CK8631" t="str">
            <v>2025-04-09</v>
          </cell>
          <cell r="CL8631">
            <v>36764.356</v>
          </cell>
          <cell r="CM8631" t="str">
            <v xml:space="preserve">NFT-/XUTR/DEUTH02509969486X </v>
          </cell>
          <cell r="CN8631" t="str">
            <v>2025-04-09</v>
          </cell>
          <cell r="CO8631">
            <v>2779.7260000000001</v>
          </cell>
        </row>
        <row r="8632">
          <cell r="CJ8632" t="str">
            <v xml:space="preserve">NFT-/XUTR/DEUTH02509940345X </v>
          </cell>
          <cell r="CK8632" t="str">
            <v>2025-04-09</v>
          </cell>
          <cell r="CL8632">
            <v>33889.480000000003</v>
          </cell>
          <cell r="CM8632" t="str">
            <v xml:space="preserve">NFT-/XUTR/DEUTH02509969486X </v>
          </cell>
          <cell r="CN8632" t="str">
            <v>2025-04-09</v>
          </cell>
          <cell r="CO8632">
            <v>2568.1460000000002</v>
          </cell>
        </row>
        <row r="8633">
          <cell r="CJ8633" t="str">
            <v xml:space="preserve">NFT-/XUTR/DEUTH02509940345X </v>
          </cell>
          <cell r="CK8633" t="str">
            <v>2025-04-09</v>
          </cell>
          <cell r="CL8633">
            <v>8788.5319999999992</v>
          </cell>
          <cell r="CM8633" t="str">
            <v xml:space="preserve">NFT-/XUTR/DEUTH02509969486X </v>
          </cell>
          <cell r="CN8633" t="str">
            <v>2025-04-09</v>
          </cell>
          <cell r="CO8633">
            <v>1170.5150000000001</v>
          </cell>
        </row>
        <row r="8634">
          <cell r="CJ8634" t="str">
            <v xml:space="preserve">NFT-/XUTR/DEUTH02509940345X </v>
          </cell>
          <cell r="CK8634" t="str">
            <v>2025-04-09</v>
          </cell>
          <cell r="CL8634">
            <v>9164.6710000000003</v>
          </cell>
          <cell r="CM8634" t="str">
            <v xml:space="preserve">NFT-/XUTR/DEUTH02509969486X </v>
          </cell>
          <cell r="CN8634" t="str">
            <v>2025-04-09</v>
          </cell>
          <cell r="CO8634">
            <v>697.84199999999998</v>
          </cell>
        </row>
        <row r="8635">
          <cell r="CJ8635" t="str">
            <v xml:space="preserve">NFT-/XUTR/DEUTH02509940345X </v>
          </cell>
          <cell r="CK8635" t="str">
            <v>2025-04-09</v>
          </cell>
          <cell r="CL8635">
            <v>11276.645</v>
          </cell>
          <cell r="CM8635" t="str">
            <v xml:space="preserve">NFT-/XUTR/DEUTH02509969486X </v>
          </cell>
          <cell r="CN8635" t="str">
            <v>2025-04-09</v>
          </cell>
          <cell r="CO8635">
            <v>857.01599999999996</v>
          </cell>
        </row>
        <row r="8636">
          <cell r="CJ8636" t="str">
            <v xml:space="preserve">NFT-/XUTR/DEUTH02509940345X </v>
          </cell>
          <cell r="CK8636" t="str">
            <v>2025-04-09</v>
          </cell>
          <cell r="CL8636">
            <v>9436.43</v>
          </cell>
          <cell r="CM8636" t="str">
            <v xml:space="preserve">NFT-/XUTR/DEUTH02509969486X </v>
          </cell>
          <cell r="CN8636" t="str">
            <v>2025-04-09</v>
          </cell>
          <cell r="CO8636">
            <v>474.61099999999999</v>
          </cell>
        </row>
        <row r="8637">
          <cell r="CJ8637" t="str">
            <v xml:space="preserve">NFT-/XUTR/DEUTH02509940345X </v>
          </cell>
          <cell r="CK8637" t="str">
            <v>2025-04-09</v>
          </cell>
          <cell r="CL8637">
            <v>9237.4639999999999</v>
          </cell>
          <cell r="CM8637" t="str">
            <v xml:space="preserve">NFT-/XUTR/DEUTH02509969486X </v>
          </cell>
          <cell r="CN8637" t="str">
            <v>2025-04-09</v>
          </cell>
          <cell r="CO8637">
            <v>702.69200000000001</v>
          </cell>
        </row>
        <row r="8638">
          <cell r="CJ8638" t="str">
            <v xml:space="preserve">NFT-/XUTR/DEUTH02509940345X </v>
          </cell>
          <cell r="CK8638" t="str">
            <v>2025-04-09</v>
          </cell>
          <cell r="CL8638">
            <v>9237.4639999999999</v>
          </cell>
          <cell r="CM8638" t="str">
            <v xml:space="preserve">NFT-/XUTR/DEUTH02509969486X </v>
          </cell>
          <cell r="CN8638" t="str">
            <v>2025-04-09</v>
          </cell>
          <cell r="CO8638">
            <v>702.69200000000001</v>
          </cell>
        </row>
        <row r="8639">
          <cell r="CJ8639" t="str">
            <v xml:space="preserve">NFT-/XUTR/DEUTH02509940345X </v>
          </cell>
          <cell r="CK8639" t="str">
            <v>2025-04-09</v>
          </cell>
          <cell r="CL8639">
            <v>6222.8580000000002</v>
          </cell>
        </row>
        <row r="8640">
          <cell r="CJ8640" t="str">
            <v xml:space="preserve">NFT-/XUTR/DEUTH02509940345X </v>
          </cell>
          <cell r="CK8640" t="str">
            <v>2025-04-09</v>
          </cell>
          <cell r="CL8640">
            <v>7314.665</v>
          </cell>
          <cell r="CM8640" t="str">
            <v xml:space="preserve">NFT-/XUTR/DEUTH02509969486X </v>
          </cell>
          <cell r="CN8640" t="str">
            <v>2025-04-09</v>
          </cell>
          <cell r="CO8640">
            <v>577.49</v>
          </cell>
        </row>
        <row r="8642">
          <cell r="CJ8642" t="str">
            <v xml:space="preserve">NFT-/XUTR/DEUTH02509940345X </v>
          </cell>
          <cell r="CK8642" t="str">
            <v>2025-04-09</v>
          </cell>
          <cell r="CL8642">
            <v>46883.49</v>
          </cell>
          <cell r="CM8642" t="str">
            <v xml:space="preserve">NFT-/XUTR/DEUTH02509969486X </v>
          </cell>
          <cell r="CN8642" t="str">
            <v>2025-04-09</v>
          </cell>
          <cell r="CO8642">
            <v>2911.7249999999999</v>
          </cell>
        </row>
        <row r="8643">
          <cell r="CJ8643" t="str">
            <v xml:space="preserve">NFT-/XUTR/DEUTH02509940345X </v>
          </cell>
          <cell r="CK8643" t="str">
            <v>2025-04-09</v>
          </cell>
          <cell r="CL8643">
            <v>18362.815999999999</v>
          </cell>
          <cell r="CM8643" t="str">
            <v xml:space="preserve">NFT-/XUTR/DEUTH02509969486X </v>
          </cell>
          <cell r="CN8643" t="str">
            <v>2025-04-09</v>
          </cell>
          <cell r="CO8643">
            <v>1389.8589999999999</v>
          </cell>
        </row>
        <row r="8644">
          <cell r="CJ8644" t="str">
            <v xml:space="preserve">NFT-/XUTR/DEUTH02509940345X </v>
          </cell>
          <cell r="CK8644" t="str">
            <v>2025-04-09</v>
          </cell>
          <cell r="CL8644">
            <v>18381.696</v>
          </cell>
          <cell r="CM8644" t="str">
            <v xml:space="preserve">NFT-/XUTR/DEUTH02509969486X </v>
          </cell>
          <cell r="CN8644" t="str">
            <v>2025-04-09</v>
          </cell>
          <cell r="CO8644">
            <v>1389.8589999999999</v>
          </cell>
        </row>
        <row r="8645">
          <cell r="CJ8645" t="str">
            <v xml:space="preserve">NFT-/XUTR/DEUTH02509940345X </v>
          </cell>
          <cell r="CK8645" t="str">
            <v>2025-04-09</v>
          </cell>
          <cell r="CL8645">
            <v>11277.62</v>
          </cell>
          <cell r="CM8645" t="str">
            <v xml:space="preserve">NFT-/XUTR/DEUTH02509969486X </v>
          </cell>
          <cell r="CN8645" t="str">
            <v>2025-04-09</v>
          </cell>
          <cell r="CO8645">
            <v>856.04200000000003</v>
          </cell>
        </row>
        <row r="8646">
          <cell r="CJ8646" t="str">
            <v xml:space="preserve">NFT-/XUTR/DEUTH02509940345X </v>
          </cell>
          <cell r="CK8646" t="str">
            <v>2025-04-09</v>
          </cell>
          <cell r="CL8646">
            <v>97589.856</v>
          </cell>
        </row>
        <row r="8647">
          <cell r="CJ8647" t="str">
            <v xml:space="preserve">NFT-/XUTR/DEUTH02509940345X </v>
          </cell>
          <cell r="CK8647" t="str">
            <v>2025-04-09</v>
          </cell>
          <cell r="CL8647">
            <v>18381.696</v>
          </cell>
          <cell r="CM8647" t="str">
            <v xml:space="preserve">NFT-/XUTR/DEUTH02509969486X </v>
          </cell>
          <cell r="CN8647" t="str">
            <v>2025-04-09</v>
          </cell>
          <cell r="CO8647">
            <v>1389.8589999999999</v>
          </cell>
        </row>
        <row r="8648">
          <cell r="CJ8648" t="str">
            <v xml:space="preserve">NFT-/XUTR/DEUTH02509940345X </v>
          </cell>
          <cell r="CK8648" t="str">
            <v>2025-04-09</v>
          </cell>
          <cell r="CL8648">
            <v>58026.22</v>
          </cell>
          <cell r="CM8648" t="str">
            <v xml:space="preserve">NFT-/XUTR/DEUTH02509969486X </v>
          </cell>
          <cell r="CN8648" t="str">
            <v>2025-04-09</v>
          </cell>
          <cell r="CO8648">
            <v>2911.72</v>
          </cell>
        </row>
        <row r="8649">
          <cell r="CJ8649" t="str">
            <v xml:space="preserve">NFT-/XUTR/DEUTH02509940345X </v>
          </cell>
          <cell r="CK8649" t="str">
            <v>2025-04-09</v>
          </cell>
          <cell r="CL8649">
            <v>18385.572</v>
          </cell>
          <cell r="CM8649" t="str">
            <v xml:space="preserve">NFT-/XUTR/DEUTH02509969486X </v>
          </cell>
          <cell r="CN8649" t="str">
            <v>2025-04-09</v>
          </cell>
          <cell r="CO8649">
            <v>1385.982</v>
          </cell>
        </row>
        <row r="8650">
          <cell r="CJ8650" t="str">
            <v xml:space="preserve">NFT-/XUTR/DEUTH02509940345X </v>
          </cell>
          <cell r="CK8650" t="str">
            <v>2025-04-09</v>
          </cell>
          <cell r="CL8650">
            <v>36764.356</v>
          </cell>
          <cell r="CM8650" t="str">
            <v xml:space="preserve">NFT-/XUTR/DEUTH02509969486X </v>
          </cell>
          <cell r="CN8650" t="str">
            <v>2025-04-09</v>
          </cell>
          <cell r="CO8650">
            <v>2779.7260000000001</v>
          </cell>
        </row>
        <row r="8651">
          <cell r="CJ8651" t="str">
            <v xml:space="preserve">NFT-/XUTR/DEUTH02509940345X </v>
          </cell>
          <cell r="CK8651" t="str">
            <v>2025-04-09</v>
          </cell>
          <cell r="CL8651">
            <v>18362.815999999999</v>
          </cell>
          <cell r="CM8651" t="str">
            <v xml:space="preserve">NFT-/XUTR/DEUTH02509969486X </v>
          </cell>
          <cell r="CN8651" t="str">
            <v>2025-04-09</v>
          </cell>
          <cell r="CO8651">
            <v>1389.8589999999999</v>
          </cell>
        </row>
        <row r="8652">
          <cell r="CJ8652" t="str">
            <v xml:space="preserve">NFT-/XUTR/DEUTH02509940345X </v>
          </cell>
          <cell r="CK8652" t="str">
            <v>2025-04-09</v>
          </cell>
          <cell r="CL8652">
            <v>18135.166000000001</v>
          </cell>
          <cell r="CM8652" t="str">
            <v xml:space="preserve">NFT-/XUTR/DEUTH02509969486X </v>
          </cell>
          <cell r="CN8652" t="str">
            <v>2025-04-09</v>
          </cell>
          <cell r="CO8652">
            <v>1492.741</v>
          </cell>
        </row>
        <row r="8653">
          <cell r="CJ8653" t="str">
            <v xml:space="preserve">NFT-/XUTR/DEUTH02509940345X </v>
          </cell>
          <cell r="CK8653" t="str">
            <v>2025-04-09</v>
          </cell>
          <cell r="CL8653">
            <v>18239.544999999998</v>
          </cell>
          <cell r="CM8653" t="str">
            <v xml:space="preserve">NFT-/XUTR/DEUTH02509969486X </v>
          </cell>
          <cell r="CN8653" t="str">
            <v>2025-04-09</v>
          </cell>
          <cell r="CO8653">
            <v>1369.48</v>
          </cell>
        </row>
        <row r="8654">
          <cell r="CJ8654" t="str">
            <v xml:space="preserve">NFT-/XUTR/DEUTH02509940345X </v>
          </cell>
          <cell r="CK8654" t="str">
            <v>2025-04-09</v>
          </cell>
          <cell r="CL8654">
            <v>17971.14</v>
          </cell>
          <cell r="CM8654" t="str">
            <v xml:space="preserve">NFT-/XUTR/DEUTH02509969486X </v>
          </cell>
          <cell r="CN8654" t="str">
            <v>2025-04-09</v>
          </cell>
          <cell r="CO8654">
            <v>1656.777</v>
          </cell>
        </row>
        <row r="8655">
          <cell r="CJ8655" t="str">
            <v xml:space="preserve">NFT-/XUTR/DEUTH02509940345X </v>
          </cell>
          <cell r="CK8655" t="str">
            <v>2025-04-09</v>
          </cell>
          <cell r="CL8655">
            <v>18247.75</v>
          </cell>
          <cell r="CM8655" t="str">
            <v xml:space="preserve">NFT-/XUTR/DEUTH02509969486X </v>
          </cell>
          <cell r="CN8655" t="str">
            <v>2025-04-09</v>
          </cell>
          <cell r="CO8655">
            <v>1380.1559999999999</v>
          </cell>
        </row>
        <row r="8656">
          <cell r="CJ8656" t="str">
            <v xml:space="preserve">NFT-/XUTR/DEUTH02509940345X </v>
          </cell>
          <cell r="CK8656" t="str">
            <v>2025-04-09</v>
          </cell>
          <cell r="CL8656">
            <v>11277.62</v>
          </cell>
          <cell r="CM8656" t="str">
            <v xml:space="preserve">NFT-/XUTR/DEUTH02509969486X </v>
          </cell>
          <cell r="CN8656" t="str">
            <v>2025-04-09</v>
          </cell>
          <cell r="CO8656">
            <v>856.04200000000003</v>
          </cell>
        </row>
        <row r="8657">
          <cell r="CJ8657" t="str">
            <v xml:space="preserve">NFT-/XUTR/DEUTH02509940345X </v>
          </cell>
          <cell r="CK8657" t="str">
            <v>2025-04-09</v>
          </cell>
          <cell r="CL8657">
            <v>36764.353999999999</v>
          </cell>
          <cell r="CM8657" t="str">
            <v xml:space="preserve">NFT-/XUTR/DEUTH02509969486X </v>
          </cell>
          <cell r="CN8657" t="str">
            <v>2025-04-09</v>
          </cell>
          <cell r="CO8657">
            <v>2777.788</v>
          </cell>
          <cell r="CP8657" t="str">
            <v xml:space="preserve">NFT-/XUTR/DEUTH02510641465X </v>
          </cell>
          <cell r="CQ8657" t="str">
            <v>2025-04-16</v>
          </cell>
          <cell r="CR8657">
            <v>-36764.353999999999</v>
          </cell>
          <cell r="CS8657" t="str">
            <v xml:space="preserve">NFT-/XUTR/DEUTH025106A0574X </v>
          </cell>
          <cell r="CT8657" t="str">
            <v>2025-04-16</v>
          </cell>
          <cell r="CU8657">
            <v>-2777.788</v>
          </cell>
        </row>
        <row r="8658">
          <cell r="CJ8658" t="str">
            <v xml:space="preserve">NFT-/XUTR/DEUTH02509940345X </v>
          </cell>
          <cell r="CK8658" t="str">
            <v>2025-04-09</v>
          </cell>
          <cell r="CL8658">
            <v>9164.6710000000003</v>
          </cell>
          <cell r="CM8658" t="str">
            <v xml:space="preserve">NFT-/XUTR/DEUTH02509969486X </v>
          </cell>
          <cell r="CN8658" t="str">
            <v>2025-04-09</v>
          </cell>
          <cell r="CO8658">
            <v>697.84199999999998</v>
          </cell>
        </row>
        <row r="8659">
          <cell r="CJ8659" t="str">
            <v xml:space="preserve">NFT-/XUTR/DEUTH02509940345X </v>
          </cell>
          <cell r="CK8659" t="str">
            <v>2025-04-09</v>
          </cell>
          <cell r="CL8659">
            <v>36764.356</v>
          </cell>
          <cell r="CM8659" t="str">
            <v xml:space="preserve">NFT-/XUTR/DEUTH02509969486X </v>
          </cell>
          <cell r="CN8659" t="str">
            <v>2025-04-09</v>
          </cell>
          <cell r="CO8659">
            <v>2777.79</v>
          </cell>
        </row>
        <row r="8660">
          <cell r="CJ8660" t="str">
            <v xml:space="preserve">NFT-/XUTR/DEUTH02509940345X </v>
          </cell>
          <cell r="CK8660" t="str">
            <v>2025-04-09</v>
          </cell>
          <cell r="CL8660">
            <v>9237.4639999999999</v>
          </cell>
          <cell r="CM8660" t="str">
            <v xml:space="preserve">NFT-/XUTR/DEUTH02509969486X </v>
          </cell>
          <cell r="CN8660" t="str">
            <v>2025-04-09</v>
          </cell>
          <cell r="CO8660">
            <v>702.69200000000001</v>
          </cell>
        </row>
        <row r="8661">
          <cell r="CJ8661" t="str">
            <v xml:space="preserve">NFT-/XUTR/DEUTH02509940345X </v>
          </cell>
          <cell r="CK8661" t="str">
            <v>2025-04-09</v>
          </cell>
          <cell r="CL8661">
            <v>18247.75</v>
          </cell>
          <cell r="CM8661" t="str">
            <v xml:space="preserve">NFT-/XUTR/DEUTH02509969486X </v>
          </cell>
          <cell r="CN8661" t="str">
            <v>2025-04-09</v>
          </cell>
          <cell r="CO8661">
            <v>1380.1569999999999</v>
          </cell>
        </row>
        <row r="8662">
          <cell r="CJ8662" t="str">
            <v xml:space="preserve">NFT-/XUTR/DEUTH02509940345X </v>
          </cell>
          <cell r="CK8662" t="str">
            <v>2025-04-09</v>
          </cell>
          <cell r="CL8662">
            <v>18381.696</v>
          </cell>
          <cell r="CM8662" t="str">
            <v xml:space="preserve">NFT-/XUTR/DEUTH02509969486X </v>
          </cell>
          <cell r="CN8662" t="str">
            <v>2025-04-09</v>
          </cell>
          <cell r="CO8662">
            <v>1389.8589999999999</v>
          </cell>
        </row>
        <row r="8663">
          <cell r="CJ8663" t="str">
            <v xml:space="preserve">NFT-/XUTR/DEUTH02509940345X </v>
          </cell>
          <cell r="CK8663" t="str">
            <v>2025-04-09</v>
          </cell>
          <cell r="CL8663">
            <v>8940.9079999999994</v>
          </cell>
          <cell r="CM8663" t="str">
            <v xml:space="preserve">NFT-/XUTR/DEUTH02509969486X </v>
          </cell>
          <cell r="CN8663" t="str">
            <v>2025-04-09</v>
          </cell>
          <cell r="CO8663">
            <v>1018.129</v>
          </cell>
        </row>
        <row r="8664">
          <cell r="CJ8664" t="str">
            <v xml:space="preserve">NFT-/XUTR/DEUTH02509940345X </v>
          </cell>
          <cell r="CK8664" t="str">
            <v>2025-04-09</v>
          </cell>
          <cell r="CL8664">
            <v>29770.893</v>
          </cell>
        </row>
        <row r="8665">
          <cell r="CJ8665" t="str">
            <v xml:space="preserve">NFT-/XUTR/DEUTH02509940345X </v>
          </cell>
          <cell r="CK8665" t="str">
            <v>2025-04-09</v>
          </cell>
          <cell r="CL8665">
            <v>45375.847999999998</v>
          </cell>
          <cell r="CM8665" t="str">
            <v xml:space="preserve">NFT-/XUTR/DEUTH02509969486X </v>
          </cell>
          <cell r="CN8665" t="str">
            <v>2025-04-09</v>
          </cell>
          <cell r="CO8665">
            <v>2911.7240000000002</v>
          </cell>
        </row>
        <row r="8666">
          <cell r="CJ8666" t="str">
            <v xml:space="preserve">NFT-/XUTR/DEUTH02509940345X </v>
          </cell>
          <cell r="CK8666" t="str">
            <v>2025-04-09</v>
          </cell>
          <cell r="CL8666">
            <v>45575.788</v>
          </cell>
          <cell r="CM8666" t="str">
            <v xml:space="preserve">NFT-/XUTR/DEUTH02509969486X </v>
          </cell>
          <cell r="CN8666" t="str">
            <v>2025-04-09</v>
          </cell>
          <cell r="CO8666">
            <v>2911.7240000000002</v>
          </cell>
        </row>
        <row r="8667">
          <cell r="CJ8667" t="str">
            <v xml:space="preserve">NFT-/XUTR/DEUTH02509940345X </v>
          </cell>
          <cell r="CK8667" t="str">
            <v>2025-04-09</v>
          </cell>
          <cell r="CL8667">
            <v>10752.269</v>
          </cell>
          <cell r="CM8667" t="str">
            <v xml:space="preserve">NFT-/XUTR/DEUTH02509969486X </v>
          </cell>
          <cell r="CN8667" t="str">
            <v>2025-04-09</v>
          </cell>
          <cell r="CO8667">
            <v>1429.6579999999999</v>
          </cell>
        </row>
        <row r="8668">
          <cell r="CJ8668" t="str">
            <v xml:space="preserve">NFT-/XUTR/DEUTH02509940345X </v>
          </cell>
          <cell r="CK8668" t="str">
            <v>2025-04-09</v>
          </cell>
          <cell r="CL8668">
            <v>36764.356</v>
          </cell>
          <cell r="CM8668" t="str">
            <v xml:space="preserve">NFT-/XUTR/DEUTH02509969486X </v>
          </cell>
          <cell r="CN8668" t="str">
            <v>2025-04-09</v>
          </cell>
          <cell r="CO8668">
            <v>2777.79</v>
          </cell>
        </row>
        <row r="8669">
          <cell r="CJ8669" t="str">
            <v xml:space="preserve">NFT-/XUTR/DEUTH02509940345X </v>
          </cell>
          <cell r="CK8669" t="str">
            <v>2025-04-09</v>
          </cell>
          <cell r="CL8669">
            <v>45575.788</v>
          </cell>
          <cell r="CM8669" t="str">
            <v xml:space="preserve">NFT-/XUTR/DEUTH02509969486X </v>
          </cell>
          <cell r="CN8669" t="str">
            <v>2025-04-09</v>
          </cell>
          <cell r="CO8669">
            <v>2911.7240000000002</v>
          </cell>
        </row>
        <row r="8670">
          <cell r="CJ8670" t="str">
            <v xml:space="preserve">NFT-/XUTR/DEUTH02509940345X </v>
          </cell>
          <cell r="CK8670" t="str">
            <v>2025-04-09</v>
          </cell>
          <cell r="CL8670">
            <v>18381.696</v>
          </cell>
          <cell r="CM8670" t="str">
            <v xml:space="preserve">NFT-/XUTR/DEUTH02509969486X </v>
          </cell>
          <cell r="CN8670" t="str">
            <v>2025-04-09</v>
          </cell>
          <cell r="CO8670">
            <v>1389.8589999999999</v>
          </cell>
        </row>
        <row r="8671">
          <cell r="CJ8671" t="str">
            <v xml:space="preserve">NFT-/XUTR/DEUTH02509940345X </v>
          </cell>
          <cell r="CK8671" t="str">
            <v>2025-04-09</v>
          </cell>
          <cell r="CL8671">
            <v>18362.815999999999</v>
          </cell>
          <cell r="CM8671" t="str">
            <v xml:space="preserve">NFT-/XUTR/DEUTH02509969486X </v>
          </cell>
          <cell r="CN8671" t="str">
            <v>2025-04-09</v>
          </cell>
          <cell r="CO8671">
            <v>1389.8589999999999</v>
          </cell>
        </row>
        <row r="8672">
          <cell r="CJ8672" t="str">
            <v xml:space="preserve">NFT-/XUTR/DEUTH02509940345X </v>
          </cell>
          <cell r="CK8672" t="str">
            <v>2025-04-09</v>
          </cell>
          <cell r="CL8672">
            <v>5906.4570000000003</v>
          </cell>
          <cell r="CM8672" t="str">
            <v xml:space="preserve">NFT-/XUTR/DEUTH02509969486X </v>
          </cell>
          <cell r="CN8672" t="str">
            <v>2025-04-09</v>
          </cell>
          <cell r="CO8672">
            <v>316.41000000000003</v>
          </cell>
        </row>
        <row r="8673">
          <cell r="CJ8673" t="str">
            <v xml:space="preserve">NFT-/XUTR/DEUTH02509940345X </v>
          </cell>
          <cell r="CK8673" t="str">
            <v>2025-04-09</v>
          </cell>
          <cell r="CL8673">
            <v>97608.736000000004</v>
          </cell>
        </row>
        <row r="8674">
          <cell r="CJ8674" t="str">
            <v xml:space="preserve">NFT-/XUTR/DEUTH02509940345X </v>
          </cell>
          <cell r="CK8674" t="str">
            <v>2025-04-09</v>
          </cell>
          <cell r="CL8674">
            <v>5676.1660000000002</v>
          </cell>
          <cell r="CM8674" t="str">
            <v xml:space="preserve">NFT-/XUTR/DEUTH02509969486X </v>
          </cell>
          <cell r="CN8674" t="str">
            <v>2025-04-09</v>
          </cell>
          <cell r="CO8674">
            <v>759.95899999999995</v>
          </cell>
        </row>
        <row r="8675">
          <cell r="CJ8675" t="str">
            <v xml:space="preserve">NFT-/XUTR/DEUTH02509940345X </v>
          </cell>
          <cell r="CK8675" t="str">
            <v>2025-04-09</v>
          </cell>
          <cell r="CL8675">
            <v>36745.474000000002</v>
          </cell>
          <cell r="CM8675" t="str">
            <v xml:space="preserve">NFT-/XUTR/DEUTH02509969486X </v>
          </cell>
          <cell r="CN8675" t="str">
            <v>2025-04-09</v>
          </cell>
          <cell r="CO8675">
            <v>2777.788</v>
          </cell>
        </row>
        <row r="8676">
          <cell r="CJ8676" t="str">
            <v xml:space="preserve">NFT-/XUTR/DEUTH02509940345X </v>
          </cell>
          <cell r="CK8676" t="str">
            <v>2025-04-09</v>
          </cell>
          <cell r="CL8676">
            <v>97786.884000000005</v>
          </cell>
        </row>
        <row r="8677">
          <cell r="CJ8677" t="str">
            <v xml:space="preserve">NFT-/XUTR/DEUTH02509940345X </v>
          </cell>
          <cell r="CK8677" t="str">
            <v>2025-04-09</v>
          </cell>
          <cell r="CL8677">
            <v>79539.544999999998</v>
          </cell>
          <cell r="CM8677" t="str">
            <v xml:space="preserve">NFT-/XUTR/DEUTH02510130063X </v>
          </cell>
          <cell r="CN8677" t="str">
            <v>2025-04-11</v>
          </cell>
          <cell r="CO8677">
            <v>-79539.544999999998</v>
          </cell>
        </row>
        <row r="8678">
          <cell r="CJ8678" t="str">
            <v xml:space="preserve">NFT-/XUTR/DEUTH02509940345X </v>
          </cell>
          <cell r="CK8678" t="str">
            <v>2025-04-09</v>
          </cell>
          <cell r="CL8678">
            <v>48710.741999999998</v>
          </cell>
        </row>
        <row r="8679">
          <cell r="CJ8679" t="str">
            <v xml:space="preserve">NFT-/XUTR/DEUTH02509940345X </v>
          </cell>
          <cell r="CK8679" t="str">
            <v>2025-04-09</v>
          </cell>
          <cell r="CL8679">
            <v>48710.741999999998</v>
          </cell>
        </row>
        <row r="8680">
          <cell r="CJ8680" t="str">
            <v xml:space="preserve">NFT-/XUTR/DEUTH02509940345X </v>
          </cell>
          <cell r="CK8680" t="str">
            <v>2025-04-09</v>
          </cell>
          <cell r="CL8680">
            <v>49630.745000000003</v>
          </cell>
        </row>
        <row r="8681">
          <cell r="CJ8681" t="str">
            <v xml:space="preserve">NFT-/XUTR/DEUTH02509940345X </v>
          </cell>
          <cell r="CK8681" t="str">
            <v>2025-04-09</v>
          </cell>
          <cell r="CL8681">
            <v>19724.963</v>
          </cell>
        </row>
        <row r="8682">
          <cell r="CJ8682" t="str">
            <v xml:space="preserve">NFT-/XUTR/DEUTH02509940345X </v>
          </cell>
          <cell r="CK8682" t="str">
            <v>2025-04-09</v>
          </cell>
          <cell r="CL8682">
            <v>9911.0409999999993</v>
          </cell>
        </row>
        <row r="8685">
          <cell r="CJ8685" t="str">
            <v xml:space="preserve">NFT-/XUTR/DEUTH02509940345X </v>
          </cell>
          <cell r="CK8685" t="str">
            <v>2025-04-09</v>
          </cell>
          <cell r="CL8685">
            <v>97777.182000000001</v>
          </cell>
          <cell r="CM8685" t="str">
            <v xml:space="preserve">NFT-/XUTR/DEUTH02509969486X </v>
          </cell>
          <cell r="CN8685" t="str">
            <v>2025-04-09</v>
          </cell>
          <cell r="CO8685">
            <v>504.70100000000002</v>
          </cell>
          <cell r="CP8685" t="str">
            <v xml:space="preserve">NFT-/XUTR/DEUTH02510641465X </v>
          </cell>
          <cell r="CQ8685" t="str">
            <v>2025-04-16</v>
          </cell>
          <cell r="CR8685">
            <v>-97777.182000000001</v>
          </cell>
          <cell r="CS8685" t="str">
            <v xml:space="preserve">NFT-/XUTR/DEUTH025106A0574X </v>
          </cell>
          <cell r="CT8685" t="str">
            <v>2025-04-16</v>
          </cell>
          <cell r="CU8685">
            <v>-504.70100000000002</v>
          </cell>
        </row>
        <row r="8686">
          <cell r="CJ8686" t="str">
            <v xml:space="preserve">NFT-/XUTR/DEUTH02509940345X </v>
          </cell>
          <cell r="CK8686" t="str">
            <v>2025-04-09</v>
          </cell>
          <cell r="CL8686">
            <v>98349.282000000007</v>
          </cell>
        </row>
        <row r="8687">
          <cell r="CJ8687" t="str">
            <v xml:space="preserve">NFT-/XUTR/DEUTH02509940345X </v>
          </cell>
          <cell r="CK8687" t="str">
            <v>2025-04-09</v>
          </cell>
          <cell r="CL8687">
            <v>1554.3979999999999</v>
          </cell>
        </row>
        <row r="8688">
          <cell r="CJ8688" t="str">
            <v xml:space="preserve">NFT-/XUTR/DEUTH02509940345X </v>
          </cell>
          <cell r="CK8688" t="str">
            <v>2025-04-09</v>
          </cell>
          <cell r="CL8688">
            <v>48963.087</v>
          </cell>
        </row>
        <row r="8689">
          <cell r="CJ8689" t="str">
            <v xml:space="preserve">NFT-/XUTR/DEUTH02509940345X </v>
          </cell>
          <cell r="CK8689" t="str">
            <v>2025-04-09</v>
          </cell>
          <cell r="CL8689">
            <v>49199.915999999997</v>
          </cell>
        </row>
        <row r="8690">
          <cell r="CJ8690" t="str">
            <v xml:space="preserve">NFT-/XUTR/DEUTH02509940345X </v>
          </cell>
          <cell r="CK8690" t="str">
            <v>2025-04-09</v>
          </cell>
          <cell r="CL8690">
            <v>19803.141</v>
          </cell>
        </row>
        <row r="8691">
          <cell r="CJ8691" t="str">
            <v xml:space="preserve">NFT-/XUTR/DEUTH02510130063X </v>
          </cell>
          <cell r="CK8691" t="str">
            <v>2025-04-11</v>
          </cell>
          <cell r="CL8691">
            <v>19744.377</v>
          </cell>
        </row>
        <row r="8692">
          <cell r="CJ8692" t="str">
            <v xml:space="preserve">NFT-/XUTR/DEUTH02510130063X </v>
          </cell>
          <cell r="CK8692" t="str">
            <v>2025-04-11</v>
          </cell>
          <cell r="CL8692">
            <v>46565.241999999998</v>
          </cell>
          <cell r="CM8692" t="str">
            <v xml:space="preserve">NFT-/XUTR/DEUTH02510145169X </v>
          </cell>
          <cell r="CN8692" t="str">
            <v>2025-04-11</v>
          </cell>
          <cell r="CO8692">
            <v>2455.5520000000001</v>
          </cell>
          <cell r="CP8692" t="str">
            <v xml:space="preserve">NFT-/XUTR/DEUTH02510641465X </v>
          </cell>
          <cell r="CQ8692" t="str">
            <v>2025-04-16</v>
          </cell>
          <cell r="CR8692">
            <v>-46565.241999999998</v>
          </cell>
          <cell r="CS8692" t="str">
            <v xml:space="preserve">NFT-/XUTR/DEUTH025106A0574X </v>
          </cell>
          <cell r="CT8692" t="str">
            <v>2025-04-16</v>
          </cell>
          <cell r="CU8692">
            <v>-2455.5520000000001</v>
          </cell>
        </row>
        <row r="8693">
          <cell r="CJ8693" t="str">
            <v xml:space="preserve">NFT-/XUTR/DEUTH02510130063X </v>
          </cell>
          <cell r="CK8693" t="str">
            <v>2025-04-11</v>
          </cell>
          <cell r="CL8693">
            <v>9619.8700000000008</v>
          </cell>
          <cell r="CM8693" t="str">
            <v xml:space="preserve">NFT-/XUTR/DEUTH02510145169X </v>
          </cell>
          <cell r="CN8693" t="str">
            <v>2025-04-11</v>
          </cell>
          <cell r="CO8693">
            <v>300.87400000000002</v>
          </cell>
          <cell r="CP8693" t="str">
            <v xml:space="preserve">NFT-/XUTR/DEUTH02510641465X </v>
          </cell>
          <cell r="CQ8693" t="str">
            <v>2025-04-16</v>
          </cell>
          <cell r="CR8693">
            <v>-9619.8700000000008</v>
          </cell>
          <cell r="CS8693" t="str">
            <v xml:space="preserve">NFT-/XUTR/DEUTH025106A0574X </v>
          </cell>
          <cell r="CT8693" t="str">
            <v>2025-04-16</v>
          </cell>
          <cell r="CU8693">
            <v>-300.87400000000002</v>
          </cell>
        </row>
        <row r="8694">
          <cell r="CJ8694" t="str">
            <v xml:space="preserve">NFT-/XUTR/DEUTH02510130063X </v>
          </cell>
          <cell r="CK8694" t="str">
            <v>2025-04-11</v>
          </cell>
          <cell r="CL8694">
            <v>11691.518</v>
          </cell>
          <cell r="CM8694" t="str">
            <v xml:space="preserve">NFT-/XUTR/DEUTH02510145169X </v>
          </cell>
          <cell r="CN8694" t="str">
            <v>2025-04-11</v>
          </cell>
          <cell r="CO8694">
            <v>363.96600000000001</v>
          </cell>
        </row>
        <row r="8696">
          <cell r="CJ8696" t="str">
            <v xml:space="preserve">NFT-/XUTR/DEUTH02510130063X </v>
          </cell>
          <cell r="CK8696" t="str">
            <v>2025-04-11</v>
          </cell>
          <cell r="CL8696">
            <v>9419.94</v>
          </cell>
          <cell r="CM8696" t="str">
            <v xml:space="preserve">NFT-/XUTR/DEUTH02510145169X </v>
          </cell>
          <cell r="CN8696" t="str">
            <v>2025-04-11</v>
          </cell>
          <cell r="CO8696">
            <v>500.81400000000002</v>
          </cell>
          <cell r="CP8696" t="str">
            <v xml:space="preserve">NFT-/XUTR/DEUTH02510641465X </v>
          </cell>
          <cell r="CQ8696" t="str">
            <v>2025-04-16</v>
          </cell>
          <cell r="CR8696">
            <v>-9419.94</v>
          </cell>
          <cell r="CS8696" t="str">
            <v xml:space="preserve">NFT-/XUTR/DEUTH025106A0574X </v>
          </cell>
          <cell r="CT8696" t="str">
            <v>2025-04-16</v>
          </cell>
          <cell r="CU8696">
            <v>-500.81400000000002</v>
          </cell>
        </row>
        <row r="8698">
          <cell r="CJ8698" t="str">
            <v xml:space="preserve">NFT-/XUTR/DEUTH02510130063X </v>
          </cell>
          <cell r="CK8698" t="str">
            <v>2025-04-11</v>
          </cell>
          <cell r="CL8698">
            <v>11662.937</v>
          </cell>
          <cell r="CM8698" t="str">
            <v xml:space="preserve">NFT-/XUTR/DEUTH02510145169X </v>
          </cell>
          <cell r="CN8698" t="str">
            <v>2025-04-11</v>
          </cell>
          <cell r="CO8698">
            <v>373.66699999999997</v>
          </cell>
        </row>
        <row r="8699">
          <cell r="CJ8699" t="str">
            <v xml:space="preserve">NFT-/XUTR/DEUTH02510130063X </v>
          </cell>
          <cell r="CK8699" t="str">
            <v>2025-04-11</v>
          </cell>
          <cell r="CL8699">
            <v>46546.362000000001</v>
          </cell>
          <cell r="CM8699" t="str">
            <v xml:space="preserve">NFT-/XUTR/DEUTH02510145169X </v>
          </cell>
          <cell r="CN8699" t="str">
            <v>2025-04-11</v>
          </cell>
          <cell r="CO8699">
            <v>2455.5520000000001</v>
          </cell>
        </row>
        <row r="8701">
          <cell r="CJ8701" t="str">
            <v xml:space="preserve">NFT-/XUTR/DEUTH02510130063X </v>
          </cell>
          <cell r="CK8701" t="str">
            <v>2025-04-11</v>
          </cell>
          <cell r="CL8701">
            <v>19139.977999999999</v>
          </cell>
          <cell r="CM8701" t="str">
            <v xml:space="preserve">NFT-/XUTR/DEUTH02510145169X </v>
          </cell>
          <cell r="CN8701" t="str">
            <v>2025-04-11</v>
          </cell>
          <cell r="CO8701">
            <v>594.95899999999995</v>
          </cell>
        </row>
        <row r="8702">
          <cell r="CJ8702" t="str">
            <v xml:space="preserve">NFT-/XUTR/DEUTH02510130063X </v>
          </cell>
          <cell r="CK8702" t="str">
            <v>2025-04-11</v>
          </cell>
          <cell r="CL8702">
            <v>46546.362000000001</v>
          </cell>
          <cell r="CM8702" t="str">
            <v xml:space="preserve">NFT-/XUTR/DEUTH02510145169X </v>
          </cell>
          <cell r="CN8702" t="str">
            <v>2025-04-11</v>
          </cell>
          <cell r="CO8702">
            <v>2455.5520000000001</v>
          </cell>
        </row>
        <row r="8703">
          <cell r="CJ8703" t="str">
            <v xml:space="preserve">NFT-/XUTR/DEUTH02510130063X </v>
          </cell>
          <cell r="CK8703" t="str">
            <v>2025-04-11</v>
          </cell>
          <cell r="CL8703">
            <v>19725.496999999999</v>
          </cell>
        </row>
        <row r="8704">
          <cell r="CJ8704" t="str">
            <v xml:space="preserve">NFT-/XUTR/DEUTH02510130063X </v>
          </cell>
          <cell r="CK8704" t="str">
            <v>2025-04-11</v>
          </cell>
          <cell r="CL8704">
            <v>47538.027000000002</v>
          </cell>
          <cell r="CM8704" t="str">
            <v xml:space="preserve">NFT-/XUTR/DEUTH02510145169X </v>
          </cell>
          <cell r="CN8704" t="str">
            <v>2025-04-11</v>
          </cell>
          <cell r="CO8704">
            <v>1473.337</v>
          </cell>
        </row>
        <row r="8705">
          <cell r="CJ8705" t="str">
            <v xml:space="preserve">NFT-/XUTR/DEUTH02510130063X </v>
          </cell>
          <cell r="CK8705" t="str">
            <v>2025-04-11</v>
          </cell>
          <cell r="CL8705">
            <v>93112.567999999999</v>
          </cell>
          <cell r="CM8705" t="str">
            <v xml:space="preserve">NFT-/XUTR/DEUTH02510145169X </v>
          </cell>
          <cell r="CN8705" t="str">
            <v>2025-04-11</v>
          </cell>
          <cell r="CO8705">
            <v>4911.1040000000003</v>
          </cell>
        </row>
        <row r="8706">
          <cell r="CJ8706" t="str">
            <v xml:space="preserve">NFT-/XUTR/DEUTH02510130063X </v>
          </cell>
          <cell r="CK8706" t="str">
            <v>2025-04-11</v>
          </cell>
          <cell r="CL8706">
            <v>9419.94</v>
          </cell>
          <cell r="CM8706" t="str">
            <v xml:space="preserve">NFT-/XUTR/DEUTH02510145169X </v>
          </cell>
          <cell r="CN8706" t="str">
            <v>2025-04-11</v>
          </cell>
          <cell r="CO8706">
            <v>500.81400000000002</v>
          </cell>
        </row>
        <row r="8707">
          <cell r="CJ8707" t="str">
            <v xml:space="preserve">NFT-/XUTR/DEUTH02510130063X </v>
          </cell>
          <cell r="CK8707" t="str">
            <v>2025-04-11</v>
          </cell>
          <cell r="CL8707">
            <v>9619.8700000000008</v>
          </cell>
          <cell r="CM8707" t="str">
            <v xml:space="preserve">NFT-/XUTR/DEUTH02510145169X </v>
          </cell>
          <cell r="CN8707" t="str">
            <v>2025-04-11</v>
          </cell>
          <cell r="CO8707">
            <v>300.87400000000002</v>
          </cell>
        </row>
        <row r="8708">
          <cell r="CJ8708" t="str">
            <v xml:space="preserve">NFT-/XUTR/DEUTH02510130063X </v>
          </cell>
          <cell r="CK8708" t="str">
            <v>2025-04-11</v>
          </cell>
          <cell r="CL8708">
            <v>45900.392999999996</v>
          </cell>
          <cell r="CM8708" t="str">
            <v xml:space="preserve">NFT-/XUTR/DEUTH02510145169X </v>
          </cell>
          <cell r="CN8708" t="str">
            <v>2025-04-11</v>
          </cell>
          <cell r="CO8708">
            <v>3120.4009999999998</v>
          </cell>
        </row>
        <row r="8709">
          <cell r="CJ8709" t="str">
            <v xml:space="preserve">NFT-/XUTR/DEUTH02510130063X </v>
          </cell>
          <cell r="CK8709" t="str">
            <v>2025-04-11</v>
          </cell>
          <cell r="CL8709">
            <v>18159.963</v>
          </cell>
          <cell r="CM8709" t="str">
            <v xml:space="preserve">NFT-/XUTR/DEUTH02510145169X </v>
          </cell>
          <cell r="CN8709" t="str">
            <v>2025-04-11</v>
          </cell>
          <cell r="CO8709">
            <v>1565.5340000000001</v>
          </cell>
        </row>
        <row r="8710">
          <cell r="CJ8710" t="str">
            <v xml:space="preserve">NFT-/XUTR/DEUTH02510130063X </v>
          </cell>
          <cell r="CK8710" t="str">
            <v>2025-04-11</v>
          </cell>
          <cell r="CL8710">
            <v>9939.6329999999998</v>
          </cell>
        </row>
        <row r="8711">
          <cell r="CJ8711" t="str">
            <v xml:space="preserve">NFT-/XUTR/DEUTH02510130063X </v>
          </cell>
          <cell r="CK8711" t="str">
            <v>2025-04-11</v>
          </cell>
          <cell r="CL8711">
            <v>49020.792999999998</v>
          </cell>
        </row>
        <row r="8712">
          <cell r="CJ8712" t="str">
            <v xml:space="preserve">NFT-/XUTR/DEUTH02510130063X </v>
          </cell>
          <cell r="CK8712" t="str">
            <v>2025-04-11</v>
          </cell>
          <cell r="CL8712">
            <v>49341.616000000002</v>
          </cell>
        </row>
        <row r="8713">
          <cell r="CJ8713" t="str">
            <v xml:space="preserve">NFT-/XUTR/DEUTH02510130063X </v>
          </cell>
          <cell r="CK8713" t="str">
            <v>2025-04-11</v>
          </cell>
          <cell r="CL8713">
            <v>46325.07</v>
          </cell>
          <cell r="CM8713" t="str">
            <v xml:space="preserve">NFT-/XUTR/DEUTH02510145169X </v>
          </cell>
          <cell r="CN8713" t="str">
            <v>2025-04-11</v>
          </cell>
          <cell r="CO8713">
            <v>2443.9119999999998</v>
          </cell>
        </row>
        <row r="8715">
          <cell r="CJ8715" t="str">
            <v xml:space="preserve">NFT-/XUTR/DEUTH02510130063X </v>
          </cell>
          <cell r="CK8715" t="str">
            <v>2025-04-11</v>
          </cell>
          <cell r="CL8715">
            <v>9383.0499999999993</v>
          </cell>
          <cell r="CM8715" t="str">
            <v xml:space="preserve">NFT-/XUTR/DEUTH02510145169X </v>
          </cell>
          <cell r="CN8715" t="str">
            <v>2025-04-11</v>
          </cell>
          <cell r="CO8715">
            <v>498.87599999999998</v>
          </cell>
        </row>
        <row r="8716">
          <cell r="CJ8716" t="str">
            <v xml:space="preserve">NFT-/XUTR/DEUTH02510130063X </v>
          </cell>
          <cell r="CK8716" t="str">
            <v>2025-04-11</v>
          </cell>
          <cell r="CL8716">
            <v>46325.07</v>
          </cell>
          <cell r="CM8716" t="str">
            <v xml:space="preserve">NFT-/XUTR/DEUTH02510145169X </v>
          </cell>
          <cell r="CN8716" t="str">
            <v>2025-04-11</v>
          </cell>
          <cell r="CO8716">
            <v>2443.9119999999998</v>
          </cell>
        </row>
        <row r="8717">
          <cell r="CJ8717" t="str">
            <v xml:space="preserve">NFT-/XUTR/DEUTH02510130063X </v>
          </cell>
          <cell r="CK8717" t="str">
            <v>2025-04-11</v>
          </cell>
          <cell r="CL8717">
            <v>99359.217999999993</v>
          </cell>
        </row>
        <row r="8718">
          <cell r="CJ8718" t="str">
            <v xml:space="preserve">NFT-/XUTR/DEUTH02510130063X </v>
          </cell>
          <cell r="CK8718" t="str">
            <v>2025-04-11</v>
          </cell>
          <cell r="CL8718">
            <v>46343.95</v>
          </cell>
          <cell r="CM8718" t="str">
            <v xml:space="preserve">NFT-/XUTR/DEUTH02510145169X </v>
          </cell>
          <cell r="CN8718" t="str">
            <v>2025-04-11</v>
          </cell>
          <cell r="CO8718">
            <v>2443.9119999999998</v>
          </cell>
          <cell r="CP8718" t="str">
            <v xml:space="preserve">NFT-/XUTR/DEUTH02510641465X </v>
          </cell>
          <cell r="CQ8718" t="str">
            <v>2025-04-16</v>
          </cell>
          <cell r="CR8718">
            <v>-46343.95</v>
          </cell>
          <cell r="CS8718" t="str">
            <v xml:space="preserve">NFT-/XUTR/DEUTH025106A0574X </v>
          </cell>
          <cell r="CT8718" t="str">
            <v>2025-04-16</v>
          </cell>
          <cell r="CU8718">
            <v>-2443.9119999999998</v>
          </cell>
        </row>
        <row r="8719">
          <cell r="CJ8719" t="str">
            <v xml:space="preserve">NFT-/XUTR/DEUTH02510130063X </v>
          </cell>
          <cell r="CK8719" t="str">
            <v>2025-04-11</v>
          </cell>
          <cell r="CL8719">
            <v>46325.07</v>
          </cell>
          <cell r="CM8719" t="str">
            <v xml:space="preserve">NFT-/XUTR/DEUTH02510145169X </v>
          </cell>
          <cell r="CN8719" t="str">
            <v>2025-04-11</v>
          </cell>
          <cell r="CO8719">
            <v>2443.9119999999998</v>
          </cell>
        </row>
        <row r="8720">
          <cell r="CJ8720" t="str">
            <v xml:space="preserve">NFT-/XUTR/DEUTH02510130063X </v>
          </cell>
          <cell r="CK8720" t="str">
            <v>2025-04-11</v>
          </cell>
          <cell r="CL8720">
            <v>9401.93</v>
          </cell>
          <cell r="CM8720" t="str">
            <v xml:space="preserve">NFT-/XUTR/DEUTH02510145169X </v>
          </cell>
          <cell r="CN8720" t="str">
            <v>2025-04-11</v>
          </cell>
          <cell r="CO8720">
            <v>498.875</v>
          </cell>
        </row>
        <row r="8721">
          <cell r="CJ8721" t="str">
            <v xml:space="preserve">NFT-/XUTR/DEUTH02510130063X </v>
          </cell>
          <cell r="CK8721" t="str">
            <v>2025-04-11</v>
          </cell>
          <cell r="CL8721">
            <v>18803.86</v>
          </cell>
          <cell r="CM8721" t="str">
            <v xml:space="preserve">NFT-/XUTR/DEUTH02510145169X </v>
          </cell>
          <cell r="CN8721" t="str">
            <v>2025-04-11</v>
          </cell>
          <cell r="CO8721">
            <v>997.75199999999995</v>
          </cell>
        </row>
        <row r="8722">
          <cell r="CJ8722" t="str">
            <v xml:space="preserve">NFT-/XUTR/DEUTH02510130063X </v>
          </cell>
          <cell r="CK8722" t="str">
            <v>2025-04-11</v>
          </cell>
          <cell r="CL8722">
            <v>46343.95</v>
          </cell>
          <cell r="CM8722" t="str">
            <v xml:space="preserve">NFT-/XUTR/DEUTH02510145169X </v>
          </cell>
          <cell r="CN8722" t="str">
            <v>2025-04-11</v>
          </cell>
          <cell r="CO8722">
            <v>2443.9119999999998</v>
          </cell>
        </row>
        <row r="8723">
          <cell r="CJ8723" t="str">
            <v xml:space="preserve">NFT-/XUTR/DEUTH02510130063X </v>
          </cell>
          <cell r="CK8723" t="str">
            <v>2025-04-11</v>
          </cell>
          <cell r="CL8723">
            <v>18641.363000000001</v>
          </cell>
          <cell r="CM8723" t="str">
            <v xml:space="preserve">NFT-/XUTR/DEUTH02510145169X </v>
          </cell>
          <cell r="CN8723" t="str">
            <v>2025-04-11</v>
          </cell>
          <cell r="CO8723">
            <v>987.07600000000002</v>
          </cell>
        </row>
        <row r="8724">
          <cell r="CJ8724" t="str">
            <v xml:space="preserve">NFT-/XUTR/DEUTH02510130063X </v>
          </cell>
          <cell r="CK8724" t="str">
            <v>2025-04-11</v>
          </cell>
          <cell r="CL8724">
            <v>9401.93</v>
          </cell>
          <cell r="CM8724" t="str">
            <v xml:space="preserve">NFT-/XUTR/DEUTH02510145169X </v>
          </cell>
          <cell r="CN8724" t="str">
            <v>2025-04-11</v>
          </cell>
          <cell r="CO8724">
            <v>498.87599999999998</v>
          </cell>
        </row>
        <row r="8725">
          <cell r="CJ8725" t="str">
            <v xml:space="preserve">NFT-/XUTR/DEUTH02510130063X </v>
          </cell>
          <cell r="CK8725" t="str">
            <v>2025-04-11</v>
          </cell>
          <cell r="CL8725">
            <v>9401.93</v>
          </cell>
          <cell r="CM8725" t="str">
            <v xml:space="preserve">NFT-/XUTR/DEUTH02510145169X </v>
          </cell>
          <cell r="CN8725" t="str">
            <v>2025-04-11</v>
          </cell>
          <cell r="CO8725">
            <v>498.87599999999998</v>
          </cell>
        </row>
        <row r="8726">
          <cell r="CJ8726" t="str">
            <v xml:space="preserve">NFT-/XUTR/DEUTH02510130063X </v>
          </cell>
          <cell r="CK8726" t="str">
            <v>2025-04-11</v>
          </cell>
          <cell r="CL8726">
            <v>46325.07</v>
          </cell>
          <cell r="CM8726" t="str">
            <v xml:space="preserve">NFT-/XUTR/DEUTH02510145169X </v>
          </cell>
          <cell r="CN8726" t="str">
            <v>2025-04-11</v>
          </cell>
          <cell r="CO8726">
            <v>2443.9119999999998</v>
          </cell>
        </row>
        <row r="8727">
          <cell r="CJ8727" t="str">
            <v xml:space="preserve">NFT-/XUTR/DEUTH02510130063X </v>
          </cell>
          <cell r="CK8727" t="str">
            <v>2025-04-11</v>
          </cell>
          <cell r="CL8727">
            <v>55694.421000000002</v>
          </cell>
          <cell r="CM8727" t="str">
            <v xml:space="preserve">NFT-/XUTR/DEUTH02510145169X </v>
          </cell>
          <cell r="CN8727" t="str">
            <v>2025-04-11</v>
          </cell>
          <cell r="CO8727">
            <v>3249.4929999999999</v>
          </cell>
        </row>
        <row r="8728">
          <cell r="CJ8728" t="str">
            <v xml:space="preserve">NFT-/XUTR/DEUTH02510130063X </v>
          </cell>
          <cell r="CK8728" t="str">
            <v>2025-04-11</v>
          </cell>
          <cell r="CL8728">
            <v>46343.95</v>
          </cell>
          <cell r="CM8728" t="str">
            <v xml:space="preserve">NFT-/XUTR/DEUTH02510145169X </v>
          </cell>
          <cell r="CN8728" t="str">
            <v>2025-04-11</v>
          </cell>
          <cell r="CO8728">
            <v>2443.9119999999998</v>
          </cell>
          <cell r="CP8728" t="str">
            <v xml:space="preserve">NFT-/XUTR/DEUTH02510641465X </v>
          </cell>
          <cell r="CQ8728" t="str">
            <v>2025-04-16</v>
          </cell>
          <cell r="CR8728">
            <v>-46343.95</v>
          </cell>
          <cell r="CS8728" t="str">
            <v xml:space="preserve">NFT-/XUTR/DEUTH025106A0574X </v>
          </cell>
          <cell r="CT8728" t="str">
            <v>2025-04-16</v>
          </cell>
          <cell r="CU8728">
            <v>-2443.9119999999998</v>
          </cell>
        </row>
        <row r="8729">
          <cell r="CJ8729" t="str">
            <v xml:space="preserve">NFT-/XUTR/DEUTH02510130063X </v>
          </cell>
          <cell r="CK8729" t="str">
            <v>2025-04-11</v>
          </cell>
          <cell r="CL8729">
            <v>46325.07</v>
          </cell>
          <cell r="CM8729" t="str">
            <v xml:space="preserve">NFT-/XUTR/DEUTH02510145169X </v>
          </cell>
          <cell r="CN8729" t="str">
            <v>2025-04-11</v>
          </cell>
          <cell r="CO8729">
            <v>2443.9119999999998</v>
          </cell>
        </row>
        <row r="8730">
          <cell r="CJ8730" t="str">
            <v xml:space="preserve">NFT-/XUTR/DEUTH02510130063X </v>
          </cell>
          <cell r="CK8730" t="str">
            <v>2025-04-11</v>
          </cell>
          <cell r="CL8730">
            <v>10500.626</v>
          </cell>
          <cell r="CM8730" t="str">
            <v xml:space="preserve">NFT-/XUTR/DEUTH02510145169X </v>
          </cell>
          <cell r="CN8730" t="str">
            <v>2025-04-11</v>
          </cell>
          <cell r="CO8730">
            <v>1176.3399999999999</v>
          </cell>
        </row>
        <row r="8731">
          <cell r="CJ8731" t="str">
            <v xml:space="preserve">NFT-/XUTR/DEUTH02510130063X </v>
          </cell>
          <cell r="CK8731" t="str">
            <v>2025-04-11</v>
          </cell>
          <cell r="CL8731">
            <v>18617.099999999999</v>
          </cell>
          <cell r="CM8731" t="str">
            <v xml:space="preserve">NFT-/XUTR/DEUTH02510145169X </v>
          </cell>
          <cell r="CN8731" t="str">
            <v>2025-04-11</v>
          </cell>
          <cell r="CO8731">
            <v>1011.341</v>
          </cell>
        </row>
        <row r="8732">
          <cell r="CJ8732" t="str">
            <v xml:space="preserve">NFT-/XUTR/DEUTH02510130063X </v>
          </cell>
          <cell r="CK8732" t="str">
            <v>2025-04-11</v>
          </cell>
          <cell r="CL8732">
            <v>18660.242999999999</v>
          </cell>
          <cell r="CM8732" t="str">
            <v xml:space="preserve">NFT-/XUTR/DEUTH02510145169X </v>
          </cell>
          <cell r="CN8732" t="str">
            <v>2025-04-11</v>
          </cell>
          <cell r="CO8732">
            <v>987.077</v>
          </cell>
        </row>
        <row r="8733">
          <cell r="CJ8733" t="str">
            <v xml:space="preserve">NFT-/XUTR/DEUTH02510130063X </v>
          </cell>
          <cell r="CK8733" t="str">
            <v>2025-04-11</v>
          </cell>
          <cell r="CL8733">
            <v>2622.03</v>
          </cell>
        </row>
        <row r="8734">
          <cell r="CJ8734" t="str">
            <v xml:space="preserve">NFT-/XUTR/DEUTH02510130063X </v>
          </cell>
          <cell r="CK8734" t="str">
            <v>2025-04-11</v>
          </cell>
          <cell r="CL8734">
            <v>5951.098</v>
          </cell>
          <cell r="CM8734" t="str">
            <v xml:space="preserve">NFT-/XUTR/DEUTH02511149439X </v>
          </cell>
          <cell r="CN8734" t="str">
            <v>2025-04-21</v>
          </cell>
          <cell r="CO8734">
            <v>-5951.098</v>
          </cell>
        </row>
        <row r="8735">
          <cell r="CJ8735" t="str">
            <v xml:space="preserve">NFT-/XUTR/DEUTH02511342948X </v>
          </cell>
          <cell r="CK8735" t="str">
            <v>2025-04-23</v>
          </cell>
          <cell r="CL8735">
            <v>-36315.947999999997</v>
          </cell>
          <cell r="CM8735" t="str">
            <v xml:space="preserve">NFT-/XUTR/DEUTH02511387133X </v>
          </cell>
          <cell r="CN8735" t="str">
            <v>2025-04-23</v>
          </cell>
          <cell r="CO8735">
            <v>-2746.7240000000002</v>
          </cell>
          <cell r="CP8735" t="str">
            <v xml:space="preserve">NFT-/XUTR/DEUTH02510641465X </v>
          </cell>
          <cell r="CQ8735" t="str">
            <v>2025-04-16</v>
          </cell>
          <cell r="CR8735">
            <v>36315.947999999997</v>
          </cell>
          <cell r="CS8735" t="str">
            <v xml:space="preserve">NFT-/XUTR/DEUTH025106A0574X </v>
          </cell>
          <cell r="CT8735" t="str">
            <v>2025-04-16</v>
          </cell>
          <cell r="CU8735">
            <v>2746.7240000000002</v>
          </cell>
        </row>
        <row r="8736">
          <cell r="CJ8736" t="str">
            <v xml:space="preserve">NFT-/XUTR/DEUTH02510641465X </v>
          </cell>
          <cell r="CK8736" t="str">
            <v>2025-04-16</v>
          </cell>
          <cell r="CL8736">
            <v>9318.02</v>
          </cell>
          <cell r="CM8736" t="str">
            <v xml:space="preserve">NFT-/XUTR/DEUTH025106A0574X </v>
          </cell>
          <cell r="CN8736" t="str">
            <v>2025-04-16</v>
          </cell>
          <cell r="CO8736">
            <v>495.96300000000002</v>
          </cell>
        </row>
        <row r="8737">
          <cell r="CJ8737" t="str">
            <v xml:space="preserve">NFT-/XUTR/DEUTH02510641465X </v>
          </cell>
          <cell r="CK8737" t="str">
            <v>2025-04-16</v>
          </cell>
          <cell r="CL8737">
            <v>18055.573</v>
          </cell>
          <cell r="CM8737" t="str">
            <v xml:space="preserve">NFT-/XUTR/DEUTH025106A0574X </v>
          </cell>
          <cell r="CN8737" t="str">
            <v>2025-04-16</v>
          </cell>
          <cell r="CO8737">
            <v>1475.2750000000001</v>
          </cell>
        </row>
        <row r="8738">
          <cell r="CJ8738" t="str">
            <v xml:space="preserve">NFT-/XUTR/DEUTH02510641465X </v>
          </cell>
          <cell r="CK8738" t="str">
            <v>2025-04-16</v>
          </cell>
          <cell r="CL8738">
            <v>18138.611000000001</v>
          </cell>
          <cell r="CM8738" t="str">
            <v xml:space="preserve">NFT-/XUTR/DEUTH025106A0574X </v>
          </cell>
          <cell r="CN8738" t="str">
            <v>2025-04-16</v>
          </cell>
          <cell r="CO8738">
            <v>1373.367</v>
          </cell>
        </row>
        <row r="8739">
          <cell r="CJ8739" t="str">
            <v xml:space="preserve">NFT-/XUTR/DEUTH02510641465X </v>
          </cell>
          <cell r="CK8739" t="str">
            <v>2025-04-16</v>
          </cell>
          <cell r="CL8739">
            <v>18138.611000000001</v>
          </cell>
          <cell r="CM8739" t="str">
            <v xml:space="preserve">NFT-/XUTR/DEUTH025106A0574X </v>
          </cell>
          <cell r="CN8739" t="str">
            <v>2025-04-16</v>
          </cell>
          <cell r="CO8739">
            <v>1373.367</v>
          </cell>
        </row>
        <row r="8740">
          <cell r="CJ8740" t="str">
            <v xml:space="preserve">NFT-/XUTR/DEUTH02510641465X </v>
          </cell>
          <cell r="CK8740" t="str">
            <v>2025-04-16</v>
          </cell>
          <cell r="CL8740">
            <v>18157.491000000002</v>
          </cell>
          <cell r="CM8740" t="str">
            <v xml:space="preserve">NFT-/XUTR/DEUTH025106A0574X </v>
          </cell>
          <cell r="CN8740" t="str">
            <v>2025-04-16</v>
          </cell>
          <cell r="CO8740">
            <v>1373.367</v>
          </cell>
        </row>
        <row r="8741">
          <cell r="CJ8741" t="str">
            <v xml:space="preserve">NFT-/XUTR/DEUTH02510641465X </v>
          </cell>
          <cell r="CK8741" t="str">
            <v>2025-04-16</v>
          </cell>
          <cell r="CL8741">
            <v>18157.490000000002</v>
          </cell>
          <cell r="CM8741" t="str">
            <v xml:space="preserve">NFT-/XUTR/DEUTH025106A0574X </v>
          </cell>
          <cell r="CN8741" t="str">
            <v>2025-04-16</v>
          </cell>
          <cell r="CO8741">
            <v>1373.3679999999999</v>
          </cell>
        </row>
        <row r="8742">
          <cell r="CJ8742" t="str">
            <v xml:space="preserve">NFT-/XUTR/DEUTH02510641465X </v>
          </cell>
          <cell r="CK8742" t="str">
            <v>2025-04-16</v>
          </cell>
          <cell r="CL8742">
            <v>18430.748</v>
          </cell>
          <cell r="CM8742" t="str">
            <v xml:space="preserve">NFT-/XUTR/DEUTH025106A0574X </v>
          </cell>
          <cell r="CN8742" t="str">
            <v>2025-04-16</v>
          </cell>
          <cell r="CO8742">
            <v>1081.22</v>
          </cell>
        </row>
        <row r="8743">
          <cell r="CJ8743" t="str">
            <v xml:space="preserve">NFT-/XUTR/DEUTH02510641465X </v>
          </cell>
          <cell r="CK8743" t="str">
            <v>2025-04-16</v>
          </cell>
          <cell r="CL8743">
            <v>9336.9</v>
          </cell>
          <cell r="CM8743" t="str">
            <v xml:space="preserve">NFT-/XUTR/DEUTH025106A0574X </v>
          </cell>
          <cell r="CN8743" t="str">
            <v>2025-04-16</v>
          </cell>
          <cell r="CO8743">
            <v>495.96300000000002</v>
          </cell>
        </row>
        <row r="8744">
          <cell r="CJ8744" t="str">
            <v xml:space="preserve">NFT-/XUTR/DEUTH02510641465X </v>
          </cell>
          <cell r="CK8744" t="str">
            <v>2025-04-16</v>
          </cell>
          <cell r="CL8744">
            <v>18138.611000000001</v>
          </cell>
          <cell r="CM8744" t="str">
            <v xml:space="preserve">NFT-/XUTR/DEUTH025106A0574X </v>
          </cell>
          <cell r="CN8744" t="str">
            <v>2025-04-16</v>
          </cell>
          <cell r="CO8744">
            <v>1373.367</v>
          </cell>
        </row>
        <row r="8745">
          <cell r="CJ8745" t="str">
            <v xml:space="preserve">NFT-/XUTR/DEUTH02510641465X </v>
          </cell>
          <cell r="CK8745" t="str">
            <v>2025-04-16</v>
          </cell>
          <cell r="CL8745">
            <v>17634.349999999999</v>
          </cell>
          <cell r="CM8745" t="str">
            <v xml:space="preserve">NFT-/XUTR/DEUTH025106A0574X </v>
          </cell>
          <cell r="CN8745" t="str">
            <v>2025-04-16</v>
          </cell>
          <cell r="CO8745">
            <v>1896.5070000000001</v>
          </cell>
        </row>
        <row r="8746">
          <cell r="CJ8746" t="str">
            <v xml:space="preserve">NFT-/XUTR/DEUTH02510641465X </v>
          </cell>
          <cell r="CK8746" t="str">
            <v>2025-04-16</v>
          </cell>
          <cell r="CL8746">
            <v>9318.02</v>
          </cell>
          <cell r="CM8746" t="str">
            <v xml:space="preserve">NFT-/XUTR/DEUTH025106A0574X </v>
          </cell>
          <cell r="CN8746" t="str">
            <v>2025-04-16</v>
          </cell>
          <cell r="CO8746">
            <v>495.96300000000002</v>
          </cell>
        </row>
        <row r="8747">
          <cell r="CJ8747" t="str">
            <v xml:space="preserve">NFT-/XUTR/DEUTH02510641465X </v>
          </cell>
          <cell r="CK8747" t="str">
            <v>2025-04-16</v>
          </cell>
          <cell r="CL8747">
            <v>18157.491000000002</v>
          </cell>
          <cell r="CM8747" t="str">
            <v xml:space="preserve">NFT-/XUTR/DEUTH025106A0574X </v>
          </cell>
          <cell r="CN8747" t="str">
            <v>2025-04-16</v>
          </cell>
          <cell r="CO8747">
            <v>1373.367</v>
          </cell>
        </row>
        <row r="8748">
          <cell r="CJ8748" t="str">
            <v xml:space="preserve">NFT-/XUTR/DEUTH02510641465X </v>
          </cell>
          <cell r="CK8748" t="str">
            <v>2025-04-16</v>
          </cell>
          <cell r="CL8748">
            <v>18157.491000000002</v>
          </cell>
          <cell r="CM8748" t="str">
            <v xml:space="preserve">NFT-/XUTR/DEUTH025106A0574X </v>
          </cell>
          <cell r="CN8748" t="str">
            <v>2025-04-16</v>
          </cell>
          <cell r="CO8748">
            <v>1373.367</v>
          </cell>
        </row>
        <row r="8749">
          <cell r="CJ8749" t="str">
            <v xml:space="preserve">NFT-/XUTR/DEUTH02510641465X </v>
          </cell>
          <cell r="CK8749" t="str">
            <v>2025-04-16</v>
          </cell>
          <cell r="CL8749">
            <v>45566.074999999997</v>
          </cell>
          <cell r="CM8749" t="str">
            <v xml:space="preserve">NFT-/XUTR/DEUTH025106A0574X </v>
          </cell>
          <cell r="CN8749" t="str">
            <v>2025-04-16</v>
          </cell>
          <cell r="CO8749">
            <v>2911.7240000000002</v>
          </cell>
        </row>
        <row r="8750">
          <cell r="CJ8750" t="str">
            <v xml:space="preserve">NFT-/XUTR/DEUTH02510641465X </v>
          </cell>
          <cell r="CK8750" t="str">
            <v>2025-04-16</v>
          </cell>
          <cell r="CL8750">
            <v>18138.611000000001</v>
          </cell>
          <cell r="CM8750" t="str">
            <v xml:space="preserve">NFT-/XUTR/DEUTH025106A0574X </v>
          </cell>
          <cell r="CN8750" t="str">
            <v>2025-04-16</v>
          </cell>
          <cell r="CO8750">
            <v>1373.367</v>
          </cell>
        </row>
        <row r="8751">
          <cell r="CJ8751" t="str">
            <v xml:space="preserve">NFT-/XUTR/DEUTH02510641465X </v>
          </cell>
          <cell r="CK8751" t="str">
            <v>2025-04-16</v>
          </cell>
          <cell r="CL8751">
            <v>18138.611000000001</v>
          </cell>
          <cell r="CM8751" t="str">
            <v xml:space="preserve">NFT-/XUTR/DEUTH025106A0574X </v>
          </cell>
          <cell r="CN8751" t="str">
            <v>2025-04-16</v>
          </cell>
          <cell r="CO8751">
            <v>1373.367</v>
          </cell>
        </row>
        <row r="8752">
          <cell r="CJ8752" t="str">
            <v xml:space="preserve">NFT-/XUTR/DEUTH02510641465X </v>
          </cell>
          <cell r="CK8752" t="str">
            <v>2025-04-16</v>
          </cell>
          <cell r="CL8752">
            <v>17186.916000000001</v>
          </cell>
          <cell r="CM8752" t="str">
            <v xml:space="preserve">NFT-/XUTR/DEUTH025106A0574X </v>
          </cell>
          <cell r="CN8752" t="str">
            <v>2025-04-16</v>
          </cell>
          <cell r="CO8752">
            <v>2343.942</v>
          </cell>
        </row>
        <row r="8753">
          <cell r="CJ8753" t="str">
            <v xml:space="preserve">NFT-/XUTR/DEUTH02510641465X </v>
          </cell>
          <cell r="CK8753" t="str">
            <v>2025-04-16</v>
          </cell>
          <cell r="CL8753">
            <v>9318.02</v>
          </cell>
          <cell r="CM8753" t="str">
            <v xml:space="preserve">NFT-/XUTR/DEUTH025106A0574X </v>
          </cell>
          <cell r="CN8753" t="str">
            <v>2025-04-16</v>
          </cell>
          <cell r="CO8753">
            <v>495.96300000000002</v>
          </cell>
        </row>
        <row r="8754">
          <cell r="CJ8754" t="str">
            <v xml:space="preserve">NFT-/XUTR/DEUTH02510641465X </v>
          </cell>
          <cell r="CK8754" t="str">
            <v>2025-04-16</v>
          </cell>
          <cell r="CL8754">
            <v>18138.611000000001</v>
          </cell>
          <cell r="CM8754" t="str">
            <v xml:space="preserve">NFT-/XUTR/DEUTH025106A0574X </v>
          </cell>
          <cell r="CN8754" t="str">
            <v>2025-04-16</v>
          </cell>
          <cell r="CO8754">
            <v>1373.367</v>
          </cell>
        </row>
        <row r="8755">
          <cell r="CJ8755" t="str">
            <v xml:space="preserve">NFT-/XUTR/DEUTH02510641465X </v>
          </cell>
          <cell r="CK8755" t="str">
            <v>2025-04-16</v>
          </cell>
          <cell r="CL8755">
            <v>21075.544000000002</v>
          </cell>
          <cell r="CM8755" t="str">
            <v xml:space="preserve">NFT-/XUTR/DEUTH025106A0574X </v>
          </cell>
          <cell r="CN8755" t="str">
            <v>2025-04-16</v>
          </cell>
          <cell r="CO8755">
            <v>1599.51</v>
          </cell>
        </row>
        <row r="8756">
          <cell r="CJ8756" t="str">
            <v xml:space="preserve">NFT-/XUTR/DEUTH02510641465X </v>
          </cell>
          <cell r="CK8756" t="str">
            <v>2025-04-16</v>
          </cell>
          <cell r="CL8756">
            <v>18432.696</v>
          </cell>
          <cell r="CM8756" t="str">
            <v xml:space="preserve">NFT-/XUTR/DEUTH025106A0574X </v>
          </cell>
          <cell r="CN8756" t="str">
            <v>2025-04-16</v>
          </cell>
          <cell r="CO8756">
            <v>1079.2819999999999</v>
          </cell>
        </row>
        <row r="8757">
          <cell r="CJ8757" t="str">
            <v xml:space="preserve">NFT-/XUTR/DEUTH02510641465X </v>
          </cell>
          <cell r="CK8757" t="str">
            <v>2025-04-16</v>
          </cell>
          <cell r="CL8757">
            <v>18138.611000000001</v>
          </cell>
          <cell r="CM8757" t="str">
            <v xml:space="preserve">NFT-/XUTR/DEUTH025106A0574X </v>
          </cell>
          <cell r="CN8757" t="str">
            <v>2025-04-16</v>
          </cell>
          <cell r="CO8757">
            <v>1373.367</v>
          </cell>
        </row>
        <row r="8758">
          <cell r="CJ8758" t="str">
            <v xml:space="preserve">NFT-/XUTR/DEUTH02510641465X </v>
          </cell>
          <cell r="CK8758" t="str">
            <v>2025-04-16</v>
          </cell>
          <cell r="CL8758">
            <v>36315.947999999997</v>
          </cell>
          <cell r="CM8758" t="str">
            <v xml:space="preserve">NFT-/XUTR/DEUTH025106A0574X </v>
          </cell>
          <cell r="CN8758" t="str">
            <v>2025-04-16</v>
          </cell>
          <cell r="CO8758">
            <v>2744.7860000000001</v>
          </cell>
        </row>
        <row r="8759">
          <cell r="CJ8759" t="str">
            <v xml:space="preserve">NFT-/XUTR/DEUTH02510641465X </v>
          </cell>
          <cell r="CK8759" t="str">
            <v>2025-04-16</v>
          </cell>
          <cell r="CL8759">
            <v>46067.330999999998</v>
          </cell>
          <cell r="CM8759" t="str">
            <v xml:space="preserve">NFT-/XUTR/DEUTH025106A0574X </v>
          </cell>
          <cell r="CN8759" t="str">
            <v>2025-04-16</v>
          </cell>
          <cell r="CO8759">
            <v>2429.35</v>
          </cell>
        </row>
        <row r="8760">
          <cell r="CJ8760" t="str">
            <v xml:space="preserve">NFT-/XUTR/DEUTH02510641465X </v>
          </cell>
          <cell r="CK8760" t="str">
            <v>2025-04-16</v>
          </cell>
          <cell r="CL8760">
            <v>18549.598000000002</v>
          </cell>
          <cell r="CM8760" t="str">
            <v xml:space="preserve">NFT-/XUTR/DEUTH025106A0574X </v>
          </cell>
          <cell r="CN8760" t="str">
            <v>2025-04-16</v>
          </cell>
          <cell r="CO8760">
            <v>981.25</v>
          </cell>
        </row>
        <row r="8761">
          <cell r="CJ8761" t="str">
            <v xml:space="preserve">NFT-/XUTR/DEUTH02510641465X </v>
          </cell>
          <cell r="CK8761" t="str">
            <v>2025-04-16</v>
          </cell>
          <cell r="CL8761">
            <v>18530.718000000001</v>
          </cell>
          <cell r="CM8761" t="str">
            <v xml:space="preserve">NFT-/XUTR/DEUTH025106A0574X </v>
          </cell>
          <cell r="CN8761" t="str">
            <v>2025-04-16</v>
          </cell>
          <cell r="CO8761">
            <v>981.25</v>
          </cell>
        </row>
        <row r="8762">
          <cell r="CJ8762" t="str">
            <v xml:space="preserve">NFT-/XUTR/DEUTH02510641465X </v>
          </cell>
          <cell r="CK8762" t="str">
            <v>2025-04-16</v>
          </cell>
          <cell r="CL8762">
            <v>45378.226000000002</v>
          </cell>
          <cell r="CM8762" t="str">
            <v xml:space="preserve">NFT-/XUTR/DEUTH025106A0574X </v>
          </cell>
          <cell r="CN8762" t="str">
            <v>2025-04-16</v>
          </cell>
          <cell r="CO8762">
            <v>3118.453</v>
          </cell>
        </row>
        <row r="8763">
          <cell r="CJ8763" t="str">
            <v xml:space="preserve">NFT-/XUTR/DEUTH02510641465X </v>
          </cell>
          <cell r="CK8763" t="str">
            <v>2025-04-16</v>
          </cell>
          <cell r="CL8763">
            <v>45566.074999999997</v>
          </cell>
          <cell r="CM8763" t="str">
            <v xml:space="preserve">NFT-/XUTR/DEUTH025106A0574X </v>
          </cell>
          <cell r="CN8763" t="str">
            <v>2025-04-16</v>
          </cell>
          <cell r="CO8763">
            <v>2911.7240000000002</v>
          </cell>
        </row>
        <row r="8764">
          <cell r="CJ8764" t="str">
            <v xml:space="preserve">NFT-/XUTR/DEUTH02510641465X </v>
          </cell>
          <cell r="CK8764" t="str">
            <v>2025-04-16</v>
          </cell>
          <cell r="CL8764">
            <v>9318.02</v>
          </cell>
          <cell r="CM8764" t="str">
            <v xml:space="preserve">NFT-/XUTR/DEUTH025106A0574X </v>
          </cell>
          <cell r="CN8764" t="str">
            <v>2025-04-16</v>
          </cell>
          <cell r="CO8764">
            <v>495.96300000000002</v>
          </cell>
        </row>
        <row r="8765">
          <cell r="CJ8765" t="str">
            <v xml:space="preserve">NFT-/XUTR/DEUTH02510641465X </v>
          </cell>
          <cell r="CK8765" t="str">
            <v>2025-04-16</v>
          </cell>
          <cell r="CL8765">
            <v>19240.208999999999</v>
          </cell>
        </row>
        <row r="8766">
          <cell r="CJ8766" t="str">
            <v xml:space="preserve">NFT-/XUTR/DEUTH02510641465X </v>
          </cell>
          <cell r="CK8766" t="str">
            <v>2025-04-16</v>
          </cell>
          <cell r="CL8766">
            <v>9687.8119999999999</v>
          </cell>
          <cell r="CM8766" t="str">
            <v xml:space="preserve">NFT-/XUTR/DEUTH025106A0574X </v>
          </cell>
          <cell r="CN8766" t="str">
            <v>2025-04-16</v>
          </cell>
          <cell r="CO8766">
            <v>1087.046</v>
          </cell>
        </row>
        <row r="8767">
          <cell r="CJ8767" t="str">
            <v xml:space="preserve">NFT-/XUTR/DEUTH02510641465X </v>
          </cell>
          <cell r="CK8767" t="str">
            <v>2025-04-16</v>
          </cell>
          <cell r="CL8767">
            <v>10231.34</v>
          </cell>
          <cell r="CM8767" t="str">
            <v xml:space="preserve">NFT-/XUTR/DEUTH025106A0574X </v>
          </cell>
          <cell r="CN8767" t="str">
            <v>2025-04-16</v>
          </cell>
          <cell r="CO8767">
            <v>543.51800000000003</v>
          </cell>
        </row>
        <row r="8768">
          <cell r="CJ8768" t="str">
            <v xml:space="preserve">NFT-/XUTR/DEUTH02510641465X </v>
          </cell>
          <cell r="CK8768" t="str">
            <v>2025-04-16</v>
          </cell>
          <cell r="CL8768">
            <v>5542.9759999999997</v>
          </cell>
          <cell r="CM8768" t="str">
            <v xml:space="preserve">NFT-/XUTR/DEUTH025106A0574X </v>
          </cell>
          <cell r="CN8768" t="str">
            <v>2025-04-16</v>
          </cell>
          <cell r="CO8768">
            <v>63.091000000000001</v>
          </cell>
        </row>
        <row r="8769">
          <cell r="CJ8769" t="str">
            <v xml:space="preserve">NFT-/XUTR/DEUTH02510641465X </v>
          </cell>
          <cell r="CK8769" t="str">
            <v>2025-04-16</v>
          </cell>
          <cell r="CL8769">
            <v>0</v>
          </cell>
        </row>
        <row r="8770">
          <cell r="CJ8770" t="str">
            <v xml:space="preserve">NFT-/XUTR/DEUTH02510641465X </v>
          </cell>
          <cell r="CK8770" t="str">
            <v>2025-04-16</v>
          </cell>
          <cell r="CL8770">
            <v>5314.8950000000004</v>
          </cell>
          <cell r="CM8770" t="str">
            <v xml:space="preserve">NFT-/XUTR/DEUTH025106A0574X </v>
          </cell>
          <cell r="CN8770" t="str">
            <v>2025-04-16</v>
          </cell>
          <cell r="CO8770">
            <v>291.173</v>
          </cell>
        </row>
        <row r="8771">
          <cell r="CJ8771" t="str">
            <v xml:space="preserve">NFT-/XUTR/DEUTH02510641465X </v>
          </cell>
          <cell r="CK8771" t="str">
            <v>2025-04-16</v>
          </cell>
          <cell r="CL8771">
            <v>45394.286999999997</v>
          </cell>
          <cell r="CM8771" t="str">
            <v xml:space="preserve">NFT-/XUTR/DEUTH025106A0574X </v>
          </cell>
          <cell r="CN8771" t="str">
            <v>2025-04-16</v>
          </cell>
          <cell r="CO8771">
            <v>2394.4090000000001</v>
          </cell>
        </row>
        <row r="8772">
          <cell r="CJ8772" t="str">
            <v xml:space="preserve">NFT-/XUTR/DEUTH02510641465X </v>
          </cell>
          <cell r="CK8772" t="str">
            <v>2025-04-16</v>
          </cell>
          <cell r="CL8772">
            <v>10032.803</v>
          </cell>
          <cell r="CM8772" t="str">
            <v xml:space="preserve">NFT-/XUTR/DEUTH025106A0574X </v>
          </cell>
          <cell r="CN8772" t="str">
            <v>2025-04-16</v>
          </cell>
          <cell r="CO8772">
            <v>760.93299999999999</v>
          </cell>
        </row>
        <row r="8773">
          <cell r="CJ8773" t="str">
            <v xml:space="preserve">NFT-/XUTR/DEUTH02510641465X </v>
          </cell>
          <cell r="CK8773" t="str">
            <v>2025-04-16</v>
          </cell>
          <cell r="CL8773">
            <v>18291.427</v>
          </cell>
          <cell r="CM8773" t="str">
            <v xml:space="preserve">NFT-/XUTR/DEUTH025106A0574X </v>
          </cell>
          <cell r="CN8773" t="str">
            <v>2025-04-16</v>
          </cell>
          <cell r="CO8773">
            <v>967.66200000000003</v>
          </cell>
        </row>
        <row r="8774">
          <cell r="CJ8774" t="str">
            <v xml:space="preserve">NFT-/XUTR/DEUTH02510641465X </v>
          </cell>
          <cell r="CK8774" t="str">
            <v>2025-04-16</v>
          </cell>
          <cell r="CL8774">
            <v>17663.026000000002</v>
          </cell>
          <cell r="CM8774" t="str">
            <v xml:space="preserve">NFT-/XUTR/DEUTH025106A0574X </v>
          </cell>
          <cell r="CN8774" t="str">
            <v>2025-04-16</v>
          </cell>
          <cell r="CO8774">
            <v>1577.184</v>
          </cell>
        </row>
        <row r="8775">
          <cell r="CJ8775" t="str">
            <v xml:space="preserve">NFT-/XUTR/DEUTH02510641465X </v>
          </cell>
          <cell r="CK8775" t="str">
            <v>2025-04-16</v>
          </cell>
          <cell r="CL8775">
            <v>44895.851999999999</v>
          </cell>
          <cell r="CM8775" t="str">
            <v xml:space="preserve">NFT-/XUTR/DEUTH025106A0574X </v>
          </cell>
          <cell r="CN8775" t="str">
            <v>2025-04-16</v>
          </cell>
          <cell r="CO8775">
            <v>2911.723</v>
          </cell>
        </row>
        <row r="8776">
          <cell r="CJ8776" t="str">
            <v xml:space="preserve">NFT-/XUTR/DEUTH02510641465X </v>
          </cell>
          <cell r="CK8776" t="str">
            <v>2025-04-16</v>
          </cell>
          <cell r="CL8776">
            <v>17886.256000000001</v>
          </cell>
          <cell r="CM8776" t="str">
            <v xml:space="preserve">NFT-/XUTR/DEUTH025106A0574X </v>
          </cell>
          <cell r="CN8776" t="str">
            <v>2025-04-16</v>
          </cell>
          <cell r="CO8776">
            <v>1353.954</v>
          </cell>
        </row>
        <row r="8777">
          <cell r="CJ8777" t="str">
            <v xml:space="preserve">NFT-/XUTR/DEUTH02510641465X </v>
          </cell>
          <cell r="CK8777" t="str">
            <v>2025-04-16</v>
          </cell>
          <cell r="CL8777">
            <v>9489.2860000000001</v>
          </cell>
          <cell r="CM8777" t="str">
            <v xml:space="preserve">NFT-/XUTR/DEUTH025106A0574X </v>
          </cell>
          <cell r="CN8777" t="str">
            <v>2025-04-16</v>
          </cell>
          <cell r="CO8777">
            <v>1304.451</v>
          </cell>
        </row>
        <row r="8778">
          <cell r="CJ8778" t="str">
            <v xml:space="preserve">NFT-/XUTR/DEUTH02510641465X </v>
          </cell>
          <cell r="CK8778" t="str">
            <v>2025-04-16</v>
          </cell>
          <cell r="CL8778">
            <v>10032.804</v>
          </cell>
          <cell r="CM8778" t="str">
            <v xml:space="preserve">NFT-/XUTR/DEUTH025106A0574X </v>
          </cell>
          <cell r="CN8778" t="str">
            <v>2025-04-16</v>
          </cell>
          <cell r="CO8778">
            <v>760.93299999999999</v>
          </cell>
        </row>
        <row r="8779">
          <cell r="CJ8779" t="str">
            <v xml:space="preserve">NFT-/XUTR/DEUTH02510641465X </v>
          </cell>
          <cell r="CK8779" t="str">
            <v>2025-04-16</v>
          </cell>
          <cell r="CL8779">
            <v>10032.803</v>
          </cell>
          <cell r="CM8779" t="str">
            <v xml:space="preserve">NFT-/XUTR/DEUTH025106A0574X </v>
          </cell>
          <cell r="CN8779" t="str">
            <v>2025-04-16</v>
          </cell>
          <cell r="CO8779">
            <v>760.93299999999999</v>
          </cell>
        </row>
        <row r="8780">
          <cell r="CJ8780" t="str">
            <v xml:space="preserve">NFT-/XUTR/DEUTH02510641465X </v>
          </cell>
          <cell r="CK8780" t="str">
            <v>2025-04-16</v>
          </cell>
          <cell r="CL8780">
            <v>16918.594000000001</v>
          </cell>
          <cell r="CM8780" t="str">
            <v xml:space="preserve">NFT-/XUTR/DEUTH025106A0574X </v>
          </cell>
          <cell r="CN8780" t="str">
            <v>2025-04-16</v>
          </cell>
          <cell r="CO8780">
            <v>2321.616</v>
          </cell>
        </row>
        <row r="8781">
          <cell r="CJ8781" t="str">
            <v xml:space="preserve">NFT-/XUTR/DEUTH02510641465X </v>
          </cell>
          <cell r="CK8781" t="str">
            <v>2025-04-16</v>
          </cell>
          <cell r="CL8781">
            <v>45394.286999999997</v>
          </cell>
          <cell r="CM8781" t="str">
            <v xml:space="preserve">NFT-/XUTR/DEUTH025106A0574X </v>
          </cell>
          <cell r="CN8781" t="str">
            <v>2025-04-16</v>
          </cell>
          <cell r="CO8781">
            <v>2394.4090000000001</v>
          </cell>
        </row>
        <row r="8782">
          <cell r="CJ8782" t="str">
            <v xml:space="preserve">NFT-/XUTR/DEUTH02510641465X </v>
          </cell>
          <cell r="CK8782" t="str">
            <v>2025-04-16</v>
          </cell>
          <cell r="CL8782">
            <v>44876.972000000002</v>
          </cell>
          <cell r="CM8782" t="str">
            <v xml:space="preserve">NFT-/XUTR/DEUTH025106A0574X </v>
          </cell>
          <cell r="CN8782" t="str">
            <v>2025-04-16</v>
          </cell>
          <cell r="CO8782">
            <v>2911.7240000000002</v>
          </cell>
        </row>
        <row r="8783">
          <cell r="CJ8783" t="str">
            <v xml:space="preserve">NFT-/XUTR/DEUTH02510641465X </v>
          </cell>
          <cell r="CK8783" t="str">
            <v>2025-04-16</v>
          </cell>
          <cell r="CL8783">
            <v>17886.256000000001</v>
          </cell>
          <cell r="CM8783" t="str">
            <v xml:space="preserve">NFT-/XUTR/DEUTH025106A0574X </v>
          </cell>
          <cell r="CN8783" t="str">
            <v>2025-04-16</v>
          </cell>
          <cell r="CO8783">
            <v>1353.954</v>
          </cell>
        </row>
        <row r="8784">
          <cell r="CJ8784" t="str">
            <v xml:space="preserve">NFT-/XUTR/DEUTH02510641465X </v>
          </cell>
          <cell r="CK8784" t="str">
            <v>2025-04-16</v>
          </cell>
          <cell r="CL8784">
            <v>17905.135999999999</v>
          </cell>
          <cell r="CM8784" t="str">
            <v xml:space="preserve">NFT-/XUTR/DEUTH025106A0574X </v>
          </cell>
          <cell r="CN8784" t="str">
            <v>2025-04-16</v>
          </cell>
          <cell r="CO8784">
            <v>1353.954</v>
          </cell>
        </row>
        <row r="8785">
          <cell r="CJ8785" t="str">
            <v xml:space="preserve">NFT-/XUTR/DEUTH02510641465X </v>
          </cell>
          <cell r="CK8785" t="str">
            <v>2025-04-16</v>
          </cell>
          <cell r="CL8785">
            <v>17905.136999999999</v>
          </cell>
          <cell r="CM8785" t="str">
            <v xml:space="preserve">NFT-/XUTR/DEUTH025106A0574X </v>
          </cell>
          <cell r="CN8785" t="str">
            <v>2025-04-16</v>
          </cell>
          <cell r="CO8785">
            <v>1353.954</v>
          </cell>
        </row>
        <row r="8786">
          <cell r="CJ8786" t="str">
            <v xml:space="preserve">NFT-/XUTR/DEUTH02510641465X </v>
          </cell>
          <cell r="CK8786" t="str">
            <v>2025-04-16</v>
          </cell>
          <cell r="CL8786">
            <v>96211.115999999995</v>
          </cell>
          <cell r="CM8786" t="str">
            <v xml:space="preserve">NFT-/XUTR/DEUTH02511808907X </v>
          </cell>
          <cell r="CN8786" t="str">
            <v>2025-04-28</v>
          </cell>
          <cell r="CO8786">
            <v>-96364.516000000003</v>
          </cell>
          <cell r="CP8786" t="str">
            <v xml:space="preserve">NFT-/XUTR/DEUTH02512248948X </v>
          </cell>
          <cell r="CQ8786" t="str">
            <v>2025-05-02</v>
          </cell>
          <cell r="CR8786">
            <v>23567.08</v>
          </cell>
        </row>
        <row r="8787">
          <cell r="CJ8787" t="str">
            <v xml:space="preserve">NFT-/XUTR/DEUTH02510641465X </v>
          </cell>
          <cell r="CK8787" t="str">
            <v>2025-04-16</v>
          </cell>
          <cell r="CL8787">
            <v>18291.428</v>
          </cell>
          <cell r="CM8787" t="str">
            <v xml:space="preserve">NFT-/XUTR/DEUTH025106A0574X </v>
          </cell>
          <cell r="CN8787" t="str">
            <v>2025-04-16</v>
          </cell>
          <cell r="CO8787">
            <v>967.66200000000003</v>
          </cell>
        </row>
        <row r="8788">
          <cell r="CJ8788" t="str">
            <v xml:space="preserve">NFT-/XUTR/DEUTH02510641465X </v>
          </cell>
          <cell r="CK8788" t="str">
            <v>2025-04-16</v>
          </cell>
          <cell r="CL8788">
            <v>74793.441000000006</v>
          </cell>
          <cell r="CM8788" t="str">
            <v xml:space="preserve">NFT-/XUTR/DEUTH025106A0574X </v>
          </cell>
          <cell r="CN8788" t="str">
            <v>2025-04-16</v>
          </cell>
          <cell r="CO8788">
            <v>2911.7240000000002</v>
          </cell>
        </row>
        <row r="8789">
          <cell r="CJ8789" t="str">
            <v xml:space="preserve">NFT-/XUTR/DEUTH02510641465X </v>
          </cell>
          <cell r="CK8789" t="str">
            <v>2025-04-16</v>
          </cell>
          <cell r="CL8789">
            <v>9687.8119999999999</v>
          </cell>
          <cell r="CM8789" t="str">
            <v xml:space="preserve">NFT-/XUTR/DEUTH025106A0574X </v>
          </cell>
          <cell r="CN8789" t="str">
            <v>2025-04-16</v>
          </cell>
          <cell r="CO8789">
            <v>1087.046</v>
          </cell>
        </row>
        <row r="8790">
          <cell r="CJ8790" t="str">
            <v xml:space="preserve">NFT-/XUTR/DEUTH02510641465X </v>
          </cell>
          <cell r="CK8790" t="str">
            <v>2025-04-16</v>
          </cell>
          <cell r="CL8790">
            <v>17227.241000000002</v>
          </cell>
          <cell r="CM8790" t="str">
            <v xml:space="preserve">NFT-/XUTR/DEUTH025106A0574X </v>
          </cell>
          <cell r="CN8790" t="str">
            <v>2025-04-16</v>
          </cell>
          <cell r="CO8790">
            <v>2012.9690000000001</v>
          </cell>
        </row>
        <row r="8791">
          <cell r="CJ8791" t="str">
            <v xml:space="preserve">NFT-/XUTR/DEUTH02510641465X </v>
          </cell>
          <cell r="CK8791" t="str">
            <v>2025-04-16</v>
          </cell>
          <cell r="CL8791">
            <v>18291.427</v>
          </cell>
          <cell r="CM8791" t="str">
            <v xml:space="preserve">NFT-/XUTR/DEUTH025106A0574X </v>
          </cell>
          <cell r="CN8791" t="str">
            <v>2025-04-16</v>
          </cell>
          <cell r="CO8791">
            <v>967.66200000000003</v>
          </cell>
        </row>
        <row r="8792">
          <cell r="CJ8792" t="str">
            <v xml:space="preserve">NFT-/XUTR/DEUTH02510641465X </v>
          </cell>
          <cell r="CK8792" t="str">
            <v>2025-04-16</v>
          </cell>
          <cell r="CL8792">
            <v>18272.546999999999</v>
          </cell>
          <cell r="CM8792" t="str">
            <v xml:space="preserve">NFT-/XUTR/DEUTH025106A0574X </v>
          </cell>
          <cell r="CN8792" t="str">
            <v>2025-04-16</v>
          </cell>
          <cell r="CO8792">
            <v>967.66200000000003</v>
          </cell>
        </row>
        <row r="8793">
          <cell r="CJ8793" t="str">
            <v xml:space="preserve">NFT-/XUTR/DEUTH02510641465X </v>
          </cell>
          <cell r="CK8793" t="str">
            <v>2025-04-16</v>
          </cell>
          <cell r="CL8793">
            <v>17886.256000000001</v>
          </cell>
          <cell r="CM8793" t="str">
            <v xml:space="preserve">NFT-/XUTR/DEUTH025106A0574X </v>
          </cell>
          <cell r="CN8793" t="str">
            <v>2025-04-16</v>
          </cell>
          <cell r="CO8793">
            <v>1353.954</v>
          </cell>
        </row>
        <row r="8794">
          <cell r="CJ8794" t="str">
            <v xml:space="preserve">NFT-/XUTR/DEUTH02510641465X </v>
          </cell>
          <cell r="CK8794" t="str">
            <v>2025-04-16</v>
          </cell>
          <cell r="CL8794">
            <v>17304.884999999998</v>
          </cell>
          <cell r="CM8794" t="str">
            <v xml:space="preserve">NFT-/XUTR/DEUTH025106A0574X </v>
          </cell>
          <cell r="CN8794" t="str">
            <v>2025-04-16</v>
          </cell>
          <cell r="CO8794">
            <v>1935.3240000000001</v>
          </cell>
        </row>
        <row r="8795">
          <cell r="CJ8795" t="str">
            <v xml:space="preserve">NFT-/XUTR/DEUTH02510641465X </v>
          </cell>
          <cell r="CK8795" t="str">
            <v>2025-04-16</v>
          </cell>
          <cell r="CL8795">
            <v>17433.97</v>
          </cell>
          <cell r="CM8795" t="str">
            <v xml:space="preserve">NFT-/XUTR/DEUTH025106A0574X </v>
          </cell>
          <cell r="CN8795" t="str">
            <v>2025-04-16</v>
          </cell>
          <cell r="CO8795">
            <v>1806.24</v>
          </cell>
        </row>
        <row r="8796">
          <cell r="CJ8796" t="str">
            <v xml:space="preserve">NFT-/XUTR/DEUTH02510641465X </v>
          </cell>
          <cell r="CK8796" t="str">
            <v>2025-04-16</v>
          </cell>
          <cell r="CL8796">
            <v>17895.696</v>
          </cell>
          <cell r="CM8796" t="str">
            <v xml:space="preserve">NFT-/XUTR/DEUTH025106A0574X </v>
          </cell>
          <cell r="CN8796" t="str">
            <v>2025-04-16</v>
          </cell>
          <cell r="CO8796">
            <v>1353.954</v>
          </cell>
        </row>
        <row r="8797">
          <cell r="CJ8797" t="str">
            <v xml:space="preserve">NFT-/XUTR/DEUTH02510641465X </v>
          </cell>
          <cell r="CK8797" t="str">
            <v>2025-04-16</v>
          </cell>
          <cell r="CL8797">
            <v>5686.3059999999996</v>
          </cell>
        </row>
        <row r="8798">
          <cell r="CJ8798" t="str">
            <v xml:space="preserve">NFT-/XUTR/DEUTH02510641465X </v>
          </cell>
          <cell r="CK8798" t="str">
            <v>2025-04-16</v>
          </cell>
          <cell r="CL8798">
            <v>45413.165999999997</v>
          </cell>
          <cell r="CM8798" t="str">
            <v xml:space="preserve">NFT-/XUTR/DEUTH025106A0574X </v>
          </cell>
          <cell r="CN8798" t="str">
            <v>2025-04-16</v>
          </cell>
          <cell r="CO8798">
            <v>2394.4090000000001</v>
          </cell>
        </row>
        <row r="8799">
          <cell r="CJ8799" t="str">
            <v xml:space="preserve">NFT-/XUTR/DEUTH02510641465X </v>
          </cell>
          <cell r="CK8799" t="str">
            <v>2025-04-16</v>
          </cell>
          <cell r="CL8799">
            <v>45394.286999999997</v>
          </cell>
          <cell r="CM8799" t="str">
            <v xml:space="preserve">NFT-/XUTR/DEUTH025106A0574X </v>
          </cell>
          <cell r="CN8799" t="str">
            <v>2025-04-16</v>
          </cell>
          <cell r="CO8799">
            <v>2394.4090000000001</v>
          </cell>
        </row>
        <row r="8800">
          <cell r="CJ8800" t="str">
            <v xml:space="preserve">NFT-/XUTR/DEUTH02510641465X </v>
          </cell>
          <cell r="CK8800" t="str">
            <v>2025-04-16</v>
          </cell>
          <cell r="CL8800">
            <v>45394.286999999997</v>
          </cell>
          <cell r="CM8800" t="str">
            <v xml:space="preserve">NFT-/XUTR/DEUTH025106A0574X </v>
          </cell>
          <cell r="CN8800" t="str">
            <v>2025-04-16</v>
          </cell>
          <cell r="CO8800">
            <v>2394.4090000000001</v>
          </cell>
        </row>
        <row r="8801">
          <cell r="CJ8801" t="str">
            <v xml:space="preserve">NFT-/XUTR/DEUTH02510641465X </v>
          </cell>
          <cell r="CK8801" t="str">
            <v>2025-04-16</v>
          </cell>
          <cell r="CL8801">
            <v>10032.804</v>
          </cell>
          <cell r="CM8801" t="str">
            <v xml:space="preserve">NFT-/XUTR/DEUTH025106A0574X </v>
          </cell>
          <cell r="CN8801" t="str">
            <v>2025-04-16</v>
          </cell>
          <cell r="CO8801">
            <v>760.93299999999999</v>
          </cell>
        </row>
        <row r="8802">
          <cell r="CJ8802" t="str">
            <v xml:space="preserve">NFT-/XUTR/DEUTH02510641465X </v>
          </cell>
          <cell r="CK8802" t="str">
            <v>2025-04-16</v>
          </cell>
          <cell r="CL8802">
            <v>17895.696</v>
          </cell>
          <cell r="CM8802" t="str">
            <v xml:space="preserve">NFT-/XUTR/DEUTH025106A0574X </v>
          </cell>
          <cell r="CN8802" t="str">
            <v>2025-04-16</v>
          </cell>
          <cell r="CO8802">
            <v>1353.954</v>
          </cell>
        </row>
        <row r="8803">
          <cell r="CJ8803" t="str">
            <v xml:space="preserve">NFT-/XUTR/DEUTH02510641465X </v>
          </cell>
          <cell r="CK8803" t="str">
            <v>2025-04-16</v>
          </cell>
          <cell r="CL8803">
            <v>17905.135999999999</v>
          </cell>
          <cell r="CM8803" t="str">
            <v xml:space="preserve">NFT-/XUTR/DEUTH025106A0574X </v>
          </cell>
          <cell r="CN8803" t="str">
            <v>2025-04-16</v>
          </cell>
          <cell r="CO8803">
            <v>1353.954</v>
          </cell>
        </row>
        <row r="8804">
          <cell r="CJ8804" t="str">
            <v xml:space="preserve">NFT-/XUTR/DEUTH02510641465X </v>
          </cell>
          <cell r="CK8804" t="str">
            <v>2025-04-16</v>
          </cell>
          <cell r="CL8804">
            <v>17888.634999999998</v>
          </cell>
          <cell r="CM8804" t="str">
            <v xml:space="preserve">NFT-/XUTR/DEUTH025106A0574X </v>
          </cell>
          <cell r="CN8804" t="str">
            <v>2025-04-16</v>
          </cell>
          <cell r="CO8804">
            <v>1370.454</v>
          </cell>
        </row>
        <row r="8805">
          <cell r="CJ8805" t="str">
            <v xml:space="preserve">NFT-/XUTR/DEUTH02510641465X </v>
          </cell>
          <cell r="CK8805" t="str">
            <v>2025-04-16</v>
          </cell>
          <cell r="CL8805">
            <v>10013.924000000001</v>
          </cell>
          <cell r="CM8805" t="str">
            <v xml:space="preserve">NFT-/XUTR/DEUTH025106A0574X </v>
          </cell>
          <cell r="CN8805" t="str">
            <v>2025-04-16</v>
          </cell>
          <cell r="CO8805">
            <v>760.93299999999999</v>
          </cell>
        </row>
        <row r="8806">
          <cell r="CJ8806" t="str">
            <v xml:space="preserve">NFT-/XUTR/DEUTH02510641465X </v>
          </cell>
          <cell r="CK8806" t="str">
            <v>2025-04-16</v>
          </cell>
          <cell r="CL8806">
            <v>18291.428</v>
          </cell>
          <cell r="CM8806" t="str">
            <v xml:space="preserve">NFT-/XUTR/DEUTH025106A0574X </v>
          </cell>
          <cell r="CN8806" t="str">
            <v>2025-04-16</v>
          </cell>
          <cell r="CO8806">
            <v>967.66200000000003</v>
          </cell>
        </row>
        <row r="8807">
          <cell r="CJ8807" t="str">
            <v xml:space="preserve">NFT-/XUTR/DEUTH02510641465X </v>
          </cell>
          <cell r="CK8807" t="str">
            <v>2025-04-16</v>
          </cell>
          <cell r="CL8807">
            <v>5513.8069999999998</v>
          </cell>
        </row>
        <row r="8808">
          <cell r="CJ8808" t="str">
            <v xml:space="preserve">NFT-/XUTR/DEUTH02510641465X </v>
          </cell>
          <cell r="CK8808" t="str">
            <v>2025-04-16</v>
          </cell>
          <cell r="CL8808">
            <v>9916.866</v>
          </cell>
          <cell r="CM8808" t="str">
            <v xml:space="preserve">NFT-/XUTR/DEUTH025106A0574X </v>
          </cell>
          <cell r="CN8808" t="str">
            <v>2025-04-16</v>
          </cell>
          <cell r="CO8808">
            <v>857.99099999999999</v>
          </cell>
        </row>
        <row r="8809">
          <cell r="CJ8809" t="str">
            <v xml:space="preserve">NFT-/XUTR/DEUTH02510641465X </v>
          </cell>
          <cell r="CK8809" t="str">
            <v>2025-04-16</v>
          </cell>
          <cell r="CL8809">
            <v>10032.804</v>
          </cell>
          <cell r="CM8809" t="str">
            <v xml:space="preserve">NFT-/XUTR/DEUTH025106A0574X </v>
          </cell>
          <cell r="CN8809" t="str">
            <v>2025-04-16</v>
          </cell>
          <cell r="CO8809">
            <v>760.93299999999999</v>
          </cell>
        </row>
        <row r="8810">
          <cell r="CJ8810" t="str">
            <v xml:space="preserve">NFT-/XUTR/DEUTH02510641465X </v>
          </cell>
          <cell r="CK8810" t="str">
            <v>2025-04-16</v>
          </cell>
          <cell r="CL8810">
            <v>17886.256000000001</v>
          </cell>
          <cell r="CM8810" t="str">
            <v xml:space="preserve">NFT-/XUTR/DEUTH025106A0574X </v>
          </cell>
          <cell r="CN8810" t="str">
            <v>2025-04-16</v>
          </cell>
          <cell r="CO8810">
            <v>1353.954</v>
          </cell>
        </row>
        <row r="8811">
          <cell r="CJ8811" t="str">
            <v xml:space="preserve">NFT-/XUTR/DEUTH02510641465X </v>
          </cell>
          <cell r="CK8811" t="str">
            <v>2025-04-16</v>
          </cell>
          <cell r="CL8811">
            <v>17864.903999999999</v>
          </cell>
          <cell r="CM8811" t="str">
            <v xml:space="preserve">NFT-/XUTR/DEUTH025106A0574X </v>
          </cell>
          <cell r="CN8811" t="str">
            <v>2025-04-16</v>
          </cell>
          <cell r="CO8811">
            <v>1375.306</v>
          </cell>
        </row>
        <row r="8812">
          <cell r="CJ8812" t="str">
            <v xml:space="preserve">NFT-/XUTR/DEUTH02510641465X </v>
          </cell>
          <cell r="CK8812" t="str">
            <v>2025-04-16</v>
          </cell>
          <cell r="CL8812">
            <v>18272.546999999999</v>
          </cell>
          <cell r="CM8812" t="str">
            <v xml:space="preserve">NFT-/XUTR/DEUTH025106A0574X </v>
          </cell>
          <cell r="CN8812" t="str">
            <v>2025-04-16</v>
          </cell>
          <cell r="CO8812">
            <v>967.66200000000003</v>
          </cell>
        </row>
        <row r="8813">
          <cell r="CJ8813" t="str">
            <v xml:space="preserve">NFT-/XUTR/DEUTH02510641465X </v>
          </cell>
          <cell r="CK8813" t="str">
            <v>2025-04-16</v>
          </cell>
          <cell r="CL8813">
            <v>18291.427</v>
          </cell>
          <cell r="CM8813" t="str">
            <v xml:space="preserve">NFT-/XUTR/DEUTH025106A0574X </v>
          </cell>
          <cell r="CN8813" t="str">
            <v>2025-04-16</v>
          </cell>
          <cell r="CO8813">
            <v>967.66200000000003</v>
          </cell>
        </row>
        <row r="8814">
          <cell r="CJ8814" t="str">
            <v xml:space="preserve">NFT-/XUTR/DEUTH02510641465X </v>
          </cell>
          <cell r="CK8814" t="str">
            <v>2025-04-16</v>
          </cell>
          <cell r="CL8814">
            <v>16937.473000000002</v>
          </cell>
          <cell r="CM8814" t="str">
            <v xml:space="preserve">NFT-/XUTR/DEUTH025106A0574X </v>
          </cell>
          <cell r="CN8814" t="str">
            <v>2025-04-16</v>
          </cell>
          <cell r="CO8814">
            <v>2321.616</v>
          </cell>
        </row>
        <row r="8815">
          <cell r="CJ8815" t="str">
            <v xml:space="preserve">NFT-/XUTR/DEUTH02511342948X </v>
          </cell>
          <cell r="CK8815" t="str">
            <v>2025-04-23</v>
          </cell>
          <cell r="CL8815">
            <v>-10013.924000000001</v>
          </cell>
          <cell r="CM8815" t="str">
            <v xml:space="preserve">NFT-/XUTR/DEUTH02511387133X </v>
          </cell>
          <cell r="CN8815" t="str">
            <v>2025-04-23</v>
          </cell>
          <cell r="CO8815">
            <v>-760.93299999999999</v>
          </cell>
          <cell r="CP8815" t="str">
            <v xml:space="preserve">NFT-/XUTR/DEUTH02510641465X </v>
          </cell>
          <cell r="CQ8815" t="str">
            <v>2025-04-16</v>
          </cell>
          <cell r="CR8815">
            <v>10013.924000000001</v>
          </cell>
          <cell r="CS8815" t="str">
            <v xml:space="preserve">NFT-/XUTR/DEUTH025106A0574X </v>
          </cell>
          <cell r="CT8815" t="str">
            <v>2025-04-16</v>
          </cell>
          <cell r="CU8815">
            <v>760.93299999999999</v>
          </cell>
        </row>
        <row r="8816">
          <cell r="CJ8816" t="str">
            <v xml:space="preserve">NFT-/XUTR/DEUTH02510641465X </v>
          </cell>
          <cell r="CK8816" t="str">
            <v>2025-04-16</v>
          </cell>
          <cell r="CL8816">
            <v>17886.256000000001</v>
          </cell>
          <cell r="CM8816" t="str">
            <v xml:space="preserve">NFT-/XUTR/DEUTH025106A0574X </v>
          </cell>
          <cell r="CN8816" t="str">
            <v>2025-04-16</v>
          </cell>
          <cell r="CO8816">
            <v>1353.954</v>
          </cell>
        </row>
        <row r="8817">
          <cell r="CJ8817" t="str">
            <v xml:space="preserve">NFT-/XUTR/DEUTH02510641465X </v>
          </cell>
          <cell r="CK8817" t="str">
            <v>2025-04-16</v>
          </cell>
          <cell r="CL8817">
            <v>17905.135999999999</v>
          </cell>
          <cell r="CM8817" t="str">
            <v xml:space="preserve">NFT-/XUTR/DEUTH025106A0574X </v>
          </cell>
          <cell r="CN8817" t="str">
            <v>2025-04-16</v>
          </cell>
          <cell r="CO8817">
            <v>1353.954</v>
          </cell>
        </row>
        <row r="8818">
          <cell r="CJ8818" t="str">
            <v xml:space="preserve">NFT-/XUTR/DEUTH02510641465X </v>
          </cell>
          <cell r="CK8818" t="str">
            <v>2025-04-16</v>
          </cell>
          <cell r="CL8818">
            <v>10013.924000000001</v>
          </cell>
          <cell r="CM8818" t="str">
            <v xml:space="preserve">NFT-/XUTR/DEUTH025106A0574X </v>
          </cell>
          <cell r="CN8818" t="str">
            <v>2025-04-16</v>
          </cell>
          <cell r="CO8818">
            <v>760.93299999999999</v>
          </cell>
        </row>
        <row r="8819">
          <cell r="CJ8819" t="str">
            <v xml:space="preserve">NFT-/XUTR/DEUTH02510641465X </v>
          </cell>
          <cell r="CK8819" t="str">
            <v>2025-04-16</v>
          </cell>
          <cell r="CL8819">
            <v>0</v>
          </cell>
        </row>
        <row r="8820">
          <cell r="CJ8820" t="str">
            <v xml:space="preserve">NFT-/XUTR/DEUTH02510641465X </v>
          </cell>
          <cell r="CK8820" t="str">
            <v>2025-04-16</v>
          </cell>
          <cell r="CL8820">
            <v>10774.857</v>
          </cell>
        </row>
        <row r="8821">
          <cell r="CJ8821" t="str">
            <v xml:space="preserve">NFT-/XUTR/DEUTH02510641465X </v>
          </cell>
          <cell r="CK8821" t="str">
            <v>2025-04-16</v>
          </cell>
          <cell r="CL8821">
            <v>10032.803</v>
          </cell>
          <cell r="CM8821" t="str">
            <v xml:space="preserve">NFT-/XUTR/DEUTH025106A0574X </v>
          </cell>
          <cell r="CN8821" t="str">
            <v>2025-04-16</v>
          </cell>
          <cell r="CO8821">
            <v>760.93299999999999</v>
          </cell>
        </row>
        <row r="8822">
          <cell r="CJ8822" t="str">
            <v xml:space="preserve">NFT-/XUTR/DEUTH02510641465X </v>
          </cell>
          <cell r="CK8822" t="str">
            <v>2025-04-16</v>
          </cell>
          <cell r="CL8822">
            <v>17905.135999999999</v>
          </cell>
          <cell r="CM8822" t="str">
            <v xml:space="preserve">NFT-/XUTR/DEUTH025106A0574X </v>
          </cell>
          <cell r="CN8822" t="str">
            <v>2025-04-16</v>
          </cell>
          <cell r="CO8822">
            <v>1353.954</v>
          </cell>
        </row>
        <row r="8823">
          <cell r="CJ8823" t="str">
            <v xml:space="preserve">NFT-/XUTR/DEUTH02510641465X </v>
          </cell>
          <cell r="CK8823" t="str">
            <v>2025-04-16</v>
          </cell>
          <cell r="CL8823">
            <v>1398.575</v>
          </cell>
        </row>
        <row r="8824">
          <cell r="CJ8824" t="str">
            <v xml:space="preserve">NFT-/XUTR/DEUTH02510641465X </v>
          </cell>
          <cell r="CK8824" t="str">
            <v>2025-04-16</v>
          </cell>
          <cell r="CL8824">
            <v>5480.3739999999998</v>
          </cell>
          <cell r="CM8824" t="str">
            <v xml:space="preserve">NFT-/XUTR/DEUTH025106A0574X </v>
          </cell>
          <cell r="CN8824" t="str">
            <v>2025-04-16</v>
          </cell>
          <cell r="CO8824">
            <v>237.79300000000001</v>
          </cell>
        </row>
        <row r="8825">
          <cell r="CJ8825" t="str">
            <v xml:space="preserve">NFT-/XUTR/DEUTH02510641465X </v>
          </cell>
          <cell r="CK8825" t="str">
            <v>2025-04-16</v>
          </cell>
          <cell r="CL8825">
            <v>17886.256000000001</v>
          </cell>
          <cell r="CM8825" t="str">
            <v xml:space="preserve">NFT-/XUTR/DEUTH025106A0574X </v>
          </cell>
          <cell r="CN8825" t="str">
            <v>2025-04-16</v>
          </cell>
          <cell r="CO8825">
            <v>1353.954</v>
          </cell>
        </row>
        <row r="8826">
          <cell r="CJ8826" t="str">
            <v xml:space="preserve">NFT-/XUTR/DEUTH02510641465X </v>
          </cell>
          <cell r="CK8826" t="str">
            <v>2025-04-16</v>
          </cell>
          <cell r="CL8826">
            <v>5513.8069999999998</v>
          </cell>
        </row>
        <row r="8827">
          <cell r="CJ8827" t="str">
            <v xml:space="preserve">NFT-/XUTR/DEUTH02510641465X </v>
          </cell>
          <cell r="CK8827" t="str">
            <v>2025-04-16</v>
          </cell>
          <cell r="CL8827">
            <v>10032.804</v>
          </cell>
          <cell r="CM8827" t="str">
            <v xml:space="preserve">NFT-/XUTR/DEUTH025106A0574X </v>
          </cell>
          <cell r="CN8827" t="str">
            <v>2025-04-16</v>
          </cell>
          <cell r="CO8827">
            <v>760.93299999999999</v>
          </cell>
        </row>
        <row r="8828">
          <cell r="CJ8828" t="str">
            <v xml:space="preserve">NFT-/XUTR/DEUTH02510641465X </v>
          </cell>
          <cell r="CK8828" t="str">
            <v>2025-04-16</v>
          </cell>
          <cell r="CL8828">
            <v>10032.803</v>
          </cell>
          <cell r="CM8828" t="str">
            <v xml:space="preserve">NFT-/XUTR/DEUTH025106A0574X </v>
          </cell>
          <cell r="CN8828" t="str">
            <v>2025-04-16</v>
          </cell>
          <cell r="CO8828">
            <v>760.93299999999999</v>
          </cell>
        </row>
        <row r="8829">
          <cell r="CJ8829" t="str">
            <v xml:space="preserve">NFT-/XUTR/DEUTH02510641465X </v>
          </cell>
          <cell r="CK8829" t="str">
            <v>2025-04-16</v>
          </cell>
          <cell r="CL8829">
            <v>5215.4040000000005</v>
          </cell>
          <cell r="CM8829" t="str">
            <v xml:space="preserve">NFT-/XUTR/DEUTH025106A0574X </v>
          </cell>
          <cell r="CN8829" t="str">
            <v>2025-04-16</v>
          </cell>
          <cell r="CO8829">
            <v>279.52199999999999</v>
          </cell>
        </row>
        <row r="8830">
          <cell r="CJ8830" t="str">
            <v xml:space="preserve">NFT-/XUTR/DEUTH02510641465X </v>
          </cell>
          <cell r="CK8830" t="str">
            <v>2025-04-16</v>
          </cell>
          <cell r="CL8830">
            <v>10032.803</v>
          </cell>
          <cell r="CM8830" t="str">
            <v xml:space="preserve">NFT-/XUTR/DEUTH025106A0574X </v>
          </cell>
          <cell r="CN8830" t="str">
            <v>2025-04-16</v>
          </cell>
          <cell r="CO8830">
            <v>760.93299999999999</v>
          </cell>
        </row>
        <row r="8831">
          <cell r="CJ8831" t="str">
            <v xml:space="preserve">NFT-/XUTR/DEUTH02510641465X </v>
          </cell>
          <cell r="CK8831" t="str">
            <v>2025-04-16</v>
          </cell>
          <cell r="CL8831">
            <v>10032.803</v>
          </cell>
          <cell r="CM8831" t="str">
            <v xml:space="preserve">NFT-/XUTR/DEUTH025106A0574X </v>
          </cell>
          <cell r="CN8831" t="str">
            <v>2025-04-16</v>
          </cell>
          <cell r="CO8831">
            <v>760.93299999999999</v>
          </cell>
        </row>
        <row r="8832">
          <cell r="CJ8832" t="str">
            <v xml:space="preserve">NFT-/XUTR/DEUTH02510641465X </v>
          </cell>
          <cell r="CK8832" t="str">
            <v>2025-04-16</v>
          </cell>
          <cell r="CL8832">
            <v>17886.256000000001</v>
          </cell>
          <cell r="CM8832" t="str">
            <v xml:space="preserve">NFT-/XUTR/DEUTH025106A0574X </v>
          </cell>
          <cell r="CN8832" t="str">
            <v>2025-04-16</v>
          </cell>
          <cell r="CO8832">
            <v>1353.954</v>
          </cell>
        </row>
        <row r="8833">
          <cell r="CJ8833" t="str">
            <v xml:space="preserve">NFT-/XUTR/DEUTH02510641465X </v>
          </cell>
          <cell r="CK8833" t="str">
            <v>2025-04-16</v>
          </cell>
          <cell r="CL8833">
            <v>1398.576</v>
          </cell>
        </row>
        <row r="8834">
          <cell r="CJ8834" t="str">
            <v xml:space="preserve">NFT-/XUTR/DEUTH02510641465X </v>
          </cell>
          <cell r="CK8834" t="str">
            <v>2025-04-16</v>
          </cell>
          <cell r="CL8834">
            <v>5494.9269999999997</v>
          </cell>
        </row>
        <row r="8835">
          <cell r="CJ8835" t="str">
            <v xml:space="preserve">NFT-/XUTR/DEUTH02510641465X </v>
          </cell>
          <cell r="CK8835" t="str">
            <v>2025-04-16</v>
          </cell>
          <cell r="CL8835">
            <v>17905.136999999999</v>
          </cell>
          <cell r="CM8835" t="str">
            <v xml:space="preserve">NFT-/XUTR/DEUTH025106A0574X </v>
          </cell>
          <cell r="CN8835" t="str">
            <v>2025-04-16</v>
          </cell>
          <cell r="CO8835">
            <v>1353.954</v>
          </cell>
        </row>
        <row r="8836">
          <cell r="CJ8836" t="str">
            <v xml:space="preserve">NFT-/XUTR/DEUTH02510641465X </v>
          </cell>
          <cell r="CK8836" t="str">
            <v>2025-04-16</v>
          </cell>
          <cell r="CL8836">
            <v>17905.136999999999</v>
          </cell>
          <cell r="CM8836" t="str">
            <v xml:space="preserve">NFT-/XUTR/DEUTH025106A0574X </v>
          </cell>
          <cell r="CN8836" t="str">
            <v>2025-04-16</v>
          </cell>
          <cell r="CO8836">
            <v>1353.954</v>
          </cell>
        </row>
        <row r="8837">
          <cell r="CJ8837" t="str">
            <v xml:space="preserve">NFT-/XUTR/DEUTH02510641465X </v>
          </cell>
          <cell r="CK8837" t="str">
            <v>2025-04-16</v>
          </cell>
          <cell r="CL8837">
            <v>10032.804</v>
          </cell>
          <cell r="CM8837" t="str">
            <v xml:space="preserve">NFT-/XUTR/DEUTH025106A0574X </v>
          </cell>
          <cell r="CN8837" t="str">
            <v>2025-04-16</v>
          </cell>
          <cell r="CO8837">
            <v>760.93299999999999</v>
          </cell>
        </row>
        <row r="8838">
          <cell r="CJ8838" t="str">
            <v xml:space="preserve">NFT-/XUTR/DEUTH02510641465X </v>
          </cell>
          <cell r="CK8838" t="str">
            <v>2025-04-16</v>
          </cell>
          <cell r="CL8838">
            <v>1379.6949999999999</v>
          </cell>
        </row>
        <row r="8839">
          <cell r="CJ8839" t="str">
            <v xml:space="preserve">NFT-/XUTR/DEUTH02511342948X </v>
          </cell>
          <cell r="CK8839" t="str">
            <v>2025-04-23</v>
          </cell>
          <cell r="CL8839">
            <v>-74793.441000000006</v>
          </cell>
          <cell r="CM8839" t="str">
            <v xml:space="preserve">NFT-/XUTR/DEUTH02511387133X </v>
          </cell>
          <cell r="CN8839" t="str">
            <v>2025-04-23</v>
          </cell>
          <cell r="CO8839">
            <v>-2911.7240000000002</v>
          </cell>
          <cell r="CP8839" t="str">
            <v xml:space="preserve">NFT-/XUTR/DEUTH02510641465X </v>
          </cell>
          <cell r="CQ8839" t="str">
            <v>2025-04-16</v>
          </cell>
          <cell r="CR8839">
            <v>74793.441000000006</v>
          </cell>
          <cell r="CS8839" t="str">
            <v xml:space="preserve">NFT-/XUTR/DEUTH025106A0574X </v>
          </cell>
          <cell r="CT8839" t="str">
            <v>2025-04-16</v>
          </cell>
          <cell r="CU8839">
            <v>2911.7240000000002</v>
          </cell>
        </row>
        <row r="8840">
          <cell r="CJ8840" t="str">
            <v xml:space="preserve">NFT-/XUTR/DEUTH02510641465X </v>
          </cell>
          <cell r="CK8840" t="str">
            <v>2025-04-16</v>
          </cell>
          <cell r="CL8840">
            <v>10032.803</v>
          </cell>
          <cell r="CM8840" t="str">
            <v xml:space="preserve">NFT-/XUTR/DEUTH025106A0574X </v>
          </cell>
          <cell r="CN8840" t="str">
            <v>2025-04-16</v>
          </cell>
          <cell r="CO8840">
            <v>760.93299999999999</v>
          </cell>
        </row>
        <row r="8841">
          <cell r="CJ8841" t="str">
            <v xml:space="preserve">NFT-/XUTR/DEUTH02510641465X </v>
          </cell>
          <cell r="CK8841" t="str">
            <v>2025-04-16</v>
          </cell>
          <cell r="CL8841">
            <v>17886.256000000001</v>
          </cell>
          <cell r="CM8841" t="str">
            <v xml:space="preserve">NFT-/XUTR/DEUTH025106A0574X </v>
          </cell>
          <cell r="CN8841" t="str">
            <v>2025-04-16</v>
          </cell>
          <cell r="CO8841">
            <v>1353.954</v>
          </cell>
        </row>
        <row r="8842">
          <cell r="CJ8842" t="str">
            <v xml:space="preserve">NFT-/XUTR/DEUTH02510641465X </v>
          </cell>
          <cell r="CK8842" t="str">
            <v>2025-04-16</v>
          </cell>
          <cell r="CL8842">
            <v>5494.9269999999997</v>
          </cell>
        </row>
        <row r="8843">
          <cell r="CJ8843" t="str">
            <v xml:space="preserve">NFT-/XUTR/DEUTH02510641465X </v>
          </cell>
          <cell r="CK8843" t="str">
            <v>2025-04-16</v>
          </cell>
          <cell r="CL8843">
            <v>35791.402000000002</v>
          </cell>
          <cell r="CM8843" t="str">
            <v xml:space="preserve">NFT-/XUTR/DEUTH025106A0574X </v>
          </cell>
          <cell r="CN8843" t="str">
            <v>2025-04-16</v>
          </cell>
          <cell r="CO8843">
            <v>2707.9079999999999</v>
          </cell>
        </row>
        <row r="8844">
          <cell r="CJ8844" t="str">
            <v xml:space="preserve">NFT-/XUTR/DEUTH02510641465X </v>
          </cell>
          <cell r="CK8844" t="str">
            <v>2025-04-16</v>
          </cell>
          <cell r="CL8844">
            <v>10032.803</v>
          </cell>
          <cell r="CM8844" t="str">
            <v xml:space="preserve">NFT-/XUTR/DEUTH025106A0574X </v>
          </cell>
          <cell r="CN8844" t="str">
            <v>2025-04-16</v>
          </cell>
          <cell r="CO8844">
            <v>760.93299999999999</v>
          </cell>
        </row>
        <row r="8845">
          <cell r="CJ8845" t="str">
            <v xml:space="preserve">NFT-/XUTR/DEUTH02510641465X </v>
          </cell>
          <cell r="CK8845" t="str">
            <v>2025-04-16</v>
          </cell>
          <cell r="CL8845">
            <v>17905.135999999999</v>
          </cell>
          <cell r="CM8845" t="str">
            <v xml:space="preserve">NFT-/XUTR/DEUTH025106A0574X </v>
          </cell>
          <cell r="CN8845" t="str">
            <v>2025-04-16</v>
          </cell>
          <cell r="CO8845">
            <v>1353.954</v>
          </cell>
        </row>
        <row r="8846">
          <cell r="CJ8846" t="str">
            <v xml:space="preserve">NFT-/XUTR/DEUTH02510641465X </v>
          </cell>
          <cell r="CK8846" t="str">
            <v>2025-04-16</v>
          </cell>
          <cell r="CL8846">
            <v>10013.924000000001</v>
          </cell>
          <cell r="CM8846" t="str">
            <v xml:space="preserve">NFT-/XUTR/DEUTH025106A0574X </v>
          </cell>
          <cell r="CN8846" t="str">
            <v>2025-04-16</v>
          </cell>
          <cell r="CO8846">
            <v>760.93299999999999</v>
          </cell>
        </row>
        <row r="8847">
          <cell r="CJ8847" t="str">
            <v xml:space="preserve">NFT-/XUTR/DEUTH02510641465X </v>
          </cell>
          <cell r="CK8847" t="str">
            <v>2025-04-16</v>
          </cell>
          <cell r="CL8847">
            <v>93280.510999999999</v>
          </cell>
          <cell r="CM8847" t="str">
            <v xml:space="preserve">NFT-/XUTR/DEUTH025106A0574X </v>
          </cell>
          <cell r="CN8847" t="str">
            <v>2025-04-16</v>
          </cell>
          <cell r="CO8847">
            <v>2911.7240000000002</v>
          </cell>
        </row>
        <row r="8848">
          <cell r="CJ8848" t="str">
            <v xml:space="preserve">NFT-/XUTR/DEUTH02510641465X </v>
          </cell>
          <cell r="CK8848" t="str">
            <v>2025-04-16</v>
          </cell>
          <cell r="CL8848">
            <v>10032.804</v>
          </cell>
          <cell r="CM8848" t="str">
            <v xml:space="preserve">NFT-/XUTR/DEUTH025106A0574X </v>
          </cell>
          <cell r="CN8848" t="str">
            <v>2025-04-16</v>
          </cell>
          <cell r="CO8848">
            <v>760.93299999999999</v>
          </cell>
        </row>
        <row r="8849">
          <cell r="CJ8849" t="str">
            <v xml:space="preserve">NFT-/XUTR/DEUTH02510641465X </v>
          </cell>
          <cell r="CK8849" t="str">
            <v>2025-04-16</v>
          </cell>
          <cell r="CL8849">
            <v>17376.704000000002</v>
          </cell>
          <cell r="CM8849" t="str">
            <v xml:space="preserve">NFT-/XUTR/DEUTH025106A0574X </v>
          </cell>
          <cell r="CN8849" t="str">
            <v>2025-04-16</v>
          </cell>
          <cell r="CO8849">
            <v>1863.5050000000001</v>
          </cell>
        </row>
        <row r="8850">
          <cell r="CJ8850" t="str">
            <v xml:space="preserve">NFT-/XUTR/DEUTH02510641465X </v>
          </cell>
          <cell r="CK8850" t="str">
            <v>2025-04-16</v>
          </cell>
          <cell r="CL8850">
            <v>9960.01</v>
          </cell>
          <cell r="CM8850" t="str">
            <v xml:space="preserve">NFT-/XUTR/DEUTH025106A0574X </v>
          </cell>
          <cell r="CN8850" t="str">
            <v>2025-04-16</v>
          </cell>
          <cell r="CO8850">
            <v>833.726</v>
          </cell>
        </row>
        <row r="8851">
          <cell r="CJ8851" t="str">
            <v xml:space="preserve">NFT-/XUTR/DEUTH02510641465X </v>
          </cell>
          <cell r="CK8851" t="str">
            <v>2025-04-16</v>
          </cell>
          <cell r="CL8851">
            <v>10032.803</v>
          </cell>
          <cell r="CM8851" t="str">
            <v xml:space="preserve">NFT-/XUTR/DEUTH025106A0574X </v>
          </cell>
          <cell r="CN8851" t="str">
            <v>2025-04-16</v>
          </cell>
          <cell r="CO8851">
            <v>760.93299999999999</v>
          </cell>
        </row>
        <row r="8852">
          <cell r="CJ8852" t="str">
            <v xml:space="preserve">NFT-/XUTR/DEUTH02510641465X </v>
          </cell>
          <cell r="CK8852" t="str">
            <v>2025-04-16</v>
          </cell>
          <cell r="CL8852">
            <v>17886.256000000001</v>
          </cell>
          <cell r="CM8852" t="str">
            <v xml:space="preserve">NFT-/XUTR/DEUTH025106A0574X </v>
          </cell>
          <cell r="CN8852" t="str">
            <v>2025-04-16</v>
          </cell>
          <cell r="CO8852">
            <v>1353.954</v>
          </cell>
        </row>
        <row r="8853">
          <cell r="CJ8853" t="str">
            <v xml:space="preserve">NFT-/XUTR/DEUTH02510641465X </v>
          </cell>
          <cell r="CK8853" t="str">
            <v>2025-04-16</v>
          </cell>
          <cell r="CL8853">
            <v>97359.304000000004</v>
          </cell>
        </row>
        <row r="8854">
          <cell r="CJ8854" t="str">
            <v xml:space="preserve">NFT-/XUTR/DEUTH02510641465X </v>
          </cell>
          <cell r="CK8854" t="str">
            <v>2025-04-16</v>
          </cell>
          <cell r="CL8854">
            <v>10013.924000000001</v>
          </cell>
          <cell r="CM8854" t="str">
            <v xml:space="preserve">NFT-/XUTR/DEUTH025106A0574X </v>
          </cell>
          <cell r="CN8854" t="str">
            <v>2025-04-16</v>
          </cell>
          <cell r="CO8854">
            <v>760.93299999999999</v>
          </cell>
        </row>
        <row r="8855">
          <cell r="CJ8855" t="str">
            <v xml:space="preserve">NFT-/XUTR/DEUTH02510641465X </v>
          </cell>
          <cell r="CK8855" t="str">
            <v>2025-04-16</v>
          </cell>
          <cell r="CL8855">
            <v>18235.669000000002</v>
          </cell>
          <cell r="CM8855" t="str">
            <v xml:space="preserve">NFT-/XUTR/DEUTH025106A0574X </v>
          </cell>
          <cell r="CN8855" t="str">
            <v>2025-04-16</v>
          </cell>
          <cell r="CO8855">
            <v>965.72400000000005</v>
          </cell>
        </row>
        <row r="8856">
          <cell r="CJ8856" t="str">
            <v xml:space="preserve">NFT-/XUTR/DEUTH02510641465X </v>
          </cell>
          <cell r="CK8856" t="str">
            <v>2025-04-16</v>
          </cell>
          <cell r="CL8856">
            <v>74793.441000000006</v>
          </cell>
          <cell r="CM8856" t="str">
            <v xml:space="preserve">NFT-/XUTR/DEUTH025106A0574X </v>
          </cell>
          <cell r="CN8856" t="str">
            <v>2025-04-16</v>
          </cell>
          <cell r="CO8856">
            <v>2911.7240000000002</v>
          </cell>
        </row>
        <row r="8857">
          <cell r="CJ8857" t="str">
            <v xml:space="preserve">NFT-/XUTR/DEUTH02510641465X </v>
          </cell>
          <cell r="CK8857" t="str">
            <v>2025-04-16</v>
          </cell>
          <cell r="CL8857">
            <v>18235.669000000002</v>
          </cell>
          <cell r="CM8857" t="str">
            <v xml:space="preserve">NFT-/XUTR/DEUTH025106A0574X </v>
          </cell>
          <cell r="CN8857" t="str">
            <v>2025-04-16</v>
          </cell>
          <cell r="CO8857">
            <v>965.72400000000005</v>
          </cell>
        </row>
        <row r="8858">
          <cell r="CJ8858" t="str">
            <v xml:space="preserve">NFT-/XUTR/DEUTH02510641465X </v>
          </cell>
          <cell r="CK8858" t="str">
            <v>2025-04-16</v>
          </cell>
          <cell r="CL8858">
            <v>5562.8689999999997</v>
          </cell>
        </row>
        <row r="8859">
          <cell r="CJ8859" t="str">
            <v xml:space="preserve">NFT-/XUTR/DEUTH02510641465X </v>
          </cell>
          <cell r="CK8859" t="str">
            <v>2025-04-16</v>
          </cell>
          <cell r="CL8859">
            <v>2418.212</v>
          </cell>
        </row>
        <row r="8860">
          <cell r="CJ8860" t="str">
            <v xml:space="preserve">NFT-/XUTR/DEUTH02510641465X </v>
          </cell>
          <cell r="CK8860" t="str">
            <v>2025-04-16</v>
          </cell>
          <cell r="CL8860">
            <v>5478.8670000000002</v>
          </cell>
          <cell r="CM8860" t="str">
            <v xml:space="preserve">NFT-/XUTR/DEUTH025106A0574X </v>
          </cell>
          <cell r="CN8860" t="str">
            <v>2025-04-16</v>
          </cell>
          <cell r="CO8860">
            <v>34.94</v>
          </cell>
        </row>
        <row r="8861">
          <cell r="CJ8861" t="str">
            <v xml:space="preserve">NFT-/XUTR/DEUTH02510641465X </v>
          </cell>
          <cell r="CK8861" t="str">
            <v>2025-04-16</v>
          </cell>
          <cell r="CL8861">
            <v>93280.510999999999</v>
          </cell>
          <cell r="CM8861" t="str">
            <v xml:space="preserve">NFT-/XUTR/DEUTH025106A0574X </v>
          </cell>
          <cell r="CN8861" t="str">
            <v>2025-04-16</v>
          </cell>
          <cell r="CO8861">
            <v>2911.7240000000002</v>
          </cell>
        </row>
        <row r="8862">
          <cell r="CJ8862" t="str">
            <v xml:space="preserve">NFT-/XUTR/DEUTH02510641465X </v>
          </cell>
          <cell r="CK8862" t="str">
            <v>2025-04-16</v>
          </cell>
          <cell r="CL8862">
            <v>1399.1089999999999</v>
          </cell>
        </row>
        <row r="8863">
          <cell r="CJ8863" t="str">
            <v xml:space="preserve">NFT-/XUTR/DEUTH02510641465X </v>
          </cell>
          <cell r="CK8863" t="str">
            <v>2025-04-16</v>
          </cell>
          <cell r="CL8863">
            <v>95998.12</v>
          </cell>
        </row>
        <row r="8864">
          <cell r="CJ8864" t="str">
            <v xml:space="preserve">NFT-/XUTR/DEUTH02510641465X </v>
          </cell>
          <cell r="CK8864" t="str">
            <v>2025-04-16</v>
          </cell>
          <cell r="CL8864">
            <v>2447.328</v>
          </cell>
        </row>
        <row r="8865">
          <cell r="CJ8865" t="str">
            <v xml:space="preserve">NFT-/XUTR/DEUTH02510641465X </v>
          </cell>
          <cell r="CK8865" t="str">
            <v>2025-04-16</v>
          </cell>
          <cell r="CL8865">
            <v>19180.984</v>
          </cell>
        </row>
        <row r="8866">
          <cell r="CJ8866" t="str">
            <v xml:space="preserve">NFT-/XUTR/DEUTH02510641465X </v>
          </cell>
          <cell r="CK8866" t="str">
            <v>2025-04-16</v>
          </cell>
          <cell r="CL8866">
            <v>9581.0519999999997</v>
          </cell>
        </row>
        <row r="8867">
          <cell r="CJ8867" t="str">
            <v xml:space="preserve">NFT-/XUTR/DEUTH02510641465X </v>
          </cell>
          <cell r="CK8867" t="str">
            <v>2025-04-16</v>
          </cell>
          <cell r="CL8867">
            <v>9581.0519999999997</v>
          </cell>
        </row>
        <row r="8868">
          <cell r="CJ8868" t="str">
            <v xml:space="preserve">NFT-/XUTR/DEUTH02510641465X </v>
          </cell>
          <cell r="CK8868" t="str">
            <v>2025-04-16</v>
          </cell>
          <cell r="CL8868">
            <v>189153.80600000001</v>
          </cell>
        </row>
        <row r="8869">
          <cell r="CJ8869" t="str">
            <v xml:space="preserve">NFT-/XUTR/DEUTH02510641465X </v>
          </cell>
          <cell r="CK8869" t="str">
            <v>2025-04-16</v>
          </cell>
          <cell r="CL8869">
            <v>5582.2820000000002</v>
          </cell>
        </row>
        <row r="8870">
          <cell r="CJ8870" t="str">
            <v xml:space="preserve">NFT-/XUTR/DEUTH02510641465X </v>
          </cell>
          <cell r="CK8870" t="str">
            <v>2025-04-16</v>
          </cell>
          <cell r="CL8870">
            <v>2845.942</v>
          </cell>
        </row>
        <row r="8871">
          <cell r="CJ8871" t="str">
            <v xml:space="preserve">NFT-/XUTR/DEUTH02510641465X </v>
          </cell>
          <cell r="CK8871" t="str">
            <v>2025-04-16</v>
          </cell>
          <cell r="CL8871">
            <v>2845.942</v>
          </cell>
        </row>
        <row r="8872">
          <cell r="CJ8872" t="str">
            <v xml:space="preserve">NFT-/XUTR/DEUTH02510641465X </v>
          </cell>
          <cell r="CK8872" t="str">
            <v>2025-04-16</v>
          </cell>
          <cell r="CL8872">
            <v>19180.984</v>
          </cell>
        </row>
        <row r="8873">
          <cell r="CJ8873" t="str">
            <v xml:space="preserve">NFT-/XUTR/DEUTH02510641465X </v>
          </cell>
          <cell r="CK8873" t="str">
            <v>2025-04-16</v>
          </cell>
          <cell r="CL8873">
            <v>47980.77</v>
          </cell>
        </row>
        <row r="8874">
          <cell r="CJ8874" t="str">
            <v xml:space="preserve">NFT-/XUTR/DEUTH02511149439X </v>
          </cell>
          <cell r="CK8874" t="str">
            <v>2025-04-21</v>
          </cell>
          <cell r="CL8874">
            <v>1408.8109999999999</v>
          </cell>
        </row>
        <row r="8875">
          <cell r="CJ8875" t="str">
            <v xml:space="preserve">NFT-/XUTR/DEUTH02511149439X </v>
          </cell>
          <cell r="CK8875" t="str">
            <v>2025-04-21</v>
          </cell>
          <cell r="CL8875">
            <v>45413.165999999997</v>
          </cell>
          <cell r="CM8875" t="str">
            <v xml:space="preserve">NFT-/XUTR/DEUTH025111A0FHRX </v>
          </cell>
          <cell r="CN8875" t="str">
            <v>2025-04-21</v>
          </cell>
          <cell r="CO8875">
            <v>2394.4090000000001</v>
          </cell>
        </row>
        <row r="8876">
          <cell r="CJ8876" t="str">
            <v xml:space="preserve">NFT-/XUTR/DEUTH02511149439X </v>
          </cell>
          <cell r="CK8876" t="str">
            <v>2025-04-21</v>
          </cell>
          <cell r="CL8876">
            <v>11688.146000000001</v>
          </cell>
        </row>
        <row r="8877">
          <cell r="CJ8877" t="str">
            <v xml:space="preserve">NFT-/XUTR/DEUTH02511149439X </v>
          </cell>
          <cell r="CK8877" t="str">
            <v>2025-04-21</v>
          </cell>
          <cell r="CL8877">
            <v>44905.122000000003</v>
          </cell>
          <cell r="CM8877" t="str">
            <v xml:space="preserve">NFT-/XUTR/DEUTH025111A0FHRX </v>
          </cell>
          <cell r="CN8877" t="str">
            <v>2025-04-21</v>
          </cell>
          <cell r="CO8877">
            <v>2369.17</v>
          </cell>
        </row>
        <row r="8878">
          <cell r="CJ8878" t="str">
            <v xml:space="preserve">NFT-/XUTR/DEUTH02511149439X </v>
          </cell>
          <cell r="CK8878" t="str">
            <v>2025-04-21</v>
          </cell>
          <cell r="CL8878">
            <v>19007.707999999999</v>
          </cell>
          <cell r="CM8878" t="str">
            <v xml:space="preserve">NFT-/XUTR/DEUTH025111A0FHRX </v>
          </cell>
          <cell r="CN8878" t="str">
            <v>2025-04-21</v>
          </cell>
          <cell r="CO8878">
            <v>591.08299999999997</v>
          </cell>
        </row>
        <row r="8879">
          <cell r="CJ8879" t="str">
            <v xml:space="preserve">NFT-/XUTR/DEUTH02511149439X </v>
          </cell>
          <cell r="CK8879" t="str">
            <v>2025-04-21</v>
          </cell>
          <cell r="CL8879">
            <v>94361.168000000005</v>
          </cell>
          <cell r="CM8879" t="str">
            <v xml:space="preserve">NFT-/XUTR/DEUTH025111A0FHRX </v>
          </cell>
          <cell r="CN8879" t="str">
            <v>2025-04-21</v>
          </cell>
          <cell r="CO8879">
            <v>2923.3739999999998</v>
          </cell>
        </row>
        <row r="8880">
          <cell r="CJ8880" t="str">
            <v xml:space="preserve">NFT-/XUTR/DEUTH02511149439X </v>
          </cell>
          <cell r="CK8880" t="str">
            <v>2025-04-21</v>
          </cell>
          <cell r="CL8880">
            <v>9553.8760000000002</v>
          </cell>
          <cell r="CM8880" t="str">
            <v xml:space="preserve">NFT-/XUTR/DEUTH025111A0FHRX </v>
          </cell>
          <cell r="CN8880" t="str">
            <v>2025-04-21</v>
          </cell>
          <cell r="CO8880">
            <v>298.93599999999998</v>
          </cell>
        </row>
        <row r="8881">
          <cell r="CJ8881" t="str">
            <v xml:space="preserve">NFT-/XUTR/DEUTH02511149439X </v>
          </cell>
          <cell r="CK8881" t="str">
            <v>2025-04-21</v>
          </cell>
          <cell r="CL8881">
            <v>9284.0540000000001</v>
          </cell>
          <cell r="CM8881" t="str">
            <v xml:space="preserve">NFT-/XUTR/DEUTH025111A0FHRX </v>
          </cell>
          <cell r="CN8881" t="str">
            <v>2025-04-21</v>
          </cell>
          <cell r="CO8881">
            <v>753.16899999999998</v>
          </cell>
        </row>
        <row r="8882">
          <cell r="CJ8882" t="str">
            <v xml:space="preserve">NFT-/XUTR/DEUTH02511149439X </v>
          </cell>
          <cell r="CK8882" t="str">
            <v>2025-04-21</v>
          </cell>
          <cell r="CL8882">
            <v>19598.79</v>
          </cell>
        </row>
        <row r="8883">
          <cell r="CJ8883" t="str">
            <v xml:space="preserve">NFT-/XUTR/DEUTH02511149439X </v>
          </cell>
          <cell r="CK8883" t="str">
            <v>2025-04-21</v>
          </cell>
          <cell r="CL8883">
            <v>19598.79</v>
          </cell>
        </row>
        <row r="8884">
          <cell r="CJ8884" t="str">
            <v xml:space="preserve">NFT-/XUTR/DEUTH02511149439X </v>
          </cell>
          <cell r="CK8884" t="str">
            <v>2025-04-21</v>
          </cell>
          <cell r="CL8884">
            <v>9530.5849999999991</v>
          </cell>
          <cell r="CM8884" t="str">
            <v xml:space="preserve">NFT-/XUTR/DEUTH025111A0FHRX </v>
          </cell>
          <cell r="CN8884" t="str">
            <v>2025-04-21</v>
          </cell>
          <cell r="CO8884">
            <v>506.63900000000001</v>
          </cell>
        </row>
        <row r="8885">
          <cell r="CJ8885" t="str">
            <v xml:space="preserve">NFT-/XUTR/DEUTH02511149439X </v>
          </cell>
          <cell r="CK8885" t="str">
            <v>2025-04-21</v>
          </cell>
          <cell r="CL8885">
            <v>0</v>
          </cell>
          <cell r="CM8885" t="str">
            <v xml:space="preserve">NFT-/XUTR/DEUTH025111A0FHRX </v>
          </cell>
          <cell r="CN8885" t="str">
            <v>2025-04-21</v>
          </cell>
          <cell r="CO8885">
            <v>0</v>
          </cell>
        </row>
        <row r="8886">
          <cell r="CJ8886" t="str">
            <v xml:space="preserve">NFT-/XUTR/DEUTH02511149439X </v>
          </cell>
          <cell r="CK8886" t="str">
            <v>2025-04-21</v>
          </cell>
          <cell r="CL8886">
            <v>1456.806</v>
          </cell>
        </row>
        <row r="8887">
          <cell r="CJ8887" t="str">
            <v xml:space="preserve">NFT-/XUTR/DEUTH02511149439X </v>
          </cell>
          <cell r="CK8887" t="str">
            <v>2025-04-21</v>
          </cell>
          <cell r="CL8887">
            <v>9530.5849999999991</v>
          </cell>
          <cell r="CM8887" t="str">
            <v xml:space="preserve">NFT-/XUTR/DEUTH025111A0FHRX </v>
          </cell>
          <cell r="CN8887" t="str">
            <v>2025-04-21</v>
          </cell>
          <cell r="CO8887">
            <v>506.63900000000001</v>
          </cell>
        </row>
        <row r="8888">
          <cell r="CJ8888" t="str">
            <v xml:space="preserve">NFT-/XUTR/DEUTH02511149439X </v>
          </cell>
          <cell r="CK8888" t="str">
            <v>2025-04-21</v>
          </cell>
          <cell r="CL8888">
            <v>49574.023999999998</v>
          </cell>
        </row>
        <row r="8889">
          <cell r="CJ8889" t="str">
            <v xml:space="preserve">NFT-/XUTR/DEUTH02511149439X </v>
          </cell>
          <cell r="CK8889" t="str">
            <v>2025-04-21</v>
          </cell>
          <cell r="CL8889">
            <v>18946.124</v>
          </cell>
          <cell r="CM8889" t="str">
            <v xml:space="preserve">NFT-/XUTR/DEUTH025111A0FHRX </v>
          </cell>
          <cell r="CN8889" t="str">
            <v>2025-04-21</v>
          </cell>
          <cell r="CO8889">
            <v>1002.602</v>
          </cell>
        </row>
        <row r="8890">
          <cell r="CJ8890" t="str">
            <v xml:space="preserve">NFT-/XUTR/DEUTH02511149439X </v>
          </cell>
          <cell r="CK8890" t="str">
            <v>2025-04-21</v>
          </cell>
          <cell r="CL8890">
            <v>18965.004000000001</v>
          </cell>
          <cell r="CM8890" t="str">
            <v xml:space="preserve">NFT-/XUTR/DEUTH025111A0FHRX </v>
          </cell>
          <cell r="CN8890" t="str">
            <v>2025-04-21</v>
          </cell>
          <cell r="CO8890">
            <v>1002.602</v>
          </cell>
        </row>
        <row r="8891">
          <cell r="CJ8891" t="str">
            <v xml:space="preserve">NFT-/XUTR/DEUTH02511149439X </v>
          </cell>
          <cell r="CK8891" t="str">
            <v>2025-04-21</v>
          </cell>
          <cell r="CL8891">
            <v>18946.124</v>
          </cell>
          <cell r="CM8891" t="str">
            <v xml:space="preserve">NFT-/XUTR/DEUTH025111A0FHRX </v>
          </cell>
          <cell r="CN8891" t="str">
            <v>2025-04-21</v>
          </cell>
          <cell r="CO8891">
            <v>1002.602</v>
          </cell>
        </row>
        <row r="8892">
          <cell r="CJ8892" t="str">
            <v xml:space="preserve">NFT-/XUTR/DEUTH02511149439X </v>
          </cell>
          <cell r="CK8892" t="str">
            <v>2025-04-21</v>
          </cell>
          <cell r="CL8892">
            <v>56705.317999999999</v>
          </cell>
          <cell r="CM8892" t="str">
            <v xml:space="preserve">NFT-/XUTR/DEUTH025111A0FHRX </v>
          </cell>
          <cell r="CN8892" t="str">
            <v>2025-04-21</v>
          </cell>
          <cell r="CO8892">
            <v>3179.607</v>
          </cell>
        </row>
        <row r="8893">
          <cell r="CJ8893" t="str">
            <v xml:space="preserve">NFT-/XUTR/DEUTH02511149439X </v>
          </cell>
          <cell r="CK8893" t="str">
            <v>2025-04-21</v>
          </cell>
          <cell r="CL8893">
            <v>9549.4650000000001</v>
          </cell>
          <cell r="CM8893" t="str">
            <v xml:space="preserve">NFT-/XUTR/DEUTH025111A0FHRX </v>
          </cell>
          <cell r="CN8893" t="str">
            <v>2025-04-21</v>
          </cell>
          <cell r="CO8893">
            <v>506.63900000000001</v>
          </cell>
        </row>
        <row r="8894">
          <cell r="CJ8894" t="str">
            <v xml:space="preserve">NFT-/XUTR/DEUTH02511149439X </v>
          </cell>
          <cell r="CK8894" t="str">
            <v>2025-04-21</v>
          </cell>
          <cell r="CL8894">
            <v>155177.91200000001</v>
          </cell>
          <cell r="CM8894" t="str">
            <v xml:space="preserve">NFT-/XUTR/DEUTH025111A0FHRX </v>
          </cell>
          <cell r="CN8894" t="str">
            <v>2025-04-21</v>
          </cell>
          <cell r="CO8894">
            <v>5823.4480000000003</v>
          </cell>
        </row>
        <row r="8895">
          <cell r="CJ8895" t="str">
            <v xml:space="preserve">NFT-/XUTR/DEUTH02511149439X </v>
          </cell>
          <cell r="CK8895" t="str">
            <v>2025-04-21</v>
          </cell>
          <cell r="CL8895">
            <v>47072.413999999997</v>
          </cell>
          <cell r="CM8895" t="str">
            <v xml:space="preserve">NFT-/XUTR/DEUTH025111A0FHRX </v>
          </cell>
          <cell r="CN8895" t="str">
            <v>2025-04-21</v>
          </cell>
          <cell r="CO8895">
            <v>2482.73</v>
          </cell>
        </row>
        <row r="8896">
          <cell r="CJ8896" t="str">
            <v xml:space="preserve">NFT-/XUTR/DEUTH02511149439X </v>
          </cell>
          <cell r="CK8896" t="str">
            <v>2025-04-21</v>
          </cell>
          <cell r="CL8896">
            <v>18988.829000000002</v>
          </cell>
          <cell r="CM8896" t="str">
            <v xml:space="preserve">NFT-/XUTR/DEUTH025111A0FHRX </v>
          </cell>
          <cell r="CN8896" t="str">
            <v>2025-04-21</v>
          </cell>
          <cell r="CO8896">
            <v>591.08299999999997</v>
          </cell>
        </row>
        <row r="8897">
          <cell r="CJ8897" t="str">
            <v xml:space="preserve">NFT-/XUTR/DEUTH02511149439X </v>
          </cell>
          <cell r="CK8897" t="str">
            <v>2025-04-21</v>
          </cell>
          <cell r="CL8897">
            <v>19598.79</v>
          </cell>
        </row>
        <row r="8898">
          <cell r="CJ8898" t="str">
            <v xml:space="preserve">NFT-/XUTR/DEUTH02511149439X </v>
          </cell>
          <cell r="CK8898" t="str">
            <v>2025-04-21</v>
          </cell>
          <cell r="CL8898">
            <v>0</v>
          </cell>
          <cell r="CM8898" t="str">
            <v xml:space="preserve">NFT-/XUTR/DEUTH025111A0FHRX </v>
          </cell>
          <cell r="CN8898" t="str">
            <v>2025-04-21</v>
          </cell>
          <cell r="CO8898">
            <v>0</v>
          </cell>
        </row>
        <row r="8899">
          <cell r="CJ8899" t="str">
            <v xml:space="preserve">NFT-/XUTR/DEUTH02511149439X </v>
          </cell>
          <cell r="CK8899" t="str">
            <v>2025-04-21</v>
          </cell>
          <cell r="CL8899">
            <v>19001.419000000002</v>
          </cell>
          <cell r="CM8899" t="str">
            <v xml:space="preserve">NFT-/XUTR/DEUTH025111A0FHRX </v>
          </cell>
          <cell r="CN8899" t="str">
            <v>2025-04-21</v>
          </cell>
          <cell r="CO8899">
            <v>591.08299999999997</v>
          </cell>
        </row>
        <row r="8900">
          <cell r="CJ8900" t="str">
            <v xml:space="preserve">NFT-/XUTR/DEUTH02511149439X </v>
          </cell>
          <cell r="CK8900" t="str">
            <v>2025-04-21</v>
          </cell>
          <cell r="CL8900">
            <v>9553.8760000000002</v>
          </cell>
          <cell r="CM8900" t="str">
            <v xml:space="preserve">NFT-/XUTR/DEUTH025111A0FHRX </v>
          </cell>
          <cell r="CN8900" t="str">
            <v>2025-04-21</v>
          </cell>
          <cell r="CO8900">
            <v>298.93599999999998</v>
          </cell>
        </row>
        <row r="8901">
          <cell r="CJ8901" t="str">
            <v xml:space="preserve">NFT-/XUTR/DEUTH02511149439X </v>
          </cell>
          <cell r="CK8901" t="str">
            <v>2025-04-21</v>
          </cell>
          <cell r="CL8901">
            <v>47161.709000000003</v>
          </cell>
          <cell r="CM8901" t="str">
            <v xml:space="preserve">NFT-/XUTR/DEUTH025111A0FHRX </v>
          </cell>
          <cell r="CN8901" t="str">
            <v>2025-04-21</v>
          </cell>
          <cell r="CO8901">
            <v>1461.6869999999999</v>
          </cell>
        </row>
        <row r="8902">
          <cell r="CJ8902" t="str">
            <v xml:space="preserve">NFT-/XUTR/DEUTH02511149439X </v>
          </cell>
          <cell r="CK8902" t="str">
            <v>2025-04-21</v>
          </cell>
          <cell r="CL8902">
            <v>18946.124</v>
          </cell>
          <cell r="CM8902" t="str">
            <v xml:space="preserve">NFT-/XUTR/DEUTH025111A0FHRX </v>
          </cell>
          <cell r="CN8902" t="str">
            <v>2025-04-21</v>
          </cell>
          <cell r="CO8902">
            <v>1002.602</v>
          </cell>
        </row>
        <row r="8903">
          <cell r="CJ8903" t="str">
            <v xml:space="preserve">NFT-/XUTR/DEUTH02511149439X </v>
          </cell>
          <cell r="CK8903" t="str">
            <v>2025-04-21</v>
          </cell>
          <cell r="CL8903">
            <v>9566.4660000000003</v>
          </cell>
          <cell r="CM8903" t="str">
            <v xml:space="preserve">NFT-/XUTR/DEUTH025111A0FHRX </v>
          </cell>
          <cell r="CN8903" t="str">
            <v>2025-04-21</v>
          </cell>
          <cell r="CO8903">
            <v>298.93599999999998</v>
          </cell>
        </row>
        <row r="8904">
          <cell r="CJ8904" t="str">
            <v xml:space="preserve">NFT-/XUTR/DEUTH02511149439X </v>
          </cell>
          <cell r="CK8904" t="str">
            <v>2025-04-21</v>
          </cell>
          <cell r="CL8904">
            <v>9553.8760000000002</v>
          </cell>
          <cell r="CM8904" t="str">
            <v xml:space="preserve">NFT-/XUTR/DEUTH025111A0FHRX </v>
          </cell>
          <cell r="CN8904" t="str">
            <v>2025-04-21</v>
          </cell>
          <cell r="CO8904">
            <v>298.93599999999998</v>
          </cell>
        </row>
        <row r="8905">
          <cell r="CJ8905" t="str">
            <v xml:space="preserve">NFT-/XUTR/DEUTH02511149439X </v>
          </cell>
          <cell r="CK8905" t="str">
            <v>2025-04-21</v>
          </cell>
          <cell r="CL8905">
            <v>9530.5849999999991</v>
          </cell>
          <cell r="CM8905" t="str">
            <v xml:space="preserve">NFT-/XUTR/DEUTH025111A0FHRX </v>
          </cell>
          <cell r="CN8905" t="str">
            <v>2025-04-21</v>
          </cell>
          <cell r="CO8905">
            <v>506.63900000000001</v>
          </cell>
        </row>
        <row r="8906">
          <cell r="CJ8906" t="str">
            <v xml:space="preserve">NFT-/XUTR/DEUTH02511149439X </v>
          </cell>
          <cell r="CK8906" t="str">
            <v>2025-04-21</v>
          </cell>
          <cell r="CL8906">
            <v>19001.419000000002</v>
          </cell>
          <cell r="CM8906" t="str">
            <v xml:space="preserve">NFT-/XUTR/DEUTH025111A0FHRX </v>
          </cell>
          <cell r="CN8906" t="str">
            <v>2025-04-21</v>
          </cell>
          <cell r="CO8906">
            <v>591.08299999999997</v>
          </cell>
        </row>
        <row r="8907">
          <cell r="CJ8907" t="str">
            <v xml:space="preserve">NFT-/XUTR/DEUTH02511149439X </v>
          </cell>
          <cell r="CK8907" t="str">
            <v>2025-04-21</v>
          </cell>
          <cell r="CL8907">
            <v>5780.7690000000002</v>
          </cell>
          <cell r="CM8907" t="str">
            <v xml:space="preserve">NFT-/XUTR/DEUTH025111A0FHRX </v>
          </cell>
          <cell r="CN8907" t="str">
            <v>2025-04-21</v>
          </cell>
          <cell r="CO8907">
            <v>97.058000000000007</v>
          </cell>
        </row>
        <row r="8908">
          <cell r="CJ8908" t="str">
            <v xml:space="preserve">NFT-/XUTR/DEUTH02511149439X </v>
          </cell>
          <cell r="CK8908" t="str">
            <v>2025-04-21</v>
          </cell>
          <cell r="CL8908">
            <v>56730.557999999997</v>
          </cell>
          <cell r="CM8908" t="str">
            <v xml:space="preserve">NFT-/XUTR/DEUTH025111A0FHRX </v>
          </cell>
          <cell r="CN8908" t="str">
            <v>2025-04-21</v>
          </cell>
          <cell r="CO8908">
            <v>4288.97</v>
          </cell>
        </row>
        <row r="8909">
          <cell r="CJ8909" t="str">
            <v xml:space="preserve">NFT-/XUTR/DEUTH02511149439X </v>
          </cell>
          <cell r="CK8909" t="str">
            <v>2025-04-21</v>
          </cell>
          <cell r="CL8909">
            <v>56749.438000000002</v>
          </cell>
          <cell r="CM8909" t="str">
            <v xml:space="preserve">NFT-/XUTR/DEUTH025111A0FHRX </v>
          </cell>
          <cell r="CN8909" t="str">
            <v>2025-04-21</v>
          </cell>
          <cell r="CO8909">
            <v>4288.97</v>
          </cell>
        </row>
        <row r="8910">
          <cell r="CJ8910" t="str">
            <v xml:space="preserve">NFT-/XUTR/DEUTH02511149439X </v>
          </cell>
          <cell r="CK8910" t="str">
            <v>2025-04-21</v>
          </cell>
          <cell r="CL8910">
            <v>9718.1949999999997</v>
          </cell>
          <cell r="CM8910" t="str">
            <v xml:space="preserve">NFT-/XUTR/DEUTH025111A0FHRX </v>
          </cell>
          <cell r="CN8910" t="str">
            <v>2025-04-21</v>
          </cell>
          <cell r="CO8910">
            <v>516.34</v>
          </cell>
          <cell r="CP8910" t="str">
            <v xml:space="preserve">NFT-/XUTR/DEUTH02511342948X </v>
          </cell>
          <cell r="CQ8910" t="str">
            <v>2025-04-23</v>
          </cell>
          <cell r="CR8910">
            <v>-9718.1949999999997</v>
          </cell>
          <cell r="CS8910" t="str">
            <v xml:space="preserve">NFT-/XUTR/DEUTH02511387133X </v>
          </cell>
          <cell r="CT8910" t="str">
            <v>2025-04-23</v>
          </cell>
          <cell r="CU8910">
            <v>-516.34</v>
          </cell>
        </row>
        <row r="8911">
          <cell r="CJ8911" t="str">
            <v xml:space="preserve">NFT-/XUTR/DEUTH02511149439X </v>
          </cell>
          <cell r="CK8911" t="str">
            <v>2025-04-21</v>
          </cell>
          <cell r="CL8911">
            <v>0</v>
          </cell>
          <cell r="CM8911" t="str">
            <v xml:space="preserve">NFT-/XUTR/DEUTH025111A0FHRX </v>
          </cell>
          <cell r="CN8911" t="str">
            <v>2025-04-21</v>
          </cell>
          <cell r="CO8911">
            <v>0</v>
          </cell>
        </row>
        <row r="8912">
          <cell r="CJ8912" t="str">
            <v xml:space="preserve">NFT-/XUTR/DEUTH02511149439X </v>
          </cell>
          <cell r="CK8912" t="str">
            <v>2025-04-21</v>
          </cell>
          <cell r="CL8912">
            <v>18965.004000000001</v>
          </cell>
          <cell r="CM8912" t="str">
            <v xml:space="preserve">NFT-/XUTR/DEUTH025111A0FHRX </v>
          </cell>
          <cell r="CN8912" t="str">
            <v>2025-04-21</v>
          </cell>
          <cell r="CO8912">
            <v>1002.602</v>
          </cell>
        </row>
        <row r="8913">
          <cell r="CJ8913" t="str">
            <v xml:space="preserve">NFT-/XUTR/DEUTH02511149439X </v>
          </cell>
          <cell r="CK8913" t="str">
            <v>2025-04-21</v>
          </cell>
          <cell r="CL8913">
            <v>56749.438000000002</v>
          </cell>
          <cell r="CM8913" t="str">
            <v xml:space="preserve">NFT-/XUTR/DEUTH025111A0FHRX </v>
          </cell>
          <cell r="CN8913" t="str">
            <v>2025-04-21</v>
          </cell>
          <cell r="CO8913">
            <v>4288.97</v>
          </cell>
        </row>
        <row r="8914">
          <cell r="CJ8914" t="str">
            <v xml:space="preserve">NFT-/XUTR/DEUTH02511149439X </v>
          </cell>
          <cell r="CK8914" t="str">
            <v>2025-04-21</v>
          </cell>
          <cell r="CL8914">
            <v>17945.901000000002</v>
          </cell>
          <cell r="CM8914" t="str">
            <v xml:space="preserve">NFT-/XUTR/DEUTH025111A0FHRX </v>
          </cell>
          <cell r="CN8914" t="str">
            <v>2025-04-21</v>
          </cell>
          <cell r="CO8914">
            <v>2400.2350000000001</v>
          </cell>
        </row>
        <row r="8915">
          <cell r="CJ8915" t="str">
            <v xml:space="preserve">NFT-/XUTR/DEUTH02511149439X </v>
          </cell>
          <cell r="CK8915" t="str">
            <v>2025-04-21</v>
          </cell>
          <cell r="CL8915">
            <v>31532.932000000001</v>
          </cell>
          <cell r="CM8915" t="str">
            <v xml:space="preserve">NFT-/XUTR/DEUTH025111A0FHRX </v>
          </cell>
          <cell r="CN8915" t="str">
            <v>2025-04-21</v>
          </cell>
          <cell r="CO8915">
            <v>2393.4360000000001</v>
          </cell>
        </row>
        <row r="8916">
          <cell r="CJ8916" t="str">
            <v xml:space="preserve">NFT-/XUTR/DEUTH02511149439X </v>
          </cell>
          <cell r="CK8916" t="str">
            <v>2025-04-21</v>
          </cell>
          <cell r="CL8916">
            <v>5756.9840000000004</v>
          </cell>
          <cell r="CM8916" t="str">
            <v xml:space="preserve">NFT-/XUTR/DEUTH02511342948X </v>
          </cell>
          <cell r="CN8916" t="str">
            <v>2025-04-23</v>
          </cell>
          <cell r="CO8916">
            <v>-5756.9840000000004</v>
          </cell>
        </row>
        <row r="8917">
          <cell r="CJ8917" t="str">
            <v xml:space="preserve">NFT-/XUTR/DEUTH02511149439X </v>
          </cell>
          <cell r="CK8917" t="str">
            <v>2025-04-21</v>
          </cell>
          <cell r="CL8917">
            <v>18829.13</v>
          </cell>
          <cell r="CM8917" t="str">
            <v xml:space="preserve">NFT-/XUTR/DEUTH025111A0FHRX </v>
          </cell>
          <cell r="CN8917" t="str">
            <v>2025-04-21</v>
          </cell>
          <cell r="CO8917">
            <v>1138.4870000000001</v>
          </cell>
        </row>
        <row r="8918">
          <cell r="CJ8918" t="str">
            <v xml:space="preserve">NFT-/XUTR/DEUTH02511149439X </v>
          </cell>
          <cell r="CK8918" t="str">
            <v>2025-04-21</v>
          </cell>
          <cell r="CL8918">
            <v>47966.31</v>
          </cell>
          <cell r="CM8918" t="str">
            <v xml:space="preserve">NFT-/XUTR/DEUTH025111A0FHRX </v>
          </cell>
          <cell r="CN8918" t="str">
            <v>2025-04-21</v>
          </cell>
          <cell r="CO8918">
            <v>2530.2939999999999</v>
          </cell>
        </row>
        <row r="8919">
          <cell r="CJ8919" t="str">
            <v xml:space="preserve">NFT-/XUTR/DEUTH02511149439X </v>
          </cell>
          <cell r="CK8919" t="str">
            <v>2025-04-21</v>
          </cell>
          <cell r="CL8919">
            <v>1447.6379999999999</v>
          </cell>
        </row>
        <row r="8920">
          <cell r="CJ8920" t="str">
            <v xml:space="preserve">NFT-/XUTR/DEUTH02511149439X </v>
          </cell>
          <cell r="CK8920" t="str">
            <v>2025-04-21</v>
          </cell>
          <cell r="CL8920">
            <v>18916.474999999999</v>
          </cell>
          <cell r="CM8920" t="str">
            <v xml:space="preserve">NFT-/XUTR/DEUTH025111A0FHRX </v>
          </cell>
          <cell r="CN8920" t="str">
            <v>2025-04-21</v>
          </cell>
          <cell r="CO8920">
            <v>1429.66</v>
          </cell>
        </row>
        <row r="8921">
          <cell r="CJ8921" t="str">
            <v xml:space="preserve">NFT-/XUTR/DEUTH02511149439X </v>
          </cell>
          <cell r="CK8921" t="str">
            <v>2025-04-21</v>
          </cell>
          <cell r="CL8921">
            <v>18965.004000000001</v>
          </cell>
          <cell r="CM8921" t="str">
            <v xml:space="preserve">NFT-/XUTR/DEUTH025111A0FHRX </v>
          </cell>
          <cell r="CN8921" t="str">
            <v>2025-04-21</v>
          </cell>
          <cell r="CO8921">
            <v>1002.602</v>
          </cell>
        </row>
        <row r="8922">
          <cell r="CJ8922" t="str">
            <v xml:space="preserve">NFT-/XUTR/DEUTH02511149439X </v>
          </cell>
          <cell r="CK8922" t="str">
            <v>2025-04-21</v>
          </cell>
          <cell r="CL8922">
            <v>18897.596000000001</v>
          </cell>
          <cell r="CM8922" t="str">
            <v xml:space="preserve">NFT-/XUTR/DEUTH025111A0FHRX </v>
          </cell>
          <cell r="CN8922" t="str">
            <v>2025-04-21</v>
          </cell>
          <cell r="CO8922">
            <v>1429.66</v>
          </cell>
        </row>
        <row r="8923">
          <cell r="CJ8923" t="str">
            <v xml:space="preserve">NFT-/XUTR/DEUTH02511149439X </v>
          </cell>
          <cell r="CK8923" t="str">
            <v>2025-04-21</v>
          </cell>
          <cell r="CL8923">
            <v>18916.475999999999</v>
          </cell>
          <cell r="CM8923" t="str">
            <v xml:space="preserve">NFT-/XUTR/DEUTH025111A0FHRX </v>
          </cell>
          <cell r="CN8923" t="str">
            <v>2025-04-21</v>
          </cell>
          <cell r="CO8923">
            <v>1429.66</v>
          </cell>
        </row>
        <row r="8924">
          <cell r="CJ8924" t="str">
            <v xml:space="preserve">NFT-/XUTR/DEUTH02511149439X </v>
          </cell>
          <cell r="CK8924" t="str">
            <v>2025-04-21</v>
          </cell>
          <cell r="CL8924">
            <v>10738.41</v>
          </cell>
          <cell r="CM8924" t="str">
            <v xml:space="preserve">NFT-/XUTR/DEUTH025111A0FHRX </v>
          </cell>
          <cell r="CN8924" t="str">
            <v>2025-04-21</v>
          </cell>
          <cell r="CO8924">
            <v>569.73</v>
          </cell>
        </row>
        <row r="8925">
          <cell r="CJ8925" t="str">
            <v xml:space="preserve">NFT-/XUTR/DEUTH02511149439X </v>
          </cell>
          <cell r="CK8925" t="str">
            <v>2025-04-21</v>
          </cell>
          <cell r="CL8925">
            <v>56749.438000000002</v>
          </cell>
          <cell r="CM8925" t="str">
            <v xml:space="preserve">NFT-/XUTR/DEUTH025111A0FHRX </v>
          </cell>
          <cell r="CN8925" t="str">
            <v>2025-04-21</v>
          </cell>
          <cell r="CO8925">
            <v>4288.97</v>
          </cell>
          <cell r="CP8925" t="str">
            <v xml:space="preserve">NFT-/XUTR/DEUTH02511549188X </v>
          </cell>
          <cell r="CQ8925" t="str">
            <v>2025-04-25</v>
          </cell>
          <cell r="CR8925">
            <v>-56749.438000000002</v>
          </cell>
          <cell r="CS8925" t="str">
            <v xml:space="preserve">NFT-/XUTR/DEUTH02511552630X </v>
          </cell>
          <cell r="CT8925" t="str">
            <v>2025-04-25</v>
          </cell>
          <cell r="CU8925">
            <v>-4288.97</v>
          </cell>
        </row>
        <row r="8926">
          <cell r="CJ8926" t="str">
            <v xml:space="preserve">NFT-/XUTR/DEUTH02511149439X </v>
          </cell>
          <cell r="CK8926" t="str">
            <v>2025-04-21</v>
          </cell>
          <cell r="CL8926">
            <v>9530.5849999999991</v>
          </cell>
          <cell r="CM8926" t="str">
            <v xml:space="preserve">NFT-/XUTR/DEUTH025111A0FHRX </v>
          </cell>
          <cell r="CN8926" t="str">
            <v>2025-04-21</v>
          </cell>
          <cell r="CO8926">
            <v>506.63900000000001</v>
          </cell>
        </row>
        <row r="8927">
          <cell r="CJ8927" t="str">
            <v xml:space="preserve">NFT-/XUTR/DEUTH02511149439X </v>
          </cell>
          <cell r="CK8927" t="str">
            <v>2025-04-21</v>
          </cell>
          <cell r="CL8927">
            <v>18897.596000000001</v>
          </cell>
          <cell r="CM8927" t="str">
            <v xml:space="preserve">NFT-/XUTR/DEUTH025111A0FHRX </v>
          </cell>
          <cell r="CN8927" t="str">
            <v>2025-04-21</v>
          </cell>
          <cell r="CO8927">
            <v>1429.66</v>
          </cell>
        </row>
        <row r="8928">
          <cell r="CJ8928" t="str">
            <v xml:space="preserve">NFT-/XUTR/DEUTH02511149439X </v>
          </cell>
          <cell r="CK8928" t="str">
            <v>2025-04-21</v>
          </cell>
          <cell r="CL8928">
            <v>18897.596000000001</v>
          </cell>
          <cell r="CM8928" t="str">
            <v xml:space="preserve">NFT-/XUTR/DEUTH025111A0FHRX </v>
          </cell>
          <cell r="CN8928" t="str">
            <v>2025-04-21</v>
          </cell>
          <cell r="CO8928">
            <v>1429.66</v>
          </cell>
        </row>
        <row r="8929">
          <cell r="CJ8929" t="str">
            <v xml:space="preserve">NFT-/XUTR/DEUTH02511149439X </v>
          </cell>
          <cell r="CK8929" t="str">
            <v>2025-04-21</v>
          </cell>
          <cell r="CL8929">
            <v>18916.475999999999</v>
          </cell>
          <cell r="CM8929" t="str">
            <v xml:space="preserve">NFT-/XUTR/DEUTH025111A0FHRX </v>
          </cell>
          <cell r="CN8929" t="str">
            <v>2025-04-21</v>
          </cell>
          <cell r="CO8929">
            <v>1429.66</v>
          </cell>
        </row>
        <row r="8930">
          <cell r="CJ8930" t="str">
            <v xml:space="preserve">NFT-/XUTR/DEUTH02511149439X </v>
          </cell>
          <cell r="CK8930" t="str">
            <v>2025-04-21</v>
          </cell>
          <cell r="CL8930">
            <v>9498.5480000000007</v>
          </cell>
          <cell r="CM8930" t="str">
            <v xml:space="preserve">NFT-/XUTR/DEUTH025111A0FHRX </v>
          </cell>
          <cell r="CN8930" t="str">
            <v>2025-04-21</v>
          </cell>
          <cell r="CO8930">
            <v>723.08</v>
          </cell>
        </row>
        <row r="8931">
          <cell r="CJ8931" t="str">
            <v xml:space="preserve">NFT-/XUTR/DEUTH02511149439X </v>
          </cell>
          <cell r="CK8931" t="str">
            <v>2025-04-21</v>
          </cell>
          <cell r="CL8931">
            <v>9705.2870000000003</v>
          </cell>
          <cell r="CM8931" t="str">
            <v xml:space="preserve">NFT-/XUTR/DEUTH025111A0FHRX </v>
          </cell>
          <cell r="CN8931" t="str">
            <v>2025-04-21</v>
          </cell>
          <cell r="CO8931">
            <v>516.34</v>
          </cell>
        </row>
        <row r="8932">
          <cell r="CJ8932" t="str">
            <v xml:space="preserve">NFT-/XUTR/DEUTH02511149439X </v>
          </cell>
          <cell r="CK8932" t="str">
            <v>2025-04-21</v>
          </cell>
          <cell r="CL8932">
            <v>47603.758999999998</v>
          </cell>
          <cell r="CM8932" t="str">
            <v xml:space="preserve">NFT-/XUTR/DEUTH025111A0FHRX </v>
          </cell>
          <cell r="CN8932" t="str">
            <v>2025-04-21</v>
          </cell>
          <cell r="CO8932">
            <v>2911.7240000000002</v>
          </cell>
        </row>
        <row r="8933">
          <cell r="CJ8933" t="str">
            <v xml:space="preserve">NFT-/XUTR/DEUTH02511149439X </v>
          </cell>
          <cell r="CK8933" t="str">
            <v>2025-04-21</v>
          </cell>
          <cell r="CL8933">
            <v>9498.5480000000007</v>
          </cell>
          <cell r="CM8933" t="str">
            <v xml:space="preserve">NFT-/XUTR/DEUTH025111A0FHRX </v>
          </cell>
          <cell r="CN8933" t="str">
            <v>2025-04-21</v>
          </cell>
          <cell r="CO8933">
            <v>723.08</v>
          </cell>
        </row>
        <row r="8934">
          <cell r="CJ8934" t="str">
            <v xml:space="preserve">NFT-/XUTR/DEUTH02511149439X </v>
          </cell>
          <cell r="CK8934" t="str">
            <v>2025-04-21</v>
          </cell>
          <cell r="CL8934">
            <v>18946.124</v>
          </cell>
          <cell r="CM8934" t="str">
            <v xml:space="preserve">NFT-/XUTR/DEUTH025111A0FHRX </v>
          </cell>
          <cell r="CN8934" t="str">
            <v>2025-04-21</v>
          </cell>
          <cell r="CO8934">
            <v>1002.602</v>
          </cell>
        </row>
        <row r="8935">
          <cell r="CJ8935" t="str">
            <v xml:space="preserve">NFT-/XUTR/DEUTH02511149439X </v>
          </cell>
          <cell r="CK8935" t="str">
            <v>2025-04-21</v>
          </cell>
          <cell r="CL8935">
            <v>9402.9040000000005</v>
          </cell>
          <cell r="CM8935" t="str">
            <v xml:space="preserve">NFT-/XUTR/DEUTH025111A0FHRX </v>
          </cell>
          <cell r="CN8935" t="str">
            <v>2025-04-21</v>
          </cell>
          <cell r="CO8935">
            <v>653.19899999999996</v>
          </cell>
        </row>
        <row r="8936">
          <cell r="CJ8936" t="str">
            <v xml:space="preserve">NFT-/XUTR/DEUTH02511149439X </v>
          </cell>
          <cell r="CK8936" t="str">
            <v>2025-04-21</v>
          </cell>
          <cell r="CL8936">
            <v>18897.596000000001</v>
          </cell>
          <cell r="CM8936" t="str">
            <v xml:space="preserve">NFT-/XUTR/DEUTH025111A0FHRX </v>
          </cell>
          <cell r="CN8936" t="str">
            <v>2025-04-21</v>
          </cell>
          <cell r="CO8936">
            <v>1429.66</v>
          </cell>
          <cell r="CP8936" t="str">
            <v xml:space="preserve">NFT-/XUTR/DEUTH02511342948X </v>
          </cell>
          <cell r="CQ8936" t="str">
            <v>2025-04-23</v>
          </cell>
          <cell r="CR8936">
            <v>-18897.596000000001</v>
          </cell>
          <cell r="CS8936" t="str">
            <v xml:space="preserve">NFT-/XUTR/DEUTH02511387133X </v>
          </cell>
          <cell r="CT8936" t="str">
            <v>2025-04-23</v>
          </cell>
          <cell r="CU8936">
            <v>-1429.66</v>
          </cell>
        </row>
        <row r="8937">
          <cell r="CJ8937" t="str">
            <v xml:space="preserve">NFT-/XUTR/DEUTH02511149439X </v>
          </cell>
          <cell r="CK8937" t="str">
            <v>2025-04-21</v>
          </cell>
          <cell r="CL8937">
            <v>56749.438000000002</v>
          </cell>
          <cell r="CM8937" t="str">
            <v xml:space="preserve">NFT-/XUTR/DEUTH025111A0FHRX </v>
          </cell>
          <cell r="CN8937" t="str">
            <v>2025-04-21</v>
          </cell>
          <cell r="CO8937">
            <v>4288.97</v>
          </cell>
        </row>
        <row r="8938">
          <cell r="CJ8938" t="str">
            <v xml:space="preserve">NFT-/XUTR/DEUTH02511149439X </v>
          </cell>
          <cell r="CK8938" t="str">
            <v>2025-04-21</v>
          </cell>
          <cell r="CL8938">
            <v>9498.5480000000007</v>
          </cell>
          <cell r="CM8938" t="str">
            <v xml:space="preserve">NFT-/XUTR/DEUTH025111A0FHRX </v>
          </cell>
          <cell r="CN8938" t="str">
            <v>2025-04-21</v>
          </cell>
          <cell r="CO8938">
            <v>723.08</v>
          </cell>
        </row>
        <row r="8939">
          <cell r="CJ8939" t="str">
            <v xml:space="preserve">NFT-/XUTR/DEUTH02511149439X </v>
          </cell>
          <cell r="CK8939" t="str">
            <v>2025-04-21</v>
          </cell>
          <cell r="CL8939">
            <v>28554.239000000001</v>
          </cell>
          <cell r="CM8939" t="str">
            <v xml:space="preserve">NFT-/XUTR/DEUTH025111A0FHRX </v>
          </cell>
          <cell r="CN8939" t="str">
            <v>2025-04-21</v>
          </cell>
          <cell r="CO8939">
            <v>2166.328</v>
          </cell>
        </row>
        <row r="8940">
          <cell r="CJ8940" t="str">
            <v xml:space="preserve">NFT-/XUTR/DEUTH02511149439X </v>
          </cell>
          <cell r="CK8940" t="str">
            <v>2025-04-21</v>
          </cell>
          <cell r="CL8940">
            <v>9383.0499999999993</v>
          </cell>
          <cell r="CM8940" t="str">
            <v xml:space="preserve">NFT-/XUTR/DEUTH025111A0FHRX </v>
          </cell>
          <cell r="CN8940" t="str">
            <v>2025-04-21</v>
          </cell>
          <cell r="CO8940">
            <v>838.57600000000002</v>
          </cell>
        </row>
        <row r="8941">
          <cell r="CJ8941" t="str">
            <v xml:space="preserve">NFT-/XUTR/DEUTH02511149439X </v>
          </cell>
          <cell r="CK8941" t="str">
            <v>2025-04-21</v>
          </cell>
          <cell r="CL8941">
            <v>47584.879000000001</v>
          </cell>
          <cell r="CM8941" t="str">
            <v xml:space="preserve">NFT-/XUTR/DEUTH025111A0FHRX </v>
          </cell>
          <cell r="CN8941" t="str">
            <v>2025-04-21</v>
          </cell>
          <cell r="CO8941">
            <v>2911.7240000000002</v>
          </cell>
        </row>
        <row r="8942">
          <cell r="CJ8942" t="str">
            <v xml:space="preserve">NFT-/XUTR/DEUTH02511149439X </v>
          </cell>
          <cell r="CK8942" t="str">
            <v>2025-04-21</v>
          </cell>
          <cell r="CL8942">
            <v>18897.596000000001</v>
          </cell>
          <cell r="CM8942" t="str">
            <v xml:space="preserve">NFT-/XUTR/DEUTH025111A0FHRX </v>
          </cell>
          <cell r="CN8942" t="str">
            <v>2025-04-21</v>
          </cell>
          <cell r="CO8942">
            <v>1429.66</v>
          </cell>
        </row>
        <row r="8943">
          <cell r="CJ8943" t="str">
            <v xml:space="preserve">NFT-/XUTR/DEUTH02511149439X </v>
          </cell>
          <cell r="CK8943" t="str">
            <v>2025-04-21</v>
          </cell>
          <cell r="CL8943">
            <v>9517.4269999999997</v>
          </cell>
          <cell r="CM8943" t="str">
            <v xml:space="preserve">NFT-/XUTR/DEUTH025111A0FHRX </v>
          </cell>
          <cell r="CN8943" t="str">
            <v>2025-04-21</v>
          </cell>
          <cell r="CO8943">
            <v>723.08100000000002</v>
          </cell>
        </row>
        <row r="8944">
          <cell r="CJ8944" t="str">
            <v xml:space="preserve">NFT-/XUTR/DEUTH02511149439X </v>
          </cell>
          <cell r="CK8944" t="str">
            <v>2025-04-21</v>
          </cell>
          <cell r="CL8944">
            <v>18916.474999999999</v>
          </cell>
          <cell r="CM8944" t="str">
            <v xml:space="preserve">NFT-/XUTR/DEUTH025111A0FHRX </v>
          </cell>
          <cell r="CN8944" t="str">
            <v>2025-04-21</v>
          </cell>
          <cell r="CO8944">
            <v>1429.66</v>
          </cell>
        </row>
        <row r="8945">
          <cell r="CJ8945" t="str">
            <v xml:space="preserve">NFT-/XUTR/DEUTH02511149439X </v>
          </cell>
          <cell r="CK8945" t="str">
            <v>2025-04-21</v>
          </cell>
          <cell r="CL8945">
            <v>72405.38</v>
          </cell>
          <cell r="CM8945" t="str">
            <v xml:space="preserve">NFT-/XUTR/DEUTH025111A0FHRX </v>
          </cell>
          <cell r="CN8945" t="str">
            <v>2025-04-21</v>
          </cell>
          <cell r="CO8945">
            <v>3029.16</v>
          </cell>
        </row>
        <row r="8946">
          <cell r="CJ8946" t="str">
            <v xml:space="preserve">NFT-/XUTR/DEUTH02511149439X </v>
          </cell>
          <cell r="CK8946" t="str">
            <v>2025-04-21</v>
          </cell>
          <cell r="CL8946">
            <v>9498.5480000000007</v>
          </cell>
          <cell r="CM8946" t="str">
            <v xml:space="preserve">NFT-/XUTR/DEUTH025111A0FHRX </v>
          </cell>
          <cell r="CN8946" t="str">
            <v>2025-04-21</v>
          </cell>
          <cell r="CO8946">
            <v>723.08</v>
          </cell>
        </row>
        <row r="8947">
          <cell r="CJ8947" t="str">
            <v xml:space="preserve">NFT-/XUTR/DEUTH02511149439X </v>
          </cell>
          <cell r="CK8947" t="str">
            <v>2025-04-21</v>
          </cell>
          <cell r="CL8947">
            <v>37650.487999999998</v>
          </cell>
          <cell r="CM8947" t="str">
            <v xml:space="preserve">NFT-/XUTR/DEUTH025111A0FHRX </v>
          </cell>
          <cell r="CN8947" t="str">
            <v>2025-04-21</v>
          </cell>
          <cell r="CO8947">
            <v>3041.7860000000001</v>
          </cell>
        </row>
        <row r="8948">
          <cell r="CJ8948" t="str">
            <v xml:space="preserve">NFT-/XUTR/DEUTH02511149439X </v>
          </cell>
          <cell r="CK8948" t="str">
            <v>2025-04-21</v>
          </cell>
          <cell r="CL8948">
            <v>18618.514999999999</v>
          </cell>
          <cell r="CM8948" t="str">
            <v xml:space="preserve">NFT-/XUTR/DEUTH025111A0FHRX </v>
          </cell>
          <cell r="CN8948" t="str">
            <v>2025-04-21</v>
          </cell>
          <cell r="CO8948">
            <v>1727.6220000000001</v>
          </cell>
        </row>
        <row r="8949">
          <cell r="CJ8949" t="str">
            <v xml:space="preserve">NFT-/XUTR/DEUTH02511149439X </v>
          </cell>
          <cell r="CK8949" t="str">
            <v>2025-04-21</v>
          </cell>
          <cell r="CL8949">
            <v>18916.474999999999</v>
          </cell>
          <cell r="CM8949" t="str">
            <v xml:space="preserve">NFT-/XUTR/DEUTH025111A0FHRX </v>
          </cell>
          <cell r="CN8949" t="str">
            <v>2025-04-21</v>
          </cell>
          <cell r="CO8949">
            <v>1429.66</v>
          </cell>
        </row>
        <row r="8950">
          <cell r="CJ8950" t="str">
            <v xml:space="preserve">NFT-/XUTR/DEUTH02511149439X </v>
          </cell>
          <cell r="CK8950" t="str">
            <v>2025-04-21</v>
          </cell>
          <cell r="CL8950">
            <v>18916.474999999999</v>
          </cell>
          <cell r="CM8950" t="str">
            <v xml:space="preserve">NFT-/XUTR/DEUTH025111A0FHRX </v>
          </cell>
          <cell r="CN8950" t="str">
            <v>2025-04-21</v>
          </cell>
          <cell r="CO8950">
            <v>1429.66</v>
          </cell>
        </row>
        <row r="8951">
          <cell r="CJ8951" t="str">
            <v xml:space="preserve">NFT-/XUTR/DEUTH02511149439X </v>
          </cell>
          <cell r="CK8951" t="str">
            <v>2025-04-21</v>
          </cell>
          <cell r="CL8951">
            <v>18916.475999999999</v>
          </cell>
          <cell r="CM8951" t="str">
            <v xml:space="preserve">NFT-/XUTR/DEUTH025111A0FHRX </v>
          </cell>
          <cell r="CN8951" t="str">
            <v>2025-04-21</v>
          </cell>
          <cell r="CO8951">
            <v>1429.66</v>
          </cell>
        </row>
        <row r="8952">
          <cell r="CJ8952" t="str">
            <v xml:space="preserve">NFT-/XUTR/DEUTH02511149439X </v>
          </cell>
          <cell r="CK8952" t="str">
            <v>2025-04-21</v>
          </cell>
          <cell r="CL8952">
            <v>18897.596000000001</v>
          </cell>
          <cell r="CM8952" t="str">
            <v xml:space="preserve">NFT-/XUTR/DEUTH025111A0FHRX </v>
          </cell>
          <cell r="CN8952" t="str">
            <v>2025-04-21</v>
          </cell>
          <cell r="CO8952">
            <v>1429.66</v>
          </cell>
        </row>
        <row r="8953">
          <cell r="CJ8953" t="str">
            <v xml:space="preserve">NFT-/XUTR/DEUTH02511149439X </v>
          </cell>
          <cell r="CK8953" t="str">
            <v>2025-04-21</v>
          </cell>
          <cell r="CL8953">
            <v>10414.245999999999</v>
          </cell>
          <cell r="CM8953" t="str">
            <v xml:space="preserve">NFT-/XUTR/DEUTH025111A0FHRX </v>
          </cell>
          <cell r="CN8953" t="str">
            <v>2025-04-21</v>
          </cell>
          <cell r="CO8953">
            <v>893.89599999999996</v>
          </cell>
        </row>
        <row r="8954">
          <cell r="CJ8954" t="str">
            <v xml:space="preserve">NFT-/XUTR/DEUTH02511149439X </v>
          </cell>
          <cell r="CK8954" t="str">
            <v>2025-04-21</v>
          </cell>
          <cell r="CL8954">
            <v>18916.475999999999</v>
          </cell>
          <cell r="CM8954" t="str">
            <v xml:space="preserve">NFT-/XUTR/DEUTH025111A0FHRX </v>
          </cell>
          <cell r="CN8954" t="str">
            <v>2025-04-21</v>
          </cell>
          <cell r="CO8954">
            <v>1429.66</v>
          </cell>
        </row>
        <row r="8955">
          <cell r="CJ8955" t="str">
            <v xml:space="preserve">NFT-/XUTR/DEUTH02511149439X </v>
          </cell>
          <cell r="CK8955" t="str">
            <v>2025-04-21</v>
          </cell>
          <cell r="CL8955">
            <v>18897.596000000001</v>
          </cell>
          <cell r="CM8955" t="str">
            <v xml:space="preserve">NFT-/XUTR/DEUTH025111A0FHRX </v>
          </cell>
          <cell r="CN8955" t="str">
            <v>2025-04-21</v>
          </cell>
          <cell r="CO8955">
            <v>1429.66</v>
          </cell>
        </row>
        <row r="8956">
          <cell r="CJ8956" t="str">
            <v xml:space="preserve">NFT-/XUTR/DEUTH02511149439X </v>
          </cell>
          <cell r="CK8956" t="str">
            <v>2025-04-21</v>
          </cell>
          <cell r="CL8956">
            <v>18897.596000000001</v>
          </cell>
          <cell r="CM8956" t="str">
            <v xml:space="preserve">NFT-/XUTR/DEUTH025111A0FHRX </v>
          </cell>
          <cell r="CN8956" t="str">
            <v>2025-04-21</v>
          </cell>
          <cell r="CO8956">
            <v>1429.66</v>
          </cell>
        </row>
        <row r="8957">
          <cell r="CJ8957" t="str">
            <v xml:space="preserve">NFT-/XUTR/DEUTH02511149439X </v>
          </cell>
          <cell r="CK8957" t="str">
            <v>2025-04-21</v>
          </cell>
          <cell r="CL8957">
            <v>18707.809000000001</v>
          </cell>
          <cell r="CM8957" t="str">
            <v xml:space="preserve">NFT-/XUTR/DEUTH025111A0FHRX </v>
          </cell>
          <cell r="CN8957" t="str">
            <v>2025-04-21</v>
          </cell>
          <cell r="CO8957">
            <v>1638.327</v>
          </cell>
        </row>
        <row r="8958">
          <cell r="CJ8958" t="str">
            <v xml:space="preserve">NFT-/XUTR/DEUTH02511149439X </v>
          </cell>
          <cell r="CK8958" t="str">
            <v>2025-04-21</v>
          </cell>
          <cell r="CL8958">
            <v>18897.596000000001</v>
          </cell>
          <cell r="CM8958" t="str">
            <v xml:space="preserve">NFT-/XUTR/DEUTH025111A0FHRX </v>
          </cell>
          <cell r="CN8958" t="str">
            <v>2025-04-21</v>
          </cell>
          <cell r="CO8958">
            <v>1429.66</v>
          </cell>
        </row>
        <row r="8959">
          <cell r="CJ8959" t="str">
            <v xml:space="preserve">NFT-/XUTR/DEUTH02511149439X </v>
          </cell>
          <cell r="CK8959" t="str">
            <v>2025-04-21</v>
          </cell>
          <cell r="CL8959">
            <v>18916.475999999999</v>
          </cell>
          <cell r="CM8959" t="str">
            <v xml:space="preserve">NFT-/XUTR/DEUTH025111A0FHRX </v>
          </cell>
          <cell r="CN8959" t="str">
            <v>2025-04-21</v>
          </cell>
          <cell r="CO8959">
            <v>1429.66</v>
          </cell>
        </row>
        <row r="8960">
          <cell r="CJ8960" t="str">
            <v xml:space="preserve">NFT-/XUTR/DEUTH02511149439X </v>
          </cell>
          <cell r="CK8960" t="str">
            <v>2025-04-21</v>
          </cell>
          <cell r="CL8960">
            <v>18594.249</v>
          </cell>
          <cell r="CM8960" t="str">
            <v xml:space="preserve">NFT-/XUTR/DEUTH025111A0FHRX </v>
          </cell>
          <cell r="CN8960" t="str">
            <v>2025-04-21</v>
          </cell>
          <cell r="CO8960">
            <v>1751.886</v>
          </cell>
        </row>
        <row r="8961">
          <cell r="CJ8961" t="str">
            <v xml:space="preserve">NFT-/XUTR/DEUTH02511149439X </v>
          </cell>
          <cell r="CK8961" t="str">
            <v>2025-04-21</v>
          </cell>
          <cell r="CL8961">
            <v>18916.475999999999</v>
          </cell>
          <cell r="CM8961" t="str">
            <v xml:space="preserve">NFT-/XUTR/DEUTH025111A0FHRX </v>
          </cell>
          <cell r="CN8961" t="str">
            <v>2025-04-21</v>
          </cell>
          <cell r="CO8961">
            <v>1429.66</v>
          </cell>
        </row>
        <row r="8962">
          <cell r="CJ8962" t="str">
            <v xml:space="preserve">NFT-/XUTR/DEUTH02511149439X </v>
          </cell>
          <cell r="CK8962" t="str">
            <v>2025-04-21</v>
          </cell>
          <cell r="CL8962">
            <v>142606.03599999999</v>
          </cell>
          <cell r="CM8962" t="str">
            <v xml:space="preserve">NFT-/XUTR/DEUTH025111A0FHRX </v>
          </cell>
          <cell r="CN8962" t="str">
            <v>2025-04-21</v>
          </cell>
          <cell r="CO8962">
            <v>8921.5229999999992</v>
          </cell>
        </row>
        <row r="8963">
          <cell r="CJ8963" t="str">
            <v xml:space="preserve">NFT-/XUTR/DEUTH02511149439X </v>
          </cell>
          <cell r="CK8963" t="str">
            <v>2025-04-21</v>
          </cell>
          <cell r="CL8963">
            <v>18916.474999999999</v>
          </cell>
          <cell r="CM8963" t="str">
            <v xml:space="preserve">NFT-/XUTR/DEUTH025111A0FHRX </v>
          </cell>
          <cell r="CN8963" t="str">
            <v>2025-04-21</v>
          </cell>
          <cell r="CO8963">
            <v>1429.66</v>
          </cell>
        </row>
        <row r="8964">
          <cell r="CJ8964" t="str">
            <v xml:space="preserve">NFT-/XUTR/DEUTH02511149439X </v>
          </cell>
          <cell r="CK8964" t="str">
            <v>2025-04-21</v>
          </cell>
          <cell r="CL8964">
            <v>18916.474999999999</v>
          </cell>
          <cell r="CM8964" t="str">
            <v xml:space="preserve">NFT-/XUTR/DEUTH025111A0FHRX </v>
          </cell>
          <cell r="CN8964" t="str">
            <v>2025-04-21</v>
          </cell>
          <cell r="CO8964">
            <v>1429.66</v>
          </cell>
        </row>
        <row r="8965">
          <cell r="CJ8965" t="str">
            <v xml:space="preserve">NFT-/XUTR/DEUTH02511149439X </v>
          </cell>
          <cell r="CK8965" t="str">
            <v>2025-04-21</v>
          </cell>
          <cell r="CL8965">
            <v>9517.4279999999999</v>
          </cell>
          <cell r="CM8965" t="str">
            <v xml:space="preserve">NFT-/XUTR/DEUTH025111A0FHRX </v>
          </cell>
          <cell r="CN8965" t="str">
            <v>2025-04-21</v>
          </cell>
          <cell r="CO8965">
            <v>723.08</v>
          </cell>
        </row>
        <row r="8966">
          <cell r="CJ8966" t="str">
            <v xml:space="preserve">NFT-/XUTR/DEUTH02511149439X </v>
          </cell>
          <cell r="CK8966" t="str">
            <v>2025-04-21</v>
          </cell>
          <cell r="CL8966">
            <v>19180.009999999998</v>
          </cell>
          <cell r="CM8966" t="str">
            <v xml:space="preserve">NFT-/XUTR/DEUTH025111A0FHRX </v>
          </cell>
          <cell r="CN8966" t="str">
            <v>2025-04-21</v>
          </cell>
          <cell r="CO8966">
            <v>1455.8620000000001</v>
          </cell>
        </row>
        <row r="8967">
          <cell r="CJ8967" t="str">
            <v xml:space="preserve">NFT-/XUTR/DEUTH02511149439X </v>
          </cell>
          <cell r="CK8967" t="str">
            <v>2025-04-21</v>
          </cell>
          <cell r="CL8967">
            <v>38120.781999999999</v>
          </cell>
          <cell r="CM8967" t="str">
            <v xml:space="preserve">NFT-/XUTR/DEUTH025111A0FHRX </v>
          </cell>
          <cell r="CN8967" t="str">
            <v>2025-04-21</v>
          </cell>
          <cell r="CO8967">
            <v>2882.6080000000002</v>
          </cell>
        </row>
        <row r="8968">
          <cell r="CJ8968" t="str">
            <v xml:space="preserve">NFT-/XUTR/DEUTH02511149439X </v>
          </cell>
          <cell r="CK8968" t="str">
            <v>2025-04-21</v>
          </cell>
          <cell r="CL8968">
            <v>9580.0779999999995</v>
          </cell>
          <cell r="CM8968" t="str">
            <v xml:space="preserve">NFT-/XUTR/DEUTH025111A0FHRX </v>
          </cell>
          <cell r="CN8968" t="str">
            <v>2025-04-21</v>
          </cell>
          <cell r="CO8968">
            <v>728.90499999999997</v>
          </cell>
        </row>
        <row r="8969">
          <cell r="CJ8969" t="str">
            <v xml:space="preserve">NFT-/XUTR/DEUTH02511149439X </v>
          </cell>
          <cell r="CK8969" t="str">
            <v>2025-04-21</v>
          </cell>
          <cell r="CL8969">
            <v>57190.608</v>
          </cell>
          <cell r="CM8969" t="str">
            <v xml:space="preserve">NFT-/XUTR/DEUTH025111A0FHRX </v>
          </cell>
          <cell r="CN8969" t="str">
            <v>2025-04-21</v>
          </cell>
          <cell r="CO8969">
            <v>4323.9070000000002</v>
          </cell>
        </row>
        <row r="8970">
          <cell r="CJ8970" t="str">
            <v xml:space="preserve">NFT-/XUTR/DEUTH02511149439X </v>
          </cell>
          <cell r="CK8970" t="str">
            <v>2025-04-21</v>
          </cell>
          <cell r="CL8970">
            <v>19069.826000000001</v>
          </cell>
          <cell r="CM8970" t="str">
            <v xml:space="preserve">NFT-/XUTR/DEUTH025111A0FHRX </v>
          </cell>
          <cell r="CN8970" t="str">
            <v>2025-04-21</v>
          </cell>
          <cell r="CO8970">
            <v>1441.299</v>
          </cell>
        </row>
        <row r="8971">
          <cell r="CJ8971" t="str">
            <v xml:space="preserve">NFT-/XUTR/DEUTH02511149439X </v>
          </cell>
          <cell r="CK8971" t="str">
            <v>2025-04-21</v>
          </cell>
          <cell r="CL8971">
            <v>10771.945</v>
          </cell>
          <cell r="CM8971" t="str">
            <v xml:space="preserve">NFT-/XUTR/DEUTH025111A0FHRX </v>
          </cell>
          <cell r="CN8971" t="str">
            <v>2025-04-21</v>
          </cell>
          <cell r="CO8971">
            <v>818.19</v>
          </cell>
        </row>
        <row r="8972">
          <cell r="CJ8972" t="str">
            <v xml:space="preserve">NFT-/XUTR/DEUTH02511149439X </v>
          </cell>
          <cell r="CK8972" t="str">
            <v>2025-04-21</v>
          </cell>
          <cell r="CL8972">
            <v>6135.5119999999997</v>
          </cell>
        </row>
        <row r="8973">
          <cell r="CJ8973" t="str">
            <v xml:space="preserve">NFT-/XUTR/DEUTH02511149439X </v>
          </cell>
          <cell r="CK8973" t="str">
            <v>2025-04-21</v>
          </cell>
          <cell r="CL8973">
            <v>50923.116000000002</v>
          </cell>
          <cell r="CM8973" t="str">
            <v xml:space="preserve">NFT-/XUTR/DEUTH02511342948X </v>
          </cell>
          <cell r="CN8973" t="str">
            <v>2025-04-23</v>
          </cell>
          <cell r="CO8973">
            <v>-50923.116000000002</v>
          </cell>
        </row>
        <row r="8974">
          <cell r="CJ8974" t="str">
            <v xml:space="preserve">NFT-/XUTR/DEUTH02511149439X </v>
          </cell>
          <cell r="CK8974" t="str">
            <v>2025-04-21</v>
          </cell>
          <cell r="CL8974">
            <v>18953.887999999999</v>
          </cell>
          <cell r="CM8974" t="str">
            <v xml:space="preserve">NFT-/XUTR/DEUTH025111A0FHRX </v>
          </cell>
          <cell r="CN8974" t="str">
            <v>2025-04-21</v>
          </cell>
          <cell r="CO8974">
            <v>1538.357</v>
          </cell>
        </row>
        <row r="8975">
          <cell r="CJ8975" t="str">
            <v xml:space="preserve">NFT-/XUTR/DEUTH02511149439X </v>
          </cell>
          <cell r="CK8975" t="str">
            <v>2025-04-21</v>
          </cell>
          <cell r="CL8975">
            <v>10327.862999999999</v>
          </cell>
          <cell r="CM8975" t="str">
            <v xml:space="preserve">NFT-/XUTR/DEUTH02511342948X </v>
          </cell>
          <cell r="CN8975" t="str">
            <v>2025-04-23</v>
          </cell>
          <cell r="CO8975">
            <v>-10327.862999999999</v>
          </cell>
        </row>
        <row r="8976">
          <cell r="CJ8976" t="str">
            <v xml:space="preserve">NFT-/XUTR/DEUTH02511149439X </v>
          </cell>
          <cell r="CK8976" t="str">
            <v>2025-04-21</v>
          </cell>
          <cell r="CL8976">
            <v>57190.608</v>
          </cell>
          <cell r="CM8976" t="str">
            <v xml:space="preserve">NFT-/XUTR/DEUTH025111A0FHRX </v>
          </cell>
          <cell r="CN8976" t="str">
            <v>2025-04-21</v>
          </cell>
          <cell r="CO8976">
            <v>4323.9070000000002</v>
          </cell>
        </row>
        <row r="8977">
          <cell r="CJ8977" t="str">
            <v xml:space="preserve">NFT-/XUTR/DEUTH02511149439X </v>
          </cell>
          <cell r="CK8977" t="str">
            <v>2025-04-21</v>
          </cell>
          <cell r="CL8977">
            <v>19069.826000000001</v>
          </cell>
          <cell r="CM8977" t="str">
            <v xml:space="preserve">NFT-/XUTR/DEUTH025111A0FHRX </v>
          </cell>
          <cell r="CN8977" t="str">
            <v>2025-04-21</v>
          </cell>
          <cell r="CO8977">
            <v>1441.3</v>
          </cell>
        </row>
        <row r="8978">
          <cell r="CJ8978" t="str">
            <v xml:space="preserve">NFT-/XUTR/DEUTH02511149439X </v>
          </cell>
          <cell r="CK8978" t="str">
            <v>2025-04-21</v>
          </cell>
          <cell r="CL8978">
            <v>38099.417999999998</v>
          </cell>
          <cell r="CM8978" t="str">
            <v xml:space="preserve">NFT-/XUTR/DEUTH025111A0FHRX </v>
          </cell>
          <cell r="CN8978" t="str">
            <v>2025-04-21</v>
          </cell>
          <cell r="CO8978">
            <v>2903.96</v>
          </cell>
        </row>
        <row r="8979">
          <cell r="CJ8979" t="str">
            <v xml:space="preserve">NFT-/XUTR/DEUTH02511149439X </v>
          </cell>
          <cell r="CK8979" t="str">
            <v>2025-04-21</v>
          </cell>
          <cell r="CL8979">
            <v>47992.512000000002</v>
          </cell>
          <cell r="CM8979" t="str">
            <v xml:space="preserve">NFT-/XUTR/DEUTH025111A0FHRX </v>
          </cell>
          <cell r="CN8979" t="str">
            <v>2025-04-21</v>
          </cell>
          <cell r="CO8979">
            <v>2911.7240000000002</v>
          </cell>
        </row>
        <row r="8980">
          <cell r="CJ8980" t="str">
            <v xml:space="preserve">NFT-/XUTR/DEUTH02511149439X </v>
          </cell>
          <cell r="CK8980" t="str">
            <v>2025-04-21</v>
          </cell>
          <cell r="CL8980">
            <v>9580.0779999999995</v>
          </cell>
          <cell r="CM8980" t="str">
            <v xml:space="preserve">NFT-/XUTR/DEUTH025111A0FHRX </v>
          </cell>
          <cell r="CN8980" t="str">
            <v>2025-04-21</v>
          </cell>
          <cell r="CO8980">
            <v>728.90499999999997</v>
          </cell>
        </row>
        <row r="8981">
          <cell r="CJ8981" t="str">
            <v xml:space="preserve">NFT-/XUTR/DEUTH02511149439X </v>
          </cell>
          <cell r="CK8981" t="str">
            <v>2025-04-21</v>
          </cell>
          <cell r="CL8981">
            <v>1505.3340000000001</v>
          </cell>
          <cell r="CM8981" t="str">
            <v xml:space="preserve">NFT-/XUTR/DEUTH02511549188X </v>
          </cell>
          <cell r="CN8981" t="str">
            <v>2025-04-25</v>
          </cell>
          <cell r="CO8981">
            <v>-1505.3340000000001</v>
          </cell>
        </row>
        <row r="8982">
          <cell r="CJ8982" t="str">
            <v xml:space="preserve">NFT-/XUTR/DEUTH02511149439X </v>
          </cell>
          <cell r="CK8982" t="str">
            <v>2025-04-21</v>
          </cell>
          <cell r="CL8982">
            <v>2621.4960000000001</v>
          </cell>
          <cell r="CM8982" t="str">
            <v xml:space="preserve">NFT-/XUTR/DEUTH02511808907X </v>
          </cell>
          <cell r="CN8982" t="str">
            <v>2025-04-28</v>
          </cell>
          <cell r="CO8982">
            <v>-2621.4960000000001</v>
          </cell>
        </row>
        <row r="8983">
          <cell r="CJ8983" t="str">
            <v xml:space="preserve">NFT-/XUTR/DEUTH02511149439X </v>
          </cell>
          <cell r="CK8983" t="str">
            <v>2025-04-21</v>
          </cell>
          <cell r="CL8983">
            <v>9598.9580000000005</v>
          </cell>
          <cell r="CM8983" t="str">
            <v xml:space="preserve">NFT-/XUTR/DEUTH025111A0FHRX </v>
          </cell>
          <cell r="CN8983" t="str">
            <v>2025-04-21</v>
          </cell>
          <cell r="CO8983">
            <v>728.90499999999997</v>
          </cell>
        </row>
        <row r="8984">
          <cell r="CJ8984" t="str">
            <v xml:space="preserve">NFT-/XUTR/DEUTH02511149439X </v>
          </cell>
          <cell r="CK8984" t="str">
            <v>2025-04-21</v>
          </cell>
          <cell r="CL8984">
            <v>50923.116000000002</v>
          </cell>
          <cell r="CM8984" t="str">
            <v xml:space="preserve">NFT-/XUTR/DEUTH02511549188X </v>
          </cell>
          <cell r="CN8984" t="str">
            <v>2025-04-25</v>
          </cell>
          <cell r="CO8984">
            <v>-50923.116000000002</v>
          </cell>
        </row>
        <row r="8985">
          <cell r="CJ8985" t="str">
            <v xml:space="preserve">NFT-/XUTR/DEUTH02511149439X </v>
          </cell>
          <cell r="CK8985" t="str">
            <v>2025-04-21</v>
          </cell>
          <cell r="CL8985">
            <v>9598.9580000000005</v>
          </cell>
          <cell r="CM8985" t="str">
            <v xml:space="preserve">NFT-/XUTR/DEUTH025111A0FHRX </v>
          </cell>
          <cell r="CN8985" t="str">
            <v>2025-04-21</v>
          </cell>
          <cell r="CO8985">
            <v>728.90499999999997</v>
          </cell>
        </row>
        <row r="8986">
          <cell r="CJ8986" t="str">
            <v xml:space="preserve">NFT-/XUTR/DEUTH02511149439X </v>
          </cell>
          <cell r="CK8986" t="str">
            <v>2025-04-21</v>
          </cell>
          <cell r="CL8986">
            <v>9580.0779999999995</v>
          </cell>
          <cell r="CM8986" t="str">
            <v xml:space="preserve">NFT-/XUTR/DEUTH025111A0FHRX </v>
          </cell>
          <cell r="CN8986" t="str">
            <v>2025-04-21</v>
          </cell>
          <cell r="CO8986">
            <v>728.90499999999997</v>
          </cell>
        </row>
        <row r="8987">
          <cell r="CJ8987" t="str">
            <v xml:space="preserve">NFT-/XUTR/DEUTH02511149439X </v>
          </cell>
          <cell r="CK8987" t="str">
            <v>2025-04-21</v>
          </cell>
          <cell r="CL8987">
            <v>38127.072</v>
          </cell>
          <cell r="CM8987" t="str">
            <v xml:space="preserve">NFT-/XUTR/DEUTH025111A0FHRX </v>
          </cell>
          <cell r="CN8987" t="str">
            <v>2025-04-21</v>
          </cell>
          <cell r="CO8987">
            <v>2882.6080000000002</v>
          </cell>
        </row>
        <row r="8988">
          <cell r="CJ8988" t="str">
            <v xml:space="preserve">NFT-/XUTR/DEUTH02511149439X </v>
          </cell>
          <cell r="CK8988" t="str">
            <v>2025-04-21</v>
          </cell>
          <cell r="CL8988">
            <v>9598.9580000000005</v>
          </cell>
          <cell r="CM8988" t="str">
            <v xml:space="preserve">NFT-/XUTR/DEUTH025111A0FHRX </v>
          </cell>
          <cell r="CN8988" t="str">
            <v>2025-04-21</v>
          </cell>
          <cell r="CO8988">
            <v>728.90499999999997</v>
          </cell>
        </row>
        <row r="8989">
          <cell r="CJ8989" t="str">
            <v xml:space="preserve">NFT-/XUTR/DEUTH02511149439X </v>
          </cell>
          <cell r="CK8989" t="str">
            <v>2025-04-21</v>
          </cell>
          <cell r="CL8989">
            <v>19050.946</v>
          </cell>
          <cell r="CM8989" t="str">
            <v xml:space="preserve">NFT-/XUTR/DEUTH025111A0FHRX </v>
          </cell>
          <cell r="CN8989" t="str">
            <v>2025-04-21</v>
          </cell>
          <cell r="CO8989">
            <v>1441.299</v>
          </cell>
        </row>
        <row r="8990">
          <cell r="CJ8990" t="str">
            <v xml:space="preserve">NFT-/XUTR/DEUTH02511149439X </v>
          </cell>
          <cell r="CK8990" t="str">
            <v>2025-04-21</v>
          </cell>
          <cell r="CL8990">
            <v>9059.8510000000006</v>
          </cell>
          <cell r="CM8990" t="str">
            <v xml:space="preserve">NFT-/XUTR/DEUTH025111A0FHRX </v>
          </cell>
          <cell r="CN8990" t="str">
            <v>2025-04-21</v>
          </cell>
          <cell r="CO8990">
            <v>1249.133</v>
          </cell>
        </row>
        <row r="8991">
          <cell r="CJ8991" t="str">
            <v xml:space="preserve">NFT-/XUTR/DEUTH02511149439X </v>
          </cell>
          <cell r="CK8991" t="str">
            <v>2025-04-21</v>
          </cell>
          <cell r="CL8991">
            <v>48005.101999999999</v>
          </cell>
          <cell r="CM8991" t="str">
            <v xml:space="preserve">NFT-/XUTR/DEUTH025111A0FHRX </v>
          </cell>
          <cell r="CN8991" t="str">
            <v>2025-04-21</v>
          </cell>
          <cell r="CO8991">
            <v>2911.7240000000002</v>
          </cell>
        </row>
        <row r="8992">
          <cell r="CJ8992" t="str">
            <v xml:space="preserve">NFT-/XUTR/DEUTH02511149439X </v>
          </cell>
          <cell r="CK8992" t="str">
            <v>2025-04-21</v>
          </cell>
          <cell r="CL8992">
            <v>19198.89</v>
          </cell>
          <cell r="CM8992" t="str">
            <v xml:space="preserve">NFT-/XUTR/DEUTH025111A0FHRX </v>
          </cell>
          <cell r="CN8992" t="str">
            <v>2025-04-21</v>
          </cell>
          <cell r="CO8992">
            <v>1455.864</v>
          </cell>
        </row>
        <row r="8993">
          <cell r="CJ8993" t="str">
            <v xml:space="preserve">NFT-/XUTR/DEUTH02511149439X </v>
          </cell>
          <cell r="CK8993" t="str">
            <v>2025-04-21</v>
          </cell>
          <cell r="CL8993">
            <v>9580.0779999999995</v>
          </cell>
          <cell r="CM8993" t="str">
            <v xml:space="preserve">NFT-/XUTR/DEUTH025111A0FHRX </v>
          </cell>
          <cell r="CN8993" t="str">
            <v>2025-04-21</v>
          </cell>
          <cell r="CO8993">
            <v>728.90499999999997</v>
          </cell>
        </row>
        <row r="8994">
          <cell r="CJ8994" t="str">
            <v xml:space="preserve">NFT-/XUTR/DEUTH02511149439X </v>
          </cell>
          <cell r="CK8994" t="str">
            <v>2025-04-21</v>
          </cell>
          <cell r="CL8994">
            <v>19050.946</v>
          </cell>
          <cell r="CM8994" t="str">
            <v xml:space="preserve">NFT-/XUTR/DEUTH025111A0FHRX </v>
          </cell>
          <cell r="CN8994" t="str">
            <v>2025-04-21</v>
          </cell>
          <cell r="CO8994">
            <v>1441.299</v>
          </cell>
        </row>
        <row r="8995">
          <cell r="CJ8995" t="str">
            <v xml:space="preserve">NFT-/XUTR/DEUTH02511149439X </v>
          </cell>
          <cell r="CK8995" t="str">
            <v>2025-04-21</v>
          </cell>
          <cell r="CL8995">
            <v>9598.9580000000005</v>
          </cell>
          <cell r="CM8995" t="str">
            <v xml:space="preserve">NFT-/XUTR/DEUTH025111A0FHRX </v>
          </cell>
          <cell r="CN8995" t="str">
            <v>2025-04-21</v>
          </cell>
          <cell r="CO8995">
            <v>728.90499999999997</v>
          </cell>
        </row>
        <row r="8996">
          <cell r="CJ8996" t="str">
            <v xml:space="preserve">NFT-/XUTR/DEUTH02511149439X </v>
          </cell>
          <cell r="CK8996" t="str">
            <v>2025-04-21</v>
          </cell>
          <cell r="CL8996">
            <v>1486.454</v>
          </cell>
        </row>
        <row r="8997">
          <cell r="CJ8997" t="str">
            <v xml:space="preserve">NFT-/XUTR/DEUTH02511149439X </v>
          </cell>
          <cell r="CK8997" t="str">
            <v>2025-04-21</v>
          </cell>
          <cell r="CL8997">
            <v>9580.0779999999995</v>
          </cell>
          <cell r="CM8997" t="str">
            <v xml:space="preserve">NFT-/XUTR/DEUTH025111A0FHRX </v>
          </cell>
          <cell r="CN8997" t="str">
            <v>2025-04-21</v>
          </cell>
          <cell r="CO8997">
            <v>728.90499999999997</v>
          </cell>
        </row>
        <row r="8998">
          <cell r="CJ8998" t="str">
            <v xml:space="preserve">NFT-/XUTR/DEUTH02511149439X </v>
          </cell>
          <cell r="CK8998" t="str">
            <v>2025-04-21</v>
          </cell>
          <cell r="CL8998">
            <v>19198.89</v>
          </cell>
          <cell r="CM8998" t="str">
            <v xml:space="preserve">NFT-/XUTR/DEUTH025111A0FHRX </v>
          </cell>
          <cell r="CN8998" t="str">
            <v>2025-04-21</v>
          </cell>
          <cell r="CO8998">
            <v>1455.8620000000001</v>
          </cell>
        </row>
        <row r="8999">
          <cell r="CJ8999" t="str">
            <v xml:space="preserve">NFT-/XUTR/DEUTH02511149439X </v>
          </cell>
          <cell r="CK8999" t="str">
            <v>2025-04-21</v>
          </cell>
          <cell r="CL8999">
            <v>47842.076000000001</v>
          </cell>
          <cell r="CM8999" t="str">
            <v xml:space="preserve">NFT-/XUTR/DEUTH025111A0FHRX </v>
          </cell>
          <cell r="CN8999" t="str">
            <v>2025-04-21</v>
          </cell>
          <cell r="CO8999">
            <v>3062.1619999999998</v>
          </cell>
        </row>
        <row r="9000">
          <cell r="CJ9000" t="str">
            <v xml:space="preserve">NFT-/XUTR/DEUTH02511149439X </v>
          </cell>
          <cell r="CK9000" t="str">
            <v>2025-04-21</v>
          </cell>
          <cell r="CL9000">
            <v>9580.0779999999995</v>
          </cell>
          <cell r="CM9000" t="str">
            <v xml:space="preserve">NFT-/XUTR/DEUTH025111A0FHRX </v>
          </cell>
          <cell r="CN9000" t="str">
            <v>2025-04-21</v>
          </cell>
          <cell r="CO9000">
            <v>728.90499999999997</v>
          </cell>
        </row>
        <row r="9001">
          <cell r="CJ9001" t="str">
            <v xml:space="preserve">NFT-/XUTR/DEUTH02511149439X </v>
          </cell>
          <cell r="CK9001" t="str">
            <v>2025-04-21</v>
          </cell>
          <cell r="CL9001">
            <v>32353.595000000001</v>
          </cell>
          <cell r="CM9001" t="str">
            <v xml:space="preserve">NFT-/XUTR/DEUTH025111A0FHRX </v>
          </cell>
          <cell r="CN9001" t="str">
            <v>2025-04-21</v>
          </cell>
          <cell r="CO9001">
            <v>2454.59</v>
          </cell>
        </row>
        <row r="9002">
          <cell r="CJ9002" t="str">
            <v xml:space="preserve">NFT-/XUTR/DEUTH02511342948X </v>
          </cell>
          <cell r="CK9002" t="str">
            <v>2025-04-23</v>
          </cell>
          <cell r="CL9002">
            <v>9723.7260000000006</v>
          </cell>
          <cell r="CM9002" t="str">
            <v xml:space="preserve">NFT-/XUTR/DEUTH02511387133X </v>
          </cell>
          <cell r="CN9002" t="str">
            <v>2025-04-23</v>
          </cell>
          <cell r="CO9002">
            <v>517.31600000000003</v>
          </cell>
        </row>
        <row r="9003">
          <cell r="CJ9003" t="str">
            <v xml:space="preserve">NFT-/XUTR/DEUTH02511342948X </v>
          </cell>
          <cell r="CK9003" t="str">
            <v>2025-04-23</v>
          </cell>
          <cell r="CL9003">
            <v>19352.27</v>
          </cell>
          <cell r="CM9003" t="str">
            <v xml:space="preserve">NFT-/XUTR/DEUTH02511387133X </v>
          </cell>
          <cell r="CN9003" t="str">
            <v>2025-04-23</v>
          </cell>
          <cell r="CO9003">
            <v>1022.99</v>
          </cell>
        </row>
        <row r="9004">
          <cell r="CJ9004" t="str">
            <v xml:space="preserve">NFT-/XUTR/DEUTH02511342948X </v>
          </cell>
          <cell r="CK9004" t="str">
            <v>2025-04-23</v>
          </cell>
          <cell r="CL9004">
            <v>48068.66</v>
          </cell>
          <cell r="CM9004" t="str">
            <v xml:space="preserve">NFT-/XUTR/DEUTH02511387133X </v>
          </cell>
          <cell r="CN9004" t="str">
            <v>2025-04-23</v>
          </cell>
          <cell r="CO9004">
            <v>2534.1709999999998</v>
          </cell>
        </row>
        <row r="9005">
          <cell r="CJ9005" t="str">
            <v xml:space="preserve">NFT-/XUTR/DEUTH02511342948X </v>
          </cell>
          <cell r="CK9005" t="str">
            <v>2025-04-23</v>
          </cell>
          <cell r="CL9005">
            <v>48049.779000000002</v>
          </cell>
          <cell r="CM9005" t="str">
            <v xml:space="preserve">NFT-/XUTR/DEUTH02511387133X </v>
          </cell>
          <cell r="CN9005" t="str">
            <v>2025-04-23</v>
          </cell>
          <cell r="CO9005">
            <v>2534.17</v>
          </cell>
        </row>
        <row r="9006">
          <cell r="CJ9006" t="str">
            <v xml:space="preserve">NFT-/XUTR/DEUTH02511342948X </v>
          </cell>
          <cell r="CK9006" t="str">
            <v>2025-04-23</v>
          </cell>
          <cell r="CL9006">
            <v>48068.66</v>
          </cell>
          <cell r="CM9006" t="str">
            <v xml:space="preserve">NFT-/XUTR/DEUTH02511387133X </v>
          </cell>
          <cell r="CN9006" t="str">
            <v>2025-04-23</v>
          </cell>
          <cell r="CO9006">
            <v>2534.1709999999998</v>
          </cell>
        </row>
        <row r="9007">
          <cell r="CJ9007" t="str">
            <v xml:space="preserve">NFT-/XUTR/DEUTH02511342948X </v>
          </cell>
          <cell r="CK9007" t="str">
            <v>2025-04-23</v>
          </cell>
          <cell r="CL9007">
            <v>79238.671000000002</v>
          </cell>
          <cell r="CM9007" t="str">
            <v xml:space="preserve">NFT-/XUTR/DEUTH02511387133X </v>
          </cell>
          <cell r="CN9007" t="str">
            <v>2025-04-23</v>
          </cell>
          <cell r="CO9007">
            <v>2911.7240000000002</v>
          </cell>
        </row>
        <row r="9008">
          <cell r="CJ9008" t="str">
            <v xml:space="preserve">NFT-/XUTR/DEUTH02511342948X </v>
          </cell>
          <cell r="CK9008" t="str">
            <v>2025-04-23</v>
          </cell>
          <cell r="CL9008">
            <v>19333.39</v>
          </cell>
          <cell r="CM9008" t="str">
            <v xml:space="preserve">NFT-/XUTR/DEUTH02511387133X </v>
          </cell>
          <cell r="CN9008" t="str">
            <v>2025-04-23</v>
          </cell>
          <cell r="CO9008">
            <v>1022.99</v>
          </cell>
        </row>
        <row r="9009">
          <cell r="CJ9009" t="str">
            <v xml:space="preserve">NFT-/XUTR/DEUTH02511342948X </v>
          </cell>
          <cell r="CK9009" t="str">
            <v>2025-04-23</v>
          </cell>
          <cell r="CL9009">
            <v>5805.9539999999997</v>
          </cell>
          <cell r="CM9009" t="str">
            <v xml:space="preserve">NFT-/XUTR/DEUTH02511387133X </v>
          </cell>
          <cell r="CN9009" t="str">
            <v>2025-04-23</v>
          </cell>
          <cell r="CO9009">
            <v>309.61099999999999</v>
          </cell>
        </row>
        <row r="9010">
          <cell r="CJ9010" t="str">
            <v xml:space="preserve">NFT-/XUTR/DEUTH02511342948X </v>
          </cell>
          <cell r="CK9010" t="str">
            <v>2025-04-23</v>
          </cell>
          <cell r="CL9010">
            <v>48049.779000000002</v>
          </cell>
          <cell r="CM9010" t="str">
            <v xml:space="preserve">NFT-/XUTR/DEUTH02511387133X </v>
          </cell>
          <cell r="CN9010" t="str">
            <v>2025-04-23</v>
          </cell>
          <cell r="CO9010">
            <v>2534.17</v>
          </cell>
        </row>
        <row r="9011">
          <cell r="CJ9011" t="str">
            <v xml:space="preserve">NFT-/XUTR/DEUTH02511342948X </v>
          </cell>
          <cell r="CK9011" t="str">
            <v>2025-04-23</v>
          </cell>
          <cell r="CL9011">
            <v>48068.66</v>
          </cell>
          <cell r="CM9011" t="str">
            <v xml:space="preserve">NFT-/XUTR/DEUTH02511387133X </v>
          </cell>
          <cell r="CN9011" t="str">
            <v>2025-04-23</v>
          </cell>
          <cell r="CO9011">
            <v>2534.1709999999998</v>
          </cell>
        </row>
        <row r="9012">
          <cell r="CJ9012" t="str">
            <v xml:space="preserve">NFT-/XUTR/DEUTH02511342948X </v>
          </cell>
          <cell r="CK9012" t="str">
            <v>2025-04-23</v>
          </cell>
          <cell r="CL9012">
            <v>19145.530999999999</v>
          </cell>
          <cell r="CM9012" t="str">
            <v xml:space="preserve">NFT-/XUTR/DEUTH02511387133X </v>
          </cell>
          <cell r="CN9012" t="str">
            <v>2025-04-23</v>
          </cell>
          <cell r="CO9012">
            <v>1229.7190000000001</v>
          </cell>
        </row>
        <row r="9013">
          <cell r="CJ9013" t="str">
            <v xml:space="preserve">NFT-/XUTR/DEUTH02511342948X </v>
          </cell>
          <cell r="CK9013" t="str">
            <v>2025-04-23</v>
          </cell>
          <cell r="CL9013">
            <v>9742.6059999999998</v>
          </cell>
          <cell r="CM9013" t="str">
            <v xml:space="preserve">NFT-/XUTR/DEUTH02511387133X </v>
          </cell>
          <cell r="CN9013" t="str">
            <v>2025-04-23</v>
          </cell>
          <cell r="CO9013">
            <v>517.31600000000003</v>
          </cell>
        </row>
        <row r="9014">
          <cell r="CJ9014" t="str">
            <v xml:space="preserve">NFT-/XUTR/DEUTH02511342948X </v>
          </cell>
          <cell r="CK9014" t="str">
            <v>2025-04-23</v>
          </cell>
          <cell r="CL9014">
            <v>5873.4549999999999</v>
          </cell>
        </row>
        <row r="9015">
          <cell r="CJ9015" t="str">
            <v xml:space="preserve">NFT-/XUTR/DEUTH02511342948X </v>
          </cell>
          <cell r="CK9015" t="str">
            <v>2025-04-23</v>
          </cell>
          <cell r="CL9015">
            <v>48049.779000000002</v>
          </cell>
          <cell r="CM9015" t="str">
            <v xml:space="preserve">NFT-/XUTR/DEUTH02511387133X </v>
          </cell>
          <cell r="CN9015" t="str">
            <v>2025-04-23</v>
          </cell>
          <cell r="CO9015">
            <v>2534.17</v>
          </cell>
        </row>
        <row r="9016">
          <cell r="CJ9016" t="str">
            <v xml:space="preserve">NFT-/XUTR/DEUTH02511342948X </v>
          </cell>
          <cell r="CK9016" t="str">
            <v>2025-04-23</v>
          </cell>
          <cell r="CL9016">
            <v>48049.779000000002</v>
          </cell>
          <cell r="CM9016" t="str">
            <v xml:space="preserve">NFT-/XUTR/DEUTH02511387133X </v>
          </cell>
          <cell r="CN9016" t="str">
            <v>2025-04-23</v>
          </cell>
          <cell r="CO9016">
            <v>2534.17</v>
          </cell>
        </row>
        <row r="9017">
          <cell r="CJ9017" t="str">
            <v xml:space="preserve">NFT-/XUTR/DEUTH02511342948X </v>
          </cell>
          <cell r="CK9017" t="str">
            <v>2025-04-23</v>
          </cell>
          <cell r="CL9017">
            <v>9723.7260000000006</v>
          </cell>
          <cell r="CM9017" t="str">
            <v xml:space="preserve">NFT-/XUTR/DEUTH02511387133X </v>
          </cell>
          <cell r="CN9017" t="str">
            <v>2025-04-23</v>
          </cell>
          <cell r="CO9017">
            <v>517.31600000000003</v>
          </cell>
        </row>
        <row r="9018">
          <cell r="CJ9018" t="str">
            <v xml:space="preserve">NFT-/XUTR/DEUTH02511342948X </v>
          </cell>
          <cell r="CK9018" t="str">
            <v>2025-04-23</v>
          </cell>
          <cell r="CL9018">
            <v>19352.27</v>
          </cell>
          <cell r="CM9018" t="str">
            <v xml:space="preserve">NFT-/XUTR/DEUTH02511387133X </v>
          </cell>
          <cell r="CN9018" t="str">
            <v>2025-04-23</v>
          </cell>
          <cell r="CO9018">
            <v>1022.99</v>
          </cell>
        </row>
        <row r="9019">
          <cell r="CJ9019" t="str">
            <v xml:space="preserve">NFT-/XUTR/DEUTH02511549188X </v>
          </cell>
          <cell r="CK9019" t="str">
            <v>2025-04-25</v>
          </cell>
          <cell r="CL9019">
            <v>48049.779000000002</v>
          </cell>
          <cell r="CM9019" t="str">
            <v xml:space="preserve">NFT-/XUTR/DEUTH02511552630X </v>
          </cell>
          <cell r="CN9019" t="str">
            <v>2025-04-25</v>
          </cell>
          <cell r="CO9019">
            <v>2534.17</v>
          </cell>
        </row>
        <row r="9020">
          <cell r="CJ9020" t="str">
            <v xml:space="preserve">NFT-/XUTR/DEUTH02511549188X </v>
          </cell>
          <cell r="CK9020" t="str">
            <v>2025-04-25</v>
          </cell>
          <cell r="CL9020">
            <v>49229.995000000003</v>
          </cell>
          <cell r="CM9020" t="str">
            <v xml:space="preserve">NFT-/XUTR/DEUTH02511552630X </v>
          </cell>
          <cell r="CN9020" t="str">
            <v>2025-04-25</v>
          </cell>
          <cell r="CO9020">
            <v>2596.288</v>
          </cell>
        </row>
        <row r="9021">
          <cell r="CJ9021" t="str">
            <v xml:space="preserve">NFT-/XUTR/DEUTH02511549188X </v>
          </cell>
          <cell r="CK9021" t="str">
            <v>2025-04-25</v>
          </cell>
          <cell r="CL9021">
            <v>6241.7380000000003</v>
          </cell>
        </row>
        <row r="9022">
          <cell r="CJ9022" t="str">
            <v xml:space="preserve">NFT-/XUTR/DEUTH02511549188X </v>
          </cell>
          <cell r="CK9022" t="str">
            <v>2025-04-25</v>
          </cell>
          <cell r="CL9022">
            <v>19573.552</v>
          </cell>
          <cell r="CM9022" t="str">
            <v xml:space="preserve">NFT-/XUTR/DEUTH02511552630X </v>
          </cell>
          <cell r="CN9022" t="str">
            <v>2025-04-25</v>
          </cell>
          <cell r="CO9022">
            <v>1034.6300000000001</v>
          </cell>
        </row>
        <row r="9023">
          <cell r="CJ9023" t="str">
            <v xml:space="preserve">NFT-/XUTR/DEUTH02511549188X </v>
          </cell>
          <cell r="CK9023" t="str">
            <v>2025-04-25</v>
          </cell>
          <cell r="CL9023">
            <v>9954.7199999999993</v>
          </cell>
          <cell r="CM9023" t="str">
            <v xml:space="preserve">NFT-/XUTR/DEUTH02511552630X </v>
          </cell>
          <cell r="CN9023" t="str">
            <v>2025-04-25</v>
          </cell>
          <cell r="CO9023">
            <v>528.96500000000003</v>
          </cell>
        </row>
        <row r="9024">
          <cell r="CJ9024" t="str">
            <v xml:space="preserve">NFT-/XUTR/DEUTH02511549188X </v>
          </cell>
          <cell r="CK9024" t="str">
            <v>2025-04-25</v>
          </cell>
          <cell r="CL9024">
            <v>11171.825000000001</v>
          </cell>
          <cell r="CM9024" t="str">
            <v xml:space="preserve">NFT-/XUTR/DEUTH02511552630X </v>
          </cell>
          <cell r="CN9024" t="str">
            <v>2025-04-25</v>
          </cell>
          <cell r="CO9024">
            <v>593.02099999999996</v>
          </cell>
        </row>
        <row r="9025">
          <cell r="CJ9025" t="str">
            <v xml:space="preserve">NFT-/XUTR/DEUTH02511549188X </v>
          </cell>
          <cell r="CK9025" t="str">
            <v>2025-04-25</v>
          </cell>
          <cell r="CL9025">
            <v>19803.141</v>
          </cell>
          <cell r="CM9025" t="str">
            <v xml:space="preserve">NFT-/XUTR/DEUTH02511552630X </v>
          </cell>
          <cell r="CN9025" t="str">
            <v>2025-04-25</v>
          </cell>
          <cell r="CO9025">
            <v>1048.2180000000001</v>
          </cell>
        </row>
        <row r="9026">
          <cell r="CJ9026" t="str">
            <v xml:space="preserve">NFT-/XUTR/DEUTH02511549188X </v>
          </cell>
          <cell r="CK9026" t="str">
            <v>2025-04-25</v>
          </cell>
          <cell r="CL9026">
            <v>49248.875</v>
          </cell>
          <cell r="CM9026" t="str">
            <v xml:space="preserve">NFT-/XUTR/DEUTH02511552630X </v>
          </cell>
          <cell r="CN9026" t="str">
            <v>2025-04-25</v>
          </cell>
          <cell r="CO9026">
            <v>2596.288</v>
          </cell>
        </row>
        <row r="9027">
          <cell r="CJ9027" t="str">
            <v xml:space="preserve">NFT-/XUTR/DEUTH02511549188X </v>
          </cell>
          <cell r="CK9027" t="str">
            <v>2025-04-25</v>
          </cell>
          <cell r="CL9027">
            <v>98478.88</v>
          </cell>
          <cell r="CM9027" t="str">
            <v xml:space="preserve">NFT-/XUTR/DEUTH02511552630X </v>
          </cell>
          <cell r="CN9027" t="str">
            <v>2025-04-25</v>
          </cell>
          <cell r="CO9027">
            <v>5192.576</v>
          </cell>
        </row>
        <row r="9028">
          <cell r="CJ9028" t="str">
            <v xml:space="preserve">NFT-/XUTR/DEUTH02511808907X </v>
          </cell>
          <cell r="CK9028" t="str">
            <v>2025-04-28</v>
          </cell>
          <cell r="CL9028">
            <v>48612.186000000002</v>
          </cell>
          <cell r="CM9028" t="str">
            <v xml:space="preserve">NFT-/XUTR/DEUTH02511855011X </v>
          </cell>
          <cell r="CN9028" t="str">
            <v>2025-04-28</v>
          </cell>
          <cell r="CO9028">
            <v>2563.2860000000001</v>
          </cell>
        </row>
        <row r="9029">
          <cell r="CJ9029" t="str">
            <v xml:space="preserve">NFT-/XUTR/DEUTH02511549188X </v>
          </cell>
          <cell r="CK9029" t="str">
            <v>2025-04-25</v>
          </cell>
          <cell r="CL9029">
            <v>49248.875</v>
          </cell>
          <cell r="CM9029" t="str">
            <v xml:space="preserve">NFT-/XUTR/DEUTH02511552630X </v>
          </cell>
          <cell r="CN9029" t="str">
            <v>2025-04-25</v>
          </cell>
          <cell r="CO9029">
            <v>2596.2869999999998</v>
          </cell>
          <cell r="CP9029" t="str">
            <v xml:space="preserve">NFT-/XUTR/DEUTH02511808907X </v>
          </cell>
          <cell r="CQ9029" t="str">
            <v>2025-04-28</v>
          </cell>
          <cell r="CR9029">
            <v>-49248.875</v>
          </cell>
          <cell r="CS9029" t="str">
            <v xml:space="preserve">NFT-/XUTR/DEUTH02511855011X </v>
          </cell>
          <cell r="CT9029" t="str">
            <v>2025-04-28</v>
          </cell>
          <cell r="CU9029">
            <v>-2596.2869999999998</v>
          </cell>
        </row>
        <row r="9030">
          <cell r="CJ9030" t="str">
            <v xml:space="preserve">NFT-/XUTR/DEUTH02511549188X </v>
          </cell>
          <cell r="CK9030" t="str">
            <v>2025-04-25</v>
          </cell>
          <cell r="CL9030">
            <v>2587.09</v>
          </cell>
          <cell r="CM9030" t="str">
            <v xml:space="preserve">NFT-/XUTR/DEUTH02511552630X </v>
          </cell>
          <cell r="CN9030" t="str">
            <v>2025-04-25</v>
          </cell>
          <cell r="CO9030">
            <v>141.69900000000001</v>
          </cell>
        </row>
        <row r="9031">
          <cell r="CJ9031" t="str">
            <v xml:space="preserve">NFT-/XUTR/DEUTH02511549188X </v>
          </cell>
          <cell r="CK9031" t="str">
            <v>2025-04-25</v>
          </cell>
          <cell r="CL9031">
            <v>0</v>
          </cell>
          <cell r="CM9031" t="str">
            <v xml:space="preserve">NFT-/XUTR/DEUTH02511552630X </v>
          </cell>
          <cell r="CN9031" t="str">
            <v>2025-04-25</v>
          </cell>
          <cell r="CO9031">
            <v>0</v>
          </cell>
        </row>
        <row r="9032">
          <cell r="CJ9032" t="str">
            <v xml:space="preserve">NFT-/XUTR/DEUTH02511549188X </v>
          </cell>
          <cell r="CK9032" t="str">
            <v>2025-04-25</v>
          </cell>
          <cell r="CL9032">
            <v>9908.57</v>
          </cell>
          <cell r="CM9032" t="str">
            <v xml:space="preserve">NFT-/XUTR/DEUTH02511552630X </v>
          </cell>
          <cell r="CN9032" t="str">
            <v>2025-04-25</v>
          </cell>
          <cell r="CO9032">
            <v>526.053</v>
          </cell>
        </row>
        <row r="9033">
          <cell r="CJ9033" t="str">
            <v xml:space="preserve">NFT-/XUTR/DEUTH02511549188X </v>
          </cell>
          <cell r="CK9033" t="str">
            <v>2025-04-25</v>
          </cell>
          <cell r="CL9033">
            <v>19822.021000000001</v>
          </cell>
          <cell r="CM9033" t="str">
            <v xml:space="preserve">NFT-/XUTR/DEUTH02511552630X </v>
          </cell>
          <cell r="CN9033" t="str">
            <v>2025-04-25</v>
          </cell>
          <cell r="CO9033">
            <v>1048.2180000000001</v>
          </cell>
        </row>
        <row r="9034">
          <cell r="CJ9034" t="str">
            <v xml:space="preserve">NFT-/XUTR/DEUTH02511549188X </v>
          </cell>
          <cell r="CK9034" t="str">
            <v>2025-04-25</v>
          </cell>
          <cell r="CL9034">
            <v>49248.875</v>
          </cell>
          <cell r="CM9034" t="str">
            <v xml:space="preserve">NFT-/XUTR/DEUTH02511552630X </v>
          </cell>
          <cell r="CN9034" t="str">
            <v>2025-04-25</v>
          </cell>
          <cell r="CO9034">
            <v>2596.288</v>
          </cell>
        </row>
        <row r="9035">
          <cell r="CJ9035" t="str">
            <v xml:space="preserve">NFT-/XUTR/DEUTH02511549188X </v>
          </cell>
          <cell r="CK9035" t="str">
            <v>2025-04-25</v>
          </cell>
          <cell r="CL9035">
            <v>5999.6279999999997</v>
          </cell>
        </row>
        <row r="9036">
          <cell r="CJ9036" t="str">
            <v xml:space="preserve">NFT-/XUTR/DEUTH02511808907X </v>
          </cell>
          <cell r="CK9036" t="str">
            <v>2025-04-28</v>
          </cell>
          <cell r="CL9036">
            <v>19951.106</v>
          </cell>
          <cell r="CM9036" t="str">
            <v xml:space="preserve">NFT-/XUTR/DEUTH02511855011X </v>
          </cell>
          <cell r="CN9036" t="str">
            <v>2025-04-28</v>
          </cell>
          <cell r="CO9036">
            <v>1055.019</v>
          </cell>
        </row>
        <row r="9037">
          <cell r="CJ9037" t="str">
            <v xml:space="preserve">NFT-/XUTR/DEUTH02511808907X </v>
          </cell>
          <cell r="CK9037" t="str">
            <v>2025-04-28</v>
          </cell>
          <cell r="CL9037">
            <v>59449.127999999997</v>
          </cell>
          <cell r="CM9037" t="str">
            <v xml:space="preserve">NFT-/XUTR/DEUTH02511855011X </v>
          </cell>
          <cell r="CN9037" t="str">
            <v>2025-04-28</v>
          </cell>
          <cell r="CO9037">
            <v>3141.752</v>
          </cell>
        </row>
        <row r="9038">
          <cell r="CJ9038" t="str">
            <v xml:space="preserve">NFT-/XUTR/DEUTH02511808907X </v>
          </cell>
          <cell r="CK9038" t="str">
            <v>2025-04-28</v>
          </cell>
          <cell r="CL9038">
            <v>10018.776</v>
          </cell>
          <cell r="CM9038" t="str">
            <v xml:space="preserve">NFT-/XUTR/DEUTH02511855011X </v>
          </cell>
          <cell r="CN9038" t="str">
            <v>2025-04-28</v>
          </cell>
          <cell r="CO9038">
            <v>532.84199999999998</v>
          </cell>
        </row>
        <row r="9039">
          <cell r="CJ9039" t="str">
            <v xml:space="preserve">NFT-/XUTR/DEUTH02511549188X </v>
          </cell>
          <cell r="CK9039" t="str">
            <v>2025-04-25</v>
          </cell>
          <cell r="CL9039">
            <v>49248.875</v>
          </cell>
          <cell r="CM9039" t="str">
            <v xml:space="preserve">NFT-/XUTR/DEUTH02511552630X </v>
          </cell>
          <cell r="CN9039" t="str">
            <v>2025-04-25</v>
          </cell>
          <cell r="CO9039">
            <v>2596.2869999999998</v>
          </cell>
        </row>
        <row r="9040">
          <cell r="CJ9040" t="str">
            <v xml:space="preserve">NFT-/XUTR/DEUTH02511549188X </v>
          </cell>
          <cell r="CK9040" t="str">
            <v>2025-04-25</v>
          </cell>
          <cell r="CL9040">
            <v>-1276.08</v>
          </cell>
          <cell r="CM9040" t="str">
            <v xml:space="preserve">NFT-/XUTR/DEUTH02511552630X </v>
          </cell>
          <cell r="CN9040" t="str">
            <v>2025-04-25</v>
          </cell>
          <cell r="CO9040">
            <v>2596.288</v>
          </cell>
          <cell r="CP9040" t="str">
            <v xml:space="preserve">AXISCN0985181545 </v>
          </cell>
          <cell r="CQ9040" t="str">
            <v>2025-06-02</v>
          </cell>
          <cell r="CR9040">
            <v>50524.955000000002</v>
          </cell>
        </row>
        <row r="9041">
          <cell r="CJ9041" t="str">
            <v xml:space="preserve">NFT-/XUTR/DEUTH02511808907X </v>
          </cell>
          <cell r="CK9041" t="str">
            <v>2025-04-28</v>
          </cell>
          <cell r="CL9041">
            <v>33193.144999999997</v>
          </cell>
          <cell r="CM9041" t="str">
            <v xml:space="preserve">NFT-/XUTR/DEUTH02511855011X </v>
          </cell>
          <cell r="CN9041" t="str">
            <v>2025-04-28</v>
          </cell>
          <cell r="CO9041">
            <v>1761.598</v>
          </cell>
        </row>
        <row r="9042">
          <cell r="CJ9042" t="str">
            <v xml:space="preserve">NFT-/XUTR/DEUTH02511808907X </v>
          </cell>
          <cell r="CK9042" t="str">
            <v>2025-04-28</v>
          </cell>
          <cell r="CL9042">
            <v>104927.408</v>
          </cell>
        </row>
        <row r="9043">
          <cell r="CJ9043" t="str">
            <v xml:space="preserve">NFT-/XUTR/DEUTH02511549188X </v>
          </cell>
          <cell r="CK9043" t="str">
            <v>2025-04-25</v>
          </cell>
          <cell r="CL9043">
            <v>19807.468000000001</v>
          </cell>
          <cell r="CM9043" t="str">
            <v xml:space="preserve">NFT-/XUTR/DEUTH02511552630X </v>
          </cell>
          <cell r="CN9043" t="str">
            <v>2025-04-25</v>
          </cell>
          <cell r="CO9043">
            <v>1062.7819999999999</v>
          </cell>
        </row>
        <row r="9044">
          <cell r="CJ9044" t="str">
            <v xml:space="preserve">NFT-/XUTR/DEUTH02511808907X </v>
          </cell>
          <cell r="CK9044" t="str">
            <v>2025-04-28</v>
          </cell>
          <cell r="CL9044">
            <v>10018.776</v>
          </cell>
          <cell r="CM9044" t="str">
            <v xml:space="preserve">NFT-/XUTR/DEUTH02511855011X </v>
          </cell>
          <cell r="CN9044" t="str">
            <v>2025-04-28</v>
          </cell>
          <cell r="CO9044">
            <v>532.84199999999998</v>
          </cell>
        </row>
        <row r="9045">
          <cell r="CJ9045" t="str">
            <v xml:space="preserve">NFT-/XUTR/DEUTH02511549188X </v>
          </cell>
          <cell r="CK9045" t="str">
            <v>2025-04-25</v>
          </cell>
          <cell r="CL9045">
            <v>49207.68</v>
          </cell>
          <cell r="CM9045" t="str">
            <v xml:space="preserve">NFT-/XUTR/DEUTH02511552630X </v>
          </cell>
          <cell r="CN9045" t="str">
            <v>2025-04-25</v>
          </cell>
          <cell r="CO9045">
            <v>2595.748</v>
          </cell>
        </row>
        <row r="9046">
          <cell r="CJ9046" t="str">
            <v xml:space="preserve">NFT-/XUTR/DEUTH02511549188X </v>
          </cell>
          <cell r="CK9046" t="str">
            <v>2025-04-25</v>
          </cell>
          <cell r="CL9046">
            <v>0</v>
          </cell>
          <cell r="CM9046" t="str">
            <v xml:space="preserve">NFT-/XUTR/DEUTH02511552630X </v>
          </cell>
          <cell r="CN9046" t="str">
            <v>2025-04-25</v>
          </cell>
          <cell r="CO9046">
            <v>0</v>
          </cell>
        </row>
        <row r="9047">
          <cell r="CJ9047" t="str">
            <v xml:space="preserve">NFT-/XUTR/DEUTH02511808907X </v>
          </cell>
          <cell r="CK9047" t="str">
            <v>2025-04-28</v>
          </cell>
          <cell r="CL9047">
            <v>39884.307999999997</v>
          </cell>
          <cell r="CM9047" t="str">
            <v xml:space="preserve">NFT-/XUTR/DEUTH02511855011X </v>
          </cell>
          <cell r="CN9047" t="str">
            <v>2025-04-28</v>
          </cell>
          <cell r="CO9047">
            <v>2110.0259999999998</v>
          </cell>
        </row>
        <row r="9048">
          <cell r="CJ9048" t="str">
            <v xml:space="preserve">NFT-/XUTR/DEUTH02511549188X </v>
          </cell>
          <cell r="CK9048" t="str">
            <v>2025-04-25</v>
          </cell>
          <cell r="CL9048">
            <v>19803.141</v>
          </cell>
          <cell r="CM9048" t="str">
            <v xml:space="preserve">NFT-/XUTR/DEUTH02511552630X </v>
          </cell>
          <cell r="CN9048" t="str">
            <v>2025-04-25</v>
          </cell>
          <cell r="CO9048">
            <v>1048.2180000000001</v>
          </cell>
        </row>
        <row r="9049">
          <cell r="CJ9049" t="str">
            <v xml:space="preserve">NFT-/XUTR/DEUTH02511549188X </v>
          </cell>
          <cell r="CK9049" t="str">
            <v>2025-04-25</v>
          </cell>
          <cell r="CL9049">
            <v>19822.021000000001</v>
          </cell>
          <cell r="CM9049" t="str">
            <v xml:space="preserve">NFT-/XUTR/DEUTH02511552630X </v>
          </cell>
          <cell r="CN9049" t="str">
            <v>2025-04-25</v>
          </cell>
          <cell r="CO9049">
            <v>1048.2180000000001</v>
          </cell>
        </row>
        <row r="9050">
          <cell r="CJ9050" t="str">
            <v xml:space="preserve">NFT-/XUTR/DEUTH02511808907X </v>
          </cell>
          <cell r="CK9050" t="str">
            <v>2025-04-28</v>
          </cell>
          <cell r="CL9050">
            <v>39903.188000000002</v>
          </cell>
          <cell r="CM9050" t="str">
            <v xml:space="preserve">NFT-/XUTR/DEUTH02511855011X </v>
          </cell>
          <cell r="CN9050" t="str">
            <v>2025-04-28</v>
          </cell>
          <cell r="CO9050">
            <v>2110.0259999999998</v>
          </cell>
        </row>
        <row r="9051">
          <cell r="CJ9051" t="str">
            <v xml:space="preserve">NFT-/XUTR/DEUTH02511549188X </v>
          </cell>
          <cell r="CK9051" t="str">
            <v>2025-04-25</v>
          </cell>
          <cell r="CL9051">
            <v>147727.755</v>
          </cell>
          <cell r="CM9051" t="str">
            <v xml:space="preserve">NFT-/XUTR/DEUTH02511552630X </v>
          </cell>
          <cell r="CN9051" t="str">
            <v>2025-04-25</v>
          </cell>
          <cell r="CO9051">
            <v>7788.8639999999996</v>
          </cell>
        </row>
        <row r="9052">
          <cell r="CJ9052" t="str">
            <v xml:space="preserve">NFT-/XUTR/DEUTH02511808907X </v>
          </cell>
          <cell r="CK9052" t="str">
            <v>2025-04-28</v>
          </cell>
          <cell r="CL9052">
            <v>19951.106</v>
          </cell>
          <cell r="CM9052" t="str">
            <v xml:space="preserve">NFT-/XUTR/DEUTH02511855011X </v>
          </cell>
          <cell r="CN9052" t="str">
            <v>2025-04-28</v>
          </cell>
          <cell r="CO9052">
            <v>1055.018</v>
          </cell>
        </row>
        <row r="9053">
          <cell r="CJ9053" t="str">
            <v xml:space="preserve">NFT-/XUTR/DEUTH02511549188X </v>
          </cell>
          <cell r="CK9053" t="str">
            <v>2025-04-25</v>
          </cell>
          <cell r="CL9053">
            <v>9954.7199999999993</v>
          </cell>
          <cell r="CM9053" t="str">
            <v xml:space="preserve">NFT-/XUTR/DEUTH02511552630X </v>
          </cell>
          <cell r="CN9053" t="str">
            <v>2025-04-25</v>
          </cell>
          <cell r="CO9053">
            <v>528.96500000000003</v>
          </cell>
        </row>
        <row r="9054">
          <cell r="CJ9054" t="str">
            <v xml:space="preserve">NFT-/XUTR/DEUTH02511808907X </v>
          </cell>
          <cell r="CK9054" t="str">
            <v>2025-04-28</v>
          </cell>
          <cell r="CL9054">
            <v>19951.106</v>
          </cell>
          <cell r="CM9054" t="str">
            <v xml:space="preserve">NFT-/XUTR/DEUTH02511855011X </v>
          </cell>
          <cell r="CN9054" t="str">
            <v>2025-04-28</v>
          </cell>
          <cell r="CO9054">
            <v>1055.018</v>
          </cell>
        </row>
        <row r="9055">
          <cell r="CJ9055" t="str">
            <v xml:space="preserve">NFT-/XUTR/DEUTH02511808907X </v>
          </cell>
          <cell r="CK9055" t="str">
            <v>2025-04-28</v>
          </cell>
          <cell r="CL9055">
            <v>49543.493999999999</v>
          </cell>
          <cell r="CM9055" t="str">
            <v xml:space="preserve">NFT-/XUTR/DEUTH02511855011X </v>
          </cell>
          <cell r="CN9055" t="str">
            <v>2025-04-28</v>
          </cell>
          <cell r="CO9055">
            <v>2612.788</v>
          </cell>
        </row>
        <row r="9056">
          <cell r="CJ9056" t="str">
            <v xml:space="preserve">NFT-/XUTR/DEUTH02511808907X </v>
          </cell>
          <cell r="CK9056" t="str">
            <v>2025-04-28</v>
          </cell>
          <cell r="CL9056">
            <v>10037.655000000001</v>
          </cell>
          <cell r="CM9056" t="str">
            <v xml:space="preserve">NFT-/XUTR/DEUTH02511855011X </v>
          </cell>
          <cell r="CN9056" t="str">
            <v>2025-04-28</v>
          </cell>
          <cell r="CO9056">
            <v>532.84100000000001</v>
          </cell>
        </row>
        <row r="9057">
          <cell r="CJ9057" t="str">
            <v xml:space="preserve">NFT-/XUTR/DEUTH02511808907X </v>
          </cell>
          <cell r="CK9057" t="str">
            <v>2025-04-28</v>
          </cell>
          <cell r="CL9057">
            <v>74958.964000000007</v>
          </cell>
          <cell r="CM9057" t="str">
            <v xml:space="preserve">NFT-/XUTR/DEUTH02511855011X </v>
          </cell>
          <cell r="CN9057" t="str">
            <v>2025-04-28</v>
          </cell>
          <cell r="CO9057">
            <v>2911.7240000000002</v>
          </cell>
        </row>
        <row r="9058">
          <cell r="CJ9058" t="str">
            <v xml:space="preserve">NFT-/XUTR/DEUTH02511808907X </v>
          </cell>
          <cell r="CK9058" t="str">
            <v>2025-04-28</v>
          </cell>
          <cell r="CL9058">
            <v>19951.106</v>
          </cell>
          <cell r="CM9058" t="str">
            <v xml:space="preserve">NFT-/XUTR/DEUTH02511855011X </v>
          </cell>
          <cell r="CN9058" t="str">
            <v>2025-04-28</v>
          </cell>
          <cell r="CO9058">
            <v>1055.018</v>
          </cell>
        </row>
        <row r="9059">
          <cell r="CJ9059" t="str">
            <v xml:space="preserve">NFT-/XUTR/DEUTH02511808907X </v>
          </cell>
          <cell r="CK9059" t="str">
            <v>2025-04-28</v>
          </cell>
          <cell r="CL9059">
            <v>49257.171999999999</v>
          </cell>
          <cell r="CM9059" t="str">
            <v xml:space="preserve">NFT-/XUTR/DEUTH02511855011X </v>
          </cell>
          <cell r="CN9059" t="str">
            <v>2025-04-28</v>
          </cell>
          <cell r="CO9059">
            <v>2598.2260000000001</v>
          </cell>
        </row>
        <row r="9060">
          <cell r="CJ9060" t="str">
            <v xml:space="preserve">NFT-/XUTR/DEUTH02511808907X </v>
          </cell>
          <cell r="CK9060" t="str">
            <v>2025-04-28</v>
          </cell>
          <cell r="CL9060">
            <v>19840.46</v>
          </cell>
          <cell r="CM9060" t="str">
            <v xml:space="preserve">NFT-/XUTR/DEUTH02511855011X </v>
          </cell>
          <cell r="CN9060" t="str">
            <v>2025-04-28</v>
          </cell>
          <cell r="CO9060">
            <v>1049.192</v>
          </cell>
        </row>
        <row r="9061">
          <cell r="CJ9061" t="str">
            <v xml:space="preserve">NFT-/XUTR/DEUTH02511808907X </v>
          </cell>
          <cell r="CK9061" t="str">
            <v>2025-04-28</v>
          </cell>
          <cell r="CL9061">
            <v>1505.335</v>
          </cell>
        </row>
        <row r="9062">
          <cell r="CJ9062" t="str">
            <v xml:space="preserve">NFT-/XUTR/DEUTH02511808907X </v>
          </cell>
          <cell r="CK9062" t="str">
            <v>2025-04-28</v>
          </cell>
          <cell r="CL9062">
            <v>19951.106</v>
          </cell>
          <cell r="CM9062" t="str">
            <v xml:space="preserve">NFT-/XUTR/DEUTH02511855011X </v>
          </cell>
          <cell r="CN9062" t="str">
            <v>2025-04-28</v>
          </cell>
          <cell r="CO9062">
            <v>1055.018</v>
          </cell>
        </row>
        <row r="9063">
          <cell r="CJ9063" t="str">
            <v xml:space="preserve">NFT-/XUTR/DEUTH02511808907X </v>
          </cell>
          <cell r="CK9063" t="str">
            <v>2025-04-28</v>
          </cell>
          <cell r="CL9063">
            <v>49257.171999999999</v>
          </cell>
          <cell r="CM9063" t="str">
            <v xml:space="preserve">NFT-/XUTR/DEUTH02511855011X </v>
          </cell>
          <cell r="CN9063" t="str">
            <v>2025-04-28</v>
          </cell>
          <cell r="CO9063">
            <v>2598.2260000000001</v>
          </cell>
        </row>
        <row r="9064">
          <cell r="CJ9064" t="str">
            <v xml:space="preserve">NFT-/XUTR/DEUTH02511808907X </v>
          </cell>
          <cell r="CK9064" t="str">
            <v>2025-04-28</v>
          </cell>
          <cell r="CL9064">
            <v>1505.335</v>
          </cell>
        </row>
        <row r="9065">
          <cell r="CJ9065" t="str">
            <v xml:space="preserve">NFT-/XUTR/DEUTH02511808907X </v>
          </cell>
          <cell r="CK9065" t="str">
            <v>2025-04-28</v>
          </cell>
          <cell r="CL9065">
            <v>9963.4570000000003</v>
          </cell>
          <cell r="CM9065" t="str">
            <v xml:space="preserve">NFT-/XUTR/DEUTH02511855011X </v>
          </cell>
          <cell r="CN9065" t="str">
            <v>2025-04-28</v>
          </cell>
          <cell r="CO9065">
            <v>529.92999999999995</v>
          </cell>
        </row>
        <row r="9066">
          <cell r="CJ9066" t="str">
            <v xml:space="preserve">NFT-/XUTR/DEUTH02511808907X </v>
          </cell>
          <cell r="CK9066" t="str">
            <v>2025-04-28</v>
          </cell>
          <cell r="CL9066">
            <v>30095.069</v>
          </cell>
          <cell r="CM9066" t="str">
            <v xml:space="preserve">NFT-/XUTR/DEUTH02511855011X </v>
          </cell>
          <cell r="CN9066" t="str">
            <v>2025-04-28</v>
          </cell>
          <cell r="CO9066">
            <v>1598.5360000000001</v>
          </cell>
        </row>
        <row r="9067">
          <cell r="CJ9067" t="str">
            <v xml:space="preserve">NFT-/XUTR/DEUTH02511808907X </v>
          </cell>
          <cell r="CK9067" t="str">
            <v>2025-04-28</v>
          </cell>
          <cell r="CL9067">
            <v>147811.22399999999</v>
          </cell>
          <cell r="CM9067" t="str">
            <v xml:space="preserve">NFT-/XUTR/DEUTH02511855011X </v>
          </cell>
          <cell r="CN9067" t="str">
            <v>2025-04-28</v>
          </cell>
          <cell r="CO9067">
            <v>7791.7759999999998</v>
          </cell>
        </row>
        <row r="9068">
          <cell r="CJ9068" t="str">
            <v xml:space="preserve">NFT-/XUTR/DEUTH02511808907X </v>
          </cell>
          <cell r="CK9068" t="str">
            <v>2025-04-28</v>
          </cell>
          <cell r="CL9068">
            <v>19821.580000000002</v>
          </cell>
          <cell r="CM9068" t="str">
            <v xml:space="preserve">NFT-/XUTR/DEUTH02511855011X </v>
          </cell>
          <cell r="CN9068" t="str">
            <v>2025-04-28</v>
          </cell>
          <cell r="CO9068">
            <v>1049.192</v>
          </cell>
        </row>
        <row r="9069">
          <cell r="CJ9069" t="str">
            <v xml:space="preserve">NFT-/XUTR/DEUTH02511808907X </v>
          </cell>
          <cell r="CK9069" t="str">
            <v>2025-04-28</v>
          </cell>
          <cell r="CL9069">
            <v>11862.848</v>
          </cell>
        </row>
        <row r="9070">
          <cell r="CJ9070" t="str">
            <v xml:space="preserve">NFT-/XUTR/DEUTH02511808907X </v>
          </cell>
          <cell r="CK9070" t="str">
            <v>2025-04-28</v>
          </cell>
          <cell r="CL9070">
            <v>9982.3379999999997</v>
          </cell>
          <cell r="CM9070" t="str">
            <v xml:space="preserve">NFT-/XUTR/DEUTH02511855011X </v>
          </cell>
          <cell r="CN9070" t="str">
            <v>2025-04-28</v>
          </cell>
          <cell r="CO9070">
            <v>529.92999999999995</v>
          </cell>
        </row>
        <row r="9071">
          <cell r="CJ9071" t="str">
            <v xml:space="preserve">NFT-/XUTR/DEUTH02511808907X </v>
          </cell>
          <cell r="CK9071" t="str">
            <v>2025-04-28</v>
          </cell>
          <cell r="CL9071">
            <v>5950.5649999999996</v>
          </cell>
        </row>
        <row r="9072">
          <cell r="CJ9072" t="str">
            <v xml:space="preserve">NFT-/XUTR/DEUTH02511808907X </v>
          </cell>
          <cell r="CK9072" t="str">
            <v>2025-04-28</v>
          </cell>
          <cell r="CL9072">
            <v>19821.580000000002</v>
          </cell>
          <cell r="CM9072" t="str">
            <v xml:space="preserve">NFT-/XUTR/DEUTH02511855011X </v>
          </cell>
          <cell r="CN9072" t="str">
            <v>2025-04-28</v>
          </cell>
          <cell r="CO9072">
            <v>1049.192</v>
          </cell>
        </row>
        <row r="9073">
          <cell r="CJ9073" t="str">
            <v xml:space="preserve">NFT-/XUTR/DEUTH02511808907X </v>
          </cell>
          <cell r="CK9073" t="str">
            <v>2025-04-28</v>
          </cell>
          <cell r="CL9073">
            <v>19821.580000000002</v>
          </cell>
          <cell r="CM9073" t="str">
            <v xml:space="preserve">NFT-/XUTR/DEUTH02511855011X </v>
          </cell>
          <cell r="CN9073" t="str">
            <v>2025-04-28</v>
          </cell>
          <cell r="CO9073">
            <v>1049.192</v>
          </cell>
        </row>
        <row r="9074">
          <cell r="CJ9074" t="str">
            <v xml:space="preserve">NFT-/XUTR/DEUTH02511808907X </v>
          </cell>
          <cell r="CK9074" t="str">
            <v>2025-04-28</v>
          </cell>
          <cell r="CL9074">
            <v>49276.052000000003</v>
          </cell>
          <cell r="CM9074" t="str">
            <v xml:space="preserve">NFT-/XUTR/DEUTH02511855011X </v>
          </cell>
          <cell r="CN9074" t="str">
            <v>2025-04-28</v>
          </cell>
          <cell r="CO9074">
            <v>2598.2249999999999</v>
          </cell>
        </row>
        <row r="9075">
          <cell r="CJ9075" t="str">
            <v xml:space="preserve">NFT-/XUTR/DEUTH02511808907X </v>
          </cell>
          <cell r="CK9075" t="str">
            <v>2025-04-28</v>
          </cell>
          <cell r="CL9075">
            <v>19831.02</v>
          </cell>
          <cell r="CM9075" t="str">
            <v xml:space="preserve">NFT-/XUTR/DEUTH02511855011X </v>
          </cell>
          <cell r="CN9075" t="str">
            <v>2025-04-28</v>
          </cell>
          <cell r="CO9075">
            <v>1049.192</v>
          </cell>
        </row>
        <row r="9076">
          <cell r="CJ9076" t="str">
            <v xml:space="preserve">NFT-/XUTR/DEUTH02511808907X </v>
          </cell>
          <cell r="CK9076" t="str">
            <v>2025-04-28</v>
          </cell>
          <cell r="CL9076">
            <v>49257.171999999999</v>
          </cell>
          <cell r="CM9076" t="str">
            <v xml:space="preserve">NFT-/XUTR/DEUTH02511855011X </v>
          </cell>
          <cell r="CN9076" t="str">
            <v>2025-04-28</v>
          </cell>
          <cell r="CO9076">
            <v>2598.2260000000001</v>
          </cell>
        </row>
        <row r="9077">
          <cell r="CJ9077" t="str">
            <v xml:space="preserve">NFT-/XUTR/DEUTH02511808907X </v>
          </cell>
          <cell r="CK9077" t="str">
            <v>2025-04-28</v>
          </cell>
          <cell r="CL9077">
            <v>19831.02</v>
          </cell>
          <cell r="CM9077" t="str">
            <v xml:space="preserve">NFT-/XUTR/DEUTH02511855011X </v>
          </cell>
          <cell r="CN9077" t="str">
            <v>2025-04-28</v>
          </cell>
          <cell r="CO9077">
            <v>1049.192</v>
          </cell>
        </row>
        <row r="9078">
          <cell r="CJ9078" t="str">
            <v xml:space="preserve">NFT-/XUTR/DEUTH02511808907X </v>
          </cell>
          <cell r="CK9078" t="str">
            <v>2025-04-28</v>
          </cell>
          <cell r="CL9078">
            <v>6135.5119999999997</v>
          </cell>
        </row>
        <row r="9079">
          <cell r="CJ9079" t="str">
            <v xml:space="preserve">NFT-/XUTR/DEUTH02511808907X </v>
          </cell>
          <cell r="CK9079" t="str">
            <v>2025-04-28</v>
          </cell>
          <cell r="CL9079">
            <v>9963.4570000000003</v>
          </cell>
          <cell r="CM9079" t="str">
            <v xml:space="preserve">NFT-/XUTR/DEUTH02511855011X </v>
          </cell>
          <cell r="CN9079" t="str">
            <v>2025-04-28</v>
          </cell>
          <cell r="CO9079">
            <v>529.92999999999995</v>
          </cell>
        </row>
        <row r="9080">
          <cell r="CJ9080" t="str">
            <v xml:space="preserve">NFT-/XUTR/DEUTH02511808907X </v>
          </cell>
          <cell r="CK9080" t="str">
            <v>2025-04-28</v>
          </cell>
          <cell r="CL9080">
            <v>19840.46</v>
          </cell>
          <cell r="CM9080" t="str">
            <v xml:space="preserve">NFT-/XUTR/DEUTH02511855011X </v>
          </cell>
          <cell r="CN9080" t="str">
            <v>2025-04-28</v>
          </cell>
          <cell r="CO9080">
            <v>1049.192</v>
          </cell>
        </row>
        <row r="9081">
          <cell r="CJ9081" t="str">
            <v xml:space="preserve">NFT-/XUTR/DEUTH02511808907X </v>
          </cell>
          <cell r="CK9081" t="str">
            <v>2025-04-28</v>
          </cell>
          <cell r="CL9081">
            <v>49257.171999999999</v>
          </cell>
          <cell r="CM9081" t="str">
            <v xml:space="preserve">NFT-/XUTR/DEUTH02511855011X </v>
          </cell>
          <cell r="CN9081" t="str">
            <v>2025-04-28</v>
          </cell>
          <cell r="CO9081">
            <v>2598.2260000000001</v>
          </cell>
        </row>
        <row r="9082">
          <cell r="CJ9082" t="str">
            <v xml:space="preserve">NFT-/XUTR/DEUTH02511808907X </v>
          </cell>
          <cell r="CK9082" t="str">
            <v>2025-04-28</v>
          </cell>
          <cell r="CL9082">
            <v>1486.454</v>
          </cell>
        </row>
        <row r="9083">
          <cell r="CJ9083" t="str">
            <v xml:space="preserve">NFT-/XUTR/DEUTH02511808907X </v>
          </cell>
          <cell r="CK9083" t="str">
            <v>2025-04-28</v>
          </cell>
          <cell r="CL9083">
            <v>98553.08</v>
          </cell>
          <cell r="CM9083" t="str">
            <v xml:space="preserve">NFT-/XUTR/DEUTH02511855011X </v>
          </cell>
          <cell r="CN9083" t="str">
            <v>2025-04-28</v>
          </cell>
          <cell r="CO9083">
            <v>5196.46</v>
          </cell>
        </row>
        <row r="9084">
          <cell r="CJ9084" t="str">
            <v xml:space="preserve">NFT-/XUTR/DEUTH02511808907X </v>
          </cell>
          <cell r="CK9084" t="str">
            <v>2025-04-28</v>
          </cell>
          <cell r="CL9084">
            <v>9963.4570000000003</v>
          </cell>
          <cell r="CM9084" t="str">
            <v xml:space="preserve">NFT-/XUTR/DEUTH02511855011X </v>
          </cell>
          <cell r="CN9084" t="str">
            <v>2025-04-28</v>
          </cell>
          <cell r="CO9084">
            <v>529.92999999999995</v>
          </cell>
        </row>
        <row r="9085">
          <cell r="CJ9085" t="str">
            <v xml:space="preserve">NFT-/XUTR/DEUTH02511808907X </v>
          </cell>
          <cell r="CK9085" t="str">
            <v>2025-04-28</v>
          </cell>
          <cell r="CL9085">
            <v>98019.796000000002</v>
          </cell>
          <cell r="CM9085" t="str">
            <v xml:space="preserve">NFT-/XUTR/DEUTH02511855011X </v>
          </cell>
          <cell r="CN9085" t="str">
            <v>2025-04-28</v>
          </cell>
          <cell r="CO9085">
            <v>5708.9179999999997</v>
          </cell>
        </row>
        <row r="9086">
          <cell r="CJ9086" t="str">
            <v xml:space="preserve">NFT-/XUTR/DEUTH02511808907X </v>
          </cell>
          <cell r="CK9086" t="str">
            <v>2025-04-28</v>
          </cell>
          <cell r="CL9086">
            <v>98534.2</v>
          </cell>
          <cell r="CM9086" t="str">
            <v xml:space="preserve">NFT-/XUTR/DEUTH02511855011X </v>
          </cell>
          <cell r="CN9086" t="str">
            <v>2025-04-28</v>
          </cell>
          <cell r="CO9086">
            <v>5194.5140000000001</v>
          </cell>
        </row>
        <row r="9087">
          <cell r="CJ9087" t="str">
            <v xml:space="preserve">NFT-/XUTR/DEUTH02511808907X </v>
          </cell>
          <cell r="CK9087" t="str">
            <v>2025-04-28</v>
          </cell>
          <cell r="CL9087">
            <v>9982.3379999999997</v>
          </cell>
          <cell r="CM9087" t="str">
            <v xml:space="preserve">NFT-/XUTR/DEUTH02511855011X </v>
          </cell>
          <cell r="CN9087" t="str">
            <v>2025-04-28</v>
          </cell>
          <cell r="CO9087">
            <v>529.92999999999995</v>
          </cell>
        </row>
        <row r="9089">
          <cell r="CJ9089" t="str">
            <v xml:space="preserve">NFT-/XUTR/DEUTH02511808907X </v>
          </cell>
          <cell r="CK9089" t="str">
            <v>2025-04-28</v>
          </cell>
          <cell r="CL9089">
            <v>9717.9</v>
          </cell>
          <cell r="CM9089" t="str">
            <v xml:space="preserve">NFT-/XUTR/DEUTH02511855011X </v>
          </cell>
          <cell r="CN9089" t="str">
            <v>2025-04-28</v>
          </cell>
          <cell r="CO9089">
            <v>775.48599999999999</v>
          </cell>
        </row>
        <row r="9090">
          <cell r="CJ9090" t="str">
            <v xml:space="preserve">NFT-/XUTR/DEUTH02511808907X </v>
          </cell>
          <cell r="CK9090" t="str">
            <v>2025-04-28</v>
          </cell>
          <cell r="CL9090">
            <v>49257.171999999999</v>
          </cell>
          <cell r="CM9090" t="str">
            <v xml:space="preserve">NFT-/XUTR/DEUTH02511855011X </v>
          </cell>
          <cell r="CN9090" t="str">
            <v>2025-04-28</v>
          </cell>
          <cell r="CO9090">
            <v>2598.2260000000001</v>
          </cell>
        </row>
        <row r="9091">
          <cell r="CJ9091" t="str">
            <v xml:space="preserve">NFT-/XUTR/DEUTH02511808907X </v>
          </cell>
          <cell r="CK9091" t="str">
            <v>2025-04-28</v>
          </cell>
          <cell r="CL9091">
            <v>9963.4570000000003</v>
          </cell>
          <cell r="CM9091" t="str">
            <v xml:space="preserve">NFT-/XUTR/DEUTH02511855011X </v>
          </cell>
          <cell r="CN9091" t="str">
            <v>2025-04-28</v>
          </cell>
          <cell r="CO9091">
            <v>529.92999999999995</v>
          </cell>
        </row>
        <row r="9092">
          <cell r="CJ9092" t="str">
            <v xml:space="preserve">NFT-/XUTR/DEUTH02511808907X </v>
          </cell>
          <cell r="CK9092" t="str">
            <v>2025-04-28</v>
          </cell>
          <cell r="CL9092">
            <v>9982.3369999999995</v>
          </cell>
          <cell r="CM9092" t="str">
            <v xml:space="preserve">NFT-/XUTR/DEUTH02511855011X </v>
          </cell>
          <cell r="CN9092" t="str">
            <v>2025-04-28</v>
          </cell>
          <cell r="CO9092">
            <v>529.92999999999995</v>
          </cell>
        </row>
        <row r="9093">
          <cell r="CJ9093" t="str">
            <v xml:space="preserve">NFT-/XUTR/DEUTH02511808907X </v>
          </cell>
          <cell r="CK9093" t="str">
            <v>2025-04-28</v>
          </cell>
          <cell r="CL9093">
            <v>105492.71799999999</v>
          </cell>
        </row>
        <row r="9094">
          <cell r="CJ9094" t="str">
            <v xml:space="preserve">NFT-/XUTR/DEUTH02511808907X </v>
          </cell>
          <cell r="CK9094" t="str">
            <v>2025-04-28</v>
          </cell>
          <cell r="CL9094">
            <v>11014.588</v>
          </cell>
          <cell r="CM9094" t="str">
            <v xml:space="preserve">NFT-/XUTR/DEUTH02511855011X </v>
          </cell>
          <cell r="CN9094" t="str">
            <v>2025-04-28</v>
          </cell>
          <cell r="CO9094">
            <v>585.25800000000004</v>
          </cell>
        </row>
        <row r="9095">
          <cell r="CJ9095" t="str">
            <v xml:space="preserve">NFT-/XUTR/DEUTH02511808907X </v>
          </cell>
          <cell r="CK9095" t="str">
            <v>2025-04-28</v>
          </cell>
          <cell r="CL9095">
            <v>49257.171999999999</v>
          </cell>
          <cell r="CM9095" t="str">
            <v xml:space="preserve">NFT-/XUTR/DEUTH02511855011X </v>
          </cell>
          <cell r="CN9095" t="str">
            <v>2025-04-28</v>
          </cell>
          <cell r="CO9095">
            <v>2598.2260000000001</v>
          </cell>
        </row>
        <row r="9097">
          <cell r="CJ9097" t="str">
            <v xml:space="preserve">NFT-/XUTR/DEUTH02511808907X </v>
          </cell>
          <cell r="CK9097" t="str">
            <v>2025-04-28</v>
          </cell>
          <cell r="CL9097">
            <v>9963.4570000000003</v>
          </cell>
          <cell r="CM9097" t="str">
            <v xml:space="preserve">NFT-/XUTR/DEUTH02511855011X </v>
          </cell>
          <cell r="CN9097" t="str">
            <v>2025-04-28</v>
          </cell>
          <cell r="CO9097">
            <v>529.92999999999995</v>
          </cell>
        </row>
        <row r="9098">
          <cell r="CJ9098" t="str">
            <v xml:space="preserve">NFT-/XUTR/DEUTH02511808907X </v>
          </cell>
          <cell r="CK9098" t="str">
            <v>2025-04-28</v>
          </cell>
          <cell r="CL9098">
            <v>49276.052000000003</v>
          </cell>
          <cell r="CM9098" t="str">
            <v xml:space="preserve">NFT-/XUTR/DEUTH02511855011X </v>
          </cell>
          <cell r="CN9098" t="str">
            <v>2025-04-28</v>
          </cell>
          <cell r="CO9098">
            <v>2598.2260000000001</v>
          </cell>
        </row>
        <row r="9099">
          <cell r="CJ9099" t="str">
            <v xml:space="preserve">NFT-/XUTR/DEUTH02511808907X </v>
          </cell>
          <cell r="CK9099" t="str">
            <v>2025-04-28</v>
          </cell>
          <cell r="CL9099">
            <v>49276.052000000003</v>
          </cell>
          <cell r="CM9099" t="str">
            <v xml:space="preserve">NFT-/XUTR/DEUTH02511855011X </v>
          </cell>
          <cell r="CN9099" t="str">
            <v>2025-04-28</v>
          </cell>
          <cell r="CO9099">
            <v>2598.2249999999999</v>
          </cell>
        </row>
        <row r="9100">
          <cell r="CJ9100" t="str">
            <v xml:space="preserve">NFT-/XUTR/DEUTH02511808907X </v>
          </cell>
          <cell r="CK9100" t="str">
            <v>2025-04-28</v>
          </cell>
          <cell r="CL9100">
            <v>9885.2790000000005</v>
          </cell>
          <cell r="CM9100" t="str">
            <v xml:space="preserve">NFT-/XUTR/DEUTH02511855011X </v>
          </cell>
          <cell r="CN9100" t="str">
            <v>2025-04-28</v>
          </cell>
          <cell r="CO9100">
            <v>626.98699999999997</v>
          </cell>
        </row>
        <row r="9101">
          <cell r="CJ9101" t="str">
            <v xml:space="preserve">NFT-/XUTR/DEUTH02511808907X </v>
          </cell>
          <cell r="CK9101" t="str">
            <v>2025-04-28</v>
          </cell>
          <cell r="CL9101">
            <v>6154.3919999999998</v>
          </cell>
        </row>
        <row r="9102">
          <cell r="CJ9102" t="str">
            <v xml:space="preserve">NFT-/XUTR/DEUTH02511808907X </v>
          </cell>
          <cell r="CK9102" t="str">
            <v>2025-04-28</v>
          </cell>
          <cell r="CL9102">
            <v>105492.71799999999</v>
          </cell>
          <cell r="CM9102" t="str">
            <v xml:space="preserve">NFT-/XUTR/DEUTH02512224132X </v>
          </cell>
          <cell r="CN9102" t="str">
            <v>2025-05-02</v>
          </cell>
          <cell r="CO9102">
            <v>-105492.71799999999</v>
          </cell>
        </row>
        <row r="9103">
          <cell r="CJ9103" t="str">
            <v xml:space="preserve">NFT-/XUTR/DEUTH02511808907X </v>
          </cell>
          <cell r="CK9103" t="str">
            <v>2025-04-28</v>
          </cell>
          <cell r="CL9103">
            <v>49257.171999999999</v>
          </cell>
          <cell r="CM9103" t="str">
            <v xml:space="preserve">NFT-/XUTR/DEUTH02511855011X </v>
          </cell>
          <cell r="CN9103" t="str">
            <v>2025-04-28</v>
          </cell>
          <cell r="CO9103">
            <v>2598.2260000000001</v>
          </cell>
        </row>
        <row r="9104">
          <cell r="CJ9104" t="str">
            <v xml:space="preserve">NFT-/XUTR/DEUTH02511808907X </v>
          </cell>
          <cell r="CK9104" t="str">
            <v>2025-04-28</v>
          </cell>
          <cell r="CL9104">
            <v>11033.468000000001</v>
          </cell>
          <cell r="CM9104" t="str">
            <v xml:space="preserve">NFT-/XUTR/DEUTH02511855011X </v>
          </cell>
          <cell r="CN9104" t="str">
            <v>2025-04-28</v>
          </cell>
          <cell r="CO9104">
            <v>585.25800000000004</v>
          </cell>
        </row>
        <row r="9105">
          <cell r="CJ9105" t="str">
            <v xml:space="preserve">NFT-/XUTR/DEUTH02511808907X </v>
          </cell>
          <cell r="CK9105" t="str">
            <v>2025-04-28</v>
          </cell>
          <cell r="CL9105">
            <v>49257.171999999999</v>
          </cell>
          <cell r="CM9105" t="str">
            <v xml:space="preserve">NFT-/XUTR/DEUTH02511855011X </v>
          </cell>
          <cell r="CN9105" t="str">
            <v>2025-04-28</v>
          </cell>
          <cell r="CO9105">
            <v>2598.2260000000001</v>
          </cell>
        </row>
        <row r="9106">
          <cell r="CJ9106" t="str">
            <v xml:space="preserve">NFT-/XUTR/DEUTH02511808907X </v>
          </cell>
          <cell r="CK9106" t="str">
            <v>2025-04-28</v>
          </cell>
          <cell r="CL9106">
            <v>2612.3270000000002</v>
          </cell>
        </row>
        <row r="9107">
          <cell r="CJ9107" t="str">
            <v xml:space="preserve">NFT-/XUTR/DEUTH02511808907X </v>
          </cell>
          <cell r="CK9107" t="str">
            <v>2025-04-28</v>
          </cell>
          <cell r="CL9107">
            <v>9963.4570000000003</v>
          </cell>
          <cell r="CM9107" t="str">
            <v xml:space="preserve">NFT-/XUTR/DEUTH02511855011X </v>
          </cell>
          <cell r="CN9107" t="str">
            <v>2025-04-28</v>
          </cell>
          <cell r="CO9107">
            <v>529.92999999999995</v>
          </cell>
        </row>
        <row r="9108">
          <cell r="CJ9108" t="str">
            <v xml:space="preserve">NFT-/XUTR/DEUTH02511808907X </v>
          </cell>
          <cell r="CK9108" t="str">
            <v>2025-04-28</v>
          </cell>
          <cell r="CL9108">
            <v>49276.052000000003</v>
          </cell>
          <cell r="CM9108" t="str">
            <v xml:space="preserve">NFT-/XUTR/DEUTH02511855011X </v>
          </cell>
          <cell r="CN9108" t="str">
            <v>2025-04-28</v>
          </cell>
          <cell r="CO9108">
            <v>2598.2249999999999</v>
          </cell>
        </row>
        <row r="9109">
          <cell r="CJ9109" t="str">
            <v xml:space="preserve">NFT-/XUTR/DEUTH02512224132X </v>
          </cell>
          <cell r="CK9109" t="str">
            <v>2025-05-02</v>
          </cell>
          <cell r="CL9109">
            <v>20135.079000000002</v>
          </cell>
          <cell r="CM9109" t="str">
            <v xml:space="preserve">NFT-/XUTR/DEUTH02512248948X </v>
          </cell>
          <cell r="CN9109" t="str">
            <v>2025-05-02</v>
          </cell>
          <cell r="CO9109">
            <v>1065.694</v>
          </cell>
        </row>
        <row r="9110">
          <cell r="CJ9110" t="str">
            <v xml:space="preserve">NFT-/XUTR/DEUTH02512224132X </v>
          </cell>
          <cell r="CK9110" t="str">
            <v>2025-05-02</v>
          </cell>
          <cell r="CL9110">
            <v>107162.633</v>
          </cell>
        </row>
        <row r="9111">
          <cell r="CJ9111" t="str">
            <v xml:space="preserve">NFT-/XUTR/DEUTH02512224132X </v>
          </cell>
          <cell r="CK9111" t="str">
            <v>2025-05-02</v>
          </cell>
          <cell r="CL9111">
            <v>20135.079000000002</v>
          </cell>
          <cell r="CM9111" t="str">
            <v xml:space="preserve">NFT-/XUTR/DEUTH02512248948X </v>
          </cell>
          <cell r="CN9111" t="str">
            <v>2025-05-02</v>
          </cell>
          <cell r="CO9111">
            <v>1065.694</v>
          </cell>
        </row>
        <row r="9112">
          <cell r="CJ9112" t="str">
            <v xml:space="preserve">NFT-/XUTR/DEUTH02511808907X </v>
          </cell>
          <cell r="CK9112" t="str">
            <v>2025-04-28</v>
          </cell>
          <cell r="CL9112">
            <v>49276.052000000003</v>
          </cell>
          <cell r="CM9112" t="str">
            <v xml:space="preserve">NFT-/XUTR/DEUTH02511855011X </v>
          </cell>
          <cell r="CN9112" t="str">
            <v>2025-04-28</v>
          </cell>
          <cell r="CO9112">
            <v>2598.2260000000001</v>
          </cell>
        </row>
        <row r="9114">
          <cell r="CJ9114" t="str">
            <v xml:space="preserve">NFT-/XUTR/DEUTH02512224132X </v>
          </cell>
          <cell r="CK9114" t="str">
            <v>2025-05-02</v>
          </cell>
          <cell r="CL9114">
            <v>11116.495999999999</v>
          </cell>
          <cell r="CM9114" t="str">
            <v xml:space="preserve">NFT-/XUTR/DEUTH02512248948X </v>
          </cell>
          <cell r="CN9114" t="str">
            <v>2025-05-02</v>
          </cell>
          <cell r="CO9114">
            <v>590.10900000000004</v>
          </cell>
        </row>
        <row r="9115">
          <cell r="CJ9115" t="str">
            <v xml:space="preserve">NFT-/XUTR/DEUTH02512224132X </v>
          </cell>
          <cell r="CK9115" t="str">
            <v>2025-05-02</v>
          </cell>
          <cell r="CL9115">
            <v>6212.6229999999996</v>
          </cell>
        </row>
        <row r="9116">
          <cell r="CJ9116" t="str">
            <v xml:space="preserve">NFT-/XUTR/DEUTH02511808907X </v>
          </cell>
          <cell r="CK9116" t="str">
            <v>2025-04-28</v>
          </cell>
          <cell r="CL9116">
            <v>49257.171999999999</v>
          </cell>
          <cell r="CM9116" t="str">
            <v xml:space="preserve">NFT-/XUTR/DEUTH02511855011X </v>
          </cell>
          <cell r="CN9116" t="str">
            <v>2025-04-28</v>
          </cell>
          <cell r="CO9116">
            <v>2598.2260000000001</v>
          </cell>
        </row>
        <row r="9117">
          <cell r="CJ9117" t="str">
            <v xml:space="preserve">NFT-/XUTR/DEUTH02512224132X </v>
          </cell>
          <cell r="CK9117" t="str">
            <v>2025-05-02</v>
          </cell>
          <cell r="CL9117">
            <v>50078.724999999999</v>
          </cell>
          <cell r="CM9117" t="str">
            <v xml:space="preserve">NFT-/XUTR/DEUTH02512248948X </v>
          </cell>
          <cell r="CN9117" t="str">
            <v>2025-05-02</v>
          </cell>
          <cell r="CO9117">
            <v>2639.9650000000001</v>
          </cell>
        </row>
        <row r="9119">
          <cell r="CJ9119" t="str">
            <v xml:space="preserve">NFT-/XUTR/DEUTH02512224132X </v>
          </cell>
          <cell r="CK9119" t="str">
            <v>2025-05-02</v>
          </cell>
          <cell r="CL9119">
            <v>20024.433000000001</v>
          </cell>
          <cell r="CM9119" t="str">
            <v xml:space="preserve">NFT-/XUTR/DEUTH02512248948X </v>
          </cell>
          <cell r="CN9119" t="str">
            <v>2025-05-02</v>
          </cell>
          <cell r="CO9119">
            <v>1059.8689999999999</v>
          </cell>
        </row>
        <row r="9120">
          <cell r="CJ9120" t="str">
            <v xml:space="preserve">NFT-/XUTR/DEUTH02511808907X </v>
          </cell>
          <cell r="CK9120" t="str">
            <v>2025-04-28</v>
          </cell>
          <cell r="CL9120">
            <v>19821.580000000002</v>
          </cell>
          <cell r="CM9120" t="str">
            <v xml:space="preserve">NFT-/XUTR/DEUTH02511855011X </v>
          </cell>
          <cell r="CN9120" t="str">
            <v>2025-04-28</v>
          </cell>
          <cell r="CO9120">
            <v>1049.192</v>
          </cell>
        </row>
        <row r="9121">
          <cell r="CJ9121" t="str">
            <v xml:space="preserve">NFT-/XUTR/DEUTH02511808907X </v>
          </cell>
          <cell r="CK9121" t="str">
            <v>2025-04-28</v>
          </cell>
          <cell r="CL9121">
            <v>49276.052000000003</v>
          </cell>
          <cell r="CM9121" t="str">
            <v xml:space="preserve">NFT-/XUTR/DEUTH02511855011X </v>
          </cell>
          <cell r="CN9121" t="str">
            <v>2025-04-28</v>
          </cell>
          <cell r="CO9121">
            <v>2598.2260000000001</v>
          </cell>
        </row>
        <row r="9122">
          <cell r="CJ9122" t="str">
            <v xml:space="preserve">NFT-/XUTR/DEUTH02512224132X </v>
          </cell>
          <cell r="CK9122" t="str">
            <v>2025-05-02</v>
          </cell>
          <cell r="CL9122">
            <v>10065.366</v>
          </cell>
          <cell r="CM9122" t="str">
            <v xml:space="preserve">NFT-/XUTR/DEUTH02512248948X </v>
          </cell>
          <cell r="CN9122" t="str">
            <v>2025-05-02</v>
          </cell>
          <cell r="CO9122">
            <v>534.79</v>
          </cell>
          <cell r="CP9122" t="str">
            <v xml:space="preserve">NFT-/XUTR/DEUTH02512920299X </v>
          </cell>
          <cell r="CQ9122" t="str">
            <v>2025-05-09</v>
          </cell>
          <cell r="CR9122">
            <v>-10408.016</v>
          </cell>
          <cell r="CS9122" t="str">
            <v xml:space="preserve">NFT-/XUTR/DEUTH02512968625X </v>
          </cell>
          <cell r="CT9122" t="str">
            <v>2025-05-09</v>
          </cell>
          <cell r="CU9122">
            <v>-534.79</v>
          </cell>
          <cell r="CV9122" t="str">
            <v xml:space="preserve">NFT-/XUTR/DEUTH02512742333X </v>
          </cell>
          <cell r="CW9122" t="str">
            <v>2025-05-07</v>
          </cell>
          <cell r="CX9122">
            <v>342.65</v>
          </cell>
        </row>
        <row r="9123">
          <cell r="CJ9123" t="str">
            <v xml:space="preserve">NFT-/XUTR/DEUTH02511808907X </v>
          </cell>
          <cell r="CK9123" t="str">
            <v>2025-04-28</v>
          </cell>
          <cell r="CL9123">
            <v>9963.4570000000003</v>
          </cell>
          <cell r="CM9123" t="str">
            <v xml:space="preserve">NFT-/XUTR/DEUTH02511855011X </v>
          </cell>
          <cell r="CN9123" t="str">
            <v>2025-04-28</v>
          </cell>
          <cell r="CO9123">
            <v>529.92999999999995</v>
          </cell>
        </row>
        <row r="9124">
          <cell r="CJ9124" t="str">
            <v xml:space="preserve">NFT-/XUTR/DEUTH02511808907X </v>
          </cell>
          <cell r="CK9124" t="str">
            <v>2025-04-28</v>
          </cell>
          <cell r="CL9124">
            <v>19821.580000000002</v>
          </cell>
          <cell r="CM9124" t="str">
            <v xml:space="preserve">NFT-/XUTR/DEUTH02511855011X </v>
          </cell>
          <cell r="CN9124" t="str">
            <v>2025-04-28</v>
          </cell>
          <cell r="CO9124">
            <v>1049.192</v>
          </cell>
        </row>
        <row r="9125">
          <cell r="CJ9125" t="str">
            <v xml:space="preserve">NFT-/XUTR/DEUTH02511808907X </v>
          </cell>
          <cell r="CK9125" t="str">
            <v>2025-04-28</v>
          </cell>
          <cell r="CL9125">
            <v>49257.171999999999</v>
          </cell>
          <cell r="CM9125" t="str">
            <v xml:space="preserve">NFT-/XUTR/DEUTH02511855011X </v>
          </cell>
          <cell r="CN9125" t="str">
            <v>2025-04-28</v>
          </cell>
          <cell r="CO9125">
            <v>2598.2260000000001</v>
          </cell>
        </row>
        <row r="9126">
          <cell r="CJ9126" t="str">
            <v xml:space="preserve">NFT-/XUTR/DEUTH02511808907X </v>
          </cell>
          <cell r="CK9126" t="str">
            <v>2025-04-28</v>
          </cell>
          <cell r="CL9126">
            <v>81267.165999999997</v>
          </cell>
          <cell r="CM9126" t="str">
            <v xml:space="preserve">NFT-/XUTR/DEUTH02511855011X </v>
          </cell>
          <cell r="CN9126" t="str">
            <v>2025-04-28</v>
          </cell>
          <cell r="CO9126">
            <v>2911.7240000000002</v>
          </cell>
        </row>
        <row r="9128">
          <cell r="CJ9128" t="str">
            <v xml:space="preserve">NFT-/XUTR/DEUTH02512224132X </v>
          </cell>
          <cell r="CK9128" t="str">
            <v>2025-05-02</v>
          </cell>
          <cell r="CL9128">
            <v>50027.284</v>
          </cell>
          <cell r="CM9128" t="str">
            <v xml:space="preserve">NFT-/XUTR/DEUTH02512248948X </v>
          </cell>
          <cell r="CN9128" t="str">
            <v>2025-05-02</v>
          </cell>
          <cell r="CO9128">
            <v>2691.4070000000002</v>
          </cell>
        </row>
        <row r="9129">
          <cell r="CJ9129" t="str">
            <v xml:space="preserve">NFT-/XUTR/DEUTH02512224132X </v>
          </cell>
          <cell r="CK9129" t="str">
            <v>2025-05-02</v>
          </cell>
          <cell r="CL9129">
            <v>20153.958999999999</v>
          </cell>
          <cell r="CM9129" t="str">
            <v xml:space="preserve">NFT-/XUTR/DEUTH02512248948X </v>
          </cell>
          <cell r="CN9129" t="str">
            <v>2025-05-02</v>
          </cell>
          <cell r="CO9129">
            <v>1065.694</v>
          </cell>
        </row>
        <row r="9130">
          <cell r="CJ9130" t="str">
            <v xml:space="preserve">NFT-/XUTR/DEUTH02511808907X </v>
          </cell>
          <cell r="CK9130" t="str">
            <v>2025-04-28</v>
          </cell>
          <cell r="CL9130">
            <v>49276.052000000003</v>
          </cell>
          <cell r="CM9130" t="str">
            <v xml:space="preserve">NFT-/XUTR/DEUTH02511855011X </v>
          </cell>
          <cell r="CN9130" t="str">
            <v>2025-04-28</v>
          </cell>
          <cell r="CO9130">
            <v>2598.2260000000001</v>
          </cell>
        </row>
        <row r="9131">
          <cell r="CJ9131" t="str">
            <v xml:space="preserve">NFT-/XUTR/DEUTH02511808907X </v>
          </cell>
          <cell r="CK9131" t="str">
            <v>2025-04-28</v>
          </cell>
          <cell r="CL9131">
            <v>29929.098000000002</v>
          </cell>
          <cell r="CM9131" t="str">
            <v xml:space="preserve">NFT-/XUTR/DEUTH02511855011X </v>
          </cell>
          <cell r="CN9131" t="str">
            <v>2025-04-28</v>
          </cell>
          <cell r="CO9131">
            <v>1589.8</v>
          </cell>
        </row>
        <row r="9132">
          <cell r="CJ9132" t="str">
            <v xml:space="preserve">NFT-/XUTR/DEUTH02512224132X </v>
          </cell>
          <cell r="CK9132" t="str">
            <v>2025-05-02</v>
          </cell>
          <cell r="CL9132">
            <v>11135.376</v>
          </cell>
          <cell r="CM9132" t="str">
            <v xml:space="preserve">NFT-/XUTR/DEUTH02512248948X </v>
          </cell>
          <cell r="CN9132" t="str">
            <v>2025-05-02</v>
          </cell>
          <cell r="CO9132">
            <v>590.10799999999995</v>
          </cell>
        </row>
        <row r="9134">
          <cell r="CJ9134" t="str">
            <v xml:space="preserve">NFT-/XUTR/DEUTH02512224132X </v>
          </cell>
          <cell r="CK9134" t="str">
            <v>2025-05-02</v>
          </cell>
          <cell r="CL9134">
            <v>10139.574000000001</v>
          </cell>
          <cell r="CM9134" t="str">
            <v xml:space="preserve">NFT-/XUTR/DEUTH02512248948X </v>
          </cell>
          <cell r="CN9134" t="str">
            <v>2025-05-02</v>
          </cell>
          <cell r="CO9134">
            <v>537.70299999999997</v>
          </cell>
        </row>
        <row r="9135">
          <cell r="CJ9135" t="str">
            <v xml:space="preserve">NFT-/XUTR/DEUTH02512224132X </v>
          </cell>
          <cell r="CK9135" t="str">
            <v>2025-05-02</v>
          </cell>
          <cell r="CL9135">
            <v>20043.312999999998</v>
          </cell>
          <cell r="CM9135" t="str">
            <v xml:space="preserve">NFT-/XUTR/DEUTH02512248948X </v>
          </cell>
          <cell r="CN9135" t="str">
            <v>2025-05-02</v>
          </cell>
          <cell r="CO9135">
            <v>1059.8689999999999</v>
          </cell>
        </row>
        <row r="9136">
          <cell r="CJ9136" t="str">
            <v xml:space="preserve">NFT-/XUTR/DEUTH02512224132X </v>
          </cell>
          <cell r="CK9136" t="str">
            <v>2025-05-02</v>
          </cell>
          <cell r="CL9136">
            <v>50078.724999999999</v>
          </cell>
          <cell r="CM9136" t="str">
            <v xml:space="preserve">NFT-/XUTR/DEUTH02512248948X </v>
          </cell>
          <cell r="CN9136" t="str">
            <v>2025-05-02</v>
          </cell>
          <cell r="CO9136">
            <v>2639.9650000000001</v>
          </cell>
        </row>
        <row r="9137">
          <cell r="CJ9137" t="str">
            <v xml:space="preserve">NFT-/XUTR/DEUTH02511808907X </v>
          </cell>
          <cell r="CK9137" t="str">
            <v>2025-04-28</v>
          </cell>
          <cell r="CL9137">
            <v>49276.052000000003</v>
          </cell>
          <cell r="CM9137" t="str">
            <v xml:space="preserve">NFT-/XUTR/DEUTH02511855011X </v>
          </cell>
          <cell r="CN9137" t="str">
            <v>2025-04-28</v>
          </cell>
          <cell r="CO9137">
            <v>2598.2260000000001</v>
          </cell>
        </row>
        <row r="9138">
          <cell r="CJ9138" t="str">
            <v xml:space="preserve">NFT-/XUTR/DEUTH02511808907X </v>
          </cell>
          <cell r="CK9138" t="str">
            <v>2025-04-28</v>
          </cell>
          <cell r="CL9138">
            <v>81267.165999999997</v>
          </cell>
          <cell r="CM9138" t="str">
            <v xml:space="preserve">NFT-/XUTR/DEUTH02511855011X </v>
          </cell>
          <cell r="CN9138" t="str">
            <v>2025-04-28</v>
          </cell>
          <cell r="CO9138">
            <v>2911.7240000000002</v>
          </cell>
        </row>
        <row r="9139">
          <cell r="CJ9139" t="str">
            <v xml:space="preserve">NFT-/XUTR/DEUTH02512224132X </v>
          </cell>
          <cell r="CK9139" t="str">
            <v>2025-05-02</v>
          </cell>
          <cell r="CL9139">
            <v>11135.376</v>
          </cell>
          <cell r="CM9139" t="str">
            <v xml:space="preserve">NFT-/XUTR/DEUTH02512248948X </v>
          </cell>
          <cell r="CN9139" t="str">
            <v>2025-05-02</v>
          </cell>
          <cell r="CO9139">
            <v>590.10900000000004</v>
          </cell>
        </row>
        <row r="9143">
          <cell r="CJ9143" t="str">
            <v xml:space="preserve">NFT-/XUTR/DEUTH02512224132X </v>
          </cell>
          <cell r="CK9143" t="str">
            <v>2025-05-02</v>
          </cell>
          <cell r="CL9143">
            <v>52527.75</v>
          </cell>
          <cell r="CM9143" t="str">
            <v xml:space="preserve">NFT-/XUTR/DEUTH02512248948X </v>
          </cell>
          <cell r="CN9143" t="str">
            <v>2025-05-02</v>
          </cell>
          <cell r="CO9143">
            <v>1627.6510000000001</v>
          </cell>
        </row>
        <row r="9144">
          <cell r="CJ9144" t="str">
            <v xml:space="preserve">NFT-/XUTR/DEUTH02512224132X </v>
          </cell>
          <cell r="CK9144" t="str">
            <v>2025-05-02</v>
          </cell>
          <cell r="CL9144">
            <v>50078.724999999999</v>
          </cell>
          <cell r="CM9144" t="str">
            <v xml:space="preserve">NFT-/XUTR/DEUTH02512248948X </v>
          </cell>
          <cell r="CN9144" t="str">
            <v>2025-05-02</v>
          </cell>
          <cell r="CO9144">
            <v>2639.9650000000001</v>
          </cell>
        </row>
        <row r="9145">
          <cell r="CJ9145" t="str">
            <v xml:space="preserve">NFT-/XUTR/DEUTH02512224132X </v>
          </cell>
          <cell r="CK9145" t="str">
            <v>2025-05-02</v>
          </cell>
          <cell r="CL9145">
            <v>1496.1669999999999</v>
          </cell>
        </row>
        <row r="9147">
          <cell r="CJ9147" t="str">
            <v xml:space="preserve">NFT-/XUTR/DEUTH02512224132X </v>
          </cell>
          <cell r="CK9147" t="str">
            <v>2025-05-02</v>
          </cell>
          <cell r="CL9147">
            <v>21200.772000000001</v>
          </cell>
        </row>
        <row r="9148">
          <cell r="CJ9148" t="str">
            <v xml:space="preserve">NFT-/XUTR/DEUTH02512224132X </v>
          </cell>
          <cell r="CK9148" t="str">
            <v>2025-05-02</v>
          </cell>
          <cell r="CL9148">
            <v>106014.443</v>
          </cell>
        </row>
        <row r="9149">
          <cell r="CJ9149" t="str">
            <v xml:space="preserve">NFT-/XUTR/DEUTH02512224132X </v>
          </cell>
          <cell r="CK9149" t="str">
            <v>2025-05-02</v>
          </cell>
          <cell r="CL9149">
            <v>50059.845000000001</v>
          </cell>
          <cell r="CM9149" t="str">
            <v xml:space="preserve">NFT-/XUTR/DEUTH02512248948X </v>
          </cell>
          <cell r="CN9149" t="str">
            <v>2025-05-02</v>
          </cell>
          <cell r="CO9149">
            <v>2639.9650000000001</v>
          </cell>
        </row>
        <row r="9150">
          <cell r="CJ9150" t="str">
            <v xml:space="preserve">NFT-/XUTR/DEUTH02512224132X </v>
          </cell>
          <cell r="CK9150" t="str">
            <v>2025-05-02</v>
          </cell>
          <cell r="CL9150">
            <v>20135.079000000002</v>
          </cell>
          <cell r="CM9150" t="str">
            <v xml:space="preserve">NFT-/XUTR/DEUTH02512248948X </v>
          </cell>
          <cell r="CN9150" t="str">
            <v>2025-05-02</v>
          </cell>
          <cell r="CO9150">
            <v>1065.694</v>
          </cell>
        </row>
        <row r="9151">
          <cell r="CJ9151" t="str">
            <v xml:space="preserve">NFT-/XUTR/DEUTH02512224132X </v>
          </cell>
          <cell r="CK9151" t="str">
            <v>2025-05-02</v>
          </cell>
          <cell r="CL9151">
            <v>50059.845000000001</v>
          </cell>
          <cell r="CM9151" t="str">
            <v xml:space="preserve">NFT-/XUTR/DEUTH02512248948X </v>
          </cell>
          <cell r="CN9151" t="str">
            <v>2025-05-02</v>
          </cell>
          <cell r="CO9151">
            <v>2639.9650000000001</v>
          </cell>
        </row>
        <row r="9152">
          <cell r="CJ9152" t="str">
            <v xml:space="preserve">NFT-/XUTR/DEUTH02512224132X </v>
          </cell>
          <cell r="CK9152" t="str">
            <v>2025-05-02</v>
          </cell>
          <cell r="CL9152">
            <v>49729.311999999998</v>
          </cell>
          <cell r="CM9152" t="str">
            <v xml:space="preserve">NFT-/XUTR/DEUTH02512248948X </v>
          </cell>
          <cell r="CN9152" t="str">
            <v>2025-05-02</v>
          </cell>
          <cell r="CO9152">
            <v>2989.3670000000002</v>
          </cell>
        </row>
        <row r="9153">
          <cell r="CJ9153" t="str">
            <v xml:space="preserve">NFT-/XUTR/DEUTH02512224132X </v>
          </cell>
          <cell r="CK9153" t="str">
            <v>2025-05-02</v>
          </cell>
          <cell r="CL9153">
            <v>50078.724999999999</v>
          </cell>
          <cell r="CM9153" t="str">
            <v xml:space="preserve">NFT-/XUTR/DEUTH02512248948X </v>
          </cell>
          <cell r="CN9153" t="str">
            <v>2025-05-02</v>
          </cell>
          <cell r="CO9153">
            <v>2639.9650000000001</v>
          </cell>
        </row>
        <row r="9154">
          <cell r="CJ9154" t="str">
            <v xml:space="preserve">NFT-/XUTR/DEUTH02512224132X </v>
          </cell>
          <cell r="CK9154" t="str">
            <v>2025-05-02</v>
          </cell>
          <cell r="CL9154">
            <v>150217.285</v>
          </cell>
          <cell r="CM9154" t="str">
            <v xml:space="preserve">NFT-/XUTR/DEUTH02512248948X </v>
          </cell>
          <cell r="CN9154" t="str">
            <v>2025-05-02</v>
          </cell>
          <cell r="CO9154">
            <v>7919.8850000000002</v>
          </cell>
        </row>
        <row r="9155">
          <cell r="CJ9155" t="str">
            <v xml:space="preserve">NFT-/XUTR/DEUTH02512224132X </v>
          </cell>
          <cell r="CK9155" t="str">
            <v>2025-05-02</v>
          </cell>
          <cell r="CL9155">
            <v>41396.47</v>
          </cell>
          <cell r="CM9155" t="str">
            <v xml:space="preserve">NFT-/XUTR/DEUTH02512248948X </v>
          </cell>
          <cell r="CN9155" t="str">
            <v>2025-05-02</v>
          </cell>
          <cell r="CO9155">
            <v>2189.6179999999999</v>
          </cell>
        </row>
        <row r="9156">
          <cell r="CJ9156" t="str">
            <v xml:space="preserve">NFT-/XUTR/DEUTH02512224132X </v>
          </cell>
          <cell r="CK9156" t="str">
            <v>2025-05-02</v>
          </cell>
          <cell r="CL9156">
            <v>50059.845000000001</v>
          </cell>
          <cell r="CM9156" t="str">
            <v xml:space="preserve">NFT-/XUTR/DEUTH02512248948X </v>
          </cell>
          <cell r="CN9156" t="str">
            <v>2025-05-02</v>
          </cell>
          <cell r="CO9156">
            <v>2639.9650000000001</v>
          </cell>
        </row>
        <row r="9157">
          <cell r="CJ9157" t="str">
            <v xml:space="preserve">NFT-/XUTR/DEUTH02512224132X </v>
          </cell>
          <cell r="CK9157" t="str">
            <v>2025-05-02</v>
          </cell>
          <cell r="CL9157">
            <v>20135.079000000002</v>
          </cell>
          <cell r="CM9157" t="str">
            <v xml:space="preserve">NFT-/XUTR/DEUTH02512248948X </v>
          </cell>
          <cell r="CN9157" t="str">
            <v>2025-05-02</v>
          </cell>
          <cell r="CO9157">
            <v>1065.694</v>
          </cell>
        </row>
        <row r="9158">
          <cell r="CJ9158" t="str">
            <v xml:space="preserve">NFT-/XUTR/DEUTH02512224132X </v>
          </cell>
          <cell r="CK9158" t="str">
            <v>2025-05-02</v>
          </cell>
          <cell r="CL9158">
            <v>20153.958999999999</v>
          </cell>
          <cell r="CM9158" t="str">
            <v xml:space="preserve">NFT-/XUTR/DEUTH02512248948X </v>
          </cell>
          <cell r="CN9158" t="str">
            <v>2025-05-02</v>
          </cell>
          <cell r="CO9158">
            <v>1065.694</v>
          </cell>
        </row>
        <row r="9159">
          <cell r="CJ9159" t="str">
            <v xml:space="preserve">NFT-/XUTR/DEUTH02512224132X </v>
          </cell>
          <cell r="CK9159" t="str">
            <v>2025-05-02</v>
          </cell>
          <cell r="CL9159">
            <v>2631.7310000000002</v>
          </cell>
        </row>
        <row r="9160">
          <cell r="CJ9160" t="str">
            <v xml:space="preserve">NFT-/XUTR/DEUTH02512224132X </v>
          </cell>
          <cell r="CK9160" t="str">
            <v>2025-05-02</v>
          </cell>
          <cell r="CL9160">
            <v>50078.724999999999</v>
          </cell>
          <cell r="CM9160" t="str">
            <v xml:space="preserve">NFT-/XUTR/DEUTH02512248948X </v>
          </cell>
          <cell r="CN9160" t="str">
            <v>2025-05-02</v>
          </cell>
          <cell r="CO9160">
            <v>2639.9650000000001</v>
          </cell>
        </row>
        <row r="9161">
          <cell r="CJ9161" t="str">
            <v xml:space="preserve">NFT-/XUTR/DEUTH02512224132X </v>
          </cell>
          <cell r="CK9161" t="str">
            <v>2025-05-02</v>
          </cell>
          <cell r="CL9161">
            <v>11125.674999999999</v>
          </cell>
          <cell r="CM9161" t="str">
            <v xml:space="preserve">NFT-/XUTR/DEUTH02512248948X </v>
          </cell>
          <cell r="CN9161" t="str">
            <v>2025-05-02</v>
          </cell>
          <cell r="CO9161">
            <v>590.10900000000004</v>
          </cell>
        </row>
        <row r="9163">
          <cell r="CJ9163" t="str">
            <v xml:space="preserve">NFT-/XUTR/DEUTH02512224132X </v>
          </cell>
          <cell r="CK9163" t="str">
            <v>2025-05-02</v>
          </cell>
          <cell r="CL9163">
            <v>106014.443</v>
          </cell>
        </row>
        <row r="9164">
          <cell r="CJ9164" t="str">
            <v xml:space="preserve">NFT-/XUTR/DEUTH02512224132X </v>
          </cell>
          <cell r="CK9164" t="str">
            <v>2025-05-02</v>
          </cell>
          <cell r="CL9164">
            <v>52699.8</v>
          </cell>
        </row>
        <row r="9165">
          <cell r="CJ9165" t="str">
            <v xml:space="preserve">NFT-/XUTR/DEUTH02512224132X </v>
          </cell>
          <cell r="CK9165" t="str">
            <v>2025-05-02</v>
          </cell>
          <cell r="CL9165">
            <v>50078.724999999999</v>
          </cell>
          <cell r="CM9165" t="str">
            <v xml:space="preserve">NFT-/XUTR/DEUTH02512248948X </v>
          </cell>
          <cell r="CN9165" t="str">
            <v>2025-05-02</v>
          </cell>
          <cell r="CO9165">
            <v>2639.9650000000001</v>
          </cell>
        </row>
        <row r="9166">
          <cell r="CJ9166" t="str">
            <v xml:space="preserve">NFT-/XUTR/DEUTH02512224132X </v>
          </cell>
          <cell r="CK9166" t="str">
            <v>2025-05-02</v>
          </cell>
          <cell r="CL9166">
            <v>50078.724999999999</v>
          </cell>
          <cell r="CM9166" t="str">
            <v xml:space="preserve">NFT-/XUTR/DEUTH02512248948X </v>
          </cell>
          <cell r="CN9166" t="str">
            <v>2025-05-02</v>
          </cell>
          <cell r="CO9166">
            <v>2639.9650000000001</v>
          </cell>
        </row>
        <row r="9167">
          <cell r="CJ9167" t="str">
            <v xml:space="preserve">NFT-/XUTR/DEUTH02512224132X </v>
          </cell>
          <cell r="CK9167" t="str">
            <v>2025-05-02</v>
          </cell>
          <cell r="CL9167">
            <v>1496.1669999999999</v>
          </cell>
        </row>
        <row r="9168">
          <cell r="CJ9168" t="str">
            <v xml:space="preserve">NFT-/XUTR/DEUTH02512224132X </v>
          </cell>
          <cell r="CK9168" t="str">
            <v>2025-05-02</v>
          </cell>
          <cell r="CL9168">
            <v>21135.481</v>
          </cell>
          <cell r="CM9168" t="str">
            <v xml:space="preserve">NFT-/XUTR/DEUTH02512248948X </v>
          </cell>
          <cell r="CN9168" t="str">
            <v>2025-05-02</v>
          </cell>
          <cell r="CO9168">
            <v>657.077</v>
          </cell>
        </row>
        <row r="9170">
          <cell r="CJ9170" t="str">
            <v xml:space="preserve">NFT-/XUTR/DEUTH02512224132X </v>
          </cell>
          <cell r="CK9170" t="str">
            <v>2025-05-02</v>
          </cell>
          <cell r="CL9170">
            <v>21126.041000000001</v>
          </cell>
          <cell r="CM9170" t="str">
            <v xml:space="preserve">NFT-/XUTR/DEUTH02512248948X </v>
          </cell>
          <cell r="CN9170" t="str">
            <v>2025-05-02</v>
          </cell>
          <cell r="CO9170">
            <v>657.077</v>
          </cell>
        </row>
        <row r="9172">
          <cell r="CJ9172" t="str">
            <v xml:space="preserve">NFT-/XUTR/DEUTH02512224132X </v>
          </cell>
          <cell r="CK9172" t="str">
            <v>2025-05-02</v>
          </cell>
          <cell r="CL9172">
            <v>1496.1669999999999</v>
          </cell>
        </row>
        <row r="9173">
          <cell r="CJ9173" t="str">
            <v xml:space="preserve">NFT-/XUTR/DEUTH02512224132X </v>
          </cell>
          <cell r="CK9173" t="str">
            <v>2025-05-02</v>
          </cell>
          <cell r="CL9173">
            <v>10010.489</v>
          </cell>
          <cell r="CM9173" t="str">
            <v xml:space="preserve">NFT-/XUTR/DEUTH02512248948X </v>
          </cell>
          <cell r="CN9173" t="str">
            <v>2025-05-02</v>
          </cell>
          <cell r="CO9173">
            <v>530.904</v>
          </cell>
        </row>
        <row r="9174">
          <cell r="CJ9174" t="str">
            <v xml:space="preserve">NFT-/XUTR/DEUTH02512224132X </v>
          </cell>
          <cell r="CK9174" t="str">
            <v>2025-05-02</v>
          </cell>
          <cell r="CL9174">
            <v>38550.741999999998</v>
          </cell>
          <cell r="CM9174" t="str">
            <v xml:space="preserve">NFT-/XUTR/DEUTH02512248948X </v>
          </cell>
          <cell r="CN9174" t="str">
            <v>2025-05-02</v>
          </cell>
          <cell r="CO9174">
            <v>3325.194</v>
          </cell>
        </row>
        <row r="9175">
          <cell r="CJ9175" t="str">
            <v xml:space="preserve">NFT-/XUTR/DEUTH02512224132X </v>
          </cell>
          <cell r="CK9175" t="str">
            <v>2025-05-02</v>
          </cell>
          <cell r="CL9175">
            <v>9797.9240000000009</v>
          </cell>
          <cell r="CM9175" t="str">
            <v xml:space="preserve">NFT-/XUTR/DEUTH02512248948X </v>
          </cell>
          <cell r="CN9175" t="str">
            <v>2025-05-02</v>
          </cell>
          <cell r="CO9175">
            <v>743.45799999999997</v>
          </cell>
        </row>
        <row r="9176">
          <cell r="CJ9176" t="str">
            <v xml:space="preserve">NFT-/XUTR/DEUTH02512224132X </v>
          </cell>
          <cell r="CK9176" t="str">
            <v>2025-05-02</v>
          </cell>
          <cell r="CL9176">
            <v>19876.907999999999</v>
          </cell>
          <cell r="CM9176" t="str">
            <v xml:space="preserve">NFT-/XUTR/DEUTH02512248948X </v>
          </cell>
          <cell r="CN9176" t="str">
            <v>2025-05-02</v>
          </cell>
          <cell r="CO9176">
            <v>1052.106</v>
          </cell>
        </row>
        <row r="9179">
          <cell r="CJ9179" t="str">
            <v xml:space="preserve">NFT-/XUTR/DEUTH02512224132X </v>
          </cell>
          <cell r="CK9179" t="str">
            <v>2025-05-02</v>
          </cell>
          <cell r="CL9179">
            <v>98255.118000000002</v>
          </cell>
          <cell r="CM9179" t="str">
            <v xml:space="preserve">NFT-/XUTR/DEUTH02512248948X </v>
          </cell>
          <cell r="CN9179" t="str">
            <v>2025-05-02</v>
          </cell>
          <cell r="CO9179">
            <v>5823.4480000000003</v>
          </cell>
        </row>
        <row r="9180">
          <cell r="CJ9180" t="str">
            <v xml:space="preserve">NFT-/XUTR/DEUTH02512224132X </v>
          </cell>
          <cell r="CK9180" t="str">
            <v>2025-05-02</v>
          </cell>
          <cell r="CL9180">
            <v>9797.9240000000009</v>
          </cell>
          <cell r="CM9180" t="str">
            <v xml:space="preserve">NFT-/XUTR/DEUTH02512248948X </v>
          </cell>
          <cell r="CN9180" t="str">
            <v>2025-05-02</v>
          </cell>
          <cell r="CO9180">
            <v>743.45799999999997</v>
          </cell>
        </row>
        <row r="9181">
          <cell r="CJ9181" t="str">
            <v xml:space="preserve">NFT-/XUTR/DEUTH02512224132X </v>
          </cell>
          <cell r="CK9181" t="str">
            <v>2025-05-02</v>
          </cell>
          <cell r="CL9181">
            <v>9797.9240000000009</v>
          </cell>
          <cell r="CM9181" t="str">
            <v xml:space="preserve">NFT-/XUTR/DEUTH02512248948X </v>
          </cell>
          <cell r="CN9181" t="str">
            <v>2025-05-02</v>
          </cell>
          <cell r="CO9181">
            <v>743.45799999999997</v>
          </cell>
        </row>
        <row r="9182">
          <cell r="CJ9182" t="str">
            <v xml:space="preserve">NFT-/XUTR/DEUTH02512224132X </v>
          </cell>
          <cell r="CK9182" t="str">
            <v>2025-05-02</v>
          </cell>
          <cell r="CL9182">
            <v>9797.9240000000009</v>
          </cell>
          <cell r="CM9182" t="str">
            <v xml:space="preserve">NFT-/XUTR/DEUTH02512248948X </v>
          </cell>
          <cell r="CN9182" t="str">
            <v>2025-05-02</v>
          </cell>
          <cell r="CO9182">
            <v>743.45799999999997</v>
          </cell>
        </row>
        <row r="9183">
          <cell r="CJ9183" t="str">
            <v xml:space="preserve">NFT-/XUTR/DEUTH02512224132X </v>
          </cell>
          <cell r="CK9183" t="str">
            <v>2025-05-02</v>
          </cell>
          <cell r="CL9183">
            <v>49127.553999999996</v>
          </cell>
          <cell r="CM9183" t="str">
            <v xml:space="preserve">NFT-/XUTR/DEUTH02512248948X </v>
          </cell>
          <cell r="CN9183" t="str">
            <v>2025-05-02</v>
          </cell>
          <cell r="CO9183">
            <v>2911.7240000000002</v>
          </cell>
        </row>
        <row r="9184">
          <cell r="CJ9184" t="str">
            <v xml:space="preserve">NFT-/XUTR/DEUTH02512224132X </v>
          </cell>
          <cell r="CK9184" t="str">
            <v>2025-05-02</v>
          </cell>
          <cell r="CL9184">
            <v>9779.0439999999999</v>
          </cell>
          <cell r="CM9184" t="str">
            <v xml:space="preserve">NFT-/XUTR/DEUTH02512248948X </v>
          </cell>
          <cell r="CN9184" t="str">
            <v>2025-05-02</v>
          </cell>
          <cell r="CO9184">
            <v>743.45799999999997</v>
          </cell>
        </row>
        <row r="9185">
          <cell r="CJ9185" t="str">
            <v xml:space="preserve">NFT-/XUTR/DEUTH02512224132X </v>
          </cell>
          <cell r="CK9185" t="str">
            <v>2025-05-02</v>
          </cell>
          <cell r="CL9185">
            <v>58408.673999999999</v>
          </cell>
          <cell r="CM9185" t="str">
            <v xml:space="preserve">NFT-/XUTR/DEUTH02512248948X </v>
          </cell>
          <cell r="CN9185" t="str">
            <v>2025-05-02</v>
          </cell>
          <cell r="CO9185">
            <v>4417.0889999999999</v>
          </cell>
        </row>
        <row r="9186">
          <cell r="CJ9186" t="str">
            <v xml:space="preserve">NFT-/XUTR/DEUTH02512224132X </v>
          </cell>
          <cell r="CK9186" t="str">
            <v>2025-05-02</v>
          </cell>
          <cell r="CL9186">
            <v>50456.802000000003</v>
          </cell>
          <cell r="CM9186" t="str">
            <v xml:space="preserve">NFT-/XUTR/DEUTH02512248948X </v>
          </cell>
          <cell r="CN9186" t="str">
            <v>2025-05-02</v>
          </cell>
          <cell r="CO9186">
            <v>1563.596</v>
          </cell>
        </row>
        <row r="9188">
          <cell r="CJ9188" t="str">
            <v xml:space="preserve">NFT-/XUTR/DEUTH02512224132X </v>
          </cell>
          <cell r="CK9188" t="str">
            <v>2025-05-02</v>
          </cell>
          <cell r="CL9188">
            <v>9779.0439999999999</v>
          </cell>
          <cell r="CM9188" t="str">
            <v xml:space="preserve">NFT-/XUTR/DEUTH02512248948X </v>
          </cell>
          <cell r="CN9188" t="str">
            <v>2025-05-02</v>
          </cell>
          <cell r="CO9188">
            <v>743.45799999999997</v>
          </cell>
        </row>
        <row r="9189">
          <cell r="CJ9189" t="str">
            <v xml:space="preserve">NFT-/XUTR/DEUTH02512224132X </v>
          </cell>
          <cell r="CK9189" t="str">
            <v>2025-05-02</v>
          </cell>
          <cell r="CL9189">
            <v>19456.651000000002</v>
          </cell>
          <cell r="CM9189" t="str">
            <v xml:space="preserve">NFT-/XUTR/DEUTH02512248948X </v>
          </cell>
          <cell r="CN9189" t="str">
            <v>2025-05-02</v>
          </cell>
          <cell r="CO9189">
            <v>1472.3630000000001</v>
          </cell>
        </row>
        <row r="9190">
          <cell r="CJ9190" t="str">
            <v xml:space="preserve">NFT-/XUTR/DEUTH02512224132X </v>
          </cell>
          <cell r="CK9190" t="str">
            <v>2025-05-02</v>
          </cell>
          <cell r="CL9190">
            <v>9267.02</v>
          </cell>
          <cell r="CM9190" t="str">
            <v xml:space="preserve">NFT-/XUTR/DEUTH02512248948X </v>
          </cell>
          <cell r="CN9190" t="str">
            <v>2025-05-02</v>
          </cell>
          <cell r="CO9190">
            <v>1274.3620000000001</v>
          </cell>
        </row>
        <row r="9191">
          <cell r="CJ9191" t="str">
            <v xml:space="preserve">NFT-/XUTR/DEUTH02512224132X </v>
          </cell>
          <cell r="CK9191" t="str">
            <v>2025-05-02</v>
          </cell>
          <cell r="CL9191">
            <v>49108.673999999999</v>
          </cell>
          <cell r="CM9191" t="str">
            <v xml:space="preserve">NFT-/XUTR/DEUTH02512248948X </v>
          </cell>
          <cell r="CN9191" t="str">
            <v>2025-05-02</v>
          </cell>
          <cell r="CO9191">
            <v>2911.7240000000002</v>
          </cell>
        </row>
        <row r="9192">
          <cell r="CJ9192" t="str">
            <v xml:space="preserve">NFT-/XUTR/DEUTH02512224132X </v>
          </cell>
          <cell r="CK9192" t="str">
            <v>2025-05-02</v>
          </cell>
          <cell r="CL9192">
            <v>9779.0439999999999</v>
          </cell>
          <cell r="CM9192" t="str">
            <v xml:space="preserve">NFT-/XUTR/DEUTH02512248948X </v>
          </cell>
          <cell r="CN9192" t="str">
            <v>2025-05-02</v>
          </cell>
          <cell r="CO9192">
            <v>743.45799999999997</v>
          </cell>
        </row>
        <row r="9193">
          <cell r="CJ9193" t="str">
            <v xml:space="preserve">NFT-/XUTR/DEUTH02512224132X </v>
          </cell>
          <cell r="CK9193" t="str">
            <v>2025-05-02</v>
          </cell>
          <cell r="CL9193">
            <v>9779.0439999999999</v>
          </cell>
          <cell r="CM9193" t="str">
            <v xml:space="preserve">NFT-/XUTR/DEUTH02512248948X </v>
          </cell>
          <cell r="CN9193" t="str">
            <v>2025-05-02</v>
          </cell>
          <cell r="CO9193">
            <v>743.45799999999997</v>
          </cell>
        </row>
        <row r="9194">
          <cell r="CJ9194" t="str">
            <v xml:space="preserve">NFT-/XUTR/DEUTH02512224132X </v>
          </cell>
          <cell r="CK9194" t="str">
            <v>2025-05-02</v>
          </cell>
          <cell r="CL9194">
            <v>9779.0439999999999</v>
          </cell>
          <cell r="CM9194" t="str">
            <v xml:space="preserve">NFT-/XUTR/DEUTH02512248948X </v>
          </cell>
          <cell r="CN9194" t="str">
            <v>2025-05-02</v>
          </cell>
          <cell r="CO9194">
            <v>743.45799999999997</v>
          </cell>
        </row>
        <row r="9195">
          <cell r="CJ9195" t="str">
            <v xml:space="preserve">NFT-/XUTR/DEUTH02512224132X </v>
          </cell>
          <cell r="CK9195" t="str">
            <v>2025-05-02</v>
          </cell>
          <cell r="CL9195">
            <v>49127.553999999996</v>
          </cell>
          <cell r="CM9195" t="str">
            <v xml:space="preserve">NFT-/XUTR/DEUTH02512248948X </v>
          </cell>
          <cell r="CN9195" t="str">
            <v>2025-05-02</v>
          </cell>
          <cell r="CO9195">
            <v>2911.7240000000002</v>
          </cell>
        </row>
        <row r="9196">
          <cell r="CJ9196" t="str">
            <v xml:space="preserve">NFT-/XUTR/DEUTH02512224132X </v>
          </cell>
          <cell r="CK9196" t="str">
            <v>2025-05-02</v>
          </cell>
          <cell r="CL9196">
            <v>1496.1669999999999</v>
          </cell>
        </row>
        <row r="9197">
          <cell r="CJ9197" t="str">
            <v xml:space="preserve">NFT-/XUTR/DEUTH02512224132X </v>
          </cell>
          <cell r="CK9197" t="str">
            <v>2025-05-02</v>
          </cell>
          <cell r="CL9197">
            <v>9681.9860000000008</v>
          </cell>
          <cell r="CM9197" t="str">
            <v xml:space="preserve">NFT-/XUTR/DEUTH02512248948X </v>
          </cell>
          <cell r="CN9197" t="str">
            <v>2025-05-02</v>
          </cell>
          <cell r="CO9197">
            <v>840.51599999999996</v>
          </cell>
        </row>
        <row r="9198">
          <cell r="CJ9198" t="str">
            <v xml:space="preserve">NFT-/XUTR/DEUTH02512224132X </v>
          </cell>
          <cell r="CK9198" t="str">
            <v>2025-05-02</v>
          </cell>
          <cell r="CL9198">
            <v>18611.274000000001</v>
          </cell>
          <cell r="CM9198" t="str">
            <v xml:space="preserve">NFT-/XUTR/DEUTH02512248948X </v>
          </cell>
          <cell r="CN9198" t="str">
            <v>2025-05-02</v>
          </cell>
          <cell r="CO9198">
            <v>2317.7289999999998</v>
          </cell>
        </row>
        <row r="9199">
          <cell r="CJ9199" t="str">
            <v xml:space="preserve">NFT-/XUTR/DEUTH02512224132X </v>
          </cell>
          <cell r="CK9199" t="str">
            <v>2025-05-02</v>
          </cell>
          <cell r="CL9199">
            <v>19155.241999999998</v>
          </cell>
          <cell r="CM9199" t="str">
            <v xml:space="preserve">NFT-/XUTR/DEUTH02512248948X </v>
          </cell>
          <cell r="CN9199" t="str">
            <v>2025-05-02</v>
          </cell>
          <cell r="CO9199">
            <v>1792.6510000000001</v>
          </cell>
        </row>
        <row r="9200">
          <cell r="CJ9200" t="str">
            <v xml:space="preserve">NFT-/XUTR/DEUTH02512224132X </v>
          </cell>
          <cell r="CK9200" t="str">
            <v>2025-05-02</v>
          </cell>
          <cell r="CL9200">
            <v>9797.9240000000009</v>
          </cell>
          <cell r="CM9200" t="str">
            <v xml:space="preserve">NFT-/XUTR/DEUTH02512248948X </v>
          </cell>
          <cell r="CN9200" t="str">
            <v>2025-05-02</v>
          </cell>
          <cell r="CO9200">
            <v>743.45799999999997</v>
          </cell>
        </row>
        <row r="9201">
          <cell r="CJ9201" t="str">
            <v xml:space="preserve">NFT-/XUTR/DEUTH02512224132X </v>
          </cell>
          <cell r="CK9201" t="str">
            <v>2025-05-02</v>
          </cell>
          <cell r="CL9201">
            <v>19398.41</v>
          </cell>
          <cell r="CM9201" t="str">
            <v xml:space="preserve">NFT-/XUTR/DEUTH02512248948X </v>
          </cell>
          <cell r="CN9201" t="str">
            <v>2025-05-02</v>
          </cell>
          <cell r="CO9201">
            <v>1530.5940000000001</v>
          </cell>
          <cell r="CP9201" t="str">
            <v xml:space="preserve">NFT-/XUTR/DEUTH02512528773X </v>
          </cell>
          <cell r="CQ9201" t="str">
            <v>2025-05-05</v>
          </cell>
          <cell r="CR9201">
            <v>-1530.5940000000001</v>
          </cell>
          <cell r="CS9201" t="str">
            <v xml:space="preserve">AXISCN0971534111 </v>
          </cell>
          <cell r="CT9201" t="str">
            <v>2025-05-06</v>
          </cell>
          <cell r="CU9201">
            <v>-19398.41</v>
          </cell>
        </row>
        <row r="9202">
          <cell r="CJ9202" t="str">
            <v xml:space="preserve">NFT-/XUTR/DEUTH02512224132X </v>
          </cell>
          <cell r="CK9202" t="str">
            <v>2025-05-02</v>
          </cell>
          <cell r="CL9202">
            <v>10826.299000000001</v>
          </cell>
          <cell r="CM9202" t="str">
            <v xml:space="preserve">NFT-/XUTR/DEUTH02512248948X </v>
          </cell>
          <cell r="CN9202" t="str">
            <v>2025-05-02</v>
          </cell>
          <cell r="CO9202">
            <v>822.07600000000002</v>
          </cell>
        </row>
        <row r="9203">
          <cell r="CJ9203" t="str">
            <v xml:space="preserve">NFT-/XUTR/DEUTH02512224132X </v>
          </cell>
          <cell r="CK9203" t="str">
            <v>2025-05-02</v>
          </cell>
          <cell r="CL9203">
            <v>48703.951999999997</v>
          </cell>
          <cell r="CM9203" t="str">
            <v xml:space="preserve">NFT-/XUTR/DEUTH02512248948X </v>
          </cell>
          <cell r="CN9203" t="str">
            <v>2025-05-02</v>
          </cell>
          <cell r="CO9203">
            <v>3316.4549999999999</v>
          </cell>
        </row>
        <row r="9204">
          <cell r="CJ9204" t="str">
            <v xml:space="preserve">NFT-/XUTR/DEUTH02512224132X </v>
          </cell>
          <cell r="CK9204" t="str">
            <v>2025-05-02</v>
          </cell>
          <cell r="CL9204">
            <v>19456.651000000002</v>
          </cell>
          <cell r="CM9204" t="str">
            <v xml:space="preserve">NFT-/XUTR/DEUTH02512248948X </v>
          </cell>
          <cell r="CN9204" t="str">
            <v>2025-05-02</v>
          </cell>
          <cell r="CO9204">
            <v>1472.3630000000001</v>
          </cell>
        </row>
        <row r="9205">
          <cell r="CJ9205" t="str">
            <v xml:space="preserve">NFT-/XUTR/DEUTH02512224132X </v>
          </cell>
          <cell r="CK9205" t="str">
            <v>2025-05-02</v>
          </cell>
          <cell r="CL9205">
            <v>9779.0439999999999</v>
          </cell>
          <cell r="CM9205" t="str">
            <v xml:space="preserve">NFT-/XUTR/DEUTH02512248948X </v>
          </cell>
          <cell r="CN9205" t="str">
            <v>2025-05-02</v>
          </cell>
          <cell r="CO9205">
            <v>743.45799999999997</v>
          </cell>
        </row>
        <row r="9206">
          <cell r="CJ9206" t="str">
            <v xml:space="preserve">NFT-/XUTR/DEUTH02512224132X </v>
          </cell>
          <cell r="CK9206" t="str">
            <v>2025-05-02</v>
          </cell>
          <cell r="CL9206">
            <v>49127.553999999996</v>
          </cell>
          <cell r="CM9206" t="str">
            <v xml:space="preserve">NFT-/XUTR/DEUTH02512248948X </v>
          </cell>
          <cell r="CN9206" t="str">
            <v>2025-05-02</v>
          </cell>
          <cell r="CO9206">
            <v>2911.7240000000002</v>
          </cell>
        </row>
        <row r="9207">
          <cell r="CJ9207" t="str">
            <v xml:space="preserve">NFT-/XUTR/DEUTH02512224132X </v>
          </cell>
          <cell r="CK9207" t="str">
            <v>2025-05-02</v>
          </cell>
          <cell r="CL9207">
            <v>1496.1669999999999</v>
          </cell>
        </row>
        <row r="9208">
          <cell r="CJ9208" t="str">
            <v xml:space="preserve">NFT-/XUTR/DEUTH02512224132X </v>
          </cell>
          <cell r="CK9208" t="str">
            <v>2025-05-02</v>
          </cell>
          <cell r="CL9208">
            <v>38933.144</v>
          </cell>
          <cell r="CM9208" t="str">
            <v xml:space="preserve">NFT-/XUTR/DEUTH02512248948X </v>
          </cell>
          <cell r="CN9208" t="str">
            <v>2025-05-02</v>
          </cell>
          <cell r="CO9208">
            <v>2942.7779999999998</v>
          </cell>
        </row>
        <row r="9209">
          <cell r="CJ9209" t="str">
            <v xml:space="preserve">NFT-/XUTR/DEUTH02512224132X </v>
          </cell>
          <cell r="CK9209" t="str">
            <v>2025-05-02</v>
          </cell>
          <cell r="CL9209">
            <v>9779.0439999999999</v>
          </cell>
          <cell r="CM9209" t="str">
            <v xml:space="preserve">NFT-/XUTR/DEUTH02512248948X </v>
          </cell>
          <cell r="CN9209" t="str">
            <v>2025-05-02</v>
          </cell>
          <cell r="CO9209">
            <v>743.45799999999997</v>
          </cell>
        </row>
        <row r="9210">
          <cell r="CJ9210" t="str">
            <v xml:space="preserve">NFT-/XUTR/DEUTH02512224132X </v>
          </cell>
          <cell r="CK9210" t="str">
            <v>2025-05-02</v>
          </cell>
          <cell r="CL9210">
            <v>19405.208999999999</v>
          </cell>
          <cell r="CM9210" t="str">
            <v xml:space="preserve">NFT-/XUTR/DEUTH02512248948X </v>
          </cell>
          <cell r="CN9210" t="str">
            <v>2025-05-02</v>
          </cell>
          <cell r="CO9210">
            <v>1523.8050000000001</v>
          </cell>
        </row>
        <row r="9211">
          <cell r="CJ9211" t="str">
            <v xml:space="preserve">NFT-/XUTR/DEUTH02512224132X </v>
          </cell>
          <cell r="CK9211" t="str">
            <v>2025-05-02</v>
          </cell>
          <cell r="CL9211">
            <v>9797.9240000000009</v>
          </cell>
          <cell r="CM9211" t="str">
            <v xml:space="preserve">NFT-/XUTR/DEUTH02512248948X </v>
          </cell>
          <cell r="CN9211" t="str">
            <v>2025-05-02</v>
          </cell>
          <cell r="CO9211">
            <v>743.45799999999997</v>
          </cell>
        </row>
        <row r="9212">
          <cell r="CJ9212" t="str">
            <v xml:space="preserve">NFT-/XUTR/DEUTH02512224132X </v>
          </cell>
          <cell r="CK9212" t="str">
            <v>2025-05-02</v>
          </cell>
          <cell r="CL9212">
            <v>10845.179</v>
          </cell>
          <cell r="CM9212" t="str">
            <v xml:space="preserve">NFT-/XUTR/DEUTH02512248948X </v>
          </cell>
          <cell r="CN9212" t="str">
            <v>2025-05-02</v>
          </cell>
          <cell r="CO9212">
            <v>822.07600000000002</v>
          </cell>
        </row>
        <row r="9214">
          <cell r="CJ9214" t="str">
            <v xml:space="preserve">NFT-/XUTR/DEUTH02512224132X </v>
          </cell>
          <cell r="CK9214" t="str">
            <v>2025-05-02</v>
          </cell>
          <cell r="CL9214">
            <v>49108.673999999999</v>
          </cell>
          <cell r="CM9214" t="str">
            <v xml:space="preserve">NFT-/XUTR/DEUTH02512248948X </v>
          </cell>
          <cell r="CN9214" t="str">
            <v>2025-05-02</v>
          </cell>
          <cell r="CO9214">
            <v>2911.7240000000002</v>
          </cell>
        </row>
        <row r="9215">
          <cell r="CJ9215" t="str">
            <v xml:space="preserve">NFT-/XUTR/DEUTH02512224132X </v>
          </cell>
          <cell r="CK9215" t="str">
            <v>2025-05-02</v>
          </cell>
          <cell r="CL9215">
            <v>49127.553</v>
          </cell>
          <cell r="CM9215" t="str">
            <v xml:space="preserve">NFT-/XUTR/DEUTH02512248948X </v>
          </cell>
          <cell r="CN9215" t="str">
            <v>2025-05-02</v>
          </cell>
          <cell r="CO9215">
            <v>2911.723</v>
          </cell>
        </row>
        <row r="9216">
          <cell r="CJ9216" t="str">
            <v xml:space="preserve">NFT-/XUTR/DEUTH02512224132X </v>
          </cell>
          <cell r="CK9216" t="str">
            <v>2025-05-02</v>
          </cell>
          <cell r="CL9216">
            <v>9779.0439999999999</v>
          </cell>
          <cell r="CM9216" t="str">
            <v xml:space="preserve">NFT-/XUTR/DEUTH02512248948X </v>
          </cell>
          <cell r="CN9216" t="str">
            <v>2025-05-02</v>
          </cell>
          <cell r="CO9216">
            <v>743.45799999999997</v>
          </cell>
        </row>
        <row r="9217">
          <cell r="CJ9217" t="str">
            <v xml:space="preserve">NFT-/XUTR/DEUTH02512224132X </v>
          </cell>
          <cell r="CK9217" t="str">
            <v>2025-05-02</v>
          </cell>
          <cell r="CL9217">
            <v>49127.553999999996</v>
          </cell>
          <cell r="CM9217" t="str">
            <v xml:space="preserve">NFT-/XUTR/DEUTH02512248948X </v>
          </cell>
          <cell r="CN9217" t="str">
            <v>2025-05-02</v>
          </cell>
          <cell r="CO9217">
            <v>2911.7240000000002</v>
          </cell>
        </row>
        <row r="9218">
          <cell r="CJ9218" t="str">
            <v xml:space="preserve">NFT-/XUTR/DEUTH02512224132X </v>
          </cell>
          <cell r="CK9218" t="str">
            <v>2025-05-02</v>
          </cell>
          <cell r="CL9218">
            <v>19576.977999999999</v>
          </cell>
          <cell r="CM9218" t="str">
            <v xml:space="preserve">NFT-/XUTR/DEUTH02512248948X </v>
          </cell>
          <cell r="CN9218" t="str">
            <v>2025-05-02</v>
          </cell>
          <cell r="CO9218">
            <v>1486.9159999999999</v>
          </cell>
        </row>
        <row r="9219">
          <cell r="CJ9219" t="str">
            <v xml:space="preserve">NFT-/XUTR/DEUTH02512224132X </v>
          </cell>
          <cell r="CK9219" t="str">
            <v>2025-05-02</v>
          </cell>
          <cell r="CL9219">
            <v>49414.409</v>
          </cell>
          <cell r="CM9219" t="str">
            <v xml:space="preserve">NFT-/XUTR/DEUTH02512248948X </v>
          </cell>
          <cell r="CN9219" t="str">
            <v>2025-05-02</v>
          </cell>
          <cell r="CO9219">
            <v>2605.989</v>
          </cell>
        </row>
        <row r="9220">
          <cell r="CJ9220" t="str">
            <v xml:space="preserve">NFT-/XUTR/DEUTH02512224132X </v>
          </cell>
          <cell r="CK9220" t="str">
            <v>2025-05-02</v>
          </cell>
          <cell r="CL9220">
            <v>9779.0439999999999</v>
          </cell>
          <cell r="CM9220" t="str">
            <v xml:space="preserve">NFT-/XUTR/DEUTH02512248948X </v>
          </cell>
          <cell r="CN9220" t="str">
            <v>2025-05-02</v>
          </cell>
          <cell r="CO9220">
            <v>743.45799999999997</v>
          </cell>
        </row>
        <row r="9221">
          <cell r="CJ9221" t="str">
            <v xml:space="preserve">NFT-/XUTR/DEUTH02512224132X </v>
          </cell>
          <cell r="CK9221" t="str">
            <v>2025-05-02</v>
          </cell>
          <cell r="CL9221">
            <v>49108.673999999999</v>
          </cell>
          <cell r="CM9221" t="str">
            <v xml:space="preserve">NFT-/XUTR/DEUTH02512248948X </v>
          </cell>
          <cell r="CN9221" t="str">
            <v>2025-05-02</v>
          </cell>
          <cell r="CO9221">
            <v>2911.7240000000002</v>
          </cell>
        </row>
        <row r="9222">
          <cell r="CJ9222" t="str">
            <v xml:space="preserve">NFT-/XUTR/DEUTH02512224132X </v>
          </cell>
          <cell r="CK9222" t="str">
            <v>2025-05-02</v>
          </cell>
          <cell r="CL9222">
            <v>49108.673999999999</v>
          </cell>
          <cell r="CM9222" t="str">
            <v xml:space="preserve">NFT-/XUTR/DEUTH02512248948X </v>
          </cell>
          <cell r="CN9222" t="str">
            <v>2025-05-02</v>
          </cell>
          <cell r="CO9222">
            <v>2911.7240000000002</v>
          </cell>
        </row>
        <row r="9223">
          <cell r="CJ9223" t="str">
            <v xml:space="preserve">NFT-/XUTR/DEUTH02512224132X </v>
          </cell>
          <cell r="CK9223" t="str">
            <v>2025-05-02</v>
          </cell>
          <cell r="CL9223">
            <v>19876.907999999999</v>
          </cell>
          <cell r="CM9223" t="str">
            <v xml:space="preserve">NFT-/XUTR/DEUTH02512248948X </v>
          </cell>
          <cell r="CN9223" t="str">
            <v>2025-05-02</v>
          </cell>
          <cell r="CO9223">
            <v>1052.106</v>
          </cell>
        </row>
        <row r="9224">
          <cell r="CJ9224" t="str">
            <v xml:space="preserve">NFT-/XUTR/DEUTH02512224132X </v>
          </cell>
          <cell r="CK9224" t="str">
            <v>2025-05-02</v>
          </cell>
          <cell r="CL9224">
            <v>9357.8220000000001</v>
          </cell>
          <cell r="CM9224" t="str">
            <v xml:space="preserve">NFT-/XUTR/DEUTH02512248948X </v>
          </cell>
          <cell r="CN9224" t="str">
            <v>2025-05-02</v>
          </cell>
          <cell r="CO9224">
            <v>1164.69</v>
          </cell>
        </row>
        <row r="9226">
          <cell r="CJ9226" t="str">
            <v xml:space="preserve">NFT-/XUTR/DEUTH02512224132X </v>
          </cell>
          <cell r="CK9226" t="str">
            <v>2025-05-02</v>
          </cell>
          <cell r="CL9226">
            <v>98236.237999999998</v>
          </cell>
          <cell r="CM9226" t="str">
            <v xml:space="preserve">NFT-/XUTR/DEUTH02512248948X </v>
          </cell>
          <cell r="CN9226" t="str">
            <v>2025-05-02</v>
          </cell>
          <cell r="CO9226">
            <v>5823.4480000000003</v>
          </cell>
        </row>
        <row r="9229">
          <cell r="CJ9229" t="str">
            <v xml:space="preserve">NFT-/XUTR/DEUTH02512224132X </v>
          </cell>
          <cell r="CK9229" t="str">
            <v>2025-05-02</v>
          </cell>
          <cell r="CL9229">
            <v>9393.2029999999995</v>
          </cell>
          <cell r="CM9229" t="str">
            <v xml:space="preserve">NFT-/XUTR/DEUTH02512248948X </v>
          </cell>
          <cell r="CN9229" t="str">
            <v>2025-05-02</v>
          </cell>
          <cell r="CO9229">
            <v>1148.1890000000001</v>
          </cell>
        </row>
        <row r="9230">
          <cell r="CJ9230" t="str">
            <v xml:space="preserve">NFT-/XUTR/DEUTH02512224132X </v>
          </cell>
          <cell r="CK9230" t="str">
            <v>2025-05-02</v>
          </cell>
          <cell r="CL9230">
            <v>9779.0439999999999</v>
          </cell>
          <cell r="CM9230" t="str">
            <v xml:space="preserve">NFT-/XUTR/DEUTH02512248948X </v>
          </cell>
          <cell r="CN9230" t="str">
            <v>2025-05-02</v>
          </cell>
          <cell r="CO9230">
            <v>743.45799999999997</v>
          </cell>
        </row>
        <row r="9231">
          <cell r="CJ9231" t="str">
            <v xml:space="preserve">NFT-/XUTR/DEUTH02512224132X </v>
          </cell>
          <cell r="CK9231" t="str">
            <v>2025-05-02</v>
          </cell>
          <cell r="CL9231">
            <v>104674.52</v>
          </cell>
        </row>
        <row r="9232">
          <cell r="CJ9232" t="str">
            <v xml:space="preserve">NFT-/XUTR/DEUTH02512224132X </v>
          </cell>
          <cell r="CK9232" t="str">
            <v>2025-05-02</v>
          </cell>
          <cell r="CL9232">
            <v>49108.673999999999</v>
          </cell>
          <cell r="CM9232" t="str">
            <v xml:space="preserve">NFT-/XUTR/DEUTH02512248948X </v>
          </cell>
          <cell r="CN9232" t="str">
            <v>2025-05-02</v>
          </cell>
          <cell r="CO9232">
            <v>2911.7240000000002</v>
          </cell>
        </row>
        <row r="9233">
          <cell r="CJ9233" t="str">
            <v xml:space="preserve">NFT-/XUTR/DEUTH02512224132X </v>
          </cell>
          <cell r="CK9233" t="str">
            <v>2025-05-02</v>
          </cell>
          <cell r="CL9233">
            <v>19456.651000000002</v>
          </cell>
          <cell r="CM9233" t="str">
            <v xml:space="preserve">NFT-/XUTR/DEUTH02512248948X </v>
          </cell>
          <cell r="CN9233" t="str">
            <v>2025-05-02</v>
          </cell>
          <cell r="CO9233">
            <v>1472.3630000000001</v>
          </cell>
        </row>
        <row r="9234">
          <cell r="CJ9234" t="str">
            <v xml:space="preserve">NFT-/XUTR/DEUTH02512224132X </v>
          </cell>
          <cell r="CK9234" t="str">
            <v>2025-05-02</v>
          </cell>
          <cell r="CL9234">
            <v>19748.788</v>
          </cell>
          <cell r="CM9234" t="str">
            <v xml:space="preserve">NFT-/XUTR/DEUTH02512248948X </v>
          </cell>
          <cell r="CN9234" t="str">
            <v>2025-05-02</v>
          </cell>
          <cell r="CO9234">
            <v>1180.2170000000001</v>
          </cell>
        </row>
        <row r="9236">
          <cell r="CJ9236" t="str">
            <v xml:space="preserve">NFT-/XUTR/DEUTH02512224132X </v>
          </cell>
          <cell r="CK9236" t="str">
            <v>2025-05-02</v>
          </cell>
          <cell r="CL9236">
            <v>19456.651000000002</v>
          </cell>
          <cell r="CM9236" t="str">
            <v xml:space="preserve">NFT-/XUTR/DEUTH02512248948X </v>
          </cell>
          <cell r="CN9236" t="str">
            <v>2025-05-02</v>
          </cell>
          <cell r="CO9236">
            <v>1472.3630000000001</v>
          </cell>
        </row>
        <row r="9237">
          <cell r="CJ9237" t="str">
            <v xml:space="preserve">NFT-/XUTR/DEUTH02512224132X </v>
          </cell>
          <cell r="CK9237" t="str">
            <v>2025-05-02</v>
          </cell>
          <cell r="CL9237">
            <v>19456.651000000002</v>
          </cell>
          <cell r="CM9237" t="str">
            <v xml:space="preserve">NFT-/XUTR/DEUTH02512248948X </v>
          </cell>
          <cell r="CN9237" t="str">
            <v>2025-05-02</v>
          </cell>
          <cell r="CO9237">
            <v>1472.3630000000001</v>
          </cell>
        </row>
        <row r="9238">
          <cell r="CJ9238" t="str">
            <v xml:space="preserve">NFT-/XUTR/DEUTH02512224132X </v>
          </cell>
          <cell r="CK9238" t="str">
            <v>2025-05-02</v>
          </cell>
          <cell r="CL9238">
            <v>9779.0439999999999</v>
          </cell>
          <cell r="CM9238" t="str">
            <v xml:space="preserve">NFT-/XUTR/DEUTH02512248948X </v>
          </cell>
          <cell r="CN9238" t="str">
            <v>2025-05-02</v>
          </cell>
          <cell r="CO9238">
            <v>743.45799999999997</v>
          </cell>
        </row>
        <row r="9239">
          <cell r="CJ9239" t="str">
            <v xml:space="preserve">NFT-/XUTR/DEUTH02512224132X </v>
          </cell>
          <cell r="CK9239" t="str">
            <v>2025-05-02</v>
          </cell>
          <cell r="CL9239">
            <v>49108.673999999999</v>
          </cell>
          <cell r="CM9239" t="str">
            <v xml:space="preserve">NFT-/XUTR/DEUTH02512248948X </v>
          </cell>
          <cell r="CN9239" t="str">
            <v>2025-05-02</v>
          </cell>
          <cell r="CO9239">
            <v>2911.7240000000002</v>
          </cell>
        </row>
        <row r="9240">
          <cell r="CJ9240" t="str">
            <v xml:space="preserve">NFT-/XUTR/DEUTH02512224132X </v>
          </cell>
          <cell r="CK9240" t="str">
            <v>2025-05-02</v>
          </cell>
          <cell r="CL9240">
            <v>9797.9240000000009</v>
          </cell>
          <cell r="CM9240" t="str">
            <v xml:space="preserve">NFT-/XUTR/DEUTH02512248948X </v>
          </cell>
          <cell r="CN9240" t="str">
            <v>2025-05-02</v>
          </cell>
          <cell r="CO9240">
            <v>743.45799999999997</v>
          </cell>
        </row>
        <row r="9241">
          <cell r="CJ9241" t="str">
            <v xml:space="preserve">NFT-/XUTR/DEUTH02512224132X </v>
          </cell>
          <cell r="CK9241" t="str">
            <v>2025-05-02</v>
          </cell>
          <cell r="CL9241">
            <v>49108.673999999999</v>
          </cell>
          <cell r="CM9241" t="str">
            <v xml:space="preserve">NFT-/XUTR/DEUTH02512248948X </v>
          </cell>
          <cell r="CN9241" t="str">
            <v>2025-05-02</v>
          </cell>
          <cell r="CO9241">
            <v>2911.7240000000002</v>
          </cell>
        </row>
        <row r="9243">
          <cell r="CJ9243" t="str">
            <v xml:space="preserve">NFT-/XUTR/DEUTH02512224132X </v>
          </cell>
          <cell r="CK9243" t="str">
            <v>2025-05-02</v>
          </cell>
          <cell r="CL9243">
            <v>19876.907999999999</v>
          </cell>
          <cell r="CM9243" t="str">
            <v xml:space="preserve">NFT-/XUTR/DEUTH02512248948X </v>
          </cell>
          <cell r="CN9243" t="str">
            <v>2025-05-02</v>
          </cell>
          <cell r="CO9243">
            <v>1052.106</v>
          </cell>
        </row>
        <row r="9244">
          <cell r="CJ9244" t="str">
            <v xml:space="preserve">NFT-/XUTR/DEUTH02512224132X </v>
          </cell>
          <cell r="CK9244" t="str">
            <v>2025-05-02</v>
          </cell>
          <cell r="CL9244">
            <v>49127.553</v>
          </cell>
          <cell r="CM9244" t="str">
            <v xml:space="preserve">NFT-/XUTR/DEUTH02512248948X </v>
          </cell>
          <cell r="CN9244" t="str">
            <v>2025-05-02</v>
          </cell>
          <cell r="CO9244">
            <v>2911.723</v>
          </cell>
        </row>
        <row r="9245">
          <cell r="CJ9245" t="str">
            <v xml:space="preserve">NFT-/XUTR/DEUTH02512224132X </v>
          </cell>
          <cell r="CK9245" t="str">
            <v>2025-05-02</v>
          </cell>
          <cell r="CL9245">
            <v>19876.907999999999</v>
          </cell>
          <cell r="CM9245" t="str">
            <v xml:space="preserve">NFT-/XUTR/DEUTH02512248948X </v>
          </cell>
          <cell r="CN9245" t="str">
            <v>2025-05-02</v>
          </cell>
          <cell r="CO9245">
            <v>1052.106</v>
          </cell>
        </row>
        <row r="9247">
          <cell r="CJ9247" t="str">
            <v xml:space="preserve">NFT-/XUTR/DEUTH02512224132X </v>
          </cell>
          <cell r="CK9247" t="str">
            <v>2025-05-02</v>
          </cell>
          <cell r="CL9247">
            <v>9797.9240000000009</v>
          </cell>
          <cell r="CM9247" t="str">
            <v xml:space="preserve">NFT-/XUTR/DEUTH02512248948X </v>
          </cell>
          <cell r="CN9247" t="str">
            <v>2025-05-02</v>
          </cell>
          <cell r="CO9247">
            <v>743.45799999999997</v>
          </cell>
        </row>
        <row r="9248">
          <cell r="CJ9248" t="str">
            <v xml:space="preserve">NFT-/XUTR/DEUTH02512224132X </v>
          </cell>
          <cell r="CK9248" t="str">
            <v>2025-05-02</v>
          </cell>
          <cell r="CL9248">
            <v>49414.409</v>
          </cell>
          <cell r="CM9248" t="str">
            <v xml:space="preserve">NFT-/XUTR/DEUTH02512248948X </v>
          </cell>
          <cell r="CN9248" t="str">
            <v>2025-05-02</v>
          </cell>
          <cell r="CO9248">
            <v>2605.989</v>
          </cell>
        </row>
        <row r="9249">
          <cell r="CJ9249" t="str">
            <v xml:space="preserve">NFT-/XUTR/DEUTH02512224132X </v>
          </cell>
          <cell r="CK9249" t="str">
            <v>2025-05-02</v>
          </cell>
          <cell r="CL9249">
            <v>19456.651000000002</v>
          </cell>
          <cell r="CM9249" t="str">
            <v xml:space="preserve">NFT-/XUTR/DEUTH02512248948X </v>
          </cell>
          <cell r="CN9249" t="str">
            <v>2025-05-02</v>
          </cell>
          <cell r="CO9249">
            <v>1472.3630000000001</v>
          </cell>
        </row>
        <row r="9250">
          <cell r="CJ9250" t="str">
            <v xml:space="preserve">NFT-/XUTR/DEUTH02512224132X </v>
          </cell>
          <cell r="CK9250" t="str">
            <v>2025-05-02</v>
          </cell>
          <cell r="CL9250">
            <v>9248.14</v>
          </cell>
          <cell r="CM9250" t="str">
            <v xml:space="preserve">NFT-/XUTR/DEUTH02512248948X </v>
          </cell>
          <cell r="CN9250" t="str">
            <v>2025-05-02</v>
          </cell>
          <cell r="CO9250">
            <v>1274.3620000000001</v>
          </cell>
        </row>
        <row r="9251">
          <cell r="CJ9251" t="str">
            <v xml:space="preserve">NFT-/XUTR/DEUTH02512224132X </v>
          </cell>
          <cell r="CK9251" t="str">
            <v>2025-05-02</v>
          </cell>
          <cell r="CL9251">
            <v>49127.553999999996</v>
          </cell>
          <cell r="CM9251" t="str">
            <v xml:space="preserve">NFT-/XUTR/DEUTH02512248948X </v>
          </cell>
          <cell r="CN9251" t="str">
            <v>2025-05-02</v>
          </cell>
          <cell r="CO9251">
            <v>2911.7240000000002</v>
          </cell>
        </row>
        <row r="9252">
          <cell r="CJ9252" t="str">
            <v xml:space="preserve">NFT-/XUTR/DEUTH02512224132X </v>
          </cell>
          <cell r="CK9252" t="str">
            <v>2025-05-02</v>
          </cell>
          <cell r="CL9252">
            <v>10203.188</v>
          </cell>
          <cell r="CM9252" t="str">
            <v xml:space="preserve">NFT-/XUTR/DEUTH02512248948X </v>
          </cell>
          <cell r="CN9252" t="str">
            <v>2025-05-02</v>
          </cell>
          <cell r="CO9252">
            <v>319.32400000000001</v>
          </cell>
        </row>
        <row r="9253">
          <cell r="CJ9253" t="str">
            <v xml:space="preserve">NFT-/XUTR/DEUTH02512224132X </v>
          </cell>
          <cell r="CK9253" t="str">
            <v>2025-05-02</v>
          </cell>
          <cell r="CL9253">
            <v>49108.673999999999</v>
          </cell>
          <cell r="CM9253" t="str">
            <v xml:space="preserve">NFT-/XUTR/DEUTH02512248948X </v>
          </cell>
          <cell r="CN9253" t="str">
            <v>2025-05-02</v>
          </cell>
          <cell r="CO9253">
            <v>2911.7240000000002</v>
          </cell>
        </row>
        <row r="9255">
          <cell r="CJ9255" t="str">
            <v xml:space="preserve">NFT-/XUTR/DEUTH02512224132X </v>
          </cell>
          <cell r="CK9255" t="str">
            <v>2025-05-02</v>
          </cell>
          <cell r="CL9255">
            <v>49433.288999999997</v>
          </cell>
          <cell r="CM9255" t="str">
            <v xml:space="preserve">NFT-/XUTR/DEUTH02512248948X </v>
          </cell>
          <cell r="CN9255" t="str">
            <v>2025-05-02</v>
          </cell>
          <cell r="CO9255">
            <v>2605.989</v>
          </cell>
        </row>
        <row r="9256">
          <cell r="CJ9256" t="str">
            <v xml:space="preserve">NFT-/XUTR/DEUTH02512224132X </v>
          </cell>
          <cell r="CK9256" t="str">
            <v>2025-05-02</v>
          </cell>
          <cell r="CL9256">
            <v>19475.53</v>
          </cell>
          <cell r="CM9256" t="str">
            <v xml:space="preserve">NFT-/XUTR/DEUTH02512248948X </v>
          </cell>
          <cell r="CN9256" t="str">
            <v>2025-05-02</v>
          </cell>
          <cell r="CO9256">
            <v>1472.3630000000001</v>
          </cell>
        </row>
        <row r="9258">
          <cell r="CJ9258" t="str">
            <v xml:space="preserve">NFT-/XUTR/DEUTH02512528773X </v>
          </cell>
          <cell r="CK9258" t="str">
            <v>2025-05-05</v>
          </cell>
          <cell r="CL9258">
            <v>4437.4660000000003</v>
          </cell>
          <cell r="CM9258" t="str">
            <v xml:space="preserve">AXISCN0971534111 </v>
          </cell>
          <cell r="CN9258" t="str">
            <v>2025-05-06</v>
          </cell>
          <cell r="CO9258">
            <v>58679.470999999998</v>
          </cell>
        </row>
        <row r="9259">
          <cell r="CJ9259" t="str">
            <v xml:space="preserve">NFT-/XUTR/DEUTH02512224132X </v>
          </cell>
          <cell r="CK9259" t="str">
            <v>2025-05-02</v>
          </cell>
          <cell r="CL9259">
            <v>10997.123</v>
          </cell>
          <cell r="CM9259" t="str">
            <v xml:space="preserve">NFT-/XUTR/DEUTH02512248948X </v>
          </cell>
          <cell r="CN9259" t="str">
            <v>2025-05-02</v>
          </cell>
          <cell r="CO9259">
            <v>835.66399999999999</v>
          </cell>
        </row>
        <row r="9260">
          <cell r="CJ9260" t="str">
            <v xml:space="preserve">NFT-/XUTR/DEUTH02512224132X </v>
          </cell>
          <cell r="CK9260" t="str">
            <v>2025-05-02</v>
          </cell>
          <cell r="CL9260">
            <v>19546.907999999999</v>
          </cell>
          <cell r="CM9260" t="str">
            <v xml:space="preserve">NFT-/XUTR/DEUTH02512248948X </v>
          </cell>
          <cell r="CN9260" t="str">
            <v>2025-05-02</v>
          </cell>
          <cell r="CO9260">
            <v>1479.152</v>
          </cell>
        </row>
        <row r="9261">
          <cell r="CJ9261" t="str">
            <v xml:space="preserve">NFT-/XUTR/DEUTH02512224132X </v>
          </cell>
          <cell r="CK9261" t="str">
            <v>2025-05-02</v>
          </cell>
          <cell r="CL9261">
            <v>39113.671999999999</v>
          </cell>
          <cell r="CM9261" t="str">
            <v xml:space="preserve">NFT-/XUTR/DEUTH02512248948X </v>
          </cell>
          <cell r="CN9261" t="str">
            <v>2025-05-02</v>
          </cell>
          <cell r="CO9261">
            <v>2958.3139999999999</v>
          </cell>
        </row>
        <row r="9262">
          <cell r="CJ9262" t="str">
            <v xml:space="preserve">NFT-/XUTR/DEUTH02512224132X </v>
          </cell>
          <cell r="CK9262" t="str">
            <v>2025-05-02</v>
          </cell>
          <cell r="CL9262">
            <v>49262.033000000003</v>
          </cell>
          <cell r="CM9262" t="str">
            <v xml:space="preserve">NFT-/XUTR/DEUTH02512248948X </v>
          </cell>
          <cell r="CN9262" t="str">
            <v>2025-05-02</v>
          </cell>
          <cell r="CO9262">
            <v>3001.018</v>
          </cell>
        </row>
        <row r="9263">
          <cell r="CJ9263" t="str">
            <v xml:space="preserve">NFT-/XUTR/DEUTH02512224132X </v>
          </cell>
          <cell r="CK9263" t="str">
            <v>2025-05-02</v>
          </cell>
          <cell r="CL9263">
            <v>19546.907999999999</v>
          </cell>
          <cell r="CM9263" t="str">
            <v xml:space="preserve">NFT-/XUTR/DEUTH02512248948X </v>
          </cell>
          <cell r="CN9263" t="str">
            <v>2025-05-02</v>
          </cell>
          <cell r="CO9263">
            <v>1479.152</v>
          </cell>
        </row>
        <row r="9264">
          <cell r="CJ9264" t="str">
            <v xml:space="preserve">NFT-/XUTR/DEUTH02512224132X </v>
          </cell>
          <cell r="CK9264" t="str">
            <v>2025-05-02</v>
          </cell>
          <cell r="CL9264">
            <v>19565.788</v>
          </cell>
          <cell r="CM9264" t="str">
            <v xml:space="preserve">NFT-/XUTR/DEUTH02512248948X </v>
          </cell>
          <cell r="CN9264" t="str">
            <v>2025-05-02</v>
          </cell>
          <cell r="CO9264">
            <v>1479.152</v>
          </cell>
        </row>
        <row r="9265">
          <cell r="CJ9265" t="str">
            <v xml:space="preserve">NFT-/XUTR/DEUTH02512224132X </v>
          </cell>
          <cell r="CK9265" t="str">
            <v>2025-05-02</v>
          </cell>
          <cell r="CL9265">
            <v>49370.197999999997</v>
          </cell>
          <cell r="CM9265" t="str">
            <v xml:space="preserve">NFT-/XUTR/DEUTH02512248948X </v>
          </cell>
          <cell r="CN9265" t="str">
            <v>2025-05-02</v>
          </cell>
          <cell r="CO9265">
            <v>2911.723</v>
          </cell>
          <cell r="CP9265" t="str">
            <v xml:space="preserve">NFT-/XUTR/DEUTH02512528773X </v>
          </cell>
          <cell r="CQ9265" t="str">
            <v>2025-05-05</v>
          </cell>
          <cell r="CR9265">
            <v>-2911.723</v>
          </cell>
          <cell r="CS9265" t="str">
            <v xml:space="preserve">AXISCN0971534111 </v>
          </cell>
          <cell r="CT9265" t="str">
            <v>2025-05-06</v>
          </cell>
          <cell r="CU9265">
            <v>-49370.197999999997</v>
          </cell>
        </row>
        <row r="9266">
          <cell r="CJ9266" t="str">
            <v xml:space="preserve">NFT-/XUTR/DEUTH02512224132X </v>
          </cell>
          <cell r="CK9266" t="str">
            <v>2025-05-02</v>
          </cell>
          <cell r="CL9266">
            <v>9842.5759999999991</v>
          </cell>
          <cell r="CM9266" t="str">
            <v xml:space="preserve">NFT-/XUTR/DEUTH02512248948X </v>
          </cell>
          <cell r="CN9266" t="str">
            <v>2025-05-02</v>
          </cell>
          <cell r="CO9266">
            <v>747.34400000000005</v>
          </cell>
        </row>
        <row r="9267">
          <cell r="CJ9267" t="str">
            <v xml:space="preserve">NFT-/XUTR/DEUTH02512224132X </v>
          </cell>
          <cell r="CK9267" t="str">
            <v>2025-05-02</v>
          </cell>
          <cell r="CL9267">
            <v>98740.403999999995</v>
          </cell>
          <cell r="CM9267" t="str">
            <v xml:space="preserve">NFT-/XUTR/DEUTH02512248948X </v>
          </cell>
          <cell r="CN9267" t="str">
            <v>2025-05-02</v>
          </cell>
          <cell r="CO9267">
            <v>5823.4480000000003</v>
          </cell>
        </row>
        <row r="9268">
          <cell r="CJ9268" t="str">
            <v xml:space="preserve">NFT-/XUTR/DEUTH02512224132X </v>
          </cell>
          <cell r="CK9268" t="str">
            <v>2025-05-02</v>
          </cell>
          <cell r="CL9268">
            <v>29393.781999999999</v>
          </cell>
          <cell r="CM9268" t="str">
            <v xml:space="preserve">NFT-/XUTR/DEUTH02512248948X </v>
          </cell>
          <cell r="CN9268" t="str">
            <v>2025-05-02</v>
          </cell>
          <cell r="CO9268">
            <v>2230.384</v>
          </cell>
        </row>
        <row r="9269">
          <cell r="CJ9269" t="str">
            <v xml:space="preserve">NFT-/XUTR/DEUTH02512224132X </v>
          </cell>
          <cell r="CK9269" t="str">
            <v>2025-05-02</v>
          </cell>
          <cell r="CL9269">
            <v>98236.237999999998</v>
          </cell>
          <cell r="CM9269" t="str">
            <v xml:space="preserve">NFT-/XUTR/DEUTH02512248948X </v>
          </cell>
          <cell r="CN9269" t="str">
            <v>2025-05-02</v>
          </cell>
          <cell r="CO9269">
            <v>5823.4480000000003</v>
          </cell>
        </row>
        <row r="9270">
          <cell r="CJ9270" t="str">
            <v xml:space="preserve">NFT-/XUTR/DEUTH02512224132X </v>
          </cell>
          <cell r="CK9270" t="str">
            <v>2025-05-02</v>
          </cell>
          <cell r="CL9270">
            <v>49351.317000000003</v>
          </cell>
          <cell r="CM9270" t="str">
            <v xml:space="preserve">NFT-/XUTR/DEUTH02512248948X </v>
          </cell>
          <cell r="CN9270" t="str">
            <v>2025-05-02</v>
          </cell>
          <cell r="CO9270">
            <v>2911.7240000000002</v>
          </cell>
        </row>
        <row r="9272">
          <cell r="CJ9272" t="str">
            <v xml:space="preserve">NFT-/XUTR/DEUTH02512528773X </v>
          </cell>
          <cell r="CK9272" t="str">
            <v>2025-05-05</v>
          </cell>
          <cell r="CL9272">
            <v>2958.3139999999999</v>
          </cell>
          <cell r="CM9272" t="str">
            <v xml:space="preserve">AXISCN0971534111 </v>
          </cell>
          <cell r="CN9272" t="str">
            <v>2025-05-06</v>
          </cell>
          <cell r="CO9272">
            <v>39113.671999999999</v>
          </cell>
        </row>
        <row r="9274">
          <cell r="CJ9274" t="str">
            <v xml:space="preserve">NFT-/XUTR/DEUTH02512224132X </v>
          </cell>
          <cell r="CK9274" t="str">
            <v>2025-05-02</v>
          </cell>
          <cell r="CL9274">
            <v>19546.907999999999</v>
          </cell>
          <cell r="CM9274" t="str">
            <v xml:space="preserve">NFT-/XUTR/DEUTH02512248948X </v>
          </cell>
          <cell r="CN9274" t="str">
            <v>2025-05-02</v>
          </cell>
          <cell r="CO9274">
            <v>1479.152</v>
          </cell>
        </row>
        <row r="9275">
          <cell r="CJ9275" t="str">
            <v xml:space="preserve">NFT-/XUTR/DEUTH02512224132X </v>
          </cell>
          <cell r="CK9275" t="str">
            <v>2025-05-02</v>
          </cell>
          <cell r="CL9275">
            <v>9823.6959999999999</v>
          </cell>
          <cell r="CM9275" t="str">
            <v xml:space="preserve">NFT-/XUTR/DEUTH02512248948X </v>
          </cell>
          <cell r="CN9275" t="str">
            <v>2025-05-02</v>
          </cell>
          <cell r="CO9275">
            <v>747.34400000000005</v>
          </cell>
        </row>
        <row r="9276">
          <cell r="CJ9276" t="str">
            <v xml:space="preserve">NFT-/XUTR/DEUTH02512528773X </v>
          </cell>
          <cell r="CK9276" t="str">
            <v>2025-05-05</v>
          </cell>
          <cell r="CL9276">
            <v>747.34400000000005</v>
          </cell>
          <cell r="CM9276" t="str">
            <v xml:space="preserve">AXISCN0971534111 </v>
          </cell>
          <cell r="CN9276" t="str">
            <v>2025-05-06</v>
          </cell>
          <cell r="CO9276">
            <v>9833.1360000000004</v>
          </cell>
        </row>
        <row r="9277">
          <cell r="CJ9277" t="str">
            <v xml:space="preserve">NFT-/XUTR/DEUTH02512224132X </v>
          </cell>
          <cell r="CK9277" t="str">
            <v>2025-05-02</v>
          </cell>
          <cell r="CL9277">
            <v>9842.5759999999991</v>
          </cell>
          <cell r="CM9277" t="str">
            <v xml:space="preserve">NFT-/XUTR/DEUTH02512248948X </v>
          </cell>
          <cell r="CN9277" t="str">
            <v>2025-05-02</v>
          </cell>
          <cell r="CO9277">
            <v>747.34400000000005</v>
          </cell>
        </row>
        <row r="9278">
          <cell r="CJ9278" t="str">
            <v xml:space="preserve">NFT-/XUTR/DEUTH02512224132X </v>
          </cell>
          <cell r="CK9278" t="str">
            <v>2025-05-02</v>
          </cell>
          <cell r="CL9278">
            <v>19565.788</v>
          </cell>
          <cell r="CM9278" t="str">
            <v xml:space="preserve">NFT-/XUTR/DEUTH02512248948X </v>
          </cell>
          <cell r="CN9278" t="str">
            <v>2025-05-02</v>
          </cell>
          <cell r="CO9278">
            <v>1479.152</v>
          </cell>
        </row>
        <row r="9279">
          <cell r="CJ9279" t="str">
            <v xml:space="preserve">NFT-/XUTR/DEUTH02512224132X </v>
          </cell>
          <cell r="CK9279" t="str">
            <v>2025-05-02</v>
          </cell>
          <cell r="CL9279">
            <v>19546.907999999999</v>
          </cell>
          <cell r="CM9279" t="str">
            <v xml:space="preserve">NFT-/XUTR/DEUTH02512248948X </v>
          </cell>
          <cell r="CN9279" t="str">
            <v>2025-05-02</v>
          </cell>
          <cell r="CO9279">
            <v>1479.152</v>
          </cell>
        </row>
        <row r="9280">
          <cell r="CJ9280" t="str">
            <v xml:space="preserve">NFT-/XUTR/DEUTH02512224132X </v>
          </cell>
          <cell r="CK9280" t="str">
            <v>2025-05-02</v>
          </cell>
          <cell r="CL9280">
            <v>9823.6959999999999</v>
          </cell>
          <cell r="CM9280" t="str">
            <v xml:space="preserve">NFT-/XUTR/DEUTH02512248948X </v>
          </cell>
          <cell r="CN9280" t="str">
            <v>2025-05-02</v>
          </cell>
          <cell r="CO9280">
            <v>747.34400000000005</v>
          </cell>
        </row>
        <row r="9281">
          <cell r="CJ9281" t="str">
            <v xml:space="preserve">NFT-/XUTR/DEUTH02512224132X </v>
          </cell>
          <cell r="CK9281" t="str">
            <v>2025-05-02</v>
          </cell>
          <cell r="CL9281">
            <v>9779.0439999999999</v>
          </cell>
          <cell r="CM9281" t="str">
            <v xml:space="preserve">NFT-/XUTR/DEUTH02512248948X </v>
          </cell>
          <cell r="CN9281" t="str">
            <v>2025-05-02</v>
          </cell>
          <cell r="CO9281">
            <v>743.45799999999997</v>
          </cell>
        </row>
        <row r="9283">
          <cell r="CJ9283" t="str">
            <v xml:space="preserve">NFT-/XUTR/DEUTH02512224132X </v>
          </cell>
          <cell r="CK9283" t="str">
            <v>2025-05-02</v>
          </cell>
          <cell r="CL9283">
            <v>48258.898000000001</v>
          </cell>
          <cell r="CM9283" t="str">
            <v xml:space="preserve">NFT-/XUTR/DEUTH02512248948X </v>
          </cell>
          <cell r="CN9283" t="str">
            <v>2025-05-02</v>
          </cell>
          <cell r="CO9283">
            <v>3780.39</v>
          </cell>
        </row>
        <row r="9284">
          <cell r="CJ9284" t="str">
            <v xml:space="preserve">NFT-/XUTR/DEUTH02512224132X </v>
          </cell>
          <cell r="CK9284" t="str">
            <v>2025-05-02</v>
          </cell>
          <cell r="CL9284">
            <v>19546.907999999999</v>
          </cell>
          <cell r="CM9284" t="str">
            <v xml:space="preserve">NFT-/XUTR/DEUTH02512248948X </v>
          </cell>
          <cell r="CN9284" t="str">
            <v>2025-05-02</v>
          </cell>
          <cell r="CO9284">
            <v>1479.152</v>
          </cell>
        </row>
        <row r="9285">
          <cell r="CJ9285" t="str">
            <v xml:space="preserve">NFT-/XUTR/DEUTH02512224132X </v>
          </cell>
          <cell r="CK9285" t="str">
            <v>2025-05-02</v>
          </cell>
          <cell r="CL9285">
            <v>9823.6959999999999</v>
          </cell>
          <cell r="CM9285" t="str">
            <v xml:space="preserve">NFT-/XUTR/DEUTH02512248948X </v>
          </cell>
          <cell r="CN9285" t="str">
            <v>2025-05-02</v>
          </cell>
          <cell r="CO9285">
            <v>747.34400000000005</v>
          </cell>
        </row>
        <row r="9286">
          <cell r="CJ9286" t="str">
            <v xml:space="preserve">NFT-/XUTR/DEUTH02512224132X </v>
          </cell>
          <cell r="CK9286" t="str">
            <v>2025-05-02</v>
          </cell>
          <cell r="CL9286">
            <v>9823.6959999999999</v>
          </cell>
          <cell r="CM9286" t="str">
            <v xml:space="preserve">NFT-/XUTR/DEUTH02512248948X </v>
          </cell>
          <cell r="CN9286" t="str">
            <v>2025-05-02</v>
          </cell>
          <cell r="CO9286">
            <v>747.34400000000005</v>
          </cell>
        </row>
        <row r="9287">
          <cell r="CJ9287" t="str">
            <v xml:space="preserve">NFT-/XUTR/DEUTH02512224132X </v>
          </cell>
          <cell r="CK9287" t="str">
            <v>2025-05-02</v>
          </cell>
          <cell r="CL9287">
            <v>49351.317000000003</v>
          </cell>
          <cell r="CM9287" t="str">
            <v xml:space="preserve">NFT-/XUTR/DEUTH02512248948X </v>
          </cell>
          <cell r="CN9287" t="str">
            <v>2025-05-02</v>
          </cell>
          <cell r="CO9287">
            <v>2911.7240000000002</v>
          </cell>
        </row>
        <row r="9288">
          <cell r="CJ9288" t="str">
            <v xml:space="preserve">NFT-/XUTR/DEUTH02512224132X </v>
          </cell>
          <cell r="CK9288" t="str">
            <v>2025-05-02</v>
          </cell>
          <cell r="CL9288">
            <v>19546.907999999999</v>
          </cell>
          <cell r="CM9288" t="str">
            <v xml:space="preserve">NFT-/XUTR/DEUTH02512248948X </v>
          </cell>
          <cell r="CN9288" t="str">
            <v>2025-05-02</v>
          </cell>
          <cell r="CO9288">
            <v>1479.152</v>
          </cell>
        </row>
        <row r="9289">
          <cell r="CJ9289" t="str">
            <v xml:space="preserve">NFT-/XUTR/DEUTH02512224132X </v>
          </cell>
          <cell r="CK9289" t="str">
            <v>2025-05-02</v>
          </cell>
          <cell r="CL9289">
            <v>39132.552000000003</v>
          </cell>
          <cell r="CM9289" t="str">
            <v xml:space="preserve">NFT-/XUTR/DEUTH02512248948X </v>
          </cell>
          <cell r="CN9289" t="str">
            <v>2025-05-02</v>
          </cell>
          <cell r="CO9289">
            <v>2956.366</v>
          </cell>
        </row>
        <row r="9290">
          <cell r="CJ9290" t="str">
            <v xml:space="preserve">NFT-/XUTR/DEUTH02512528773X </v>
          </cell>
          <cell r="CK9290" t="str">
            <v>2025-05-05</v>
          </cell>
          <cell r="CL9290">
            <v>2240.085</v>
          </cell>
          <cell r="CM9290" t="str">
            <v xml:space="preserve">AXISCN0971534111 </v>
          </cell>
          <cell r="CN9290" t="str">
            <v>2025-05-06</v>
          </cell>
          <cell r="CO9290">
            <v>18795.425999999999</v>
          </cell>
        </row>
        <row r="9291">
          <cell r="CJ9291" t="str">
            <v xml:space="preserve">NFT-/XUTR/DEUTH02512224132X </v>
          </cell>
          <cell r="CK9291" t="str">
            <v>2025-05-02</v>
          </cell>
          <cell r="CL9291">
            <v>19546.907999999999</v>
          </cell>
          <cell r="CM9291" t="str">
            <v xml:space="preserve">NFT-/XUTR/DEUTH02512248948X </v>
          </cell>
          <cell r="CN9291" t="str">
            <v>2025-05-02</v>
          </cell>
          <cell r="CO9291">
            <v>1479.152</v>
          </cell>
        </row>
        <row r="9292">
          <cell r="CJ9292" t="str">
            <v xml:space="preserve">NFT-/XUTR/DEUTH02512224132X </v>
          </cell>
          <cell r="CK9292" t="str">
            <v>2025-05-02</v>
          </cell>
          <cell r="CL9292">
            <v>58679.470999999998</v>
          </cell>
          <cell r="CM9292" t="str">
            <v xml:space="preserve">NFT-/XUTR/DEUTH02512248948X </v>
          </cell>
          <cell r="CN9292" t="str">
            <v>2025-05-02</v>
          </cell>
          <cell r="CO9292">
            <v>4434.5540000000001</v>
          </cell>
        </row>
        <row r="9293">
          <cell r="CJ9293" t="str">
            <v xml:space="preserve">NFT-/XUTR/DEUTH02512528773X </v>
          </cell>
          <cell r="CK9293" t="str">
            <v>2025-05-05</v>
          </cell>
          <cell r="CL9293">
            <v>1479.152</v>
          </cell>
          <cell r="CM9293" t="str">
            <v xml:space="preserve">AXISCN0971534111 </v>
          </cell>
          <cell r="CN9293" t="str">
            <v>2025-05-06</v>
          </cell>
          <cell r="CO9293">
            <v>19546.907999999999</v>
          </cell>
        </row>
        <row r="9294">
          <cell r="CJ9294" t="str">
            <v xml:space="preserve">NFT-/XUTR/DEUTH02512224132X </v>
          </cell>
          <cell r="CK9294" t="str">
            <v>2025-05-02</v>
          </cell>
          <cell r="CL9294">
            <v>148091.72099999999</v>
          </cell>
          <cell r="CM9294" t="str">
            <v xml:space="preserve">NFT-/XUTR/DEUTH02512248948X </v>
          </cell>
          <cell r="CN9294" t="str">
            <v>2025-05-02</v>
          </cell>
          <cell r="CO9294">
            <v>8735.1720000000005</v>
          </cell>
        </row>
        <row r="9295">
          <cell r="CJ9295" t="str">
            <v xml:space="preserve">NFT-/XUTR/DEUTH02512224132X </v>
          </cell>
          <cell r="CK9295" t="str">
            <v>2025-05-02</v>
          </cell>
          <cell r="CL9295">
            <v>9797.9240000000009</v>
          </cell>
          <cell r="CM9295" t="str">
            <v xml:space="preserve">NFT-/XUTR/DEUTH02512248948X </v>
          </cell>
          <cell r="CN9295" t="str">
            <v>2025-05-02</v>
          </cell>
          <cell r="CO9295">
            <v>743.45799999999997</v>
          </cell>
        </row>
        <row r="9296">
          <cell r="CJ9296" t="str">
            <v xml:space="preserve">NFT-/XUTR/DEUTH02512224132X </v>
          </cell>
          <cell r="CK9296" t="str">
            <v>2025-05-02</v>
          </cell>
          <cell r="CL9296">
            <v>49127.553999999996</v>
          </cell>
          <cell r="CM9296" t="str">
            <v xml:space="preserve">NFT-/XUTR/DEUTH02512248948X </v>
          </cell>
          <cell r="CN9296" t="str">
            <v>2025-05-02</v>
          </cell>
          <cell r="CO9296">
            <v>2911.7240000000002</v>
          </cell>
        </row>
        <row r="9297">
          <cell r="CJ9297" t="str">
            <v xml:space="preserve">NFT-/XUTR/DEUTH02512224132X </v>
          </cell>
          <cell r="CK9297" t="str">
            <v>2025-05-02</v>
          </cell>
          <cell r="CL9297">
            <v>9779.0439999999999</v>
          </cell>
          <cell r="CM9297" t="str">
            <v xml:space="preserve">NFT-/XUTR/DEUTH02512248948X </v>
          </cell>
          <cell r="CN9297" t="str">
            <v>2025-05-02</v>
          </cell>
          <cell r="CO9297">
            <v>743.45799999999997</v>
          </cell>
        </row>
        <row r="9298">
          <cell r="CJ9298" t="str">
            <v xml:space="preserve">NFT-/XUTR/DEUTH02512224132X </v>
          </cell>
          <cell r="CK9298" t="str">
            <v>2025-05-02</v>
          </cell>
          <cell r="CL9298">
            <v>19475.53</v>
          </cell>
          <cell r="CM9298" t="str">
            <v xml:space="preserve">NFT-/XUTR/DEUTH02512248948X </v>
          </cell>
          <cell r="CN9298" t="str">
            <v>2025-05-02</v>
          </cell>
          <cell r="CO9298">
            <v>1472.3630000000001</v>
          </cell>
        </row>
        <row r="9299">
          <cell r="CJ9299" t="str">
            <v xml:space="preserve">NFT-/XUTR/DEUTH02512224132X </v>
          </cell>
          <cell r="CK9299" t="str">
            <v>2025-05-02</v>
          </cell>
          <cell r="CL9299">
            <v>49108.673999999999</v>
          </cell>
          <cell r="CM9299" t="str">
            <v xml:space="preserve">NFT-/XUTR/DEUTH02512248948X </v>
          </cell>
          <cell r="CN9299" t="str">
            <v>2025-05-02</v>
          </cell>
          <cell r="CO9299">
            <v>2911.7240000000002</v>
          </cell>
        </row>
        <row r="9300">
          <cell r="CJ9300" t="str">
            <v xml:space="preserve">NFT-/XUTR/DEUTH02512224132X </v>
          </cell>
          <cell r="CK9300" t="str">
            <v>2025-05-02</v>
          </cell>
          <cell r="CL9300">
            <v>19546.907999999999</v>
          </cell>
          <cell r="CM9300" t="str">
            <v xml:space="preserve">NFT-/XUTR/DEUTH02512248948X </v>
          </cell>
          <cell r="CN9300" t="str">
            <v>2025-05-02</v>
          </cell>
          <cell r="CO9300">
            <v>1479.152</v>
          </cell>
        </row>
        <row r="9301">
          <cell r="CJ9301" t="str">
            <v xml:space="preserve">NFT-/XUTR/DEUTH02512224132X </v>
          </cell>
          <cell r="CK9301" t="str">
            <v>2025-05-02</v>
          </cell>
          <cell r="CL9301">
            <v>29510.786</v>
          </cell>
          <cell r="CM9301" t="str">
            <v xml:space="preserve">NFT-/XUTR/DEUTH02512248948X </v>
          </cell>
          <cell r="CN9301" t="str">
            <v>2025-05-02</v>
          </cell>
          <cell r="CO9301">
            <v>2239.12</v>
          </cell>
        </row>
        <row r="9302">
          <cell r="CJ9302" t="str">
            <v xml:space="preserve">NFT-/XUTR/DEUTH02512528773X </v>
          </cell>
          <cell r="CK9302" t="str">
            <v>2025-05-05</v>
          </cell>
          <cell r="CL9302">
            <v>1479.152</v>
          </cell>
          <cell r="CM9302" t="str">
            <v xml:space="preserve">AXISCN0971534111 </v>
          </cell>
          <cell r="CN9302" t="str">
            <v>2025-05-06</v>
          </cell>
          <cell r="CO9302">
            <v>19546.907999999999</v>
          </cell>
        </row>
        <row r="9303">
          <cell r="CJ9303" t="str">
            <v xml:space="preserve">NFT-/XUTR/DEUTH02512224132X </v>
          </cell>
          <cell r="CK9303" t="str">
            <v>2025-05-02</v>
          </cell>
          <cell r="CL9303">
            <v>29510.786</v>
          </cell>
          <cell r="CM9303" t="str">
            <v xml:space="preserve">NFT-/XUTR/DEUTH02512248948X </v>
          </cell>
          <cell r="CN9303" t="str">
            <v>2025-05-02</v>
          </cell>
          <cell r="CO9303">
            <v>2239.12</v>
          </cell>
        </row>
        <row r="9304">
          <cell r="CJ9304" t="str">
            <v xml:space="preserve">NFT-/XUTR/DEUTH02512224132X </v>
          </cell>
          <cell r="CK9304" t="str">
            <v>2025-05-02</v>
          </cell>
          <cell r="CL9304">
            <v>10997.123</v>
          </cell>
          <cell r="CM9304" t="str">
            <v xml:space="preserve">NFT-/XUTR/DEUTH02512248948X </v>
          </cell>
          <cell r="CN9304" t="str">
            <v>2025-05-02</v>
          </cell>
          <cell r="CO9304">
            <v>835.66399999999999</v>
          </cell>
        </row>
        <row r="9305">
          <cell r="CJ9305" t="str">
            <v xml:space="preserve">NFT-/XUTR/DEUTH02512224132X </v>
          </cell>
          <cell r="CK9305" t="str">
            <v>2025-05-02</v>
          </cell>
          <cell r="CL9305">
            <v>10571.04</v>
          </cell>
        </row>
        <row r="9306">
          <cell r="CJ9306" t="str">
            <v xml:space="preserve">NFT-/XUTR/DEUTH02512528773X </v>
          </cell>
          <cell r="CK9306" t="str">
            <v>2025-05-05</v>
          </cell>
          <cell r="CL9306">
            <v>1824.6780000000001</v>
          </cell>
          <cell r="CM9306" t="str">
            <v xml:space="preserve">AXISCN0971534111 </v>
          </cell>
          <cell r="CN9306" t="str">
            <v>2025-05-06</v>
          </cell>
          <cell r="CO9306">
            <v>19201.382000000001</v>
          </cell>
        </row>
        <row r="9307">
          <cell r="CJ9307" t="str">
            <v xml:space="preserve">NFT-/XUTR/DEUTH02512224132X </v>
          </cell>
          <cell r="CK9307" t="str">
            <v>2025-05-02</v>
          </cell>
          <cell r="CL9307">
            <v>49370.197</v>
          </cell>
          <cell r="CM9307" t="str">
            <v xml:space="preserve">NFT-/XUTR/DEUTH02512248948X </v>
          </cell>
          <cell r="CN9307" t="str">
            <v>2025-05-02</v>
          </cell>
          <cell r="CO9307">
            <v>2911.7240000000002</v>
          </cell>
        </row>
        <row r="9308">
          <cell r="CJ9308" t="str">
            <v xml:space="preserve">NFT-/XUTR/DEUTH02512528773X </v>
          </cell>
          <cell r="CK9308" t="str">
            <v>2025-05-05</v>
          </cell>
          <cell r="CL9308">
            <v>1479.152</v>
          </cell>
          <cell r="CM9308" t="str">
            <v xml:space="preserve">AXISCN0971534111 </v>
          </cell>
          <cell r="CN9308" t="str">
            <v>2025-05-06</v>
          </cell>
          <cell r="CO9308">
            <v>19565.789000000001</v>
          </cell>
        </row>
        <row r="9309">
          <cell r="CJ9309" t="str">
            <v xml:space="preserve">NFT-/XUTR/DEUTH02512224132X </v>
          </cell>
          <cell r="CK9309" t="str">
            <v>2025-05-02</v>
          </cell>
          <cell r="CL9309">
            <v>49370.197</v>
          </cell>
          <cell r="CM9309" t="str">
            <v xml:space="preserve">NFT-/XUTR/DEUTH02512248948X </v>
          </cell>
          <cell r="CN9309" t="str">
            <v>2025-05-02</v>
          </cell>
          <cell r="CO9309">
            <v>2911.7240000000002</v>
          </cell>
        </row>
        <row r="9310">
          <cell r="CJ9310" t="str">
            <v xml:space="preserve">NFT-/XUTR/DEUTH02512224132X </v>
          </cell>
          <cell r="CK9310" t="str">
            <v>2025-05-02</v>
          </cell>
          <cell r="CL9310">
            <v>48399.623</v>
          </cell>
          <cell r="CM9310" t="str">
            <v xml:space="preserve">NFT-/XUTR/DEUTH02512248948X </v>
          </cell>
          <cell r="CN9310" t="str">
            <v>2025-05-02</v>
          </cell>
          <cell r="CO9310">
            <v>3882.2979999999998</v>
          </cell>
        </row>
        <row r="9311">
          <cell r="CJ9311" t="str">
            <v xml:space="preserve">NFT-/XUTR/DEUTH02512224132X </v>
          </cell>
          <cell r="CK9311" t="str">
            <v>2025-05-02</v>
          </cell>
          <cell r="CL9311">
            <v>29393.781999999999</v>
          </cell>
          <cell r="CM9311" t="str">
            <v xml:space="preserve">NFT-/XUTR/DEUTH02512248948X </v>
          </cell>
          <cell r="CN9311" t="str">
            <v>2025-05-02</v>
          </cell>
          <cell r="CO9311">
            <v>2230.384</v>
          </cell>
        </row>
        <row r="9312">
          <cell r="CJ9312" t="str">
            <v xml:space="preserve">NFT-/XUTR/DEUTH02512224132X </v>
          </cell>
          <cell r="CK9312" t="str">
            <v>2025-05-02</v>
          </cell>
          <cell r="CL9312">
            <v>49108.673999999999</v>
          </cell>
          <cell r="CM9312" t="str">
            <v xml:space="preserve">NFT-/XUTR/DEUTH02512248948X </v>
          </cell>
          <cell r="CN9312" t="str">
            <v>2025-05-02</v>
          </cell>
          <cell r="CO9312">
            <v>2911.7240000000002</v>
          </cell>
        </row>
        <row r="9313">
          <cell r="CJ9313" t="str">
            <v xml:space="preserve">NFT-/XUTR/DEUTH02512224132X </v>
          </cell>
          <cell r="CK9313" t="str">
            <v>2025-05-02</v>
          </cell>
          <cell r="CL9313">
            <v>49127.553999999996</v>
          </cell>
          <cell r="CM9313" t="str">
            <v xml:space="preserve">NFT-/XUTR/DEUTH02512248948X </v>
          </cell>
          <cell r="CN9313" t="str">
            <v>2025-05-02</v>
          </cell>
          <cell r="CO9313">
            <v>2911.7240000000002</v>
          </cell>
        </row>
        <row r="9314">
          <cell r="CJ9314" t="str">
            <v xml:space="preserve">NFT-/XUTR/DEUTH02512224132X </v>
          </cell>
          <cell r="CK9314" t="str">
            <v>2025-05-02</v>
          </cell>
          <cell r="CL9314">
            <v>29374.901999999998</v>
          </cell>
          <cell r="CM9314" t="str">
            <v xml:space="preserve">NFT-/XUTR/DEUTH02512248948X </v>
          </cell>
          <cell r="CN9314" t="str">
            <v>2025-05-02</v>
          </cell>
          <cell r="CO9314">
            <v>2230.384</v>
          </cell>
        </row>
        <row r="9316">
          <cell r="CJ9316" t="str">
            <v xml:space="preserve">NFT-/XUTR/DEUTH02512224132X </v>
          </cell>
          <cell r="CK9316" t="str">
            <v>2025-05-02</v>
          </cell>
          <cell r="CL9316">
            <v>19546.907999999999</v>
          </cell>
          <cell r="CM9316" t="str">
            <v xml:space="preserve">NFT-/XUTR/DEUTH02512248948X </v>
          </cell>
          <cell r="CN9316" t="str">
            <v>2025-05-02</v>
          </cell>
          <cell r="CO9316">
            <v>1479.152</v>
          </cell>
        </row>
        <row r="9317">
          <cell r="CJ9317" t="str">
            <v xml:space="preserve">NFT-/XUTR/DEUTH02512224132X </v>
          </cell>
          <cell r="CK9317" t="str">
            <v>2025-05-02</v>
          </cell>
          <cell r="CL9317">
            <v>49370.197</v>
          </cell>
          <cell r="CM9317" t="str">
            <v xml:space="preserve">NFT-/XUTR/DEUTH02512248948X </v>
          </cell>
          <cell r="CN9317" t="str">
            <v>2025-05-02</v>
          </cell>
          <cell r="CO9317">
            <v>2911.7240000000002</v>
          </cell>
        </row>
        <row r="9318">
          <cell r="CJ9318" t="str">
            <v xml:space="preserve">NFT-/XUTR/DEUTH02512528773X </v>
          </cell>
          <cell r="CK9318" t="str">
            <v>2025-05-05</v>
          </cell>
          <cell r="CL9318">
            <v>1479.152</v>
          </cell>
          <cell r="CM9318" t="str">
            <v xml:space="preserve">AXISCN0971534111 </v>
          </cell>
          <cell r="CN9318" t="str">
            <v>2025-05-06</v>
          </cell>
          <cell r="CO9318">
            <v>19565.788</v>
          </cell>
        </row>
        <row r="9319">
          <cell r="CJ9319" t="str">
            <v xml:space="preserve">NFT-/XUTR/DEUTH02512224132X </v>
          </cell>
          <cell r="CK9319" t="str">
            <v>2025-05-02</v>
          </cell>
          <cell r="CL9319">
            <v>9779.0439999999999</v>
          </cell>
          <cell r="CM9319" t="str">
            <v xml:space="preserve">NFT-/XUTR/DEUTH02512248948X </v>
          </cell>
          <cell r="CN9319" t="str">
            <v>2025-05-02</v>
          </cell>
          <cell r="CO9319">
            <v>743.45799999999997</v>
          </cell>
        </row>
        <row r="9320">
          <cell r="CJ9320" t="str">
            <v xml:space="preserve">NFT-/XUTR/DEUTH02512224132X </v>
          </cell>
          <cell r="CK9320" t="str">
            <v>2025-05-02</v>
          </cell>
          <cell r="CL9320">
            <v>29510.786</v>
          </cell>
          <cell r="CM9320" t="str">
            <v xml:space="preserve">NFT-/XUTR/DEUTH02512248948X </v>
          </cell>
          <cell r="CN9320" t="str">
            <v>2025-05-02</v>
          </cell>
          <cell r="CO9320">
            <v>2239.12</v>
          </cell>
        </row>
        <row r="9322">
          <cell r="CJ9322" t="str">
            <v xml:space="preserve">NFT-/XUTR/DEUTH02512224132X </v>
          </cell>
          <cell r="CK9322" t="str">
            <v>2025-05-02</v>
          </cell>
          <cell r="CL9322">
            <v>49351.317000000003</v>
          </cell>
          <cell r="CM9322" t="str">
            <v xml:space="preserve">NFT-/XUTR/DEUTH02512248948X </v>
          </cell>
          <cell r="CN9322" t="str">
            <v>2025-05-02</v>
          </cell>
          <cell r="CO9322">
            <v>2911.7240000000002</v>
          </cell>
        </row>
        <row r="9323">
          <cell r="CJ9323" t="str">
            <v xml:space="preserve">NFT-/XUTR/DEUTH02512224132X </v>
          </cell>
          <cell r="CK9323" t="str">
            <v>2025-05-02</v>
          </cell>
          <cell r="CL9323">
            <v>9823.6959999999999</v>
          </cell>
          <cell r="CM9323" t="str">
            <v xml:space="preserve">NFT-/XUTR/DEUTH02512248948X </v>
          </cell>
          <cell r="CN9323" t="str">
            <v>2025-05-02</v>
          </cell>
          <cell r="CO9323">
            <v>747.34400000000005</v>
          </cell>
        </row>
        <row r="9324">
          <cell r="CJ9324" t="str">
            <v xml:space="preserve">NFT-/XUTR/DEUTH02512224132X </v>
          </cell>
          <cell r="CK9324" t="str">
            <v>2025-05-02</v>
          </cell>
          <cell r="CL9324">
            <v>9823.6959999999999</v>
          </cell>
          <cell r="CM9324" t="str">
            <v xml:space="preserve">NFT-/XUTR/DEUTH02512248948X </v>
          </cell>
          <cell r="CN9324" t="str">
            <v>2025-05-02</v>
          </cell>
          <cell r="CO9324">
            <v>747.34400000000005</v>
          </cell>
        </row>
        <row r="9325">
          <cell r="CJ9325" t="str">
            <v xml:space="preserve">NFT-/XUTR/DEUTH02512528773X </v>
          </cell>
          <cell r="CK9325" t="str">
            <v>2025-05-05</v>
          </cell>
          <cell r="CL9325">
            <v>1721.7950000000001</v>
          </cell>
          <cell r="CM9325" t="str">
            <v xml:space="preserve">AXISCN0971534111 </v>
          </cell>
          <cell r="CN9325" t="str">
            <v>2025-05-06</v>
          </cell>
          <cell r="CO9325">
            <v>19304.264999999999</v>
          </cell>
        </row>
        <row r="9326">
          <cell r="CJ9326" t="str">
            <v xml:space="preserve">NFT-/XUTR/DEUTH02512224132X </v>
          </cell>
          <cell r="CK9326" t="str">
            <v>2025-05-02</v>
          </cell>
          <cell r="CL9326">
            <v>9809.1329999999998</v>
          </cell>
          <cell r="CM9326" t="str">
            <v xml:space="preserve">NFT-/XUTR/DEUTH02512248948X </v>
          </cell>
          <cell r="CN9326" t="str">
            <v>2025-05-02</v>
          </cell>
          <cell r="CO9326">
            <v>761.89599999999996</v>
          </cell>
        </row>
        <row r="9327">
          <cell r="CJ9327" t="str">
            <v xml:space="preserve">NFT-/XUTR/DEUTH02512528773X </v>
          </cell>
          <cell r="CK9327" t="str">
            <v>2025-05-05</v>
          </cell>
          <cell r="CL9327">
            <v>1479.152</v>
          </cell>
          <cell r="CM9327" t="str">
            <v xml:space="preserve">AXISCN0971534111 </v>
          </cell>
          <cell r="CN9327" t="str">
            <v>2025-05-06</v>
          </cell>
          <cell r="CO9327">
            <v>19565.788</v>
          </cell>
        </row>
        <row r="9328">
          <cell r="CJ9328" t="str">
            <v xml:space="preserve">NFT-/XUTR/DEUTH02512224132X </v>
          </cell>
          <cell r="CK9328" t="str">
            <v>2025-05-02</v>
          </cell>
          <cell r="CL9328">
            <v>49127.553999999996</v>
          </cell>
          <cell r="CM9328" t="str">
            <v xml:space="preserve">NFT-/XUTR/DEUTH02512248948X </v>
          </cell>
          <cell r="CN9328" t="str">
            <v>2025-05-02</v>
          </cell>
          <cell r="CO9328">
            <v>2911.7240000000002</v>
          </cell>
        </row>
        <row r="9329">
          <cell r="CJ9329" t="str">
            <v xml:space="preserve">NFT-/XUTR/DEUTH02512224132X </v>
          </cell>
          <cell r="CK9329" t="str">
            <v>2025-05-02</v>
          </cell>
          <cell r="CL9329">
            <v>9528.6370000000006</v>
          </cell>
          <cell r="CM9329" t="str">
            <v xml:space="preserve">NFT-/XUTR/DEUTH02512248948X </v>
          </cell>
          <cell r="CN9329" t="str">
            <v>2025-05-02</v>
          </cell>
          <cell r="CO9329">
            <v>993.86599999999999</v>
          </cell>
        </row>
        <row r="9330">
          <cell r="CJ9330" t="str">
            <v xml:space="preserve">NFT-/XUTR/DEUTH02512224132X </v>
          </cell>
          <cell r="CK9330" t="str">
            <v>2025-05-02</v>
          </cell>
          <cell r="CL9330">
            <v>9779.0439999999999</v>
          </cell>
          <cell r="CM9330" t="str">
            <v xml:space="preserve">NFT-/XUTR/DEUTH02512248948X </v>
          </cell>
          <cell r="CN9330" t="str">
            <v>2025-05-02</v>
          </cell>
          <cell r="CO9330">
            <v>743.45799999999997</v>
          </cell>
        </row>
        <row r="9331">
          <cell r="CJ9331" t="str">
            <v xml:space="preserve">NFT-/XUTR/DEUTH02512224132X </v>
          </cell>
          <cell r="CK9331" t="str">
            <v>2025-05-02</v>
          </cell>
          <cell r="CL9331">
            <v>49370.197999999997</v>
          </cell>
          <cell r="CM9331" t="str">
            <v xml:space="preserve">NFT-/XUTR/DEUTH02512248948X </v>
          </cell>
          <cell r="CN9331" t="str">
            <v>2025-05-02</v>
          </cell>
          <cell r="CO9331">
            <v>2911.723</v>
          </cell>
        </row>
        <row r="9332">
          <cell r="CJ9332" t="str">
            <v xml:space="preserve">NFT-/XUTR/DEUTH02512224132X </v>
          </cell>
          <cell r="CK9332" t="str">
            <v>2025-05-02</v>
          </cell>
          <cell r="CL9332">
            <v>29510.786</v>
          </cell>
          <cell r="CM9332" t="str">
            <v xml:space="preserve">NFT-/XUTR/DEUTH02512248948X </v>
          </cell>
          <cell r="CN9332" t="str">
            <v>2025-05-02</v>
          </cell>
          <cell r="CO9332">
            <v>2239.12</v>
          </cell>
        </row>
        <row r="9334">
          <cell r="CJ9334" t="str">
            <v xml:space="preserve">NFT-/XUTR/DEUTH02512528773X </v>
          </cell>
          <cell r="CK9334" t="str">
            <v>2025-05-05</v>
          </cell>
          <cell r="CL9334">
            <v>1479.152</v>
          </cell>
          <cell r="CM9334" t="str">
            <v xml:space="preserve">AXISCN0971534111 </v>
          </cell>
          <cell r="CN9334" t="str">
            <v>2025-05-06</v>
          </cell>
          <cell r="CO9334">
            <v>19565.789000000001</v>
          </cell>
        </row>
        <row r="9335">
          <cell r="CJ9335" t="str">
            <v xml:space="preserve">NFT-/XUTR/DEUTH02512224132X </v>
          </cell>
          <cell r="CK9335" t="str">
            <v>2025-05-02</v>
          </cell>
          <cell r="CL9335">
            <v>9797.9240000000009</v>
          </cell>
          <cell r="CM9335" t="str">
            <v xml:space="preserve">NFT-/XUTR/DEUTH02512248948X </v>
          </cell>
          <cell r="CN9335" t="str">
            <v>2025-05-02</v>
          </cell>
          <cell r="CO9335">
            <v>743.45799999999997</v>
          </cell>
        </row>
        <row r="9336">
          <cell r="CJ9336" t="str">
            <v xml:space="preserve">NFT-/XUTR/DEUTH02512224132X </v>
          </cell>
          <cell r="CK9336" t="str">
            <v>2025-05-02</v>
          </cell>
          <cell r="CL9336">
            <v>9823.6959999999999</v>
          </cell>
          <cell r="CM9336" t="str">
            <v xml:space="preserve">NFT-/XUTR/DEUTH02512248948X </v>
          </cell>
          <cell r="CN9336" t="str">
            <v>2025-05-02</v>
          </cell>
          <cell r="CO9336">
            <v>747.34400000000005</v>
          </cell>
        </row>
        <row r="9337">
          <cell r="CJ9337" t="str">
            <v xml:space="preserve">NFT-/XUTR/DEUTH02512224132X </v>
          </cell>
          <cell r="CK9337" t="str">
            <v>2025-05-02</v>
          </cell>
          <cell r="CL9337">
            <v>19546.907999999999</v>
          </cell>
          <cell r="CM9337" t="str">
            <v xml:space="preserve">NFT-/XUTR/DEUTH02512248948X </v>
          </cell>
          <cell r="CN9337" t="str">
            <v>2025-05-02</v>
          </cell>
          <cell r="CO9337">
            <v>1479.152</v>
          </cell>
        </row>
        <row r="9338">
          <cell r="CJ9338" t="str">
            <v xml:space="preserve">NFT-/XUTR/DEUTH02512528773X </v>
          </cell>
          <cell r="CK9338" t="str">
            <v>2025-05-05</v>
          </cell>
          <cell r="CL9338">
            <v>4434.5540000000001</v>
          </cell>
          <cell r="CM9338" t="str">
            <v xml:space="preserve">AXISCN0971534111 </v>
          </cell>
          <cell r="CN9338" t="str">
            <v>2025-05-06</v>
          </cell>
          <cell r="CO9338">
            <v>58679.470999999998</v>
          </cell>
        </row>
        <row r="9340">
          <cell r="CJ9340" t="str">
            <v xml:space="preserve">NFT-/XUTR/DEUTH02512528773X </v>
          </cell>
          <cell r="CK9340" t="str">
            <v>2025-05-05</v>
          </cell>
          <cell r="CL9340">
            <v>1479.152</v>
          </cell>
          <cell r="CM9340" t="str">
            <v xml:space="preserve">AXISCN0971534111 </v>
          </cell>
          <cell r="CN9340" t="str">
            <v>2025-05-06</v>
          </cell>
          <cell r="CO9340">
            <v>19546.907999999999</v>
          </cell>
        </row>
        <row r="9341">
          <cell r="CJ9341" t="str">
            <v xml:space="preserve">NFT-/XUTR/DEUTH02512224132X </v>
          </cell>
          <cell r="CK9341" t="str">
            <v>2025-05-02</v>
          </cell>
          <cell r="CL9341">
            <v>9414.5560000000005</v>
          </cell>
          <cell r="CM9341" t="str">
            <v xml:space="preserve">NFT-/XUTR/DEUTH02512248948X </v>
          </cell>
          <cell r="CN9341" t="str">
            <v>2025-05-02</v>
          </cell>
          <cell r="CO9341">
            <v>1175.366</v>
          </cell>
        </row>
        <row r="9342">
          <cell r="CJ9342" t="str">
            <v xml:space="preserve">NFT-/XUTR/DEUTH02512224132X </v>
          </cell>
          <cell r="CK9342" t="str">
            <v>2025-05-02</v>
          </cell>
          <cell r="CL9342">
            <v>29393.781999999999</v>
          </cell>
          <cell r="CM9342" t="str">
            <v xml:space="preserve">NFT-/XUTR/DEUTH02512248948X </v>
          </cell>
          <cell r="CN9342" t="str">
            <v>2025-05-02</v>
          </cell>
          <cell r="CO9342">
            <v>2230.384</v>
          </cell>
        </row>
        <row r="9343">
          <cell r="CJ9343" t="str">
            <v xml:space="preserve">NFT-/XUTR/DEUTH02512224132X </v>
          </cell>
          <cell r="CK9343" t="str">
            <v>2025-05-02</v>
          </cell>
          <cell r="CL9343">
            <v>49108.673999999999</v>
          </cell>
          <cell r="CM9343" t="str">
            <v xml:space="preserve">NFT-/XUTR/DEUTH02512248948X </v>
          </cell>
          <cell r="CN9343" t="str">
            <v>2025-05-02</v>
          </cell>
          <cell r="CO9343">
            <v>2911.7240000000002</v>
          </cell>
        </row>
        <row r="9344">
          <cell r="CJ9344" t="str">
            <v xml:space="preserve">NFT-/XUTR/DEUTH02512224132X </v>
          </cell>
          <cell r="CK9344" t="str">
            <v>2025-05-02</v>
          </cell>
          <cell r="CL9344">
            <v>9492.7330000000002</v>
          </cell>
          <cell r="CM9344" t="str">
            <v xml:space="preserve">NFT-/XUTR/DEUTH02512248948X </v>
          </cell>
          <cell r="CN9344" t="str">
            <v>2025-05-02</v>
          </cell>
          <cell r="CO9344">
            <v>1029.78</v>
          </cell>
        </row>
        <row r="9345">
          <cell r="CJ9345" t="str">
            <v xml:space="preserve">NFT-/XUTR/DEUTH02512224132X </v>
          </cell>
          <cell r="CK9345" t="str">
            <v>2025-05-02</v>
          </cell>
          <cell r="CL9345">
            <v>19546.907999999999</v>
          </cell>
          <cell r="CM9345" t="str">
            <v xml:space="preserve">NFT-/XUTR/DEUTH02512248948X </v>
          </cell>
          <cell r="CN9345" t="str">
            <v>2025-05-02</v>
          </cell>
          <cell r="CO9345">
            <v>1479.152</v>
          </cell>
        </row>
        <row r="9346">
          <cell r="CJ9346" t="str">
            <v xml:space="preserve">NFT-/XUTR/DEUTH02512224132X </v>
          </cell>
          <cell r="CK9346" t="str">
            <v>2025-05-02</v>
          </cell>
          <cell r="CL9346">
            <v>39113.671999999999</v>
          </cell>
          <cell r="CM9346" t="str">
            <v xml:space="preserve">NFT-/XUTR/DEUTH02512248948X </v>
          </cell>
          <cell r="CN9346" t="str">
            <v>2025-05-02</v>
          </cell>
          <cell r="CO9346">
            <v>2958.3139999999999</v>
          </cell>
        </row>
        <row r="9347">
          <cell r="CJ9347" t="str">
            <v xml:space="preserve">NFT-/XUTR/DEUTH02512224132X </v>
          </cell>
          <cell r="CK9347" t="str">
            <v>2025-05-02</v>
          </cell>
          <cell r="CL9347">
            <v>6038.4539999999997</v>
          </cell>
        </row>
        <row r="9348">
          <cell r="CJ9348" t="str">
            <v xml:space="preserve">NFT-/XUTR/DEUTH02512528773X </v>
          </cell>
          <cell r="CK9348" t="str">
            <v>2025-05-05</v>
          </cell>
          <cell r="CL9348">
            <v>1527.68</v>
          </cell>
          <cell r="CM9348" t="str">
            <v xml:space="preserve">AXISCN0971534111 </v>
          </cell>
          <cell r="CN9348" t="str">
            <v>2025-05-06</v>
          </cell>
          <cell r="CO9348">
            <v>19498.38</v>
          </cell>
        </row>
        <row r="9349">
          <cell r="CJ9349" t="str">
            <v xml:space="preserve">NFT-/XUTR/DEUTH02512224132X </v>
          </cell>
          <cell r="CK9349" t="str">
            <v>2025-05-02</v>
          </cell>
          <cell r="CL9349">
            <v>39132.552000000003</v>
          </cell>
          <cell r="CM9349" t="str">
            <v xml:space="preserve">NFT-/XUTR/DEUTH02512248948X </v>
          </cell>
          <cell r="CN9349" t="str">
            <v>2025-05-02</v>
          </cell>
          <cell r="CO9349">
            <v>2956.366</v>
          </cell>
        </row>
        <row r="9350">
          <cell r="CJ9350" t="str">
            <v xml:space="preserve">NFT-/XUTR/DEUTH02512224132X </v>
          </cell>
          <cell r="CK9350" t="str">
            <v>2025-05-02</v>
          </cell>
          <cell r="CL9350">
            <v>39113.671999999999</v>
          </cell>
          <cell r="CM9350" t="str">
            <v xml:space="preserve">NFT-/XUTR/DEUTH02512248948X </v>
          </cell>
          <cell r="CN9350" t="str">
            <v>2025-05-02</v>
          </cell>
          <cell r="CO9350">
            <v>2958.3139999999999</v>
          </cell>
        </row>
        <row r="9351">
          <cell r="CJ9351" t="str">
            <v xml:space="preserve">NFT-/XUTR/DEUTH02512224132X </v>
          </cell>
          <cell r="CK9351" t="str">
            <v>2025-05-02</v>
          </cell>
          <cell r="CL9351">
            <v>49351.317000000003</v>
          </cell>
          <cell r="CM9351" t="str">
            <v xml:space="preserve">NFT-/XUTR/DEUTH02512248948X </v>
          </cell>
          <cell r="CN9351" t="str">
            <v>2025-05-02</v>
          </cell>
          <cell r="CO9351">
            <v>2911.7240000000002</v>
          </cell>
        </row>
        <row r="9352">
          <cell r="CJ9352" t="str">
            <v xml:space="preserve">NFT-/XUTR/DEUTH02512224132X </v>
          </cell>
          <cell r="CK9352" t="str">
            <v>2025-05-02</v>
          </cell>
          <cell r="CL9352">
            <v>19565.788</v>
          </cell>
          <cell r="CM9352" t="str">
            <v xml:space="preserve">NFT-/XUTR/DEUTH02512248948X </v>
          </cell>
          <cell r="CN9352" t="str">
            <v>2025-05-02</v>
          </cell>
          <cell r="CO9352">
            <v>1479.152</v>
          </cell>
        </row>
        <row r="9353">
          <cell r="CJ9353" t="str">
            <v xml:space="preserve">NFT-/XUTR/DEUTH02512224132X </v>
          </cell>
          <cell r="CK9353" t="str">
            <v>2025-05-02</v>
          </cell>
          <cell r="CL9353">
            <v>3068.91</v>
          </cell>
        </row>
        <row r="9354">
          <cell r="CJ9354" t="str">
            <v xml:space="preserve">NFT-/XUTR/DEUTH02512224132X </v>
          </cell>
          <cell r="CK9354" t="str">
            <v>2025-05-02</v>
          </cell>
          <cell r="CL9354">
            <v>29374.901999999998</v>
          </cell>
          <cell r="CM9354" t="str">
            <v xml:space="preserve">NFT-/XUTR/DEUTH02512248948X </v>
          </cell>
          <cell r="CN9354" t="str">
            <v>2025-05-02</v>
          </cell>
          <cell r="CO9354">
            <v>2230.384</v>
          </cell>
        </row>
        <row r="9355">
          <cell r="CJ9355" t="str">
            <v xml:space="preserve">NFT-/XUTR/DEUTH02512224132X </v>
          </cell>
          <cell r="CK9355" t="str">
            <v>2025-05-02</v>
          </cell>
          <cell r="CL9355">
            <v>9779.0439999999999</v>
          </cell>
          <cell r="CM9355" t="str">
            <v xml:space="preserve">NFT-/XUTR/DEUTH02512248948X </v>
          </cell>
          <cell r="CN9355" t="str">
            <v>2025-05-02</v>
          </cell>
          <cell r="CO9355">
            <v>743.45799999999997</v>
          </cell>
        </row>
        <row r="9356">
          <cell r="CJ9356" t="str">
            <v xml:space="preserve">NFT-/XUTR/DEUTH02512224132X </v>
          </cell>
          <cell r="CK9356" t="str">
            <v>2025-05-02</v>
          </cell>
          <cell r="CL9356">
            <v>9248.14</v>
          </cell>
          <cell r="CM9356" t="str">
            <v xml:space="preserve">NFT-/XUTR/DEUTH02512248948X </v>
          </cell>
          <cell r="CN9356" t="str">
            <v>2025-05-02</v>
          </cell>
          <cell r="CO9356">
            <v>1274.3620000000001</v>
          </cell>
        </row>
        <row r="9357">
          <cell r="CJ9357" t="str">
            <v xml:space="preserve">NFT-/XUTR/DEUTH02512528773X </v>
          </cell>
          <cell r="CK9357" t="str">
            <v>2025-05-05</v>
          </cell>
          <cell r="CL9357">
            <v>1479.152</v>
          </cell>
          <cell r="CM9357" t="str">
            <v xml:space="preserve">AXISCN0971534111 </v>
          </cell>
          <cell r="CN9357" t="str">
            <v>2025-05-06</v>
          </cell>
          <cell r="CO9357">
            <v>19565.788</v>
          </cell>
        </row>
        <row r="9358">
          <cell r="CJ9358" t="str">
            <v xml:space="preserve">NFT-/XUTR/DEUTH02512224132X </v>
          </cell>
          <cell r="CK9358" t="str">
            <v>2025-05-02</v>
          </cell>
          <cell r="CL9358">
            <v>49370.197</v>
          </cell>
          <cell r="CM9358" t="str">
            <v xml:space="preserve">NFT-/XUTR/DEUTH02512248948X </v>
          </cell>
          <cell r="CN9358" t="str">
            <v>2025-05-02</v>
          </cell>
          <cell r="CO9358">
            <v>2911.7240000000002</v>
          </cell>
        </row>
        <row r="9359">
          <cell r="CJ9359" t="str">
            <v xml:space="preserve">NFT-/XUTR/DEUTH02512224132X </v>
          </cell>
          <cell r="CK9359" t="str">
            <v>2025-05-02</v>
          </cell>
          <cell r="CL9359">
            <v>39113.671999999999</v>
          </cell>
          <cell r="CM9359" t="str">
            <v xml:space="preserve">NFT-/XUTR/DEUTH02512248948X </v>
          </cell>
          <cell r="CN9359" t="str">
            <v>2025-05-02</v>
          </cell>
          <cell r="CO9359">
            <v>2958.3139999999999</v>
          </cell>
        </row>
        <row r="9360">
          <cell r="CJ9360" t="str">
            <v xml:space="preserve">NFT-/XUTR/DEUTH02512224132X </v>
          </cell>
          <cell r="CK9360" t="str">
            <v>2025-05-02</v>
          </cell>
          <cell r="CL9360">
            <v>49351.317000000003</v>
          </cell>
          <cell r="CM9360" t="str">
            <v xml:space="preserve">NFT-/XUTR/DEUTH02512248948X </v>
          </cell>
          <cell r="CN9360" t="str">
            <v>2025-05-02</v>
          </cell>
          <cell r="CO9360">
            <v>2911.7240000000002</v>
          </cell>
        </row>
        <row r="9361">
          <cell r="CJ9361" t="str">
            <v xml:space="preserve">NFT-/XUTR/DEUTH02512224132X </v>
          </cell>
          <cell r="CK9361" t="str">
            <v>2025-05-02</v>
          </cell>
          <cell r="CL9361">
            <v>49351.317000000003</v>
          </cell>
          <cell r="CM9361" t="str">
            <v xml:space="preserve">NFT-/XUTR/DEUTH02512248948X </v>
          </cell>
          <cell r="CN9361" t="str">
            <v>2025-05-02</v>
          </cell>
          <cell r="CO9361">
            <v>2911.7240000000002</v>
          </cell>
        </row>
        <row r="9362">
          <cell r="CJ9362" t="str">
            <v xml:space="preserve">NFT-/XUTR/DEUTH02512224132X </v>
          </cell>
          <cell r="CK9362" t="str">
            <v>2025-05-02</v>
          </cell>
          <cell r="CL9362">
            <v>49351.317000000003</v>
          </cell>
          <cell r="CM9362" t="str">
            <v xml:space="preserve">NFT-/XUTR/DEUTH02512248948X </v>
          </cell>
          <cell r="CN9362" t="str">
            <v>2025-05-02</v>
          </cell>
          <cell r="CO9362">
            <v>2911.7240000000002</v>
          </cell>
        </row>
        <row r="9363">
          <cell r="CJ9363" t="str">
            <v xml:space="preserve">NFT-/XUTR/DEUTH02512224132X </v>
          </cell>
          <cell r="CK9363" t="str">
            <v>2025-05-02</v>
          </cell>
          <cell r="CL9363">
            <v>58679.470999999998</v>
          </cell>
          <cell r="CM9363" t="str">
            <v xml:space="preserve">NFT-/XUTR/DEUTH02512248948X </v>
          </cell>
          <cell r="CN9363" t="str">
            <v>2025-05-02</v>
          </cell>
          <cell r="CO9363">
            <v>4434.5540000000001</v>
          </cell>
        </row>
        <row r="9365">
          <cell r="CJ9365" t="str">
            <v xml:space="preserve">NFT-/XUTR/DEUTH02512224132X </v>
          </cell>
          <cell r="CK9365" t="str">
            <v>2025-05-02</v>
          </cell>
          <cell r="CL9365">
            <v>19565.788</v>
          </cell>
          <cell r="CM9365" t="str">
            <v xml:space="preserve">NFT-/XUTR/DEUTH02512248948X </v>
          </cell>
          <cell r="CN9365" t="str">
            <v>2025-05-02</v>
          </cell>
          <cell r="CO9365">
            <v>1479.152</v>
          </cell>
        </row>
        <row r="9366">
          <cell r="CJ9366" t="str">
            <v xml:space="preserve">NFT-/XUTR/DEUTH02512528773X </v>
          </cell>
          <cell r="CK9366" t="str">
            <v>2025-05-05</v>
          </cell>
          <cell r="CL9366">
            <v>4434.5540000000001</v>
          </cell>
          <cell r="CM9366" t="str">
            <v xml:space="preserve">AXISCN0971534111 </v>
          </cell>
          <cell r="CN9366" t="str">
            <v>2025-05-06</v>
          </cell>
          <cell r="CO9366">
            <v>58679.470999999998</v>
          </cell>
        </row>
        <row r="9367">
          <cell r="CJ9367" t="str">
            <v xml:space="preserve">NFT-/XUTR/DEUTH02512224132X </v>
          </cell>
          <cell r="CK9367" t="str">
            <v>2025-05-02</v>
          </cell>
          <cell r="CL9367">
            <v>55786.625999999997</v>
          </cell>
          <cell r="CM9367" t="str">
            <v xml:space="preserve">NFT-/XUTR/DEUTH02512248948X </v>
          </cell>
          <cell r="CN9367" t="str">
            <v>2025-05-02</v>
          </cell>
          <cell r="CO9367">
            <v>7349.1909999999998</v>
          </cell>
        </row>
        <row r="9370">
          <cell r="CJ9370" t="str">
            <v xml:space="preserve">NFT-/XUTR/DEUTH02512528773X </v>
          </cell>
          <cell r="CK9370" t="str">
            <v>2025-05-05</v>
          </cell>
          <cell r="CL9370">
            <v>749.28200000000004</v>
          </cell>
          <cell r="CM9370" t="str">
            <v xml:space="preserve">AXISCN0971534111 </v>
          </cell>
          <cell r="CN9370" t="str">
            <v>2025-05-06</v>
          </cell>
          <cell r="CO9370">
            <v>9850.8719999999994</v>
          </cell>
        </row>
        <row r="9371">
          <cell r="CJ9371" t="str">
            <v xml:space="preserve">NFT-/XUTR/DEUTH02512224132X </v>
          </cell>
          <cell r="CK9371" t="str">
            <v>2025-05-02</v>
          </cell>
          <cell r="CL9371">
            <v>49351.317000000003</v>
          </cell>
          <cell r="CM9371" t="str">
            <v xml:space="preserve">NFT-/XUTR/DEUTH02512248948X </v>
          </cell>
          <cell r="CN9371" t="str">
            <v>2025-05-02</v>
          </cell>
          <cell r="CO9371">
            <v>2911.7240000000002</v>
          </cell>
        </row>
        <row r="9372">
          <cell r="CJ9372" t="str">
            <v xml:space="preserve">NFT-/XUTR/DEUTH02512224132X </v>
          </cell>
          <cell r="CK9372" t="str">
            <v>2025-05-02</v>
          </cell>
          <cell r="CL9372">
            <v>49351.317000000003</v>
          </cell>
          <cell r="CM9372" t="str">
            <v xml:space="preserve">NFT-/XUTR/DEUTH02512248948X </v>
          </cell>
          <cell r="CN9372" t="str">
            <v>2025-05-02</v>
          </cell>
          <cell r="CO9372">
            <v>2911.7240000000002</v>
          </cell>
        </row>
        <row r="9373">
          <cell r="CJ9373" t="str">
            <v xml:space="preserve">NFT-/XUTR/DEUTH02512528773X </v>
          </cell>
          <cell r="CK9373" t="str">
            <v>2025-05-05</v>
          </cell>
          <cell r="CL9373">
            <v>4437.4660000000003</v>
          </cell>
          <cell r="CM9373" t="str">
            <v xml:space="preserve">AXISCN0971534111 </v>
          </cell>
          <cell r="CN9373" t="str">
            <v>2025-05-06</v>
          </cell>
          <cell r="CO9373">
            <v>58679.470999999998</v>
          </cell>
        </row>
        <row r="9374">
          <cell r="CJ9374" t="str">
            <v xml:space="preserve">NFT-/XUTR/DEUTH02512224132X </v>
          </cell>
          <cell r="CK9374" t="str">
            <v>2025-05-02</v>
          </cell>
          <cell r="CL9374">
            <v>9823.6959999999999</v>
          </cell>
          <cell r="CM9374" t="str">
            <v xml:space="preserve">NFT-/XUTR/DEUTH02512248948X </v>
          </cell>
          <cell r="CN9374" t="str">
            <v>2025-05-02</v>
          </cell>
          <cell r="CO9374">
            <v>747.34400000000005</v>
          </cell>
        </row>
        <row r="9375">
          <cell r="CJ9375" t="str">
            <v xml:space="preserve">NFT-/XUTR/DEUTH02512528773X </v>
          </cell>
          <cell r="CK9375" t="str">
            <v>2025-05-05</v>
          </cell>
          <cell r="CL9375">
            <v>2911.7240000000002</v>
          </cell>
          <cell r="CM9375" t="str">
            <v xml:space="preserve">AXISCN0971534111 </v>
          </cell>
          <cell r="CN9375" t="str">
            <v>2025-05-06</v>
          </cell>
          <cell r="CO9375">
            <v>49351.317000000003</v>
          </cell>
        </row>
        <row r="9377">
          <cell r="CJ9377" t="str">
            <v xml:space="preserve">NFT-/XUTR/DEUTH02512528773X </v>
          </cell>
          <cell r="CK9377" t="str">
            <v>2025-05-05</v>
          </cell>
          <cell r="CL9377">
            <v>749.28200000000004</v>
          </cell>
          <cell r="CM9377" t="str">
            <v xml:space="preserve">AXISCN0971534111 </v>
          </cell>
          <cell r="CN9377" t="str">
            <v>2025-05-06</v>
          </cell>
          <cell r="CO9377">
            <v>9850.8719999999994</v>
          </cell>
        </row>
        <row r="9378">
          <cell r="CJ9378" t="str">
            <v xml:space="preserve">NFT-/XUTR/DEUTH02512224132X </v>
          </cell>
          <cell r="CK9378" t="str">
            <v>2025-05-02</v>
          </cell>
          <cell r="CL9378">
            <v>9823.6959999999999</v>
          </cell>
          <cell r="CM9378" t="str">
            <v xml:space="preserve">NFT-/XUTR/DEUTH02512248948X </v>
          </cell>
          <cell r="CN9378" t="str">
            <v>2025-05-02</v>
          </cell>
          <cell r="CO9378">
            <v>747.34400000000005</v>
          </cell>
        </row>
        <row r="9379">
          <cell r="CJ9379" t="str">
            <v xml:space="preserve">NFT-/XUTR/DEUTH02512224132X </v>
          </cell>
          <cell r="CK9379" t="str">
            <v>2025-05-02</v>
          </cell>
          <cell r="CL9379">
            <v>9823.6959999999999</v>
          </cell>
          <cell r="CM9379" t="str">
            <v xml:space="preserve">NFT-/XUTR/DEUTH02512248948X </v>
          </cell>
          <cell r="CN9379" t="str">
            <v>2025-05-02</v>
          </cell>
          <cell r="CO9379">
            <v>747.34400000000005</v>
          </cell>
        </row>
        <row r="9380">
          <cell r="CJ9380" t="str">
            <v xml:space="preserve">NFT-/XUTR/DEUTH02512224132X </v>
          </cell>
          <cell r="CK9380" t="str">
            <v>2025-05-02</v>
          </cell>
          <cell r="CL9380">
            <v>18576.333999999999</v>
          </cell>
          <cell r="CM9380" t="str">
            <v xml:space="preserve">NFT-/XUTR/DEUTH02512248948X </v>
          </cell>
          <cell r="CN9380" t="str">
            <v>2025-05-02</v>
          </cell>
          <cell r="CO9380">
            <v>2449.7269999999999</v>
          </cell>
        </row>
        <row r="9381">
          <cell r="CJ9381" t="str">
            <v xml:space="preserve">NFT-/XUTR/DEUTH02512528773X </v>
          </cell>
          <cell r="CK9381" t="str">
            <v>2025-05-05</v>
          </cell>
          <cell r="CL9381">
            <v>749.28200000000004</v>
          </cell>
          <cell r="CM9381" t="str">
            <v xml:space="preserve">AXISCN0971534111 </v>
          </cell>
          <cell r="CN9381" t="str">
            <v>2025-05-06</v>
          </cell>
          <cell r="CO9381">
            <v>9850.8719999999994</v>
          </cell>
        </row>
        <row r="9382">
          <cell r="CJ9382" t="str">
            <v xml:space="preserve">NFT-/XUTR/DEUTH02512528773X </v>
          </cell>
          <cell r="CK9382" t="str">
            <v>2025-05-05</v>
          </cell>
          <cell r="CL9382">
            <v>1475.2750000000001</v>
          </cell>
          <cell r="CM9382" t="str">
            <v xml:space="preserve">AXISCN0971534111 </v>
          </cell>
          <cell r="CN9382" t="str">
            <v>2025-05-06</v>
          </cell>
          <cell r="CO9382">
            <v>19521.147000000001</v>
          </cell>
        </row>
        <row r="9383">
          <cell r="CJ9383" t="str">
            <v xml:space="preserve">NFT-/XUTR/DEUTH02512528773X </v>
          </cell>
          <cell r="CK9383" t="str">
            <v>2025-05-05</v>
          </cell>
          <cell r="CL9383">
            <v>642.52599999999995</v>
          </cell>
          <cell r="CM9383" t="str">
            <v xml:space="preserve">AXISCN0971534111 </v>
          </cell>
          <cell r="CN9383" t="str">
            <v>2025-05-06</v>
          </cell>
          <cell r="CO9383">
            <v>20595.547999999999</v>
          </cell>
        </row>
        <row r="9384">
          <cell r="CJ9384" t="str">
            <v xml:space="preserve">NFT-/XUTR/DEUTH02512224132X </v>
          </cell>
          <cell r="CK9384" t="str">
            <v>2025-05-02</v>
          </cell>
          <cell r="CL9384">
            <v>49351.317000000003</v>
          </cell>
          <cell r="CM9384" t="str">
            <v xml:space="preserve">NFT-/XUTR/DEUTH02512248948X </v>
          </cell>
          <cell r="CN9384" t="str">
            <v>2025-05-02</v>
          </cell>
          <cell r="CO9384">
            <v>2911.7240000000002</v>
          </cell>
        </row>
        <row r="9385">
          <cell r="CJ9385" t="str">
            <v xml:space="preserve">NFT-/XUTR/DEUTH02512224132X </v>
          </cell>
          <cell r="CK9385" t="str">
            <v>2025-05-02</v>
          </cell>
          <cell r="CL9385">
            <v>18576.333999999999</v>
          </cell>
          <cell r="CM9385" t="str">
            <v xml:space="preserve">NFT-/XUTR/DEUTH02512248948X </v>
          </cell>
          <cell r="CN9385" t="str">
            <v>2025-05-02</v>
          </cell>
          <cell r="CO9385">
            <v>2449.7269999999999</v>
          </cell>
        </row>
        <row r="9386">
          <cell r="CJ9386" t="str">
            <v xml:space="preserve">NFT-/XUTR/DEUTH02512224132X </v>
          </cell>
          <cell r="CK9386" t="str">
            <v>2025-05-02</v>
          </cell>
          <cell r="CL9386">
            <v>19471.203000000001</v>
          </cell>
          <cell r="CM9386" t="str">
            <v xml:space="preserve">NFT-/XUTR/DEUTH02512248948X </v>
          </cell>
          <cell r="CN9386" t="str">
            <v>2025-05-02</v>
          </cell>
          <cell r="CO9386">
            <v>1554.857</v>
          </cell>
        </row>
        <row r="9387">
          <cell r="CJ9387" t="str">
            <v xml:space="preserve">NFT-/XUTR/DEUTH02512528773X </v>
          </cell>
          <cell r="CK9387" t="str">
            <v>2025-05-05</v>
          </cell>
          <cell r="CL9387">
            <v>2911.7240000000002</v>
          </cell>
          <cell r="CM9387" t="str">
            <v xml:space="preserve">AXISCN0971534111 </v>
          </cell>
          <cell r="CN9387" t="str">
            <v>2025-05-06</v>
          </cell>
          <cell r="CO9387">
            <v>49225.144</v>
          </cell>
        </row>
        <row r="9388">
          <cell r="CJ9388" t="str">
            <v xml:space="preserve">NFT-/XUTR/DEUTH02512528773X </v>
          </cell>
          <cell r="CK9388" t="str">
            <v>2025-05-05</v>
          </cell>
          <cell r="CL9388">
            <v>635.72400000000005</v>
          </cell>
          <cell r="CM9388" t="str">
            <v xml:space="preserve">AXISCN0971534111 </v>
          </cell>
          <cell r="CN9388" t="str">
            <v>2025-05-06</v>
          </cell>
          <cell r="CO9388">
            <v>20448.578000000001</v>
          </cell>
        </row>
        <row r="9390">
          <cell r="CJ9390" t="str">
            <v xml:space="preserve">NFT-/XUTR/DEUTH02512224132X </v>
          </cell>
          <cell r="CK9390" t="str">
            <v>2025-05-02</v>
          </cell>
          <cell r="CL9390">
            <v>49370.197999999997</v>
          </cell>
          <cell r="CM9390" t="str">
            <v xml:space="preserve">NFT-/XUTR/DEUTH02512248948X </v>
          </cell>
          <cell r="CN9390" t="str">
            <v>2025-05-02</v>
          </cell>
          <cell r="CO9390">
            <v>2911.723</v>
          </cell>
        </row>
        <row r="9391">
          <cell r="CJ9391" t="str">
            <v xml:space="preserve">NFT-/XUTR/DEUTH02512224132X </v>
          </cell>
          <cell r="CK9391" t="str">
            <v>2025-05-02</v>
          </cell>
          <cell r="CL9391">
            <v>19546.907999999999</v>
          </cell>
          <cell r="CM9391" t="str">
            <v xml:space="preserve">NFT-/XUTR/DEUTH02512248948X </v>
          </cell>
          <cell r="CN9391" t="str">
            <v>2025-05-02</v>
          </cell>
          <cell r="CO9391">
            <v>1479.152</v>
          </cell>
        </row>
        <row r="9392">
          <cell r="CJ9392" t="str">
            <v xml:space="preserve">NFT-/XUTR/DEUTH02512224132X </v>
          </cell>
          <cell r="CK9392" t="str">
            <v>2025-05-02</v>
          </cell>
          <cell r="CL9392">
            <v>49370.197999999997</v>
          </cell>
          <cell r="CM9392" t="str">
            <v xml:space="preserve">NFT-/XUTR/DEUTH02512248948X </v>
          </cell>
          <cell r="CN9392" t="str">
            <v>2025-05-02</v>
          </cell>
          <cell r="CO9392">
            <v>2911.723</v>
          </cell>
        </row>
        <row r="9393">
          <cell r="CJ9393" t="str">
            <v xml:space="preserve">NFT-/XUTR/DEUTH02512224132X </v>
          </cell>
          <cell r="CK9393" t="str">
            <v>2025-05-02</v>
          </cell>
          <cell r="CL9393">
            <v>19546.907999999999</v>
          </cell>
          <cell r="CM9393" t="str">
            <v xml:space="preserve">NFT-/XUTR/DEUTH02512248948X </v>
          </cell>
          <cell r="CN9393" t="str">
            <v>2025-05-02</v>
          </cell>
          <cell r="CO9393">
            <v>1479.152</v>
          </cell>
        </row>
        <row r="9394">
          <cell r="CJ9394" t="str">
            <v xml:space="preserve">NFT-/XUTR/DEUTH02512528773X </v>
          </cell>
          <cell r="CK9394" t="str">
            <v>2025-05-05</v>
          </cell>
          <cell r="CL9394">
            <v>4434.5540000000001</v>
          </cell>
          <cell r="CM9394" t="str">
            <v xml:space="preserve">AXISCN0971534111 </v>
          </cell>
          <cell r="CN9394" t="str">
            <v>2025-05-06</v>
          </cell>
          <cell r="CO9394">
            <v>58679.470999999998</v>
          </cell>
        </row>
        <row r="9395">
          <cell r="CJ9395" t="str">
            <v xml:space="preserve">NFT-/XUTR/DEUTH02512528773X </v>
          </cell>
          <cell r="CK9395" t="str">
            <v>2025-05-05</v>
          </cell>
          <cell r="CL9395">
            <v>747.34400000000005</v>
          </cell>
          <cell r="CM9395" t="str">
            <v xml:space="preserve">AXISCN0971534111 </v>
          </cell>
          <cell r="CN9395" t="str">
            <v>2025-05-06</v>
          </cell>
          <cell r="CO9395">
            <v>9842.5759999999991</v>
          </cell>
        </row>
        <row r="9396">
          <cell r="CJ9396" t="str">
            <v xml:space="preserve">NFT-/XUTR/DEUTH02512528773X </v>
          </cell>
          <cell r="CK9396" t="str">
            <v>2025-05-05</v>
          </cell>
          <cell r="CL9396">
            <v>1483.04</v>
          </cell>
          <cell r="CM9396" t="str">
            <v xml:space="preserve">AXISCN0971534111 </v>
          </cell>
          <cell r="CN9396" t="str">
            <v>2025-05-06</v>
          </cell>
          <cell r="CO9396">
            <v>19620.142</v>
          </cell>
        </row>
        <row r="9397">
          <cell r="CJ9397" t="str">
            <v xml:space="preserve">NFT-/XUTR/DEUTH02512224132X </v>
          </cell>
          <cell r="CK9397" t="str">
            <v>2025-05-02</v>
          </cell>
          <cell r="CL9397">
            <v>49370.197999999997</v>
          </cell>
          <cell r="CM9397" t="str">
            <v xml:space="preserve">NFT-/XUTR/DEUTH02512248948X </v>
          </cell>
          <cell r="CN9397" t="str">
            <v>2025-05-02</v>
          </cell>
          <cell r="CO9397">
            <v>2911.723</v>
          </cell>
        </row>
        <row r="9398">
          <cell r="CJ9398" t="str">
            <v xml:space="preserve">NFT-/XUTR/DEUTH02512224132X </v>
          </cell>
          <cell r="CK9398" t="str">
            <v>2025-05-02</v>
          </cell>
          <cell r="CL9398">
            <v>19546.907999999999</v>
          </cell>
          <cell r="CM9398" t="str">
            <v xml:space="preserve">NFT-/XUTR/DEUTH02512248948X </v>
          </cell>
          <cell r="CN9398" t="str">
            <v>2025-05-02</v>
          </cell>
          <cell r="CO9398">
            <v>1479.152</v>
          </cell>
        </row>
        <row r="9400">
          <cell r="CJ9400" t="str">
            <v xml:space="preserve">NFT-/XUTR/DEUTH02512528773X </v>
          </cell>
          <cell r="CK9400" t="str">
            <v>2025-05-05</v>
          </cell>
          <cell r="CL9400">
            <v>1475.2750000000001</v>
          </cell>
          <cell r="CM9400" t="str">
            <v xml:space="preserve">AXISCN0971534111 </v>
          </cell>
          <cell r="CN9400" t="str">
            <v>2025-05-06</v>
          </cell>
          <cell r="CO9400">
            <v>19521.147000000001</v>
          </cell>
        </row>
        <row r="9401">
          <cell r="CJ9401" t="str">
            <v xml:space="preserve">NFT-/XUTR/DEUTH02512224132X </v>
          </cell>
          <cell r="CK9401" t="str">
            <v>2025-05-02</v>
          </cell>
          <cell r="CL9401">
            <v>49351.317000000003</v>
          </cell>
          <cell r="CM9401" t="str">
            <v xml:space="preserve">NFT-/XUTR/DEUTH02512248948X </v>
          </cell>
          <cell r="CN9401" t="str">
            <v>2025-05-02</v>
          </cell>
          <cell r="CO9401">
            <v>2911.7240000000002</v>
          </cell>
        </row>
        <row r="9405">
          <cell r="CJ9405" t="str">
            <v xml:space="preserve">NFT-/XUTR/DEUTH02512528773X </v>
          </cell>
          <cell r="CK9405" t="str">
            <v>2025-05-05</v>
          </cell>
          <cell r="CL9405">
            <v>1483.04</v>
          </cell>
          <cell r="CM9405" t="str">
            <v xml:space="preserve">AXISCN0971534111 </v>
          </cell>
          <cell r="CN9405" t="str">
            <v>2025-05-06</v>
          </cell>
          <cell r="CO9405">
            <v>19601.261999999999</v>
          </cell>
        </row>
        <row r="9406">
          <cell r="CJ9406" t="str">
            <v xml:space="preserve">NFT-/XUTR/DEUTH02512224132X </v>
          </cell>
          <cell r="CK9406" t="str">
            <v>2025-05-02</v>
          </cell>
          <cell r="CL9406">
            <v>49370.197</v>
          </cell>
          <cell r="CM9406" t="str">
            <v xml:space="preserve">NFT-/XUTR/DEUTH02512248948X </v>
          </cell>
          <cell r="CN9406" t="str">
            <v>2025-05-02</v>
          </cell>
          <cell r="CO9406">
            <v>2911.7240000000002</v>
          </cell>
        </row>
        <row r="9408">
          <cell r="CJ9408" t="str">
            <v xml:space="preserve">NFT-/XUTR/DEUTH02512224132X </v>
          </cell>
          <cell r="CK9408" t="str">
            <v>2025-05-02</v>
          </cell>
          <cell r="CL9408">
            <v>58698.351000000002</v>
          </cell>
          <cell r="CM9408" t="str">
            <v xml:space="preserve">NFT-/XUTR/DEUTH02512248948X </v>
          </cell>
          <cell r="CN9408" t="str">
            <v>2025-05-02</v>
          </cell>
          <cell r="CO9408">
            <v>4437.4660000000003</v>
          </cell>
        </row>
        <row r="9409">
          <cell r="CJ9409" t="str">
            <v xml:space="preserve">NFT-/XUTR/DEUTH02512528773X </v>
          </cell>
          <cell r="CK9409" t="str">
            <v>2025-05-05</v>
          </cell>
          <cell r="CL9409">
            <v>1561.6569999999999</v>
          </cell>
          <cell r="CM9409" t="str">
            <v xml:space="preserve">AXISCN0971534111 </v>
          </cell>
          <cell r="CN9409" t="str">
            <v>2025-05-06</v>
          </cell>
          <cell r="CO9409">
            <v>50399.987000000001</v>
          </cell>
        </row>
        <row r="9410">
          <cell r="CJ9410" t="str">
            <v xml:space="preserve">NFT-/XUTR/DEUTH02512528773X </v>
          </cell>
          <cell r="CK9410" t="str">
            <v>2025-05-05</v>
          </cell>
          <cell r="CL9410">
            <v>321.262</v>
          </cell>
          <cell r="CM9410" t="str">
            <v xml:space="preserve">AXISCN0971534111 </v>
          </cell>
          <cell r="CN9410" t="str">
            <v>2025-05-06</v>
          </cell>
          <cell r="CO9410">
            <v>10297.773999999999</v>
          </cell>
        </row>
        <row r="9411">
          <cell r="CM9411" t="str">
            <v xml:space="preserve">AXISCN0971534111 </v>
          </cell>
          <cell r="CN9411" t="str">
            <v>2025-05-06</v>
          </cell>
          <cell r="CO9411">
            <v>1544.162</v>
          </cell>
        </row>
        <row r="9412">
          <cell r="CM9412" t="str">
            <v xml:space="preserve">AXISCN0971534111 </v>
          </cell>
          <cell r="CN9412" t="str">
            <v>2025-05-06</v>
          </cell>
          <cell r="CO9412">
            <v>6101.0559999999996</v>
          </cell>
        </row>
        <row r="9413">
          <cell r="CJ9413" t="str">
            <v xml:space="preserve">NFT-/XUTR/DEUTH02512528773X </v>
          </cell>
          <cell r="CK9413" t="str">
            <v>2025-05-05</v>
          </cell>
          <cell r="CL9413">
            <v>1561.6569999999999</v>
          </cell>
          <cell r="CM9413" t="str">
            <v xml:space="preserve">AXISCN0971534111 </v>
          </cell>
          <cell r="CN9413" t="str">
            <v>2025-05-06</v>
          </cell>
          <cell r="CO9413">
            <v>50381.107000000004</v>
          </cell>
        </row>
        <row r="9414">
          <cell r="CJ9414" t="str">
            <v xml:space="preserve">NFT-/XUTR/DEUTH02512528773X </v>
          </cell>
          <cell r="CK9414" t="str">
            <v>2025-05-05</v>
          </cell>
          <cell r="CL9414">
            <v>963.77599999999995</v>
          </cell>
          <cell r="CM9414" t="str">
            <v xml:space="preserve">AXISCN0971534111 </v>
          </cell>
          <cell r="CN9414" t="str">
            <v>2025-05-06</v>
          </cell>
          <cell r="CO9414">
            <v>30875.405999999999</v>
          </cell>
        </row>
        <row r="9415">
          <cell r="CJ9415" t="str">
            <v xml:space="preserve">NFT-/XUTR/DEUTH02512528773X </v>
          </cell>
          <cell r="CK9415" t="str">
            <v>2025-05-05</v>
          </cell>
          <cell r="CL9415">
            <v>963.77599999999995</v>
          </cell>
          <cell r="CM9415" t="str">
            <v xml:space="preserve">AXISCN0971534111 </v>
          </cell>
          <cell r="CN9415" t="str">
            <v>2025-05-06</v>
          </cell>
          <cell r="CO9415">
            <v>30875.405999999999</v>
          </cell>
        </row>
        <row r="9416">
          <cell r="CJ9416" t="str">
            <v xml:space="preserve">NFT-/XUTR/DEUTH02512528773X </v>
          </cell>
          <cell r="CK9416" t="str">
            <v>2025-05-05</v>
          </cell>
          <cell r="CL9416">
            <v>1038.5170000000001</v>
          </cell>
          <cell r="CM9416" t="str">
            <v xml:space="preserve">AXISCN0971534111 </v>
          </cell>
          <cell r="CN9416" t="str">
            <v>2025-05-06</v>
          </cell>
          <cell r="CO9416">
            <v>19880.260999999999</v>
          </cell>
        </row>
        <row r="9417">
          <cell r="CJ9417" t="str">
            <v xml:space="preserve">NFT-/XUTR/DEUTH02512528773X </v>
          </cell>
          <cell r="CK9417" t="str">
            <v>2025-05-05</v>
          </cell>
          <cell r="CL9417">
            <v>318.35000000000002</v>
          </cell>
          <cell r="CM9417" t="str">
            <v xml:space="preserve">AXISCN0971534111 </v>
          </cell>
          <cell r="CN9417" t="str">
            <v>2025-05-06</v>
          </cell>
          <cell r="CO9417">
            <v>10213.331</v>
          </cell>
        </row>
        <row r="9418">
          <cell r="CM9418" t="str">
            <v xml:space="preserve">AXISCN0971534111 </v>
          </cell>
          <cell r="CN9418" t="str">
            <v>2025-05-06</v>
          </cell>
          <cell r="CO9418">
            <v>5999.6279999999997</v>
          </cell>
        </row>
        <row r="9420">
          <cell r="CM9420" t="str">
            <v xml:space="preserve">AXISCN0971534111 </v>
          </cell>
          <cell r="CN9420" t="str">
            <v>2025-05-06</v>
          </cell>
          <cell r="CO9420">
            <v>5999.6279999999997</v>
          </cell>
        </row>
        <row r="9421">
          <cell r="CM9421" t="str">
            <v xml:space="preserve">AXISCN0971534111 </v>
          </cell>
          <cell r="CN9421" t="str">
            <v>2025-05-06</v>
          </cell>
          <cell r="CO9421">
            <v>5999.6279999999997</v>
          </cell>
        </row>
        <row r="9422">
          <cell r="CM9422" t="str">
            <v xml:space="preserve">AXISCN0971534111 </v>
          </cell>
          <cell r="CN9422" t="str">
            <v>2025-05-06</v>
          </cell>
          <cell r="CO9422">
            <v>10512.8</v>
          </cell>
        </row>
        <row r="9423">
          <cell r="CM9423" t="str">
            <v xml:space="preserve">AXISCN0971534111 </v>
          </cell>
          <cell r="CN9423" t="str">
            <v>2025-05-06</v>
          </cell>
          <cell r="CO9423">
            <v>5999.6279999999997</v>
          </cell>
        </row>
        <row r="9424">
          <cell r="CJ9424" t="str">
            <v xml:space="preserve">NFT-/XUTR/DEUTH02512528773X </v>
          </cell>
          <cell r="CK9424" t="str">
            <v>2025-05-05</v>
          </cell>
          <cell r="CL9424">
            <v>1470.425</v>
          </cell>
          <cell r="CM9424" t="str">
            <v xml:space="preserve">AXISCN0971534111 </v>
          </cell>
          <cell r="CN9424" t="str">
            <v>2025-05-06</v>
          </cell>
          <cell r="CO9424">
            <v>19429.473999999998</v>
          </cell>
        </row>
        <row r="9425">
          <cell r="CJ9425" t="str">
            <v xml:space="preserve">NFT-/XUTR/DEUTH02512528773X </v>
          </cell>
          <cell r="CK9425" t="str">
            <v>2025-05-05</v>
          </cell>
          <cell r="CL9425">
            <v>1252.0450000000001</v>
          </cell>
          <cell r="CM9425" t="str">
            <v xml:space="preserve">AXISCN0971534111 </v>
          </cell>
          <cell r="CN9425" t="str">
            <v>2025-05-06</v>
          </cell>
          <cell r="CO9425">
            <v>9260.7649999999994</v>
          </cell>
        </row>
        <row r="9426">
          <cell r="CJ9426" t="str">
            <v xml:space="preserve">NFT-/XUTR/DEUTH02512528773X </v>
          </cell>
          <cell r="CK9426" t="str">
            <v>2025-05-05</v>
          </cell>
          <cell r="CL9426">
            <v>1470.425</v>
          </cell>
          <cell r="CM9426" t="str">
            <v xml:space="preserve">AXISCN0971534111 </v>
          </cell>
          <cell r="CN9426" t="str">
            <v>2025-05-06</v>
          </cell>
          <cell r="CO9426">
            <v>19448.352999999999</v>
          </cell>
        </row>
        <row r="9427">
          <cell r="CJ9427" t="str">
            <v xml:space="preserve">NFT-/XUTR/DEUTH02512528773X </v>
          </cell>
          <cell r="CK9427" t="str">
            <v>2025-05-05</v>
          </cell>
          <cell r="CL9427">
            <v>2911.7240000000002</v>
          </cell>
          <cell r="CM9427" t="str">
            <v xml:space="preserve">AXISCN0971534111 </v>
          </cell>
          <cell r="CN9427" t="str">
            <v>2025-05-06</v>
          </cell>
          <cell r="CO9427">
            <v>81384.171000000002</v>
          </cell>
        </row>
        <row r="9428">
          <cell r="CJ9428" t="str">
            <v xml:space="preserve">NFT-/XUTR/DEUTH02512528773X </v>
          </cell>
          <cell r="CK9428" t="str">
            <v>2025-05-05</v>
          </cell>
          <cell r="CL9428">
            <v>1561.6569999999999</v>
          </cell>
          <cell r="CM9428" t="str">
            <v xml:space="preserve">AXISCN0971534111 </v>
          </cell>
          <cell r="CN9428" t="str">
            <v>2025-05-06</v>
          </cell>
          <cell r="CO9428">
            <v>50399.987000000001</v>
          </cell>
        </row>
        <row r="9429">
          <cell r="CJ9429" t="str">
            <v xml:space="preserve">NFT-/XUTR/DEUTH02512528773X </v>
          </cell>
          <cell r="CK9429" t="str">
            <v>2025-05-05</v>
          </cell>
          <cell r="CL9429">
            <v>629.9</v>
          </cell>
          <cell r="CM9429" t="str">
            <v xml:space="preserve">AXISCN0971534111 </v>
          </cell>
          <cell r="CN9429" t="str">
            <v>2025-05-06</v>
          </cell>
          <cell r="CO9429">
            <v>20288.867999999999</v>
          </cell>
        </row>
        <row r="9430">
          <cell r="CJ9430" t="str">
            <v xml:space="preserve">NFT-/XUTR/DEUTH02512528773X </v>
          </cell>
          <cell r="CK9430" t="str">
            <v>2025-05-05</v>
          </cell>
          <cell r="CL9430">
            <v>1470.425</v>
          </cell>
          <cell r="CM9430" t="str">
            <v xml:space="preserve">AXISCN0971534111 </v>
          </cell>
          <cell r="CN9430" t="str">
            <v>2025-05-06</v>
          </cell>
          <cell r="CO9430">
            <v>19429.473999999998</v>
          </cell>
        </row>
        <row r="9431">
          <cell r="CJ9431" t="str">
            <v xml:space="preserve">NFT-/XUTR/DEUTH02512528773X </v>
          </cell>
          <cell r="CK9431" t="str">
            <v>2025-05-05</v>
          </cell>
          <cell r="CL9431">
            <v>1104.511</v>
          </cell>
          <cell r="CM9431" t="str">
            <v xml:space="preserve">AXISCN0971534111 </v>
          </cell>
          <cell r="CN9431" t="str">
            <v>2025-05-06</v>
          </cell>
          <cell r="CO9431">
            <v>9408.2890000000007</v>
          </cell>
        </row>
        <row r="9432">
          <cell r="CJ9432" t="str">
            <v xml:space="preserve">NFT-/XUTR/DEUTH02512528773X </v>
          </cell>
          <cell r="CK9432" t="str">
            <v>2025-05-05</v>
          </cell>
          <cell r="CL9432">
            <v>893.89499999999998</v>
          </cell>
          <cell r="CM9432" t="str">
            <v xml:space="preserve">AXISCN0971534111 </v>
          </cell>
          <cell r="CN9432" t="str">
            <v>2025-05-06</v>
          </cell>
          <cell r="CO9432">
            <v>10861.239</v>
          </cell>
        </row>
        <row r="9433">
          <cell r="CJ9433" t="str">
            <v xml:space="preserve">NFT-/XUTR/DEUTH02512528773X </v>
          </cell>
          <cell r="CK9433" t="str">
            <v>2025-05-05</v>
          </cell>
          <cell r="CL9433">
            <v>743.45799999999997</v>
          </cell>
          <cell r="CM9433" t="str">
            <v xml:space="preserve">AXISCN0971534111 </v>
          </cell>
          <cell r="CN9433" t="str">
            <v>2025-05-06</v>
          </cell>
          <cell r="CO9433">
            <v>9769.3420000000006</v>
          </cell>
        </row>
        <row r="9434">
          <cell r="CM9434" t="str">
            <v xml:space="preserve">AXISCN0971534111 </v>
          </cell>
          <cell r="CN9434" t="str">
            <v>2025-05-06</v>
          </cell>
          <cell r="CO9434">
            <v>51942.754000000001</v>
          </cell>
        </row>
        <row r="9435">
          <cell r="CJ9435" t="str">
            <v xml:space="preserve">NFT-/XUTR/DEUTH02512528773X </v>
          </cell>
          <cell r="CK9435" t="str">
            <v>2025-05-05</v>
          </cell>
          <cell r="CL9435">
            <v>629.9</v>
          </cell>
          <cell r="CM9435" t="str">
            <v xml:space="preserve">AXISCN0971534111 </v>
          </cell>
          <cell r="CN9435" t="str">
            <v>2025-05-06</v>
          </cell>
          <cell r="CO9435">
            <v>20288.868999999999</v>
          </cell>
        </row>
        <row r="9436">
          <cell r="CJ9436" t="str">
            <v xml:space="preserve">NFT-/XUTR/DEUTH02512528773X </v>
          </cell>
          <cell r="CK9436" t="str">
            <v>2025-05-05</v>
          </cell>
          <cell r="CL9436">
            <v>318.35000000000002</v>
          </cell>
          <cell r="CM9436" t="str">
            <v xml:space="preserve">AXISCN0971534111 </v>
          </cell>
          <cell r="CN9436" t="str">
            <v>2025-05-06</v>
          </cell>
          <cell r="CO9436">
            <v>10194.450999999999</v>
          </cell>
        </row>
        <row r="9437">
          <cell r="CJ9437" t="str">
            <v xml:space="preserve">NFT-/XUTR/DEUTH02512528773X </v>
          </cell>
          <cell r="CK9437" t="str">
            <v>2025-05-05</v>
          </cell>
          <cell r="CL9437">
            <v>1470.425</v>
          </cell>
          <cell r="CM9437" t="str">
            <v xml:space="preserve">AXISCN0971534111 </v>
          </cell>
          <cell r="CN9437" t="str">
            <v>2025-05-06</v>
          </cell>
          <cell r="CO9437">
            <v>19429.473999999998</v>
          </cell>
        </row>
        <row r="9438">
          <cell r="CJ9438" t="str">
            <v xml:space="preserve">NFT-/XUTR/DEUTH02512528773X </v>
          </cell>
          <cell r="CK9438" t="str">
            <v>2025-05-05</v>
          </cell>
          <cell r="CL9438">
            <v>743.45799999999997</v>
          </cell>
          <cell r="CM9438" t="str">
            <v xml:space="preserve">AXISCN0971534111 </v>
          </cell>
          <cell r="CN9438" t="str">
            <v>2025-05-06</v>
          </cell>
          <cell r="CO9438">
            <v>9769.3420000000006</v>
          </cell>
        </row>
        <row r="9439">
          <cell r="CJ9439" t="str">
            <v xml:space="preserve">NFT-/XUTR/DEUTH02512528773X </v>
          </cell>
          <cell r="CK9439" t="str">
            <v>2025-05-05</v>
          </cell>
          <cell r="CL9439">
            <v>318.35000000000002</v>
          </cell>
          <cell r="CM9439" t="str">
            <v xml:space="preserve">AXISCN0971534111 </v>
          </cell>
          <cell r="CN9439" t="str">
            <v>2025-05-06</v>
          </cell>
          <cell r="CO9439">
            <v>10213.331</v>
          </cell>
        </row>
        <row r="9441">
          <cell r="CM9441" t="str">
            <v xml:space="preserve">AXISCN0971534111 </v>
          </cell>
          <cell r="CN9441" t="str">
            <v>2025-05-06</v>
          </cell>
          <cell r="CO9441">
            <v>105667.42</v>
          </cell>
        </row>
        <row r="9442">
          <cell r="CJ9442" t="str">
            <v xml:space="preserve">NFT-/XUTR/DEUTH02512742333X </v>
          </cell>
          <cell r="CK9442" t="str">
            <v>2025-05-07</v>
          </cell>
          <cell r="CL9442">
            <v>83606.256999999998</v>
          </cell>
        </row>
        <row r="9443">
          <cell r="CJ9443" t="str">
            <v xml:space="preserve">NFT-/XUTR/DEUTH02512968625X </v>
          </cell>
          <cell r="CK9443" t="str">
            <v>2025-05-09</v>
          </cell>
          <cell r="CL9443">
            <v>76.680000000000007</v>
          </cell>
          <cell r="CM9443" t="str">
            <v xml:space="preserve">NFT-/XUTR/DEUTH02512742333X </v>
          </cell>
          <cell r="CN9443" t="str">
            <v>2025-05-07</v>
          </cell>
          <cell r="CO9443">
            <v>10348.773999999999</v>
          </cell>
        </row>
        <row r="9444">
          <cell r="CJ9444" t="str">
            <v xml:space="preserve">NFT-/XUTR/DEUTH02512742333X </v>
          </cell>
          <cell r="CK9444" t="str">
            <v>2025-05-07</v>
          </cell>
          <cell r="CL9444">
            <v>10425.455</v>
          </cell>
        </row>
        <row r="9445">
          <cell r="CJ9445" t="str">
            <v xml:space="preserve">NFT-/XUTR/DEUTH02512742333X </v>
          </cell>
          <cell r="CK9445" t="str">
            <v>2025-05-07</v>
          </cell>
          <cell r="CL9445">
            <v>10425.455</v>
          </cell>
        </row>
        <row r="9446">
          <cell r="CJ9446" t="str">
            <v xml:space="preserve">NFT-/XUTR/DEUTH02512742333X </v>
          </cell>
          <cell r="CK9446" t="str">
            <v>2025-05-07</v>
          </cell>
          <cell r="CL9446">
            <v>5970.5119999999997</v>
          </cell>
        </row>
        <row r="9447">
          <cell r="CJ9447" t="str">
            <v xml:space="preserve">NFT-/XUTR/DEUTH02512742333X </v>
          </cell>
          <cell r="CK9447" t="str">
            <v>2025-05-07</v>
          </cell>
          <cell r="CL9447">
            <v>5970.5119999999997</v>
          </cell>
        </row>
        <row r="9448">
          <cell r="CJ9448" t="str">
            <v xml:space="preserve">NFT-/XUTR/DEUTH02512742333X </v>
          </cell>
          <cell r="CK9448" t="str">
            <v>2025-05-07</v>
          </cell>
          <cell r="CL9448">
            <v>10425.455</v>
          </cell>
        </row>
        <row r="9449">
          <cell r="CJ9449" t="str">
            <v xml:space="preserve">NFT-/XUTR/DEUTH02512742333X </v>
          </cell>
          <cell r="CK9449" t="str">
            <v>2025-05-07</v>
          </cell>
          <cell r="CL9449">
            <v>6212.6229999999996</v>
          </cell>
        </row>
        <row r="9450">
          <cell r="CJ9450" t="str">
            <v xml:space="preserve">NFT-/XUTR/DEUTH02512742333X </v>
          </cell>
          <cell r="CK9450" t="str">
            <v>2025-05-07</v>
          </cell>
          <cell r="CL9450">
            <v>10444.334000000001</v>
          </cell>
        </row>
        <row r="9451">
          <cell r="CJ9451" t="str">
            <v xml:space="preserve">NFT-/XUTR/DEUTH02512742333X </v>
          </cell>
          <cell r="CK9451" t="str">
            <v>2025-05-07</v>
          </cell>
          <cell r="CL9451">
            <v>6193.7430000000004</v>
          </cell>
        </row>
        <row r="9453">
          <cell r="CJ9453" t="str">
            <v xml:space="preserve">NFT-/XUTR/DEUTH02512742333X </v>
          </cell>
          <cell r="CK9453" t="str">
            <v>2025-05-07</v>
          </cell>
          <cell r="CL9453">
            <v>20725.187000000002</v>
          </cell>
        </row>
        <row r="9454">
          <cell r="CJ9454" t="str">
            <v xml:space="preserve">NFT-/XUTR/DEUTH02512742333X </v>
          </cell>
          <cell r="CK9454" t="str">
            <v>2025-05-07</v>
          </cell>
          <cell r="CL9454">
            <v>20812.542000000001</v>
          </cell>
        </row>
        <row r="9455">
          <cell r="CJ9455" t="str">
            <v xml:space="preserve">NFT-/XUTR/DEUTH02512920299X </v>
          </cell>
          <cell r="CK9455" t="str">
            <v>2025-05-09</v>
          </cell>
          <cell r="CL9455">
            <v>3011.2040000000002</v>
          </cell>
        </row>
        <row r="9456">
          <cell r="CJ9456" t="str">
            <v xml:space="preserve">NFT-/XUTR/DEUTH02513204205X </v>
          </cell>
          <cell r="CK9456" t="str">
            <v>2025-05-12</v>
          </cell>
          <cell r="CL9456">
            <v>20812.542000000001</v>
          </cell>
        </row>
        <row r="9457">
          <cell r="CJ9457" t="str">
            <v xml:space="preserve">NFT-/XUTR/DEUTH02513204205X </v>
          </cell>
          <cell r="CK9457" t="str">
            <v>2025-05-12</v>
          </cell>
          <cell r="CL9457">
            <v>10483.151</v>
          </cell>
        </row>
        <row r="9458">
          <cell r="CJ9458" t="str">
            <v xml:space="preserve">NFT-/XUTR/DEUTH02512920299X </v>
          </cell>
          <cell r="CK9458" t="str">
            <v>2025-05-09</v>
          </cell>
          <cell r="CL9458">
            <v>1496.1669999999999</v>
          </cell>
        </row>
        <row r="9459">
          <cell r="CJ9459" t="str">
            <v xml:space="preserve">NFT-/XUTR/DEUTH02513204205X </v>
          </cell>
          <cell r="CK9459" t="str">
            <v>2025-05-12</v>
          </cell>
          <cell r="CL9459">
            <v>10483.151</v>
          </cell>
        </row>
        <row r="9460">
          <cell r="CJ9460" t="str">
            <v xml:space="preserve">NFT-/XUTR/DEUTH02513204205X </v>
          </cell>
          <cell r="CK9460" t="str">
            <v>2025-05-12</v>
          </cell>
          <cell r="CL9460">
            <v>2631.7310000000002</v>
          </cell>
        </row>
        <row r="9461">
          <cell r="CJ9461" t="str">
            <v xml:space="preserve">NFT-/XUTR/DEUTH02513204205X </v>
          </cell>
          <cell r="CK9461" t="str">
            <v>2025-05-12</v>
          </cell>
          <cell r="CL9461">
            <v>31438.133000000002</v>
          </cell>
        </row>
        <row r="9462">
          <cell r="CJ9462" t="str">
            <v xml:space="preserve">NFT-/XUTR/DEUTH02513204205X </v>
          </cell>
          <cell r="CK9462" t="str">
            <v>2025-05-12</v>
          </cell>
          <cell r="CL9462">
            <v>104063.59299999999</v>
          </cell>
        </row>
        <row r="9463">
          <cell r="CJ9463" t="str">
            <v xml:space="preserve">NFT-/XUTR/DEUTH02513204205X </v>
          </cell>
          <cell r="CK9463" t="str">
            <v>2025-05-12</v>
          </cell>
          <cell r="CL9463">
            <v>41655.294000000002</v>
          </cell>
        </row>
        <row r="9464">
          <cell r="CJ9464" t="str">
            <v xml:space="preserve">NFT-/XUTR/DEUTH02512920299X </v>
          </cell>
          <cell r="CK9464" t="str">
            <v>2025-05-09</v>
          </cell>
          <cell r="CL9464">
            <v>1524.748</v>
          </cell>
        </row>
        <row r="9465">
          <cell r="CJ9465" t="str">
            <v xml:space="preserve">NFT-/XUTR/DEUTH02512920299X </v>
          </cell>
          <cell r="CK9465" t="str">
            <v>2025-05-09</v>
          </cell>
          <cell r="CL9465">
            <v>5999.0940000000001</v>
          </cell>
        </row>
        <row r="9466">
          <cell r="CJ9466" t="str">
            <v xml:space="preserve">NFT-/XUTR/DEUTH02512920299X </v>
          </cell>
          <cell r="CK9466" t="str">
            <v>2025-05-09</v>
          </cell>
          <cell r="CL9466">
            <v>80873.645000000004</v>
          </cell>
          <cell r="CM9466" t="str">
            <v xml:space="preserve">NFT-/XUTR/DEUTH02512968625X </v>
          </cell>
          <cell r="CN9466" t="str">
            <v>2025-05-09</v>
          </cell>
          <cell r="CO9466">
            <v>3053.4229999999998</v>
          </cell>
        </row>
        <row r="9467">
          <cell r="CJ9467" t="str">
            <v xml:space="preserve">NFT-/XUTR/DEUTH02513204205X </v>
          </cell>
          <cell r="CK9467" t="str">
            <v>2025-05-12</v>
          </cell>
          <cell r="CL9467">
            <v>9936.2800000000007</v>
          </cell>
          <cell r="CM9467" t="str">
            <v xml:space="preserve">NFT-/XUTR/DEUTH02513259438X </v>
          </cell>
          <cell r="CN9467" t="str">
            <v>2025-05-12</v>
          </cell>
          <cell r="CO9467">
            <v>527.99099999999999</v>
          </cell>
        </row>
        <row r="9468">
          <cell r="CJ9468" t="str">
            <v xml:space="preserve">NFT-/XUTR/DEUTH02513204205X </v>
          </cell>
          <cell r="CK9468" t="str">
            <v>2025-05-12</v>
          </cell>
          <cell r="CL9468">
            <v>9869.7520000000004</v>
          </cell>
          <cell r="CM9468" t="str">
            <v xml:space="preserve">NFT-/XUTR/DEUTH02513259438X </v>
          </cell>
          <cell r="CN9468" t="str">
            <v>2025-05-12</v>
          </cell>
          <cell r="CO9468">
            <v>613.399</v>
          </cell>
        </row>
        <row r="9469">
          <cell r="CJ9469" t="str">
            <v xml:space="preserve">NFT-/XUTR/DEUTH02513204205X </v>
          </cell>
          <cell r="CK9469" t="str">
            <v>2025-05-12</v>
          </cell>
          <cell r="CL9469">
            <v>19776.404999999999</v>
          </cell>
          <cell r="CM9469" t="str">
            <v xml:space="preserve">NFT-/XUTR/DEUTH02513259438X </v>
          </cell>
          <cell r="CN9469" t="str">
            <v>2025-05-12</v>
          </cell>
          <cell r="CO9469">
            <v>1045.306</v>
          </cell>
        </row>
        <row r="9470">
          <cell r="CJ9470" t="str">
            <v xml:space="preserve">NFT-/XUTR/DEUTH02513204205X </v>
          </cell>
          <cell r="CK9470" t="str">
            <v>2025-05-12</v>
          </cell>
          <cell r="CL9470">
            <v>9955.16</v>
          </cell>
          <cell r="CM9470" t="str">
            <v xml:space="preserve">NFT-/XUTR/DEUTH02513259438X </v>
          </cell>
          <cell r="CN9470" t="str">
            <v>2025-05-12</v>
          </cell>
          <cell r="CO9470">
            <v>527.99099999999999</v>
          </cell>
        </row>
        <row r="9471">
          <cell r="CJ9471" t="str">
            <v xml:space="preserve">NFT-/XUTR/DEUTH02513204205X </v>
          </cell>
          <cell r="CK9471" t="str">
            <v>2025-05-12</v>
          </cell>
          <cell r="CL9471">
            <v>9858.1029999999992</v>
          </cell>
          <cell r="CM9471" t="str">
            <v xml:space="preserve">NFT-/XUTR/DEUTH02513259438X </v>
          </cell>
          <cell r="CN9471" t="str">
            <v>2025-05-12</v>
          </cell>
          <cell r="CO9471">
            <v>625.04899999999998</v>
          </cell>
        </row>
        <row r="9472">
          <cell r="CJ9472" t="str">
            <v xml:space="preserve">NFT-/XUTR/DEUTH02513204205X </v>
          </cell>
          <cell r="CK9472" t="str">
            <v>2025-05-12</v>
          </cell>
          <cell r="CL9472">
            <v>9905.6579999999994</v>
          </cell>
          <cell r="CM9472" t="str">
            <v xml:space="preserve">NFT-/XUTR/DEUTH02513259438X </v>
          </cell>
          <cell r="CN9472" t="str">
            <v>2025-05-12</v>
          </cell>
          <cell r="CO9472">
            <v>577.49300000000005</v>
          </cell>
        </row>
        <row r="9473">
          <cell r="CJ9473" t="str">
            <v xml:space="preserve">NFT-/XUTR/DEUTH02513204205X </v>
          </cell>
          <cell r="CK9473" t="str">
            <v>2025-05-12</v>
          </cell>
          <cell r="CL9473">
            <v>9858.1020000000008</v>
          </cell>
          <cell r="CM9473" t="str">
            <v xml:space="preserve">NFT-/XUTR/DEUTH02513259438X </v>
          </cell>
          <cell r="CN9473" t="str">
            <v>2025-05-12</v>
          </cell>
          <cell r="CO9473">
            <v>625.04899999999998</v>
          </cell>
        </row>
        <row r="9474">
          <cell r="CJ9474" t="str">
            <v xml:space="preserve">NFT-/XUTR/DEUTH02513204205X </v>
          </cell>
          <cell r="CK9474" t="str">
            <v>2025-05-12</v>
          </cell>
          <cell r="CL9474">
            <v>10464.271000000001</v>
          </cell>
        </row>
        <row r="9475">
          <cell r="CJ9475" t="str">
            <v xml:space="preserve">NFT-/XUTR/DEUTH02513204205X </v>
          </cell>
          <cell r="CK9475" t="str">
            <v>2025-05-12</v>
          </cell>
          <cell r="CL9475">
            <v>49138.239999999998</v>
          </cell>
          <cell r="CM9475" t="str">
            <v xml:space="preserve">NFT-/XUTR/DEUTH02513259438X </v>
          </cell>
          <cell r="CN9475" t="str">
            <v>2025-05-12</v>
          </cell>
          <cell r="CO9475">
            <v>2590.4630000000002</v>
          </cell>
        </row>
        <row r="9476">
          <cell r="CJ9476" t="str">
            <v xml:space="preserve">NFT-/XUTR/DEUTH02513204205X </v>
          </cell>
          <cell r="CK9476" t="str">
            <v>2025-05-12</v>
          </cell>
          <cell r="CL9476">
            <v>10483.151</v>
          </cell>
        </row>
        <row r="9477">
          <cell r="CJ9477" t="str">
            <v xml:space="preserve">NFT-/XUTR/DEUTH02513204205X </v>
          </cell>
          <cell r="CK9477" t="str">
            <v>2025-05-12</v>
          </cell>
          <cell r="CL9477">
            <v>40389.447999999997</v>
          </cell>
          <cell r="CM9477" t="str">
            <v xml:space="preserve">NFT-/XUTR/DEUTH02513259438X </v>
          </cell>
          <cell r="CN9477" t="str">
            <v>2025-05-12</v>
          </cell>
          <cell r="CO9477">
            <v>1253.9839999999999</v>
          </cell>
        </row>
        <row r="9478">
          <cell r="CJ9478" t="str">
            <v xml:space="preserve">NFT-/XUTR/DEUTH02513204205X </v>
          </cell>
          <cell r="CK9478" t="str">
            <v>2025-05-12</v>
          </cell>
          <cell r="CL9478">
            <v>9512.1360000000004</v>
          </cell>
          <cell r="CM9478" t="str">
            <v xml:space="preserve">NFT-/XUTR/DEUTH02513259438X </v>
          </cell>
          <cell r="CN9478" t="str">
            <v>2025-05-12</v>
          </cell>
          <cell r="CO9478">
            <v>952.13599999999997</v>
          </cell>
        </row>
        <row r="9479">
          <cell r="CJ9479" t="str">
            <v xml:space="preserve">NFT-/XUTR/DEUTH02513204205X </v>
          </cell>
          <cell r="CK9479" t="str">
            <v>2025-05-12</v>
          </cell>
          <cell r="CL9479">
            <v>19660.467000000001</v>
          </cell>
          <cell r="CM9479" t="str">
            <v xml:space="preserve">NFT-/XUTR/DEUTH02513259438X </v>
          </cell>
          <cell r="CN9479" t="str">
            <v>2025-05-12</v>
          </cell>
          <cell r="CO9479">
            <v>1142.364</v>
          </cell>
        </row>
        <row r="9480">
          <cell r="CJ9480" t="str">
            <v xml:space="preserve">NFT-/XUTR/DEUTH02513204205X </v>
          </cell>
          <cell r="CK9480" t="str">
            <v>2025-05-12</v>
          </cell>
          <cell r="CL9480">
            <v>49119.360000000001</v>
          </cell>
          <cell r="CM9480" t="str">
            <v xml:space="preserve">NFT-/XUTR/DEUTH02513259438X </v>
          </cell>
          <cell r="CN9480" t="str">
            <v>2025-05-12</v>
          </cell>
          <cell r="CO9480">
            <v>2590.4630000000002</v>
          </cell>
        </row>
        <row r="9481">
          <cell r="CJ9481" t="str">
            <v xml:space="preserve">NFT-/XUTR/DEUTH02513204205X </v>
          </cell>
          <cell r="CK9481" t="str">
            <v>2025-05-12</v>
          </cell>
          <cell r="CL9481">
            <v>49119.360000000001</v>
          </cell>
          <cell r="CM9481" t="str">
            <v xml:space="preserve">NFT-/XUTR/DEUTH02513259438X </v>
          </cell>
          <cell r="CN9481" t="str">
            <v>2025-05-12</v>
          </cell>
          <cell r="CO9481">
            <v>2590.4630000000002</v>
          </cell>
        </row>
        <row r="9482">
          <cell r="CJ9482" t="str">
            <v xml:space="preserve">NFT-/XUTR/DEUTH02513204205X </v>
          </cell>
          <cell r="CK9482" t="str">
            <v>2025-05-12</v>
          </cell>
          <cell r="CL9482">
            <v>48644.748</v>
          </cell>
          <cell r="CM9482" t="str">
            <v xml:space="preserve">NFT-/XUTR/DEUTH02513259438X </v>
          </cell>
          <cell r="CN9482" t="str">
            <v>2025-05-12</v>
          </cell>
          <cell r="CO9482">
            <v>3065.0740000000001</v>
          </cell>
        </row>
        <row r="9483">
          <cell r="CJ9483" t="str">
            <v xml:space="preserve">NFT-/XUTR/DEUTH02513204205X </v>
          </cell>
          <cell r="CK9483" t="str">
            <v>2025-05-12</v>
          </cell>
          <cell r="CL9483">
            <v>2553.5529999999999</v>
          </cell>
          <cell r="CM9483" t="str">
            <v xml:space="preserve">NFT-/XUTR/DEUTH02513259438X </v>
          </cell>
          <cell r="CN9483" t="str">
            <v>2025-05-12</v>
          </cell>
          <cell r="CO9483">
            <v>97.057000000000002</v>
          </cell>
        </row>
        <row r="9485">
          <cell r="CJ9485" t="str">
            <v xml:space="preserve">NFT-/XUTR/DEUTH02512920299X </v>
          </cell>
          <cell r="CK9485" t="str">
            <v>2025-05-09</v>
          </cell>
          <cell r="CL9485">
            <v>1505.8679999999999</v>
          </cell>
        </row>
        <row r="9486">
          <cell r="CJ9486" t="str">
            <v xml:space="preserve">NFT-/XUTR/DEUTH02512920299X </v>
          </cell>
          <cell r="CK9486" t="str">
            <v>2025-05-09</v>
          </cell>
          <cell r="CL9486">
            <v>5999.0940000000001</v>
          </cell>
        </row>
        <row r="9487">
          <cell r="CJ9487" t="str">
            <v xml:space="preserve">NFT-/XUTR/DEUTH02513204205X </v>
          </cell>
          <cell r="CK9487" t="str">
            <v>2025-05-12</v>
          </cell>
          <cell r="CL9487">
            <v>9955.16</v>
          </cell>
          <cell r="CM9487" t="str">
            <v xml:space="preserve">NFT-/XUTR/DEUTH02513259438X </v>
          </cell>
          <cell r="CN9487" t="str">
            <v>2025-05-12</v>
          </cell>
          <cell r="CO9487">
            <v>527.99099999999999</v>
          </cell>
        </row>
        <row r="9488">
          <cell r="CJ9488" t="str">
            <v xml:space="preserve">NFT-/XUTR/DEUTH02513204205X </v>
          </cell>
          <cell r="CK9488" t="str">
            <v>2025-05-12</v>
          </cell>
          <cell r="CL9488">
            <v>49119.360000000001</v>
          </cell>
          <cell r="CM9488" t="str">
            <v xml:space="preserve">NFT-/XUTR/DEUTH02513259438X </v>
          </cell>
          <cell r="CN9488" t="str">
            <v>2025-05-12</v>
          </cell>
          <cell r="CO9488">
            <v>2590.4630000000002</v>
          </cell>
        </row>
        <row r="9489">
          <cell r="CJ9489" t="str">
            <v xml:space="preserve">NFT-/XUTR/DEUTH02513204205X </v>
          </cell>
          <cell r="CK9489" t="str">
            <v>2025-05-12</v>
          </cell>
          <cell r="CL9489">
            <v>0</v>
          </cell>
          <cell r="CM9489" t="str">
            <v xml:space="preserve">NFT-/XUTR/DEUTH02513259438X </v>
          </cell>
          <cell r="CN9489" t="str">
            <v>2025-05-12</v>
          </cell>
          <cell r="CO9489">
            <v>0</v>
          </cell>
        </row>
        <row r="9490">
          <cell r="CJ9490" t="str">
            <v xml:space="preserve">NFT-/XUTR/DEUTH02513204205X </v>
          </cell>
          <cell r="CK9490" t="str">
            <v>2025-05-12</v>
          </cell>
          <cell r="CL9490">
            <v>49138.239999999998</v>
          </cell>
          <cell r="CM9490" t="str">
            <v xml:space="preserve">NFT-/XUTR/DEUTH02513259438X </v>
          </cell>
          <cell r="CN9490" t="str">
            <v>2025-05-12</v>
          </cell>
          <cell r="CO9490">
            <v>2590.4630000000002</v>
          </cell>
        </row>
        <row r="9491">
          <cell r="CJ9491" t="str">
            <v xml:space="preserve">NFT-/XUTR/DEUTH02513204205X </v>
          </cell>
          <cell r="CK9491" t="str">
            <v>2025-05-12</v>
          </cell>
          <cell r="CL9491">
            <v>9936.2800000000007</v>
          </cell>
          <cell r="CM9491" t="str">
            <v xml:space="preserve">NFT-/XUTR/DEUTH02513259438X </v>
          </cell>
          <cell r="CN9491" t="str">
            <v>2025-05-12</v>
          </cell>
          <cell r="CO9491">
            <v>527.99099999999999</v>
          </cell>
        </row>
        <row r="9492">
          <cell r="CJ9492" t="str">
            <v xml:space="preserve">NFT-/XUTR/DEUTH02513204205X </v>
          </cell>
          <cell r="CK9492" t="str">
            <v>2025-05-12</v>
          </cell>
          <cell r="CL9492">
            <v>9955.1610000000001</v>
          </cell>
          <cell r="CM9492" t="str">
            <v xml:space="preserve">NFT-/XUTR/DEUTH02513259438X </v>
          </cell>
          <cell r="CN9492" t="str">
            <v>2025-05-12</v>
          </cell>
          <cell r="CO9492">
            <v>527.99199999999996</v>
          </cell>
        </row>
        <row r="9493">
          <cell r="CJ9493" t="str">
            <v xml:space="preserve">NFT-/XUTR/DEUTH02513204205X </v>
          </cell>
          <cell r="CK9493" t="str">
            <v>2025-05-12</v>
          </cell>
          <cell r="CL9493">
            <v>9936.2800000000007</v>
          </cell>
          <cell r="CM9493" t="str">
            <v xml:space="preserve">NFT-/XUTR/DEUTH02513259438X </v>
          </cell>
          <cell r="CN9493" t="str">
            <v>2025-05-12</v>
          </cell>
          <cell r="CO9493">
            <v>527.99099999999999</v>
          </cell>
        </row>
        <row r="9494">
          <cell r="CJ9494" t="str">
            <v xml:space="preserve">NFT-/XUTR/DEUTH02513204205X </v>
          </cell>
          <cell r="CK9494" t="str">
            <v>2025-05-12</v>
          </cell>
          <cell r="CL9494">
            <v>0</v>
          </cell>
          <cell r="CM9494" t="str">
            <v xml:space="preserve">NFT-/XUTR/DEUTH02513259438X </v>
          </cell>
          <cell r="CN9494" t="str">
            <v>2025-05-12</v>
          </cell>
          <cell r="CO9494">
            <v>0</v>
          </cell>
        </row>
        <row r="9495">
          <cell r="CJ9495" t="str">
            <v xml:space="preserve">NFT-/XUTR/DEUTH02513204205X </v>
          </cell>
          <cell r="CK9495" t="str">
            <v>2025-05-12</v>
          </cell>
          <cell r="CL9495">
            <v>9955.16</v>
          </cell>
          <cell r="CM9495" t="str">
            <v xml:space="preserve">NFT-/XUTR/DEUTH02513259438X </v>
          </cell>
          <cell r="CN9495" t="str">
            <v>2025-05-12</v>
          </cell>
          <cell r="CO9495">
            <v>527.99099999999999</v>
          </cell>
          <cell r="CP9495" t="str">
            <v xml:space="preserve">AXISCN0978143446 </v>
          </cell>
          <cell r="CQ9495" t="str">
            <v>2025-05-19</v>
          </cell>
          <cell r="CR9495">
            <v>-9955.16</v>
          </cell>
          <cell r="CS9495" t="str">
            <v xml:space="preserve">NFT-/XUTR/DEUTH02513953805X </v>
          </cell>
          <cell r="CT9495" t="str">
            <v>2025-05-19</v>
          </cell>
          <cell r="CU9495">
            <v>-527.99099999999999</v>
          </cell>
        </row>
        <row r="9496">
          <cell r="CJ9496" t="str">
            <v xml:space="preserve">NFT-/XUTR/DEUTH02513204205X </v>
          </cell>
          <cell r="CK9496" t="str">
            <v>2025-05-12</v>
          </cell>
          <cell r="CL9496">
            <v>19679.348000000002</v>
          </cell>
          <cell r="CM9496" t="str">
            <v xml:space="preserve">NFT-/XUTR/DEUTH02513259438X </v>
          </cell>
          <cell r="CN9496" t="str">
            <v>2025-05-12</v>
          </cell>
          <cell r="CO9496">
            <v>1142.3630000000001</v>
          </cell>
        </row>
        <row r="9497">
          <cell r="CJ9497" t="str">
            <v xml:space="preserve">NFT-/XUTR/DEUTH02513204205X </v>
          </cell>
          <cell r="CK9497" t="str">
            <v>2025-05-12</v>
          </cell>
          <cell r="CL9497">
            <v>10464.271000000001</v>
          </cell>
        </row>
        <row r="9498">
          <cell r="CJ9498" t="str">
            <v xml:space="preserve">NFT-/XUTR/DEUTH02513204205X </v>
          </cell>
          <cell r="CK9498" t="str">
            <v>2025-05-12</v>
          </cell>
          <cell r="CL9498">
            <v>9782.3979999999992</v>
          </cell>
          <cell r="CM9498" t="str">
            <v xml:space="preserve">NFT-/XUTR/DEUTH02513259438X </v>
          </cell>
          <cell r="CN9498" t="str">
            <v>2025-05-12</v>
          </cell>
          <cell r="CO9498">
            <v>700.755</v>
          </cell>
        </row>
        <row r="9499">
          <cell r="CJ9499" t="str">
            <v xml:space="preserve">NFT-/XUTR/DEUTH02513204205X </v>
          </cell>
          <cell r="CK9499" t="str">
            <v>2025-05-12</v>
          </cell>
          <cell r="CL9499">
            <v>49138.239999999998</v>
          </cell>
          <cell r="CM9499" t="str">
            <v xml:space="preserve">NFT-/XUTR/DEUTH02513259438X </v>
          </cell>
          <cell r="CN9499" t="str">
            <v>2025-05-12</v>
          </cell>
          <cell r="CO9499">
            <v>2590.4630000000002</v>
          </cell>
        </row>
        <row r="9500">
          <cell r="CJ9500" t="str">
            <v xml:space="preserve">NFT-/XUTR/DEUTH02513204205X </v>
          </cell>
          <cell r="CK9500" t="str">
            <v>2025-05-12</v>
          </cell>
          <cell r="CL9500">
            <v>19757.525000000001</v>
          </cell>
          <cell r="CM9500" t="str">
            <v xml:space="preserve">NFT-/XUTR/DEUTH02513259438X </v>
          </cell>
          <cell r="CN9500" t="str">
            <v>2025-05-12</v>
          </cell>
          <cell r="CO9500">
            <v>1045.306</v>
          </cell>
        </row>
        <row r="9501">
          <cell r="CJ9501" t="str">
            <v xml:space="preserve">NFT-/XUTR/DEUTH02513204205X </v>
          </cell>
          <cell r="CK9501" t="str">
            <v>2025-05-12</v>
          </cell>
          <cell r="CL9501">
            <v>5906.8980000000001</v>
          </cell>
          <cell r="CM9501" t="str">
            <v xml:space="preserve">NFT-/XUTR/DEUTH02513259438X </v>
          </cell>
          <cell r="CN9501" t="str">
            <v>2025-05-12</v>
          </cell>
          <cell r="CO9501">
            <v>315.43599999999998</v>
          </cell>
        </row>
        <row r="9502">
          <cell r="CJ9502" t="str">
            <v xml:space="preserve">NFT-/XUTR/DEUTH02512920299X </v>
          </cell>
          <cell r="CK9502" t="str">
            <v>2025-05-09</v>
          </cell>
          <cell r="CL9502">
            <v>1505.8679999999999</v>
          </cell>
        </row>
        <row r="9503">
          <cell r="CJ9503" t="str">
            <v xml:space="preserve">NFT-/XUTR/DEUTH02512920299X </v>
          </cell>
          <cell r="CK9503" t="str">
            <v>2025-05-09</v>
          </cell>
          <cell r="CL9503">
            <v>5999.0940000000001</v>
          </cell>
        </row>
        <row r="9504">
          <cell r="CJ9504" t="str">
            <v xml:space="preserve">NFT-/XUTR/DEUTH02512920299X </v>
          </cell>
          <cell r="CK9504" t="str">
            <v>2025-05-09</v>
          </cell>
          <cell r="CL9504">
            <v>6133.8339999999998</v>
          </cell>
        </row>
        <row r="9505">
          <cell r="CJ9505" t="str">
            <v xml:space="preserve">NFT-/XUTR/DEUTH02512920299X </v>
          </cell>
          <cell r="CK9505" t="str">
            <v>2025-05-09</v>
          </cell>
          <cell r="CL9505">
            <v>5999.0940000000001</v>
          </cell>
        </row>
        <row r="9506">
          <cell r="CJ9506" t="str">
            <v xml:space="preserve">NFT-/XUTR/DEUTH02513204205X </v>
          </cell>
          <cell r="CK9506" t="str">
            <v>2025-05-12</v>
          </cell>
          <cell r="CL9506">
            <v>50154.953999999998</v>
          </cell>
          <cell r="CM9506" t="str">
            <v xml:space="preserve">NFT-/XUTR/DEUTH02513259438X </v>
          </cell>
          <cell r="CN9506" t="str">
            <v>2025-05-12</v>
          </cell>
          <cell r="CO9506">
            <v>1554.8579999999999</v>
          </cell>
        </row>
        <row r="9507">
          <cell r="CJ9507" t="str">
            <v xml:space="preserve">NFT-/XUTR/DEUTH02513204205X </v>
          </cell>
          <cell r="CK9507" t="str">
            <v>2025-05-12</v>
          </cell>
          <cell r="CL9507">
            <v>10146.896000000001</v>
          </cell>
          <cell r="CM9507" t="str">
            <v xml:space="preserve">NFT-/XUTR/DEUTH02513259438X </v>
          </cell>
          <cell r="CN9507" t="str">
            <v>2025-05-12</v>
          </cell>
          <cell r="CO9507">
            <v>317.37599999999998</v>
          </cell>
        </row>
        <row r="9508">
          <cell r="CJ9508" t="str">
            <v xml:space="preserve">NFT-/XUTR/DEUTH02513204205X </v>
          </cell>
          <cell r="CK9508" t="str">
            <v>2025-05-12</v>
          </cell>
          <cell r="CL9508">
            <v>56963.981</v>
          </cell>
        </row>
        <row r="9509">
          <cell r="CJ9509" t="str">
            <v xml:space="preserve">NFT-/XUTR/DEUTH02513204205X </v>
          </cell>
          <cell r="CK9509" t="str">
            <v>2025-05-12</v>
          </cell>
          <cell r="CL9509">
            <v>9936.2800000000007</v>
          </cell>
          <cell r="CM9509" t="str">
            <v xml:space="preserve">NFT-/XUTR/DEUTH02513259438X </v>
          </cell>
          <cell r="CN9509" t="str">
            <v>2025-05-12</v>
          </cell>
          <cell r="CO9509">
            <v>527.99099999999999</v>
          </cell>
        </row>
        <row r="9510">
          <cell r="CJ9510" t="str">
            <v xml:space="preserve">NFT-/XUTR/DEUTH02513204205X </v>
          </cell>
          <cell r="CK9510" t="str">
            <v>2025-05-12</v>
          </cell>
          <cell r="CL9510">
            <v>19757.525000000001</v>
          </cell>
          <cell r="CM9510" t="str">
            <v xml:space="preserve">NFT-/XUTR/DEUTH02513259438X </v>
          </cell>
          <cell r="CN9510" t="str">
            <v>2025-05-12</v>
          </cell>
          <cell r="CO9510">
            <v>1045.306</v>
          </cell>
        </row>
        <row r="9511">
          <cell r="CJ9511" t="str">
            <v xml:space="preserve">NFT-/XUTR/DEUTH02513204205X </v>
          </cell>
          <cell r="CK9511" t="str">
            <v>2025-05-12</v>
          </cell>
          <cell r="CL9511">
            <v>49138.239999999998</v>
          </cell>
          <cell r="CM9511" t="str">
            <v xml:space="preserve">NFT-/XUTR/DEUTH02513259438X </v>
          </cell>
          <cell r="CN9511" t="str">
            <v>2025-05-12</v>
          </cell>
          <cell r="CO9511">
            <v>2590.4630000000002</v>
          </cell>
        </row>
        <row r="9512">
          <cell r="CJ9512" t="str">
            <v xml:space="preserve">NFT-/XUTR/DEUTH02513204205X </v>
          </cell>
          <cell r="CK9512" t="str">
            <v>2025-05-12</v>
          </cell>
          <cell r="CL9512">
            <v>10483.151</v>
          </cell>
        </row>
        <row r="9513">
          <cell r="CJ9513" t="str">
            <v xml:space="preserve">NFT-/XUTR/DEUTH02513204205X </v>
          </cell>
          <cell r="CK9513" t="str">
            <v>2025-05-12</v>
          </cell>
          <cell r="CL9513">
            <v>18805.830000000002</v>
          </cell>
          <cell r="CM9513" t="str">
            <v xml:space="preserve">NFT-/XUTR/DEUTH02513259438X </v>
          </cell>
          <cell r="CN9513" t="str">
            <v>2025-05-12</v>
          </cell>
          <cell r="CO9513">
            <v>2015.8810000000001</v>
          </cell>
        </row>
        <row r="9514">
          <cell r="CJ9514" t="str">
            <v xml:space="preserve">NFT-/XUTR/DEUTH02513204205X </v>
          </cell>
          <cell r="CK9514" t="str">
            <v>2025-05-12</v>
          </cell>
          <cell r="CL9514">
            <v>10483.151</v>
          </cell>
        </row>
        <row r="9515">
          <cell r="CJ9515" t="str">
            <v xml:space="preserve">NFT-/XUTR/DEUTH02513204205X </v>
          </cell>
          <cell r="CK9515" t="str">
            <v>2025-05-12</v>
          </cell>
          <cell r="CL9515">
            <v>9839.223</v>
          </cell>
          <cell r="CM9515" t="str">
            <v xml:space="preserve">NFT-/XUTR/DEUTH02513259438X </v>
          </cell>
          <cell r="CN9515" t="str">
            <v>2025-05-12</v>
          </cell>
          <cell r="CO9515">
            <v>625.04899999999998</v>
          </cell>
        </row>
        <row r="9516">
          <cell r="CJ9516" t="str">
            <v xml:space="preserve">NFT-/XUTR/DEUTH02513204205X </v>
          </cell>
          <cell r="CK9516" t="str">
            <v>2025-05-12</v>
          </cell>
          <cell r="CL9516">
            <v>9955.16</v>
          </cell>
          <cell r="CM9516" t="str">
            <v xml:space="preserve">NFT-/XUTR/DEUTH02513259438X </v>
          </cell>
          <cell r="CN9516" t="str">
            <v>2025-05-12</v>
          </cell>
          <cell r="CO9516">
            <v>527.99099999999999</v>
          </cell>
        </row>
        <row r="9517">
          <cell r="CJ9517" t="str">
            <v xml:space="preserve">NFT-/XUTR/DEUTH02513204205X </v>
          </cell>
          <cell r="CK9517" t="str">
            <v>2025-05-12</v>
          </cell>
          <cell r="CL9517">
            <v>19757.525000000001</v>
          </cell>
          <cell r="CM9517" t="str">
            <v xml:space="preserve">NFT-/XUTR/DEUTH02513259438X </v>
          </cell>
          <cell r="CN9517" t="str">
            <v>2025-05-12</v>
          </cell>
          <cell r="CO9517">
            <v>1045.306</v>
          </cell>
        </row>
        <row r="9518">
          <cell r="CJ9518" t="str">
            <v xml:space="preserve">NFT-/XUTR/DEUTH02513204205X </v>
          </cell>
          <cell r="CK9518" t="str">
            <v>2025-05-12</v>
          </cell>
          <cell r="CL9518">
            <v>9936.2800000000007</v>
          </cell>
          <cell r="CM9518" t="str">
            <v xml:space="preserve">NFT-/XUTR/DEUTH02513259438X </v>
          </cell>
          <cell r="CN9518" t="str">
            <v>2025-05-12</v>
          </cell>
          <cell r="CO9518">
            <v>527.99099999999999</v>
          </cell>
        </row>
        <row r="9519">
          <cell r="CJ9519" t="str">
            <v xml:space="preserve">NFT-/XUTR/DEUTH02513204205X </v>
          </cell>
          <cell r="CK9519" t="str">
            <v>2025-05-12</v>
          </cell>
          <cell r="CL9519">
            <v>98276.47</v>
          </cell>
          <cell r="CM9519" t="str">
            <v xml:space="preserve">NFT-/XUTR/DEUTH02513259438X </v>
          </cell>
          <cell r="CN9519" t="str">
            <v>2025-05-12</v>
          </cell>
          <cell r="CO9519">
            <v>5180.9260000000004</v>
          </cell>
        </row>
        <row r="9520">
          <cell r="CJ9520" t="str">
            <v xml:space="preserve">NFT-/XUTR/DEUTH02513204205X </v>
          </cell>
          <cell r="CK9520" t="str">
            <v>2025-05-12</v>
          </cell>
          <cell r="CL9520">
            <v>19776.404999999999</v>
          </cell>
          <cell r="CM9520" t="str">
            <v xml:space="preserve">NFT-/XUTR/DEUTH02513259438X </v>
          </cell>
          <cell r="CN9520" t="str">
            <v>2025-05-12</v>
          </cell>
          <cell r="CO9520">
            <v>1045.306</v>
          </cell>
        </row>
        <row r="9521">
          <cell r="CJ9521" t="str">
            <v xml:space="preserve">NFT-/XUTR/DEUTH02513204205X </v>
          </cell>
          <cell r="CK9521" t="str">
            <v>2025-05-12</v>
          </cell>
          <cell r="CL9521">
            <v>98276.47</v>
          </cell>
          <cell r="CM9521" t="str">
            <v xml:space="preserve">NFT-/XUTR/DEUTH02513259438X </v>
          </cell>
          <cell r="CN9521" t="str">
            <v>2025-05-12</v>
          </cell>
          <cell r="CO9521">
            <v>5180.9260000000004</v>
          </cell>
        </row>
        <row r="9522">
          <cell r="CJ9522" t="str">
            <v xml:space="preserve">NFT-/XUTR/DEUTH02513204205X </v>
          </cell>
          <cell r="CK9522" t="str">
            <v>2025-05-12</v>
          </cell>
          <cell r="CL9522">
            <v>9839.223</v>
          </cell>
          <cell r="CM9522" t="str">
            <v xml:space="preserve">NFT-/XUTR/DEUTH02513259438X </v>
          </cell>
          <cell r="CN9522" t="str">
            <v>2025-05-12</v>
          </cell>
          <cell r="CO9522">
            <v>625.04899999999998</v>
          </cell>
        </row>
        <row r="9523">
          <cell r="CJ9523" t="str">
            <v xml:space="preserve">NFT-/XUTR/DEUTH02512920299X </v>
          </cell>
          <cell r="CK9523" t="str">
            <v>2025-05-09</v>
          </cell>
          <cell r="CL9523">
            <v>1524.748</v>
          </cell>
        </row>
        <row r="9524">
          <cell r="CJ9524" t="str">
            <v xml:space="preserve">NFT-/XUTR/DEUTH02512920299X </v>
          </cell>
          <cell r="CK9524" t="str">
            <v>2025-05-09</v>
          </cell>
          <cell r="CL9524">
            <v>3011.2040000000002</v>
          </cell>
        </row>
        <row r="9525">
          <cell r="CJ9525" t="str">
            <v xml:space="preserve">NFT-/XUTR/DEUTH02512920299X </v>
          </cell>
          <cell r="CK9525" t="str">
            <v>2025-05-09</v>
          </cell>
          <cell r="CL9525">
            <v>1496.1669999999999</v>
          </cell>
        </row>
        <row r="9526">
          <cell r="CJ9526" t="str">
            <v xml:space="preserve">NFT-/XUTR/DEUTH02512920299X </v>
          </cell>
          <cell r="CK9526" t="str">
            <v>2025-05-09</v>
          </cell>
          <cell r="CL9526">
            <v>5883.1559999999999</v>
          </cell>
          <cell r="CM9526" t="str">
            <v xml:space="preserve">NFT-/XUTR/DEUTH02512968625X </v>
          </cell>
          <cell r="CN9526" t="str">
            <v>2025-05-09</v>
          </cell>
          <cell r="CO9526">
            <v>97.058000000000007</v>
          </cell>
        </row>
        <row r="9527">
          <cell r="CJ9527" t="str">
            <v xml:space="preserve">NFT-/XUTR/DEUTH02513204205X </v>
          </cell>
          <cell r="CK9527" t="str">
            <v>2025-05-12</v>
          </cell>
          <cell r="CL9527">
            <v>10146.896000000001</v>
          </cell>
          <cell r="CM9527" t="str">
            <v xml:space="preserve">NFT-/XUTR/DEUTH02513259438X </v>
          </cell>
          <cell r="CN9527" t="str">
            <v>2025-05-12</v>
          </cell>
          <cell r="CO9527">
            <v>317.37599999999998</v>
          </cell>
        </row>
        <row r="9528">
          <cell r="CJ9528" t="str">
            <v xml:space="preserve">NFT-/XUTR/DEUTH02513204205X </v>
          </cell>
          <cell r="CK9528" t="str">
            <v>2025-05-12</v>
          </cell>
          <cell r="CL9528">
            <v>10464.271000000001</v>
          </cell>
        </row>
        <row r="9529">
          <cell r="CJ9529" t="str">
            <v xml:space="preserve">NFT-/XUTR/DEUTH02513204205X </v>
          </cell>
          <cell r="CK9529" t="str">
            <v>2025-05-12</v>
          </cell>
          <cell r="CL9529">
            <v>20821.710999999999</v>
          </cell>
        </row>
        <row r="9530">
          <cell r="CJ9530" t="str">
            <v xml:space="preserve">NFT-/XUTR/DEUTH02513204205X </v>
          </cell>
          <cell r="CK9530" t="str">
            <v>2025-05-12</v>
          </cell>
          <cell r="CL9530">
            <v>20812.542000000001</v>
          </cell>
        </row>
        <row r="9531">
          <cell r="CJ9531" t="str">
            <v xml:space="preserve">NFT-/XUTR/DEUTH02513204205X </v>
          </cell>
          <cell r="CK9531" t="str">
            <v>2025-05-12</v>
          </cell>
          <cell r="CL9531">
            <v>49119.360000000001</v>
          </cell>
          <cell r="CM9531" t="str">
            <v xml:space="preserve">NFT-/XUTR/DEUTH02513259438X </v>
          </cell>
          <cell r="CN9531" t="str">
            <v>2025-05-12</v>
          </cell>
          <cell r="CO9531">
            <v>2590.4630000000002</v>
          </cell>
        </row>
        <row r="9532">
          <cell r="CJ9532" t="str">
            <v xml:space="preserve">NFT-/XUTR/DEUTH02513204205X </v>
          </cell>
          <cell r="CK9532" t="str">
            <v>2025-05-12</v>
          </cell>
          <cell r="CL9532">
            <v>19776.404999999999</v>
          </cell>
          <cell r="CM9532" t="str">
            <v xml:space="preserve">NFT-/XUTR/DEUTH02513259438X </v>
          </cell>
          <cell r="CN9532" t="str">
            <v>2025-05-12</v>
          </cell>
          <cell r="CO9532">
            <v>1045.306</v>
          </cell>
        </row>
        <row r="9533">
          <cell r="CJ9533" t="str">
            <v xml:space="preserve">NFT-/XUTR/DEUTH02513204205X </v>
          </cell>
          <cell r="CK9533" t="str">
            <v>2025-05-12</v>
          </cell>
          <cell r="CL9533">
            <v>10464.271000000001</v>
          </cell>
        </row>
        <row r="9534">
          <cell r="CJ9534" t="str">
            <v xml:space="preserve">NFT-/XUTR/DEUTH02513204205X </v>
          </cell>
          <cell r="CK9534" t="str">
            <v>2025-05-12</v>
          </cell>
          <cell r="CL9534">
            <v>49560.968999999997</v>
          </cell>
          <cell r="CM9534" t="str">
            <v xml:space="preserve">NFT-/XUTR/DEUTH02513259438X </v>
          </cell>
          <cell r="CN9534" t="str">
            <v>2025-05-12</v>
          </cell>
          <cell r="CO9534">
            <v>2148.8530000000001</v>
          </cell>
        </row>
        <row r="9535">
          <cell r="CJ9535" t="str">
            <v xml:space="preserve">NFT-/XUTR/DEUTH02513204205X </v>
          </cell>
          <cell r="CK9535" t="str">
            <v>2025-05-12</v>
          </cell>
          <cell r="CL9535">
            <v>9592.6929999999993</v>
          </cell>
          <cell r="CM9535" t="str">
            <v xml:space="preserve">NFT-/XUTR/DEUTH02513259438X </v>
          </cell>
          <cell r="CN9535" t="str">
            <v>2025-05-12</v>
          </cell>
          <cell r="CO9535">
            <v>871.57899999999995</v>
          </cell>
        </row>
        <row r="9536">
          <cell r="CJ9536" t="str">
            <v xml:space="preserve">NFT-/XUTR/DEUTH02513204205X </v>
          </cell>
          <cell r="CK9536" t="str">
            <v>2025-05-12</v>
          </cell>
          <cell r="CL9536">
            <v>9936.2800000000007</v>
          </cell>
          <cell r="CM9536" t="str">
            <v xml:space="preserve">NFT-/XUTR/DEUTH02513259438X </v>
          </cell>
          <cell r="CN9536" t="str">
            <v>2025-05-12</v>
          </cell>
          <cell r="CO9536">
            <v>527.99099999999999</v>
          </cell>
        </row>
        <row r="9537">
          <cell r="CJ9537" t="str">
            <v xml:space="preserve">NFT-/XUTR/DEUTH02513204205X </v>
          </cell>
          <cell r="CK9537" t="str">
            <v>2025-05-12</v>
          </cell>
          <cell r="CL9537">
            <v>49041.182000000001</v>
          </cell>
          <cell r="CM9537" t="str">
            <v xml:space="preserve">NFT-/XUTR/DEUTH02513259438X </v>
          </cell>
          <cell r="CN9537" t="str">
            <v>2025-05-12</v>
          </cell>
          <cell r="CO9537">
            <v>2687.5210000000002</v>
          </cell>
        </row>
        <row r="9538">
          <cell r="CJ9538" t="str">
            <v xml:space="preserve">NFT-/XUTR/DEUTH02513204205X </v>
          </cell>
          <cell r="CK9538" t="str">
            <v>2025-05-12</v>
          </cell>
          <cell r="CL9538">
            <v>9936.2800000000007</v>
          </cell>
          <cell r="CM9538" t="str">
            <v xml:space="preserve">NFT-/XUTR/DEUTH02513259438X </v>
          </cell>
          <cell r="CN9538" t="str">
            <v>2025-05-12</v>
          </cell>
          <cell r="CO9538">
            <v>527.99099999999999</v>
          </cell>
        </row>
        <row r="9539">
          <cell r="CJ9539" t="str">
            <v xml:space="preserve">NFT-/XUTR/DEUTH02513204205X </v>
          </cell>
          <cell r="CK9539" t="str">
            <v>2025-05-12</v>
          </cell>
          <cell r="CL9539">
            <v>19776.404999999999</v>
          </cell>
          <cell r="CM9539" t="str">
            <v xml:space="preserve">NFT-/XUTR/DEUTH02513259438X </v>
          </cell>
          <cell r="CN9539" t="str">
            <v>2025-05-12</v>
          </cell>
          <cell r="CO9539">
            <v>1045.306</v>
          </cell>
        </row>
        <row r="9540">
          <cell r="CJ9540" t="str">
            <v xml:space="preserve">NFT-/XUTR/DEUTH02513204205X </v>
          </cell>
          <cell r="CK9540" t="str">
            <v>2025-05-12</v>
          </cell>
          <cell r="CL9540">
            <v>0</v>
          </cell>
          <cell r="CM9540" t="str">
            <v xml:space="preserve">NFT-/XUTR/DEUTH02513259438X </v>
          </cell>
          <cell r="CN9540" t="str">
            <v>2025-05-12</v>
          </cell>
          <cell r="CO9540">
            <v>0</v>
          </cell>
        </row>
        <row r="9541">
          <cell r="CJ9541" t="str">
            <v xml:space="preserve">NFT-/XUTR/DEUTH02513204205X </v>
          </cell>
          <cell r="CK9541" t="str">
            <v>2025-05-12</v>
          </cell>
          <cell r="CL9541">
            <v>19776.404999999999</v>
          </cell>
          <cell r="CM9541" t="str">
            <v xml:space="preserve">NFT-/XUTR/DEUTH02513259438X </v>
          </cell>
          <cell r="CN9541" t="str">
            <v>2025-05-12</v>
          </cell>
          <cell r="CO9541">
            <v>1045.306</v>
          </cell>
        </row>
        <row r="9542">
          <cell r="CJ9542" t="str">
            <v xml:space="preserve">NFT-/XUTR/DEUTH02512920299X </v>
          </cell>
          <cell r="CK9542" t="str">
            <v>2025-05-09</v>
          </cell>
          <cell r="CL9542">
            <v>6091.3540000000003</v>
          </cell>
        </row>
        <row r="9543">
          <cell r="CJ9543" t="str">
            <v xml:space="preserve">NFT-/XUTR/DEUTH02512920299X </v>
          </cell>
          <cell r="CK9543" t="str">
            <v>2025-05-09</v>
          </cell>
          <cell r="CL9543">
            <v>1505.8679999999999</v>
          </cell>
        </row>
        <row r="9544">
          <cell r="CJ9544" t="str">
            <v xml:space="preserve">NFT-/XUTR/DEUTH02512920299X </v>
          </cell>
          <cell r="CK9544" t="str">
            <v>2025-05-09</v>
          </cell>
          <cell r="CL9544">
            <v>5883.1559999999999</v>
          </cell>
          <cell r="CM9544" t="str">
            <v xml:space="preserve">NFT-/XUTR/DEUTH02512968625X </v>
          </cell>
          <cell r="CN9544" t="str">
            <v>2025-05-09</v>
          </cell>
          <cell r="CO9544">
            <v>97.058000000000007</v>
          </cell>
        </row>
        <row r="9546">
          <cell r="CJ9546" t="str">
            <v xml:space="preserve">NFT-/XUTR/DEUTH02513204205X </v>
          </cell>
          <cell r="CK9546" t="str">
            <v>2025-05-12</v>
          </cell>
          <cell r="CL9546">
            <v>19757.525000000001</v>
          </cell>
          <cell r="CM9546" t="str">
            <v xml:space="preserve">NFT-/XUTR/DEUTH02513259438X </v>
          </cell>
          <cell r="CN9546" t="str">
            <v>2025-05-12</v>
          </cell>
          <cell r="CO9546">
            <v>1045.306</v>
          </cell>
        </row>
        <row r="9547">
          <cell r="CJ9547" t="str">
            <v xml:space="preserve">NFT-/XUTR/DEUTH02513204205X </v>
          </cell>
          <cell r="CK9547" t="str">
            <v>2025-05-12</v>
          </cell>
          <cell r="CL9547">
            <v>19776.404999999999</v>
          </cell>
          <cell r="CM9547" t="str">
            <v xml:space="preserve">NFT-/XUTR/DEUTH02513259438X </v>
          </cell>
          <cell r="CN9547" t="str">
            <v>2025-05-12</v>
          </cell>
          <cell r="CO9547">
            <v>1045.306</v>
          </cell>
        </row>
        <row r="9548">
          <cell r="CJ9548" t="str">
            <v xml:space="preserve">NFT-/XUTR/DEUTH02513204205X </v>
          </cell>
          <cell r="CK9548" t="str">
            <v>2025-05-12</v>
          </cell>
          <cell r="CL9548">
            <v>10464.271000000001</v>
          </cell>
        </row>
        <row r="9549">
          <cell r="CJ9549" t="str">
            <v xml:space="preserve">NFT-/XUTR/DEUTH02513204205X </v>
          </cell>
          <cell r="CK9549" t="str">
            <v>2025-05-12</v>
          </cell>
          <cell r="CL9549">
            <v>49022.302000000003</v>
          </cell>
          <cell r="CM9549" t="str">
            <v xml:space="preserve">NFT-/XUTR/DEUTH02513259438X </v>
          </cell>
          <cell r="CN9549" t="str">
            <v>2025-05-12</v>
          </cell>
          <cell r="CO9549">
            <v>2687.5210000000002</v>
          </cell>
        </row>
        <row r="9550">
          <cell r="CJ9550" t="str">
            <v xml:space="preserve">NFT-/XUTR/DEUTH02513204205X </v>
          </cell>
          <cell r="CK9550" t="str">
            <v>2025-05-12</v>
          </cell>
          <cell r="CL9550">
            <v>51748.105000000003</v>
          </cell>
        </row>
        <row r="9551">
          <cell r="CJ9551" t="str">
            <v xml:space="preserve">NFT-/XUTR/DEUTH02513204205X </v>
          </cell>
          <cell r="CK9551" t="str">
            <v>2025-05-12</v>
          </cell>
          <cell r="CL9551">
            <v>9427.1689999999999</v>
          </cell>
          <cell r="CM9551" t="str">
            <v xml:space="preserve">NFT-/XUTR/DEUTH02513259438X </v>
          </cell>
          <cell r="CN9551" t="str">
            <v>2025-05-12</v>
          </cell>
          <cell r="CO9551">
            <v>1055.9839999999999</v>
          </cell>
        </row>
        <row r="9552">
          <cell r="CJ9552" t="str">
            <v xml:space="preserve">NFT-/XUTR/DEUTH02513204205X </v>
          </cell>
          <cell r="CK9552" t="str">
            <v>2025-05-12</v>
          </cell>
          <cell r="CL9552">
            <v>9839.223</v>
          </cell>
          <cell r="CM9552" t="str">
            <v xml:space="preserve">NFT-/XUTR/DEUTH02513259438X </v>
          </cell>
          <cell r="CN9552" t="str">
            <v>2025-05-12</v>
          </cell>
          <cell r="CO9552">
            <v>625.04899999999998</v>
          </cell>
        </row>
        <row r="9553">
          <cell r="CJ9553" t="str">
            <v xml:space="preserve">NFT-/XUTR/DEUTH02513204205X </v>
          </cell>
          <cell r="CK9553" t="str">
            <v>2025-05-12</v>
          </cell>
          <cell r="CL9553">
            <v>98029.937999999995</v>
          </cell>
          <cell r="CM9553" t="str">
            <v xml:space="preserve">NFT-/XUTR/DEUTH02513259438X </v>
          </cell>
          <cell r="CN9553" t="str">
            <v>2025-05-12</v>
          </cell>
          <cell r="CO9553">
            <v>5427.4560000000001</v>
          </cell>
        </row>
        <row r="9554">
          <cell r="CJ9554" t="str">
            <v xml:space="preserve">NFT-/XUTR/DEUTH02513204205X </v>
          </cell>
          <cell r="CK9554" t="str">
            <v>2025-05-12</v>
          </cell>
          <cell r="CL9554">
            <v>9955.16</v>
          </cell>
          <cell r="CM9554" t="str">
            <v xml:space="preserve">NFT-/XUTR/DEUTH02513259438X </v>
          </cell>
          <cell r="CN9554" t="str">
            <v>2025-05-12</v>
          </cell>
          <cell r="CO9554">
            <v>527.99099999999999</v>
          </cell>
        </row>
        <row r="9555">
          <cell r="CJ9555" t="str">
            <v xml:space="preserve">NFT-/XUTR/DEUTH02513204205X </v>
          </cell>
          <cell r="CK9555" t="str">
            <v>2025-05-12</v>
          </cell>
          <cell r="CL9555">
            <v>98276.47</v>
          </cell>
          <cell r="CM9555" t="str">
            <v xml:space="preserve">NFT-/XUTR/DEUTH02513259438X </v>
          </cell>
          <cell r="CN9555" t="str">
            <v>2025-05-12</v>
          </cell>
          <cell r="CO9555">
            <v>5180.9260000000004</v>
          </cell>
        </row>
        <row r="9556">
          <cell r="CJ9556" t="str">
            <v xml:space="preserve">NFT-/XUTR/DEUTH02513204205X </v>
          </cell>
          <cell r="CK9556" t="str">
            <v>2025-05-12</v>
          </cell>
          <cell r="CL9556">
            <v>98257.59</v>
          </cell>
          <cell r="CM9556" t="str">
            <v xml:space="preserve">NFT-/XUTR/DEUTH02513259438X </v>
          </cell>
          <cell r="CN9556" t="str">
            <v>2025-05-12</v>
          </cell>
          <cell r="CO9556">
            <v>5180.9260000000004</v>
          </cell>
        </row>
        <row r="9557">
          <cell r="CJ9557" t="str">
            <v xml:space="preserve">NFT-/XUTR/DEUTH02513204205X </v>
          </cell>
          <cell r="CK9557" t="str">
            <v>2025-05-12</v>
          </cell>
          <cell r="CL9557">
            <v>0</v>
          </cell>
          <cell r="CM9557" t="str">
            <v xml:space="preserve">NFT-/XUTR/DEUTH02513259438X </v>
          </cell>
          <cell r="CN9557" t="str">
            <v>2025-05-12</v>
          </cell>
          <cell r="CO9557">
            <v>0</v>
          </cell>
        </row>
        <row r="9558">
          <cell r="CJ9558" t="str">
            <v xml:space="preserve">NFT-/XUTR/DEUTH02513204205X </v>
          </cell>
          <cell r="CK9558" t="str">
            <v>2025-05-12</v>
          </cell>
          <cell r="CL9558">
            <v>49119.360000000001</v>
          </cell>
          <cell r="CM9558" t="str">
            <v xml:space="preserve">NFT-/XUTR/DEUTH02513259438X </v>
          </cell>
          <cell r="CN9558" t="str">
            <v>2025-05-12</v>
          </cell>
          <cell r="CO9558">
            <v>2590.4630000000002</v>
          </cell>
        </row>
        <row r="9559">
          <cell r="CJ9559" t="str">
            <v xml:space="preserve">NFT-/XUTR/DEUTH02512920299X </v>
          </cell>
          <cell r="CK9559" t="str">
            <v>2025-05-09</v>
          </cell>
          <cell r="CL9559">
            <v>5980.2139999999999</v>
          </cell>
        </row>
        <row r="9560">
          <cell r="CJ9560" t="str">
            <v xml:space="preserve">NFT-/XUTR/DEUTH02512920299X </v>
          </cell>
          <cell r="CK9560" t="str">
            <v>2025-05-09</v>
          </cell>
          <cell r="CL9560">
            <v>104034.477</v>
          </cell>
        </row>
        <row r="9561">
          <cell r="CJ9561" t="str">
            <v xml:space="preserve">NFT-/XUTR/DEUTH02512920299X </v>
          </cell>
          <cell r="CK9561" t="str">
            <v>2025-05-09</v>
          </cell>
          <cell r="CL9561">
            <v>1505.8679999999999</v>
          </cell>
        </row>
        <row r="9562">
          <cell r="CJ9562" t="str">
            <v xml:space="preserve">NFT-/XUTR/DEUTH02513204205X </v>
          </cell>
          <cell r="CK9562" t="str">
            <v>2025-05-12</v>
          </cell>
          <cell r="CL9562">
            <v>9936.2800000000007</v>
          </cell>
          <cell r="CM9562" t="str">
            <v xml:space="preserve">NFT-/XUTR/DEUTH02513259438X </v>
          </cell>
          <cell r="CN9562" t="str">
            <v>2025-05-12</v>
          </cell>
          <cell r="CO9562">
            <v>527.99099999999999</v>
          </cell>
        </row>
        <row r="9563">
          <cell r="CJ9563" t="str">
            <v xml:space="preserve">NFT-/XUTR/DEUTH02513204205X </v>
          </cell>
          <cell r="CK9563" t="str">
            <v>2025-05-12</v>
          </cell>
          <cell r="CL9563">
            <v>49138.239999999998</v>
          </cell>
          <cell r="CM9563" t="str">
            <v xml:space="preserve">NFT-/XUTR/DEUTH02513259438X </v>
          </cell>
          <cell r="CN9563" t="str">
            <v>2025-05-12</v>
          </cell>
          <cell r="CO9563">
            <v>2590.4630000000002</v>
          </cell>
        </row>
        <row r="9564">
          <cell r="CJ9564" t="str">
            <v xml:space="preserve">NFT-/XUTR/DEUTH02513204205X </v>
          </cell>
          <cell r="CK9564" t="str">
            <v>2025-05-12</v>
          </cell>
          <cell r="CL9564">
            <v>39552.81</v>
          </cell>
          <cell r="CM9564" t="str">
            <v xml:space="preserve">NFT-/XUTR/DEUTH02513259438X </v>
          </cell>
          <cell r="CN9564" t="str">
            <v>2025-05-12</v>
          </cell>
          <cell r="CO9564">
            <v>2090.6219999999998</v>
          </cell>
        </row>
        <row r="9565">
          <cell r="CJ9565" t="str">
            <v xml:space="preserve">NFT-/XUTR/DEUTH02513204205X </v>
          </cell>
          <cell r="CK9565" t="str">
            <v>2025-05-12</v>
          </cell>
          <cell r="CL9565">
            <v>49119.360000000001</v>
          </cell>
          <cell r="CM9565" t="str">
            <v xml:space="preserve">NFT-/XUTR/DEUTH02513259438X </v>
          </cell>
          <cell r="CN9565" t="str">
            <v>2025-05-12</v>
          </cell>
          <cell r="CO9565">
            <v>2590.4630000000002</v>
          </cell>
        </row>
        <row r="9566">
          <cell r="CJ9566" t="str">
            <v xml:space="preserve">NFT-/XUTR/DEUTH02513204205X </v>
          </cell>
          <cell r="CK9566" t="str">
            <v>2025-05-12</v>
          </cell>
          <cell r="CL9566">
            <v>9936.2800000000007</v>
          </cell>
          <cell r="CM9566" t="str">
            <v xml:space="preserve">NFT-/XUTR/DEUTH02513259438X </v>
          </cell>
          <cell r="CN9566" t="str">
            <v>2025-05-12</v>
          </cell>
          <cell r="CO9566">
            <v>527.99099999999999</v>
          </cell>
        </row>
        <row r="9567">
          <cell r="CJ9567" t="str">
            <v xml:space="preserve">NFT-/XUTR/DEUTH02513204205X </v>
          </cell>
          <cell r="CK9567" t="str">
            <v>2025-05-12</v>
          </cell>
          <cell r="CL9567">
            <v>19757.525000000001</v>
          </cell>
          <cell r="CM9567" t="str">
            <v xml:space="preserve">NFT-/XUTR/DEUTH02513259438X </v>
          </cell>
          <cell r="CN9567" t="str">
            <v>2025-05-12</v>
          </cell>
          <cell r="CO9567">
            <v>1045.306</v>
          </cell>
        </row>
        <row r="9568">
          <cell r="CJ9568" t="str">
            <v xml:space="preserve">NFT-/XUTR/DEUTH02513204205X </v>
          </cell>
          <cell r="CK9568" t="str">
            <v>2025-05-12</v>
          </cell>
          <cell r="CL9568">
            <v>49128.800000000003</v>
          </cell>
          <cell r="CM9568" t="str">
            <v xml:space="preserve">NFT-/XUTR/DEUTH02513259438X </v>
          </cell>
          <cell r="CN9568" t="str">
            <v>2025-05-12</v>
          </cell>
          <cell r="CO9568">
            <v>2590.4630000000002</v>
          </cell>
        </row>
        <row r="9569">
          <cell r="CJ9569" t="str">
            <v xml:space="preserve">NFT-/XUTR/DEUTH02513204205X </v>
          </cell>
          <cell r="CK9569" t="str">
            <v>2025-05-12</v>
          </cell>
          <cell r="CL9569">
            <v>10146.896000000001</v>
          </cell>
          <cell r="CM9569" t="str">
            <v xml:space="preserve">NFT-/XUTR/DEUTH02513259438X </v>
          </cell>
          <cell r="CN9569" t="str">
            <v>2025-05-12</v>
          </cell>
          <cell r="CO9569">
            <v>317.37599999999998</v>
          </cell>
        </row>
        <row r="9570">
          <cell r="CJ9570" t="str">
            <v xml:space="preserve">NFT-/XUTR/DEUTH02513204205X </v>
          </cell>
          <cell r="CK9570" t="str">
            <v>2025-05-12</v>
          </cell>
          <cell r="CL9570">
            <v>49075.682000000001</v>
          </cell>
          <cell r="CM9570" t="str">
            <v xml:space="preserve">NFT-/XUTR/DEUTH02513259438X </v>
          </cell>
          <cell r="CN9570" t="str">
            <v>2025-05-12</v>
          </cell>
          <cell r="CO9570">
            <v>2634.1410000000001</v>
          </cell>
        </row>
        <row r="9571">
          <cell r="CJ9571" t="str">
            <v xml:space="preserve">NFT-/XUTR/DEUTH02513204205X </v>
          </cell>
          <cell r="CK9571" t="str">
            <v>2025-05-12</v>
          </cell>
          <cell r="CL9571">
            <v>19776.404999999999</v>
          </cell>
          <cell r="CM9571" t="str">
            <v xml:space="preserve">NFT-/XUTR/DEUTH02513259438X </v>
          </cell>
          <cell r="CN9571" t="str">
            <v>2025-05-12</v>
          </cell>
          <cell r="CO9571">
            <v>1045.306</v>
          </cell>
        </row>
        <row r="9572">
          <cell r="CJ9572" t="str">
            <v xml:space="preserve">NFT-/XUTR/DEUTH02513204205X </v>
          </cell>
          <cell r="CK9572" t="str">
            <v>2025-05-12</v>
          </cell>
          <cell r="CL9572">
            <v>9936.2800000000007</v>
          </cell>
          <cell r="CM9572" t="str">
            <v xml:space="preserve">NFT-/XUTR/DEUTH02513259438X </v>
          </cell>
          <cell r="CN9572" t="str">
            <v>2025-05-12</v>
          </cell>
          <cell r="CO9572">
            <v>527.99099999999999</v>
          </cell>
        </row>
        <row r="9573">
          <cell r="CJ9573" t="str">
            <v xml:space="preserve">NFT-/XUTR/DEUTH02513204205X </v>
          </cell>
          <cell r="CK9573" t="str">
            <v>2025-05-12</v>
          </cell>
          <cell r="CL9573">
            <v>49119.360000000001</v>
          </cell>
          <cell r="CM9573" t="str">
            <v xml:space="preserve">NFT-/XUTR/DEUTH02513259438X </v>
          </cell>
          <cell r="CN9573" t="str">
            <v>2025-05-12</v>
          </cell>
          <cell r="CO9573">
            <v>2590.4630000000002</v>
          </cell>
        </row>
        <row r="9574">
          <cell r="CJ9574" t="str">
            <v xml:space="preserve">NFT-/XUTR/DEUTH02512920299X </v>
          </cell>
          <cell r="CK9574" t="str">
            <v>2025-05-09</v>
          </cell>
          <cell r="CL9574">
            <v>11134.936</v>
          </cell>
          <cell r="CM9574" t="str">
            <v xml:space="preserve">NFT-/XUTR/DEUTH02512968625X </v>
          </cell>
          <cell r="CN9574" t="str">
            <v>2025-05-09</v>
          </cell>
          <cell r="CO9574">
            <v>591.08299999999997</v>
          </cell>
        </row>
        <row r="9575">
          <cell r="CJ9575" t="str">
            <v xml:space="preserve">NFT-/XUTR/DEUTH02512920299X </v>
          </cell>
          <cell r="CK9575" t="str">
            <v>2025-05-09</v>
          </cell>
          <cell r="CL9575">
            <v>5999.0940000000001</v>
          </cell>
        </row>
        <row r="9576">
          <cell r="CJ9576" t="str">
            <v xml:space="preserve">NFT-/XUTR/DEUTH02512920299X </v>
          </cell>
          <cell r="CK9576" t="str">
            <v>2025-05-09</v>
          </cell>
          <cell r="CL9576">
            <v>2652.56</v>
          </cell>
          <cell r="CM9576" t="str">
            <v xml:space="preserve">NFT-/XUTR/DEUTH02512968625X </v>
          </cell>
          <cell r="CN9576" t="str">
            <v>2025-05-09</v>
          </cell>
          <cell r="CO9576">
            <v>143.648</v>
          </cell>
        </row>
        <row r="9577">
          <cell r="CJ9577" t="str">
            <v xml:space="preserve">NFT-/XUTR/DEUTH02512920299X </v>
          </cell>
          <cell r="CK9577" t="str">
            <v>2025-05-09</v>
          </cell>
          <cell r="CL9577">
            <v>1505.8679999999999</v>
          </cell>
        </row>
        <row r="9578">
          <cell r="CJ9578" t="str">
            <v xml:space="preserve">NFT-/XUTR/DEUTH02513204205X </v>
          </cell>
          <cell r="CK9578" t="str">
            <v>2025-05-12</v>
          </cell>
          <cell r="CL9578">
            <v>19891.439999999999</v>
          </cell>
          <cell r="CM9578" t="str">
            <v xml:space="preserve">NFT-/XUTR/DEUTH02513259438X </v>
          </cell>
          <cell r="CN9578" t="str">
            <v>2025-05-12</v>
          </cell>
          <cell r="CO9578">
            <v>1055.982</v>
          </cell>
        </row>
        <row r="9579">
          <cell r="CJ9579" t="str">
            <v xml:space="preserve">NFT-/XUTR/DEUTH02513204205X </v>
          </cell>
          <cell r="CK9579" t="str">
            <v>2025-05-12</v>
          </cell>
          <cell r="CL9579">
            <v>48148.785000000003</v>
          </cell>
          <cell r="CM9579" t="str">
            <v xml:space="preserve">NFT-/XUTR/DEUTH02513259438X </v>
          </cell>
          <cell r="CN9579" t="str">
            <v>2025-05-12</v>
          </cell>
          <cell r="CO9579">
            <v>3561.038</v>
          </cell>
        </row>
        <row r="9580">
          <cell r="CJ9580" t="str">
            <v xml:space="preserve">NFT-/XUTR/DEUTH02513204205X </v>
          </cell>
          <cell r="CK9580" t="str">
            <v>2025-05-12</v>
          </cell>
          <cell r="CL9580">
            <v>5888.018</v>
          </cell>
          <cell r="CM9580" t="str">
            <v xml:space="preserve">NFT-/XUTR/DEUTH02513259438X </v>
          </cell>
          <cell r="CN9580" t="str">
            <v>2025-05-12</v>
          </cell>
          <cell r="CO9580">
            <v>315.43599999999998</v>
          </cell>
        </row>
        <row r="9581">
          <cell r="CJ9581" t="str">
            <v xml:space="preserve">NFT-/XUTR/DEUTH02513204205X </v>
          </cell>
          <cell r="CK9581" t="str">
            <v>2025-05-12</v>
          </cell>
          <cell r="CL9581">
            <v>19757.525000000001</v>
          </cell>
          <cell r="CM9581" t="str">
            <v xml:space="preserve">NFT-/XUTR/DEUTH02513259438X </v>
          </cell>
          <cell r="CN9581" t="str">
            <v>2025-05-12</v>
          </cell>
          <cell r="CO9581">
            <v>1045.306</v>
          </cell>
        </row>
        <row r="9582">
          <cell r="CJ9582" t="str">
            <v xml:space="preserve">NFT-/XUTR/DEUTH02513204205X </v>
          </cell>
          <cell r="CK9582" t="str">
            <v>2025-05-12</v>
          </cell>
          <cell r="CL9582">
            <v>49128.800000000003</v>
          </cell>
          <cell r="CM9582" t="str">
            <v xml:space="preserve">NFT-/XUTR/DEUTH02513259438X </v>
          </cell>
          <cell r="CN9582" t="str">
            <v>2025-05-12</v>
          </cell>
          <cell r="CO9582">
            <v>2590.4630000000002</v>
          </cell>
        </row>
        <row r="9583">
          <cell r="CJ9583" t="str">
            <v xml:space="preserve">NFT-/XUTR/DEUTH02513204205X </v>
          </cell>
          <cell r="CK9583" t="str">
            <v>2025-05-12</v>
          </cell>
          <cell r="CL9583">
            <v>9858.1020000000008</v>
          </cell>
          <cell r="CM9583" t="str">
            <v xml:space="preserve">NFT-/XUTR/DEUTH02513259438X </v>
          </cell>
          <cell r="CN9583" t="str">
            <v>2025-05-12</v>
          </cell>
          <cell r="CO9583">
            <v>625.04899999999998</v>
          </cell>
        </row>
        <row r="9584">
          <cell r="CJ9584" t="str">
            <v xml:space="preserve">NFT-/XUTR/DEUTH02513204205X </v>
          </cell>
          <cell r="CK9584" t="str">
            <v>2025-05-12</v>
          </cell>
          <cell r="CL9584">
            <v>9955.16</v>
          </cell>
          <cell r="CM9584" t="str">
            <v xml:space="preserve">NFT-/XUTR/DEUTH02513259438X </v>
          </cell>
          <cell r="CN9584" t="str">
            <v>2025-05-12</v>
          </cell>
          <cell r="CO9584">
            <v>527.99099999999999</v>
          </cell>
        </row>
        <row r="9585">
          <cell r="CJ9585" t="str">
            <v xml:space="preserve">NFT-/XUTR/DEUTH02513204205X </v>
          </cell>
          <cell r="CK9585" t="str">
            <v>2025-05-12</v>
          </cell>
          <cell r="CL9585">
            <v>0</v>
          </cell>
          <cell r="CM9585" t="str">
            <v xml:space="preserve">NFT-/XUTR/DEUTH02513259438X </v>
          </cell>
          <cell r="CN9585" t="str">
            <v>2025-05-12</v>
          </cell>
          <cell r="CO9585">
            <v>0</v>
          </cell>
        </row>
        <row r="9586">
          <cell r="CJ9586" t="str">
            <v xml:space="preserve">NFT-/XUTR/DEUTH02513204205X </v>
          </cell>
          <cell r="CK9586" t="str">
            <v>2025-05-12</v>
          </cell>
          <cell r="CL9586">
            <v>9936.2800000000007</v>
          </cell>
          <cell r="CM9586" t="str">
            <v xml:space="preserve">NFT-/XUTR/DEUTH02513259438X </v>
          </cell>
          <cell r="CN9586" t="str">
            <v>2025-05-12</v>
          </cell>
          <cell r="CO9586">
            <v>527.99099999999999</v>
          </cell>
        </row>
        <row r="9587">
          <cell r="CJ9587" t="str">
            <v xml:space="preserve">NFT-/XUTR/DEUTH02513204205X </v>
          </cell>
          <cell r="CK9587" t="str">
            <v>2025-05-12</v>
          </cell>
          <cell r="CL9587">
            <v>48756.798999999999</v>
          </cell>
          <cell r="CM9587" t="str">
            <v xml:space="preserve">NFT-/XUTR/DEUTH02513259438X </v>
          </cell>
          <cell r="CN9587" t="str">
            <v>2025-05-12</v>
          </cell>
          <cell r="CO9587">
            <v>2971.9029999999998</v>
          </cell>
        </row>
        <row r="9588">
          <cell r="CJ9588" t="str">
            <v xml:space="preserve">NFT-/XUTR/DEUTH02513204205X </v>
          </cell>
          <cell r="CK9588" t="str">
            <v>2025-05-12</v>
          </cell>
          <cell r="CL9588">
            <v>9936.2800000000007</v>
          </cell>
          <cell r="CM9588" t="str">
            <v xml:space="preserve">NFT-/XUTR/DEUTH02513259438X </v>
          </cell>
          <cell r="CN9588" t="str">
            <v>2025-05-12</v>
          </cell>
          <cell r="CO9588">
            <v>527.99099999999999</v>
          </cell>
        </row>
        <row r="9589">
          <cell r="CJ9589" t="str">
            <v xml:space="preserve">NFT-/XUTR/DEUTH02513204205X </v>
          </cell>
          <cell r="CK9589" t="str">
            <v>2025-05-12</v>
          </cell>
          <cell r="CL9589">
            <v>19757.525000000001</v>
          </cell>
          <cell r="CM9589" t="str">
            <v xml:space="preserve">NFT-/XUTR/DEUTH02513259438X </v>
          </cell>
          <cell r="CN9589" t="str">
            <v>2025-05-12</v>
          </cell>
          <cell r="CO9589">
            <v>1045.306</v>
          </cell>
        </row>
        <row r="9590">
          <cell r="CJ9590" t="str">
            <v xml:space="preserve">NFT-/XUTR/DEUTH02513204205X </v>
          </cell>
          <cell r="CK9590" t="str">
            <v>2025-05-12</v>
          </cell>
          <cell r="CL9590">
            <v>49138.239999999998</v>
          </cell>
          <cell r="CM9590" t="str">
            <v xml:space="preserve">NFT-/XUTR/DEUTH02513259438X </v>
          </cell>
          <cell r="CN9590" t="str">
            <v>2025-05-12</v>
          </cell>
          <cell r="CO9590">
            <v>2590.4630000000002</v>
          </cell>
        </row>
        <row r="9591">
          <cell r="CJ9591" t="str">
            <v xml:space="preserve">NFT-/XUTR/DEUTH02513204205X </v>
          </cell>
          <cell r="CK9591" t="str">
            <v>2025-05-12</v>
          </cell>
          <cell r="CL9591">
            <v>49119.360000000001</v>
          </cell>
          <cell r="CM9591" t="str">
            <v xml:space="preserve">NFT-/XUTR/DEUTH02513259438X </v>
          </cell>
          <cell r="CN9591" t="str">
            <v>2025-05-12</v>
          </cell>
          <cell r="CO9591">
            <v>2590.4630000000002</v>
          </cell>
        </row>
        <row r="9592">
          <cell r="CJ9592" t="str">
            <v xml:space="preserve">NFT-/XUTR/DEUTH02512920299X </v>
          </cell>
          <cell r="CK9592" t="str">
            <v>2025-05-09</v>
          </cell>
          <cell r="CL9592">
            <v>5906.8980000000001</v>
          </cell>
          <cell r="CM9592" t="str">
            <v xml:space="preserve">NFT-/XUTR/DEUTH02512968625X </v>
          </cell>
          <cell r="CN9592" t="str">
            <v>2025-05-09</v>
          </cell>
          <cell r="CO9592">
            <v>315.43599999999998</v>
          </cell>
        </row>
        <row r="9593">
          <cell r="CJ9593" t="str">
            <v xml:space="preserve">NFT-/XUTR/DEUTH02512920299X </v>
          </cell>
          <cell r="CK9593" t="str">
            <v>2025-05-09</v>
          </cell>
          <cell r="CL9593">
            <v>11134.936</v>
          </cell>
          <cell r="CM9593" t="str">
            <v xml:space="preserve">NFT-/XUTR/DEUTH02512968625X </v>
          </cell>
          <cell r="CN9593" t="str">
            <v>2025-05-09</v>
          </cell>
          <cell r="CO9593">
            <v>591.08299999999997</v>
          </cell>
        </row>
        <row r="9594">
          <cell r="CJ9594" t="str">
            <v xml:space="preserve">NFT-/XUTR/DEUTH02512920299X </v>
          </cell>
          <cell r="CK9594" t="str">
            <v>2025-05-09</v>
          </cell>
          <cell r="CL9594">
            <v>1505.8679999999999</v>
          </cell>
        </row>
        <row r="9596">
          <cell r="CJ9596" t="str">
            <v xml:space="preserve">NFT-/XUTR/DEUTH02513204205X </v>
          </cell>
          <cell r="CK9596" t="str">
            <v>2025-05-12</v>
          </cell>
          <cell r="CL9596">
            <v>9761.0450000000001</v>
          </cell>
          <cell r="CM9596" t="str">
            <v xml:space="preserve">NFT-/XUTR/DEUTH02513259438X </v>
          </cell>
          <cell r="CN9596" t="str">
            <v>2025-05-12</v>
          </cell>
          <cell r="CO9596">
            <v>722.10599999999999</v>
          </cell>
        </row>
        <row r="9597">
          <cell r="CJ9597" t="str">
            <v xml:space="preserve">NFT-/XUTR/DEUTH02513204205X </v>
          </cell>
          <cell r="CK9597" t="str">
            <v>2025-05-12</v>
          </cell>
          <cell r="CL9597">
            <v>2650.6120000000001</v>
          </cell>
        </row>
        <row r="9598">
          <cell r="CJ9598" t="str">
            <v xml:space="preserve">NFT-/XUTR/DEUTH02513204205X </v>
          </cell>
          <cell r="CK9598" t="str">
            <v>2025-05-12</v>
          </cell>
          <cell r="CL9598">
            <v>19757.525000000001</v>
          </cell>
          <cell r="CM9598" t="str">
            <v xml:space="preserve">NFT-/XUTR/DEUTH02513259438X </v>
          </cell>
          <cell r="CN9598" t="str">
            <v>2025-05-12</v>
          </cell>
          <cell r="CO9598">
            <v>1045.306</v>
          </cell>
        </row>
        <row r="9599">
          <cell r="CJ9599" t="str">
            <v xml:space="preserve">NFT-/XUTR/DEUTH02513204205X </v>
          </cell>
          <cell r="CK9599" t="str">
            <v>2025-05-12</v>
          </cell>
          <cell r="CL9599">
            <v>9427.1689999999999</v>
          </cell>
          <cell r="CM9599" t="str">
            <v xml:space="preserve">NFT-/XUTR/DEUTH02513259438X </v>
          </cell>
          <cell r="CN9599" t="str">
            <v>2025-05-12</v>
          </cell>
          <cell r="CO9599">
            <v>1055.9839999999999</v>
          </cell>
        </row>
        <row r="9600">
          <cell r="CJ9600" t="str">
            <v xml:space="preserve">NFT-/XUTR/DEUTH02513204205X </v>
          </cell>
          <cell r="CK9600" t="str">
            <v>2025-05-12</v>
          </cell>
          <cell r="CL9600">
            <v>104034.477</v>
          </cell>
        </row>
        <row r="9601">
          <cell r="CJ9601" t="str">
            <v xml:space="preserve">NFT-/XUTR/DEUTH02513204205X </v>
          </cell>
          <cell r="CK9601" t="str">
            <v>2025-05-12</v>
          </cell>
          <cell r="CL9601">
            <v>9955.1610000000001</v>
          </cell>
          <cell r="CM9601" t="str">
            <v xml:space="preserve">NFT-/XUTR/DEUTH02513259438X </v>
          </cell>
          <cell r="CN9601" t="str">
            <v>2025-05-12</v>
          </cell>
          <cell r="CO9601">
            <v>527.99199999999996</v>
          </cell>
        </row>
        <row r="9602">
          <cell r="CJ9602" t="str">
            <v xml:space="preserve">NFT-/XUTR/DEUTH02513204205X </v>
          </cell>
          <cell r="CK9602" t="str">
            <v>2025-05-12</v>
          </cell>
          <cell r="CL9602">
            <v>10483.151</v>
          </cell>
        </row>
        <row r="9603">
          <cell r="CJ9603" t="str">
            <v xml:space="preserve">NFT-/XUTR/DEUTH02513204205X </v>
          </cell>
          <cell r="CK9603" t="str">
            <v>2025-05-12</v>
          </cell>
          <cell r="CL9603">
            <v>9936.2800000000007</v>
          </cell>
          <cell r="CM9603" t="str">
            <v xml:space="preserve">NFT-/XUTR/DEUTH02513259438X </v>
          </cell>
          <cell r="CN9603" t="str">
            <v>2025-05-12</v>
          </cell>
          <cell r="CO9603">
            <v>527.99099999999999</v>
          </cell>
        </row>
        <row r="9604">
          <cell r="CJ9604" t="str">
            <v xml:space="preserve">NFT-/XUTR/DEUTH02513204205X </v>
          </cell>
          <cell r="CK9604" t="str">
            <v>2025-05-12</v>
          </cell>
          <cell r="CL9604">
            <v>5943.335</v>
          </cell>
          <cell r="CM9604" t="str">
            <v xml:space="preserve">NFT-/XUTR/DEUTH02513259438X </v>
          </cell>
          <cell r="CN9604" t="str">
            <v>2025-05-12</v>
          </cell>
          <cell r="CO9604">
            <v>250.40799999999999</v>
          </cell>
        </row>
        <row r="9605">
          <cell r="CJ9605" t="str">
            <v xml:space="preserve">NFT-/XUTR/DEUTH02513204205X </v>
          </cell>
          <cell r="CK9605" t="str">
            <v>2025-05-12</v>
          </cell>
          <cell r="CL9605">
            <v>19776.404999999999</v>
          </cell>
          <cell r="CM9605" t="str">
            <v xml:space="preserve">NFT-/XUTR/DEUTH02513259438X </v>
          </cell>
          <cell r="CN9605" t="str">
            <v>2025-05-12</v>
          </cell>
          <cell r="CO9605">
            <v>1045.306</v>
          </cell>
        </row>
        <row r="9606">
          <cell r="CJ9606" t="str">
            <v xml:space="preserve">NFT-/XUTR/DEUTH02513204205X </v>
          </cell>
          <cell r="CK9606" t="str">
            <v>2025-05-12</v>
          </cell>
          <cell r="CL9606">
            <v>49119.360000000001</v>
          </cell>
          <cell r="CM9606" t="str">
            <v xml:space="preserve">NFT-/XUTR/DEUTH02513259438X </v>
          </cell>
          <cell r="CN9606" t="str">
            <v>2025-05-12</v>
          </cell>
          <cell r="CO9606">
            <v>2590.4630000000002</v>
          </cell>
        </row>
        <row r="9607">
          <cell r="CJ9607" t="str">
            <v xml:space="preserve">NFT-/XUTR/DEUTH02513204205X </v>
          </cell>
          <cell r="CK9607" t="str">
            <v>2025-05-12</v>
          </cell>
          <cell r="CL9607">
            <v>9858.1029999999992</v>
          </cell>
          <cell r="CM9607" t="str">
            <v xml:space="preserve">NFT-/XUTR/DEUTH02513259438X </v>
          </cell>
          <cell r="CN9607" t="str">
            <v>2025-05-12</v>
          </cell>
          <cell r="CO9607">
            <v>625.04899999999998</v>
          </cell>
        </row>
        <row r="9608">
          <cell r="CJ9608" t="str">
            <v xml:space="preserve">NFT-/XUTR/DEUTH02513204205X </v>
          </cell>
          <cell r="CK9608" t="str">
            <v>2025-05-12</v>
          </cell>
          <cell r="CL9608">
            <v>9936.2800000000007</v>
          </cell>
          <cell r="CM9608" t="str">
            <v xml:space="preserve">NFT-/XUTR/DEUTH02513259438X </v>
          </cell>
          <cell r="CN9608" t="str">
            <v>2025-05-12</v>
          </cell>
          <cell r="CO9608">
            <v>527.99099999999999</v>
          </cell>
        </row>
        <row r="9609">
          <cell r="CJ9609" t="str">
            <v xml:space="preserve">NFT-/XUTR/DEUTH02513204205X </v>
          </cell>
          <cell r="CK9609" t="str">
            <v>2025-05-12</v>
          </cell>
          <cell r="CL9609">
            <v>98218.762000000002</v>
          </cell>
          <cell r="CM9609" t="str">
            <v xml:space="preserve">NFT-/XUTR/DEUTH02513259438X </v>
          </cell>
          <cell r="CN9609" t="str">
            <v>2025-05-12</v>
          </cell>
          <cell r="CO9609">
            <v>5219.7539999999999</v>
          </cell>
        </row>
        <row r="9610">
          <cell r="CJ9610" t="str">
            <v xml:space="preserve">NFT-/XUTR/DEUTH02513204205X </v>
          </cell>
          <cell r="CK9610" t="str">
            <v>2025-05-12</v>
          </cell>
          <cell r="CL9610">
            <v>9955.1610000000001</v>
          </cell>
          <cell r="CM9610" t="str">
            <v xml:space="preserve">NFT-/XUTR/DEUTH02513259438X </v>
          </cell>
          <cell r="CN9610" t="str">
            <v>2025-05-12</v>
          </cell>
          <cell r="CO9610">
            <v>527.99199999999996</v>
          </cell>
        </row>
        <row r="9611">
          <cell r="CJ9611" t="str">
            <v xml:space="preserve">NFT-/XUTR/DEUTH02513204205X </v>
          </cell>
          <cell r="CK9611" t="str">
            <v>2025-05-12</v>
          </cell>
          <cell r="CL9611">
            <v>48938.3</v>
          </cell>
          <cell r="CM9611" t="str">
            <v xml:space="preserve">NFT-/XUTR/DEUTH02513259438X </v>
          </cell>
          <cell r="CN9611" t="str">
            <v>2025-05-12</v>
          </cell>
          <cell r="CO9611">
            <v>2790.4029999999998</v>
          </cell>
        </row>
        <row r="9612">
          <cell r="CJ9612" t="str">
            <v xml:space="preserve">NFT-/XUTR/DEUTH02513204205X </v>
          </cell>
          <cell r="CK9612" t="str">
            <v>2025-05-12</v>
          </cell>
          <cell r="CL9612">
            <v>9955.16</v>
          </cell>
          <cell r="CM9612" t="str">
            <v xml:space="preserve">NFT-/XUTR/DEUTH02513259438X </v>
          </cell>
          <cell r="CN9612" t="str">
            <v>2025-05-12</v>
          </cell>
          <cell r="CO9612">
            <v>527.99099999999999</v>
          </cell>
        </row>
        <row r="9613">
          <cell r="CJ9613" t="str">
            <v xml:space="preserve">NFT-/XUTR/DEUTH02513204205X </v>
          </cell>
          <cell r="CK9613" t="str">
            <v>2025-05-12</v>
          </cell>
          <cell r="CL9613">
            <v>51709.822</v>
          </cell>
        </row>
        <row r="9614">
          <cell r="CJ9614" t="str">
            <v xml:space="preserve">NFT-/XUTR/DEUTH02513204205X </v>
          </cell>
          <cell r="CK9614" t="str">
            <v>2025-05-12</v>
          </cell>
          <cell r="CL9614">
            <v>41214.92</v>
          </cell>
        </row>
        <row r="9615">
          <cell r="CJ9615" t="str">
            <v xml:space="preserve">NFT-/XUTR/DEUTH02512920299X </v>
          </cell>
          <cell r="CK9615" t="str">
            <v>2025-05-09</v>
          </cell>
          <cell r="CL9615">
            <v>6171.5950000000003</v>
          </cell>
        </row>
        <row r="9616">
          <cell r="CJ9616" t="str">
            <v xml:space="preserve">NFT-/XUTR/DEUTH02513204205X </v>
          </cell>
          <cell r="CK9616" t="str">
            <v>2025-05-12</v>
          </cell>
          <cell r="CL9616">
            <v>6038.4539999999997</v>
          </cell>
        </row>
        <row r="9617">
          <cell r="CJ9617" t="str">
            <v xml:space="preserve">NFT-/XUTR/DEUTH02513204205X </v>
          </cell>
          <cell r="CK9617" t="str">
            <v>2025-05-12</v>
          </cell>
          <cell r="CL9617">
            <v>0</v>
          </cell>
        </row>
        <row r="9618">
          <cell r="CJ9618" t="str">
            <v xml:space="preserve">NFT-/XUTR/DEUTH02513204205X </v>
          </cell>
          <cell r="CK9618" t="str">
            <v>2025-05-12</v>
          </cell>
          <cell r="CL9618">
            <v>6038.4539999999997</v>
          </cell>
        </row>
        <row r="9619">
          <cell r="CJ9619" t="str">
            <v xml:space="preserve">NFT-/XUTR/DEUTH02513204205X </v>
          </cell>
          <cell r="CK9619" t="str">
            <v>2025-05-12</v>
          </cell>
          <cell r="CL9619">
            <v>10483.151</v>
          </cell>
        </row>
        <row r="9620">
          <cell r="CJ9620" t="str">
            <v xml:space="preserve">NFT-/XUTR/DEUTH02513204205X </v>
          </cell>
          <cell r="CK9620" t="str">
            <v>2025-05-12</v>
          </cell>
          <cell r="CL9620">
            <v>10308.450000000001</v>
          </cell>
        </row>
        <row r="9621">
          <cell r="CJ9621" t="str">
            <v xml:space="preserve">NFT-/XUTR/DEUTH02512920299X </v>
          </cell>
          <cell r="CK9621" t="str">
            <v>2025-05-09</v>
          </cell>
          <cell r="CL9621">
            <v>1476.22</v>
          </cell>
        </row>
        <row r="9622">
          <cell r="CJ9622" t="str">
            <v xml:space="preserve">NFT-/XUTR/DEUTH02513204205X </v>
          </cell>
          <cell r="CK9622" t="str">
            <v>2025-05-12</v>
          </cell>
          <cell r="CL9622">
            <v>6057.3339999999998</v>
          </cell>
        </row>
        <row r="9623">
          <cell r="CJ9623" t="str">
            <v xml:space="preserve">NFT-/XUTR/DEUTH02513204205X </v>
          </cell>
          <cell r="CK9623" t="str">
            <v>2025-05-12</v>
          </cell>
          <cell r="CL9623">
            <v>2563.799</v>
          </cell>
        </row>
        <row r="9624">
          <cell r="CJ9624" t="str">
            <v xml:space="preserve">NFT-/XUTR/DEUTH02513204205X </v>
          </cell>
          <cell r="CK9624" t="str">
            <v>2025-05-12</v>
          </cell>
          <cell r="CL9624">
            <v>2718.5540000000001</v>
          </cell>
        </row>
        <row r="9625">
          <cell r="CJ9625" t="str">
            <v xml:space="preserve">NFT-/XUTR/DEUTH02513204205X </v>
          </cell>
          <cell r="CK9625" t="str">
            <v>2025-05-12</v>
          </cell>
          <cell r="CL9625">
            <v>20461.190999999999</v>
          </cell>
        </row>
        <row r="9626">
          <cell r="CJ9626" t="str">
            <v xml:space="preserve">NFT-/XUTR/DEUTH02513204205X </v>
          </cell>
          <cell r="CK9626" t="str">
            <v>2025-05-12</v>
          </cell>
          <cell r="CL9626">
            <v>0</v>
          </cell>
        </row>
        <row r="9627">
          <cell r="CJ9627" t="str">
            <v xml:space="preserve">NFT-/XUTR/DEUTH02513204205X </v>
          </cell>
          <cell r="CK9627" t="str">
            <v>2025-05-12</v>
          </cell>
          <cell r="CL9627">
            <v>20705.25</v>
          </cell>
          <cell r="CM9627" t="str">
            <v xml:space="preserve">NFT-/XUTR/DEUTH02513259438X </v>
          </cell>
          <cell r="CN9627" t="str">
            <v>2025-05-12</v>
          </cell>
          <cell r="CO9627">
            <v>116.471</v>
          </cell>
        </row>
        <row r="9628">
          <cell r="CJ9628" t="str">
            <v xml:space="preserve">NFT-/XUTR/DEUTH02513204205X </v>
          </cell>
          <cell r="CK9628" t="str">
            <v>2025-05-12</v>
          </cell>
          <cell r="CL9628">
            <v>6222.335</v>
          </cell>
        </row>
        <row r="9629">
          <cell r="CJ9629" t="str">
            <v xml:space="preserve">NFT-/XUTR/DEUTH02513204205X </v>
          </cell>
          <cell r="CK9629" t="str">
            <v>2025-05-12</v>
          </cell>
          <cell r="CL9629">
            <v>20461.190999999999</v>
          </cell>
        </row>
        <row r="9630">
          <cell r="CJ9630" t="str">
            <v xml:space="preserve">NFT-/XUTR/DEUTH02513204205X </v>
          </cell>
          <cell r="CK9630" t="str">
            <v>2025-05-12</v>
          </cell>
          <cell r="CL9630">
            <v>20598.02</v>
          </cell>
        </row>
        <row r="9631">
          <cell r="CJ9631" t="str">
            <v xml:space="preserve">NFT-/XUTR/DEUTH02513204205X </v>
          </cell>
          <cell r="CK9631" t="str">
            <v>2025-05-12</v>
          </cell>
          <cell r="CL9631">
            <v>19917.337</v>
          </cell>
        </row>
        <row r="9632">
          <cell r="CJ9632" t="str">
            <v xml:space="preserve">NFT-/XUTR/DEUTH02513204205X </v>
          </cell>
          <cell r="CK9632" t="str">
            <v>2025-05-12</v>
          </cell>
          <cell r="CL9632">
            <v>10328.397000000001</v>
          </cell>
        </row>
        <row r="9633">
          <cell r="CJ9633" t="str">
            <v xml:space="preserve">NFT-/XUTR/DEUTH02513204205X </v>
          </cell>
          <cell r="CK9633" t="str">
            <v>2025-05-12</v>
          </cell>
          <cell r="CL9633">
            <v>51208.998</v>
          </cell>
        </row>
        <row r="9634">
          <cell r="CJ9634" t="str">
            <v xml:space="preserve">NFT-/XUTR/DEUTH02513204205X </v>
          </cell>
          <cell r="CK9634" t="str">
            <v>2025-05-12</v>
          </cell>
          <cell r="CL9634">
            <v>1476.7529999999999</v>
          </cell>
        </row>
        <row r="9635">
          <cell r="CJ9635" t="str">
            <v xml:space="preserve">NFT-/XUTR/DEUTH02513204205X </v>
          </cell>
          <cell r="CK9635" t="str">
            <v>2025-05-12</v>
          </cell>
          <cell r="CL9635">
            <v>10347.277</v>
          </cell>
        </row>
        <row r="9636">
          <cell r="CJ9636" t="str">
            <v xml:space="preserve">NFT-/XUTR/DEUTH02513204205X </v>
          </cell>
          <cell r="CK9636" t="str">
            <v>2025-05-12</v>
          </cell>
          <cell r="CL9636">
            <v>10328.397000000001</v>
          </cell>
        </row>
        <row r="9637">
          <cell r="CJ9637" t="str">
            <v xml:space="preserve">NFT-/XUTR/DEUTH02513204205X </v>
          </cell>
          <cell r="CK9637" t="str">
            <v>2025-05-12</v>
          </cell>
          <cell r="CL9637">
            <v>20529.133999999998</v>
          </cell>
        </row>
        <row r="9638">
          <cell r="CJ9638" t="str">
            <v xml:space="preserve">NFT-/XUTR/DEUTH02513204205X </v>
          </cell>
          <cell r="CK9638" t="str">
            <v>2025-05-12</v>
          </cell>
          <cell r="CL9638">
            <v>20616.900000000001</v>
          </cell>
        </row>
        <row r="9639">
          <cell r="CJ9639" t="str">
            <v xml:space="preserve">NFT-/XUTR/DEUTH02513204205X </v>
          </cell>
          <cell r="CK9639" t="str">
            <v>2025-05-12</v>
          </cell>
          <cell r="CL9639">
            <v>81898.039999999994</v>
          </cell>
        </row>
        <row r="9640">
          <cell r="CJ9640" t="str">
            <v xml:space="preserve">NFT-/XUTR/DEUTH02513204205X </v>
          </cell>
          <cell r="CK9640" t="str">
            <v>2025-05-12</v>
          </cell>
          <cell r="CL9640">
            <v>102639.224</v>
          </cell>
        </row>
        <row r="9641">
          <cell r="CJ9641" t="str">
            <v xml:space="preserve">NFT-/XUTR/DEUTH02513204205X </v>
          </cell>
          <cell r="CK9641" t="str">
            <v>2025-05-12</v>
          </cell>
          <cell r="CL9641">
            <v>20529.133999999998</v>
          </cell>
        </row>
        <row r="9642">
          <cell r="CJ9642" t="str">
            <v xml:space="preserve">NFT-/XUTR/DEUTH02513204205X </v>
          </cell>
          <cell r="CK9642" t="str">
            <v>2025-05-12</v>
          </cell>
          <cell r="CL9642">
            <v>20181.669999999998</v>
          </cell>
          <cell r="CM9642" t="str">
            <v xml:space="preserve">NFT-/XUTR/DEUTH02513259438X </v>
          </cell>
          <cell r="CN9642" t="str">
            <v>2025-05-12</v>
          </cell>
          <cell r="CO9642">
            <v>279.52199999999999</v>
          </cell>
        </row>
        <row r="9643">
          <cell r="CJ9643" t="str">
            <v xml:space="preserve">NFT-/XUTR/DEUTH02513204205X </v>
          </cell>
          <cell r="CK9643" t="str">
            <v>2025-05-12</v>
          </cell>
          <cell r="CL9643">
            <v>10328.397000000001</v>
          </cell>
        </row>
        <row r="9644">
          <cell r="CJ9644" t="str">
            <v xml:space="preserve">NFT-/XUTR/DEUTH02513204205X </v>
          </cell>
          <cell r="CK9644" t="str">
            <v>2025-05-12</v>
          </cell>
          <cell r="CL9644">
            <v>2563.799</v>
          </cell>
        </row>
        <row r="9645">
          <cell r="CJ9645" t="str">
            <v xml:space="preserve">NFT-/XUTR/DEUTH02513204205X </v>
          </cell>
          <cell r="CK9645" t="str">
            <v>2025-05-12</v>
          </cell>
          <cell r="CL9645">
            <v>0</v>
          </cell>
        </row>
        <row r="9646">
          <cell r="CJ9646" t="str">
            <v xml:space="preserve">NFT-/XUTR/DEUTH02513204205X </v>
          </cell>
          <cell r="CK9646" t="str">
            <v>2025-05-12</v>
          </cell>
          <cell r="CL9646">
            <v>40960.142</v>
          </cell>
        </row>
        <row r="9647">
          <cell r="CJ9647" t="str">
            <v xml:space="preserve">NFT-/XUTR/DEUTH02513204205X </v>
          </cell>
          <cell r="CK9647" t="str">
            <v>2025-05-12</v>
          </cell>
          <cell r="CL9647">
            <v>20529.133999999998</v>
          </cell>
        </row>
        <row r="9648">
          <cell r="CJ9648" t="str">
            <v xml:space="preserve">NFT-/XUTR/DEUTH02513204205X </v>
          </cell>
          <cell r="CK9648" t="str">
            <v>2025-05-12</v>
          </cell>
          <cell r="CL9648">
            <v>51373.998</v>
          </cell>
        </row>
        <row r="9649">
          <cell r="CJ9649" t="str">
            <v xml:space="preserve">NFT-/XUTR/DEUTH02513204205X </v>
          </cell>
          <cell r="CK9649" t="str">
            <v>2025-05-12</v>
          </cell>
          <cell r="CL9649">
            <v>102639.224</v>
          </cell>
        </row>
        <row r="9650">
          <cell r="CJ9650" t="str">
            <v xml:space="preserve">NFT-/XUTR/DEUTH02513204205X </v>
          </cell>
          <cell r="CK9650" t="str">
            <v>2025-05-12</v>
          </cell>
          <cell r="CL9650">
            <v>11560.495000000001</v>
          </cell>
        </row>
        <row r="9651">
          <cell r="CJ9651" t="str">
            <v xml:space="preserve">NFT-/XUTR/DEUTH02513204205X </v>
          </cell>
          <cell r="CK9651" t="str">
            <v>2025-05-12</v>
          </cell>
          <cell r="CL9651">
            <v>11660.647999999999</v>
          </cell>
        </row>
        <row r="9652">
          <cell r="CJ9652" t="str">
            <v xml:space="preserve">NFT-/XUTR/DEUTH02513204205X </v>
          </cell>
          <cell r="CK9652" t="str">
            <v>2025-05-12</v>
          </cell>
          <cell r="CL9652">
            <v>19861.225999999999</v>
          </cell>
          <cell r="CM9652" t="str">
            <v xml:space="preserve">NFT-/XUTR/DEUTH02513259438X </v>
          </cell>
          <cell r="CN9652" t="str">
            <v>2025-05-12</v>
          </cell>
          <cell r="CO9652">
            <v>93.518000000000001</v>
          </cell>
        </row>
        <row r="9653">
          <cell r="CJ9653" t="str">
            <v xml:space="preserve">NFT-/XUTR/DEUTH02513204205X </v>
          </cell>
          <cell r="CK9653" t="str">
            <v>2025-05-12</v>
          </cell>
          <cell r="CL9653">
            <v>10308.983</v>
          </cell>
        </row>
        <row r="9654">
          <cell r="CJ9654" t="str">
            <v xml:space="preserve">NFT-/XUTR/DEUTH02513204205X </v>
          </cell>
          <cell r="CK9654" t="str">
            <v>2025-05-12</v>
          </cell>
          <cell r="CL9654">
            <v>10308.983</v>
          </cell>
        </row>
        <row r="9655">
          <cell r="CJ9655" t="str">
            <v xml:space="preserve">NFT-/XUTR/DEUTH02513204205X </v>
          </cell>
          <cell r="CK9655" t="str">
            <v>2025-05-12</v>
          </cell>
          <cell r="CL9655">
            <v>5815.2240000000002</v>
          </cell>
        </row>
        <row r="9656">
          <cell r="CJ9656" t="str">
            <v xml:space="preserve">NFT-/XUTR/DEUTH02513204205X </v>
          </cell>
          <cell r="CK9656" t="str">
            <v>2025-05-12</v>
          </cell>
          <cell r="CL9656">
            <v>8144.3389999999999</v>
          </cell>
        </row>
        <row r="9657">
          <cell r="CJ9657" t="str">
            <v xml:space="preserve">NFT-/XUTR/DEUTH02513204205X </v>
          </cell>
          <cell r="CK9657" t="str">
            <v>2025-05-12</v>
          </cell>
          <cell r="CL9657">
            <v>48735.98</v>
          </cell>
          <cell r="CM9657" t="str">
            <v xml:space="preserve">NFT-/XUTR/DEUTH02513259438X </v>
          </cell>
          <cell r="CN9657" t="str">
            <v>2025-05-12</v>
          </cell>
          <cell r="CO9657">
            <v>2570.085</v>
          </cell>
        </row>
        <row r="9658">
          <cell r="CJ9658" t="str">
            <v xml:space="preserve">NFT-/XUTR/DEUTH02513204205X </v>
          </cell>
          <cell r="CK9658" t="str">
            <v>2025-05-12</v>
          </cell>
          <cell r="CL9658">
            <v>10327.862999999999</v>
          </cell>
        </row>
        <row r="9659">
          <cell r="CJ9659" t="str">
            <v xml:space="preserve">NFT-/XUTR/DEUTH02513204205X </v>
          </cell>
          <cell r="CK9659" t="str">
            <v>2025-05-12</v>
          </cell>
          <cell r="CL9659">
            <v>19470.239000000001</v>
          </cell>
          <cell r="CM9659" t="str">
            <v xml:space="preserve">NFT-/XUTR/DEUTH02513259438X </v>
          </cell>
          <cell r="CN9659" t="str">
            <v>2025-05-12</v>
          </cell>
          <cell r="CO9659">
            <v>1029.78</v>
          </cell>
        </row>
        <row r="9660">
          <cell r="CJ9660" t="str">
            <v xml:space="preserve">NFT-/XUTR/DEUTH02513204205X </v>
          </cell>
          <cell r="CK9660" t="str">
            <v>2025-05-12</v>
          </cell>
          <cell r="CL9660">
            <v>9788.7559999999994</v>
          </cell>
          <cell r="CM9660" t="str">
            <v xml:space="preserve">NFT-/XUTR/DEUTH02513259438X </v>
          </cell>
          <cell r="CN9660" t="str">
            <v>2025-05-12</v>
          </cell>
          <cell r="CO9660">
            <v>520.22799999999995</v>
          </cell>
        </row>
        <row r="9661">
          <cell r="CJ9661" t="str">
            <v xml:space="preserve">NFT-/XUTR/DEUTH02513204205X </v>
          </cell>
          <cell r="CK9661" t="str">
            <v>2025-05-12</v>
          </cell>
          <cell r="CL9661">
            <v>9788.7559999999994</v>
          </cell>
          <cell r="CM9661" t="str">
            <v xml:space="preserve">NFT-/XUTR/DEUTH02513259438X </v>
          </cell>
          <cell r="CN9661" t="str">
            <v>2025-05-12</v>
          </cell>
          <cell r="CO9661">
            <v>520.22799999999995</v>
          </cell>
        </row>
        <row r="9662">
          <cell r="CJ9662" t="str">
            <v xml:space="preserve">NFT-/XUTR/DEUTH02513204205X </v>
          </cell>
          <cell r="CK9662" t="str">
            <v>2025-05-12</v>
          </cell>
          <cell r="CL9662">
            <v>10308.983</v>
          </cell>
        </row>
        <row r="9663">
          <cell r="CJ9663" t="str">
            <v xml:space="preserve">NFT-/XUTR/DEUTH02513204205X </v>
          </cell>
          <cell r="CK9663" t="str">
            <v>2025-05-12</v>
          </cell>
          <cell r="CL9663">
            <v>48754.86</v>
          </cell>
          <cell r="CM9663" t="str">
            <v xml:space="preserve">NFT-/XUTR/DEUTH02513259438X </v>
          </cell>
          <cell r="CN9663" t="str">
            <v>2025-05-12</v>
          </cell>
          <cell r="CO9663">
            <v>2570.085</v>
          </cell>
        </row>
        <row r="9664">
          <cell r="CJ9664" t="str">
            <v xml:space="preserve">NFT-/XUTR/DEUTH02513204205X </v>
          </cell>
          <cell r="CK9664" t="str">
            <v>2025-05-12</v>
          </cell>
          <cell r="CL9664">
            <v>51306.055999999997</v>
          </cell>
        </row>
        <row r="9665">
          <cell r="CJ9665" t="str">
            <v xml:space="preserve">NFT-/XUTR/DEUTH02513204205X </v>
          </cell>
          <cell r="CK9665" t="str">
            <v>2025-05-12</v>
          </cell>
          <cell r="CL9665">
            <v>11457.611999999999</v>
          </cell>
          <cell r="CM9665" t="str">
            <v xml:space="preserve">NFT-/XUTR/DEUTH02513259438X </v>
          </cell>
          <cell r="CN9665" t="str">
            <v>2025-05-12</v>
          </cell>
          <cell r="CO9665">
            <v>607.58399999999995</v>
          </cell>
        </row>
        <row r="9666">
          <cell r="CJ9666" t="str">
            <v xml:space="preserve">NFT-/XUTR/DEUTH02513204205X </v>
          </cell>
          <cell r="CK9666" t="str">
            <v>2025-05-12</v>
          </cell>
          <cell r="CL9666">
            <v>9807.6360000000004</v>
          </cell>
          <cell r="CM9666" t="str">
            <v xml:space="preserve">NFT-/XUTR/DEUTH02513259438X </v>
          </cell>
          <cell r="CN9666" t="str">
            <v>2025-05-12</v>
          </cell>
          <cell r="CO9666">
            <v>520.22799999999995</v>
          </cell>
        </row>
        <row r="9667">
          <cell r="CJ9667" t="str">
            <v xml:space="preserve">NFT-/XUTR/DEUTH02513204205X </v>
          </cell>
          <cell r="CK9667" t="str">
            <v>2025-05-12</v>
          </cell>
          <cell r="CL9667">
            <v>9798.1959999999999</v>
          </cell>
          <cell r="CM9667" t="str">
            <v xml:space="preserve">NFT-/XUTR/DEUTH02513259438X </v>
          </cell>
          <cell r="CN9667" t="str">
            <v>2025-05-12</v>
          </cell>
          <cell r="CO9667">
            <v>520.22799999999995</v>
          </cell>
        </row>
        <row r="9668">
          <cell r="CJ9668" t="str">
            <v xml:space="preserve">NFT-/XUTR/DEUTH02513204205X </v>
          </cell>
          <cell r="CK9668" t="str">
            <v>2025-05-12</v>
          </cell>
          <cell r="CL9668">
            <v>19489.118999999999</v>
          </cell>
          <cell r="CM9668" t="str">
            <v xml:space="preserve">NFT-/XUTR/DEUTH02513259438X </v>
          </cell>
          <cell r="CN9668" t="str">
            <v>2025-05-12</v>
          </cell>
          <cell r="CO9668">
            <v>1029.78</v>
          </cell>
        </row>
        <row r="9669">
          <cell r="CJ9669" t="str">
            <v xml:space="preserve">NFT-/XUTR/DEUTH02513204205X </v>
          </cell>
          <cell r="CK9669" t="str">
            <v>2025-05-12</v>
          </cell>
          <cell r="CL9669">
            <v>78879.555999999997</v>
          </cell>
          <cell r="CM9669" t="str">
            <v xml:space="preserve">NFT-/XUTR/DEUTH02513259438X </v>
          </cell>
          <cell r="CN9669" t="str">
            <v>2025-05-12</v>
          </cell>
          <cell r="CO9669">
            <v>2911.7240000000002</v>
          </cell>
        </row>
        <row r="9670">
          <cell r="CJ9670" t="str">
            <v xml:space="preserve">NFT-/XUTR/DEUTH02513204205X </v>
          </cell>
          <cell r="CK9670" t="str">
            <v>2025-05-12</v>
          </cell>
          <cell r="CL9670">
            <v>19489.117999999999</v>
          </cell>
          <cell r="CM9670" t="str">
            <v xml:space="preserve">NFT-/XUTR/DEUTH02513259438X </v>
          </cell>
          <cell r="CN9670" t="str">
            <v>2025-05-12</v>
          </cell>
          <cell r="CO9670">
            <v>1029.78</v>
          </cell>
        </row>
        <row r="9671">
          <cell r="CJ9671" t="str">
            <v xml:space="preserve">NFT-/XUTR/DEUTH02513204205X </v>
          </cell>
          <cell r="CK9671" t="str">
            <v>2025-05-12</v>
          </cell>
          <cell r="CL9671">
            <v>9788.7559999999994</v>
          </cell>
          <cell r="CM9671" t="str">
            <v xml:space="preserve">NFT-/XUTR/DEUTH02513259438X </v>
          </cell>
          <cell r="CN9671" t="str">
            <v>2025-05-12</v>
          </cell>
          <cell r="CO9671">
            <v>520.22799999999995</v>
          </cell>
        </row>
        <row r="9672">
          <cell r="CJ9672" t="str">
            <v xml:space="preserve">NFT-/XUTR/DEUTH02513204205X </v>
          </cell>
          <cell r="CK9672" t="str">
            <v>2025-05-12</v>
          </cell>
          <cell r="CL9672">
            <v>19479.679</v>
          </cell>
          <cell r="CM9672" t="str">
            <v xml:space="preserve">NFT-/XUTR/DEUTH02513259438X </v>
          </cell>
          <cell r="CN9672" t="str">
            <v>2025-05-12</v>
          </cell>
          <cell r="CO9672">
            <v>1029.78</v>
          </cell>
        </row>
        <row r="9673">
          <cell r="CJ9673" t="str">
            <v xml:space="preserve">NFT-/XUTR/DEUTH02513204205X </v>
          </cell>
          <cell r="CK9673" t="str">
            <v>2025-05-12</v>
          </cell>
          <cell r="CL9673">
            <v>12046.306</v>
          </cell>
        </row>
        <row r="9674">
          <cell r="CJ9674" t="str">
            <v xml:space="preserve">NFT-/XUTR/DEUTH02513204205X </v>
          </cell>
          <cell r="CK9674" t="str">
            <v>2025-05-12</v>
          </cell>
          <cell r="CL9674">
            <v>19489.118999999999</v>
          </cell>
          <cell r="CM9674" t="str">
            <v xml:space="preserve">NFT-/XUTR/DEUTH02513259438X </v>
          </cell>
          <cell r="CN9674" t="str">
            <v>2025-05-12</v>
          </cell>
          <cell r="CO9674">
            <v>1029.78</v>
          </cell>
        </row>
        <row r="9675">
          <cell r="CJ9675" t="str">
            <v xml:space="preserve">NFT-/XUTR/DEUTH02513204205X </v>
          </cell>
          <cell r="CK9675" t="str">
            <v>2025-05-12</v>
          </cell>
          <cell r="CL9675">
            <v>10327.862999999999</v>
          </cell>
        </row>
        <row r="9676">
          <cell r="CJ9676" t="str">
            <v xml:space="preserve">NFT-/XUTR/DEUTH02513204205X </v>
          </cell>
          <cell r="CK9676" t="str">
            <v>2025-05-12</v>
          </cell>
          <cell r="CL9676">
            <v>19470.239000000001</v>
          </cell>
          <cell r="CM9676" t="str">
            <v xml:space="preserve">NFT-/XUTR/DEUTH02513259438X </v>
          </cell>
          <cell r="CN9676" t="str">
            <v>2025-05-12</v>
          </cell>
          <cell r="CO9676">
            <v>1029.78</v>
          </cell>
        </row>
        <row r="9677">
          <cell r="CJ9677" t="str">
            <v xml:space="preserve">NFT-/XUTR/DEUTH02513204205X </v>
          </cell>
          <cell r="CK9677" t="str">
            <v>2025-05-12</v>
          </cell>
          <cell r="CL9677">
            <v>9788.7559999999994</v>
          </cell>
          <cell r="CM9677" t="str">
            <v xml:space="preserve">NFT-/XUTR/DEUTH02513259438X </v>
          </cell>
          <cell r="CN9677" t="str">
            <v>2025-05-12</v>
          </cell>
          <cell r="CO9677">
            <v>520.22799999999995</v>
          </cell>
        </row>
        <row r="9678">
          <cell r="CJ9678" t="str">
            <v xml:space="preserve">NFT-/XUTR/DEUTH02513204205X </v>
          </cell>
          <cell r="CK9678" t="str">
            <v>2025-05-12</v>
          </cell>
          <cell r="CL9678">
            <v>10327.862999999999</v>
          </cell>
        </row>
        <row r="9679">
          <cell r="CJ9679" t="str">
            <v xml:space="preserve">NFT-/XUTR/DEUTH02513204205X </v>
          </cell>
          <cell r="CK9679" t="str">
            <v>2025-05-12</v>
          </cell>
          <cell r="CL9679">
            <v>97509.707999999999</v>
          </cell>
          <cell r="CM9679" t="str">
            <v xml:space="preserve">NFT-/XUTR/DEUTH02513259438X </v>
          </cell>
          <cell r="CN9679" t="str">
            <v>2025-05-12</v>
          </cell>
          <cell r="CO9679">
            <v>5140.16</v>
          </cell>
        </row>
        <row r="9680">
          <cell r="CJ9680" t="str">
            <v xml:space="preserve">NFT-/XUTR/DEUTH02513204205X </v>
          </cell>
          <cell r="CK9680" t="str">
            <v>2025-05-12</v>
          </cell>
          <cell r="CL9680">
            <v>9807.6360000000004</v>
          </cell>
          <cell r="CM9680" t="str">
            <v xml:space="preserve">NFT-/XUTR/DEUTH02513259438X </v>
          </cell>
          <cell r="CN9680" t="str">
            <v>2025-05-12</v>
          </cell>
          <cell r="CO9680">
            <v>520.22799999999995</v>
          </cell>
        </row>
        <row r="9681">
          <cell r="CJ9681" t="str">
            <v xml:space="preserve">NFT-/XUTR/DEUTH02513204205X </v>
          </cell>
          <cell r="CK9681" t="str">
            <v>2025-05-12</v>
          </cell>
          <cell r="CL9681">
            <v>9788.7559999999994</v>
          </cell>
          <cell r="CM9681" t="str">
            <v xml:space="preserve">NFT-/XUTR/DEUTH02513259438X </v>
          </cell>
          <cell r="CN9681" t="str">
            <v>2025-05-12</v>
          </cell>
          <cell r="CO9681">
            <v>520.22799999999995</v>
          </cell>
        </row>
        <row r="9682">
          <cell r="CJ9682" t="str">
            <v xml:space="preserve">NFT-/XUTR/DEUTH02513204205X </v>
          </cell>
          <cell r="CK9682" t="str">
            <v>2025-05-12</v>
          </cell>
          <cell r="CL9682">
            <v>9788.7559999999994</v>
          </cell>
          <cell r="CM9682" t="str">
            <v xml:space="preserve">NFT-/XUTR/DEUTH02513259438X </v>
          </cell>
          <cell r="CN9682" t="str">
            <v>2025-05-12</v>
          </cell>
          <cell r="CO9682">
            <v>520.22799999999995</v>
          </cell>
        </row>
        <row r="9683">
          <cell r="CJ9683" t="str">
            <v xml:space="preserve">NFT-/XUTR/DEUTH02513204205X </v>
          </cell>
          <cell r="CK9683" t="str">
            <v>2025-05-12</v>
          </cell>
          <cell r="CL9683">
            <v>19489.118999999999</v>
          </cell>
          <cell r="CM9683" t="str">
            <v xml:space="preserve">NFT-/XUTR/DEUTH02513259438X </v>
          </cell>
          <cell r="CN9683" t="str">
            <v>2025-05-12</v>
          </cell>
          <cell r="CO9683">
            <v>1029.78</v>
          </cell>
        </row>
        <row r="9684">
          <cell r="CJ9684" t="str">
            <v xml:space="preserve">NFT-/XUTR/DEUTH02513204205X </v>
          </cell>
          <cell r="CK9684" t="str">
            <v>2025-05-12</v>
          </cell>
          <cell r="CL9684">
            <v>19470.239000000001</v>
          </cell>
          <cell r="CM9684" t="str">
            <v xml:space="preserve">NFT-/XUTR/DEUTH02513259438X </v>
          </cell>
          <cell r="CN9684" t="str">
            <v>2025-05-12</v>
          </cell>
          <cell r="CO9684">
            <v>1029.78</v>
          </cell>
        </row>
        <row r="9685">
          <cell r="CJ9685" t="str">
            <v xml:space="preserve">NFT-/XUTR/DEUTH02513204205X </v>
          </cell>
          <cell r="CK9685" t="str">
            <v>2025-05-12</v>
          </cell>
          <cell r="CL9685">
            <v>19489.118999999999</v>
          </cell>
          <cell r="CM9685" t="str">
            <v xml:space="preserve">NFT-/XUTR/DEUTH02513259438X </v>
          </cell>
          <cell r="CN9685" t="str">
            <v>2025-05-12</v>
          </cell>
          <cell r="CO9685">
            <v>1029.78</v>
          </cell>
        </row>
        <row r="9686">
          <cell r="CJ9686" t="str">
            <v xml:space="preserve">NFT-/XUTR/DEUTH02513204205X </v>
          </cell>
          <cell r="CK9686" t="str">
            <v>2025-05-12</v>
          </cell>
          <cell r="CL9686">
            <v>9788.7559999999994</v>
          </cell>
          <cell r="CM9686" t="str">
            <v xml:space="preserve">NFT-/XUTR/DEUTH02513259438X </v>
          </cell>
          <cell r="CN9686" t="str">
            <v>2025-05-12</v>
          </cell>
          <cell r="CO9686">
            <v>520.22799999999995</v>
          </cell>
        </row>
        <row r="9687">
          <cell r="CJ9687" t="str">
            <v xml:space="preserve">NFT-/XUTR/DEUTH02513204205X </v>
          </cell>
          <cell r="CK9687" t="str">
            <v>2025-05-12</v>
          </cell>
          <cell r="CL9687">
            <v>19489.118999999999</v>
          </cell>
          <cell r="CM9687" t="str">
            <v xml:space="preserve">NFT-/XUTR/DEUTH02513259438X </v>
          </cell>
          <cell r="CN9687" t="str">
            <v>2025-05-12</v>
          </cell>
          <cell r="CO9687">
            <v>1029.78</v>
          </cell>
        </row>
        <row r="9688">
          <cell r="CJ9688" t="str">
            <v xml:space="preserve">NFT-/XUTR/DEUTH02513204205X </v>
          </cell>
          <cell r="CK9688" t="str">
            <v>2025-05-12</v>
          </cell>
          <cell r="CL9688">
            <v>29404.018</v>
          </cell>
          <cell r="CM9688" t="str">
            <v xml:space="preserve">NFT-/XUTR/DEUTH02513259438X </v>
          </cell>
          <cell r="CN9688" t="str">
            <v>2025-05-12</v>
          </cell>
          <cell r="CO9688">
            <v>1560.684</v>
          </cell>
        </row>
        <row r="9689">
          <cell r="CJ9689" t="str">
            <v xml:space="preserve">NFT-/XUTR/DEUTH02513204205X </v>
          </cell>
          <cell r="CK9689" t="str">
            <v>2025-05-12</v>
          </cell>
          <cell r="CL9689">
            <v>10327.862999999999</v>
          </cell>
        </row>
        <row r="9690">
          <cell r="CJ9690" t="str">
            <v xml:space="preserve">NFT-/XUTR/DEUTH02513204205X </v>
          </cell>
          <cell r="CK9690" t="str">
            <v>2025-05-12</v>
          </cell>
          <cell r="CL9690">
            <v>19489.118999999999</v>
          </cell>
          <cell r="CM9690" t="str">
            <v xml:space="preserve">NFT-/XUTR/DEUTH02513259438X </v>
          </cell>
          <cell r="CN9690" t="str">
            <v>2025-05-12</v>
          </cell>
          <cell r="CO9690">
            <v>1029.78</v>
          </cell>
        </row>
        <row r="9691">
          <cell r="CJ9691" t="str">
            <v xml:space="preserve">NFT-/XUTR/DEUTH02513204205X </v>
          </cell>
          <cell r="CK9691" t="str">
            <v>2025-05-12</v>
          </cell>
          <cell r="CL9691">
            <v>10327.862999999999</v>
          </cell>
        </row>
        <row r="9692">
          <cell r="CJ9692" t="str">
            <v xml:space="preserve">NFT-/XUTR/DEUTH02513204205X </v>
          </cell>
          <cell r="CK9692" t="str">
            <v>2025-05-12</v>
          </cell>
          <cell r="CL9692">
            <v>19489.118999999999</v>
          </cell>
          <cell r="CM9692" t="str">
            <v xml:space="preserve">NFT-/XUTR/DEUTH02513259438X </v>
          </cell>
          <cell r="CN9692" t="str">
            <v>2025-05-12</v>
          </cell>
          <cell r="CO9692">
            <v>1029.78</v>
          </cell>
        </row>
        <row r="9693">
          <cell r="CJ9693" t="str">
            <v xml:space="preserve">NFT-/XUTR/DEUTH02513204205X </v>
          </cell>
          <cell r="CK9693" t="str">
            <v>2025-05-12</v>
          </cell>
          <cell r="CL9693">
            <v>19489.117999999999</v>
          </cell>
          <cell r="CM9693" t="str">
            <v xml:space="preserve">NFT-/XUTR/DEUTH02513259438X </v>
          </cell>
          <cell r="CN9693" t="str">
            <v>2025-05-12</v>
          </cell>
          <cell r="CO9693">
            <v>1029.78</v>
          </cell>
        </row>
        <row r="9694">
          <cell r="CJ9694" t="str">
            <v xml:space="preserve">NFT-/XUTR/DEUTH02513204205X </v>
          </cell>
          <cell r="CK9694" t="str">
            <v>2025-05-12</v>
          </cell>
          <cell r="CL9694">
            <v>38978.237999999998</v>
          </cell>
          <cell r="CM9694" t="str">
            <v xml:space="preserve">NFT-/XUTR/DEUTH02513259438X </v>
          </cell>
          <cell r="CN9694" t="str">
            <v>2025-05-12</v>
          </cell>
          <cell r="CO9694">
            <v>2059.56</v>
          </cell>
        </row>
        <row r="9695">
          <cell r="CJ9695" t="str">
            <v xml:space="preserve">NFT-/XUTR/DEUTH02513204205X </v>
          </cell>
          <cell r="CK9695" t="str">
            <v>2025-05-12</v>
          </cell>
          <cell r="CL9695">
            <v>10327.862999999999</v>
          </cell>
        </row>
        <row r="9696">
          <cell r="CJ9696" t="str">
            <v xml:space="preserve">NFT-/XUTR/DEUTH02513204205X </v>
          </cell>
          <cell r="CK9696" t="str">
            <v>2025-05-12</v>
          </cell>
          <cell r="CL9696">
            <v>81772.400999999998</v>
          </cell>
        </row>
        <row r="9697">
          <cell r="CJ9697" t="str">
            <v xml:space="preserve">NFT-/XUTR/DEUTH02513204205X </v>
          </cell>
          <cell r="CK9697" t="str">
            <v>2025-05-12</v>
          </cell>
          <cell r="CL9697">
            <v>9788.7559999999994</v>
          </cell>
          <cell r="CM9697" t="str">
            <v xml:space="preserve">NFT-/XUTR/DEUTH02513259438X </v>
          </cell>
          <cell r="CN9697" t="str">
            <v>2025-05-12</v>
          </cell>
          <cell r="CO9697">
            <v>520.22799999999995</v>
          </cell>
        </row>
        <row r="9698">
          <cell r="CJ9698" t="str">
            <v xml:space="preserve">NFT-/XUTR/DEUTH02513204205X </v>
          </cell>
          <cell r="CK9698" t="str">
            <v>2025-05-12</v>
          </cell>
          <cell r="CL9698">
            <v>9788.7559999999994</v>
          </cell>
          <cell r="CM9698" t="str">
            <v xml:space="preserve">NFT-/XUTR/DEUTH02513259438X </v>
          </cell>
          <cell r="CN9698" t="str">
            <v>2025-05-12</v>
          </cell>
          <cell r="CO9698">
            <v>520.22799999999995</v>
          </cell>
        </row>
        <row r="9699">
          <cell r="CJ9699" t="str">
            <v xml:space="preserve">AXISCN0976029637 </v>
          </cell>
          <cell r="CK9699" t="str">
            <v>2025-05-14</v>
          </cell>
          <cell r="CL9699">
            <v>48719.46</v>
          </cell>
          <cell r="CM9699" t="str">
            <v xml:space="preserve">NFT-/XUTR/DEUTH02513409952X </v>
          </cell>
          <cell r="CN9699" t="str">
            <v>2025-05-14</v>
          </cell>
          <cell r="CO9699">
            <v>2570.085</v>
          </cell>
        </row>
        <row r="9700">
          <cell r="CJ9700" t="str">
            <v xml:space="preserve">NFT-/XUTR/DEUTH02513204205X </v>
          </cell>
          <cell r="CK9700" t="str">
            <v>2025-05-12</v>
          </cell>
          <cell r="CL9700">
            <v>19407.147000000001</v>
          </cell>
          <cell r="CM9700" t="str">
            <v xml:space="preserve">NFT-/XUTR/DEUTH02513259438X </v>
          </cell>
          <cell r="CN9700" t="str">
            <v>2025-05-12</v>
          </cell>
          <cell r="CO9700">
            <v>1092.8710000000001</v>
          </cell>
        </row>
        <row r="9701">
          <cell r="CJ9701" t="str">
            <v xml:space="preserve">NFT-/XUTR/DEUTH02513204205X </v>
          </cell>
          <cell r="CK9701" t="str">
            <v>2025-05-12</v>
          </cell>
          <cell r="CL9701">
            <v>9287.4089999999997</v>
          </cell>
          <cell r="CM9701" t="str">
            <v xml:space="preserve">NFT-/XUTR/DEUTH02513259438X </v>
          </cell>
          <cell r="CN9701" t="str">
            <v>2025-05-12</v>
          </cell>
          <cell r="CO9701">
            <v>1040.4559999999999</v>
          </cell>
        </row>
        <row r="9702">
          <cell r="CJ9702" t="str">
            <v xml:space="preserve">NFT-/XUTR/DEUTH02513204205X </v>
          </cell>
          <cell r="CK9702" t="str">
            <v>2025-05-12</v>
          </cell>
          <cell r="CL9702">
            <v>19470.239000000001</v>
          </cell>
          <cell r="CM9702" t="str">
            <v xml:space="preserve">NFT-/XUTR/DEUTH02513259438X </v>
          </cell>
          <cell r="CN9702" t="str">
            <v>2025-05-12</v>
          </cell>
          <cell r="CO9702">
            <v>1029.78</v>
          </cell>
        </row>
        <row r="9703">
          <cell r="CJ9703" t="str">
            <v xml:space="preserve">NFT-/XUTR/DEUTH02513204205X </v>
          </cell>
          <cell r="CK9703" t="str">
            <v>2025-05-12</v>
          </cell>
          <cell r="CL9703">
            <v>9788.7559999999994</v>
          </cell>
          <cell r="CM9703" t="str">
            <v xml:space="preserve">NFT-/XUTR/DEUTH02513259438X </v>
          </cell>
          <cell r="CN9703" t="str">
            <v>2025-05-12</v>
          </cell>
          <cell r="CO9703">
            <v>520.22799999999995</v>
          </cell>
        </row>
        <row r="9704">
          <cell r="CJ9704" t="str">
            <v xml:space="preserve">NFT-/XUTR/DEUTH02513204205X </v>
          </cell>
          <cell r="CK9704" t="str">
            <v>2025-05-12</v>
          </cell>
          <cell r="CL9704">
            <v>19489.118999999999</v>
          </cell>
          <cell r="CM9704" t="str">
            <v xml:space="preserve">NFT-/XUTR/DEUTH02513259438X </v>
          </cell>
          <cell r="CN9704" t="str">
            <v>2025-05-12</v>
          </cell>
          <cell r="CO9704">
            <v>1029.78</v>
          </cell>
        </row>
        <row r="9705">
          <cell r="CJ9705" t="str">
            <v xml:space="preserve">NFT-/XUTR/DEUTH02513204205X </v>
          </cell>
          <cell r="CK9705" t="str">
            <v>2025-05-12</v>
          </cell>
          <cell r="CL9705">
            <v>19189.208999999999</v>
          </cell>
          <cell r="CM9705" t="str">
            <v xml:space="preserve">NFT-/XUTR/DEUTH02513259438X </v>
          </cell>
          <cell r="CN9705" t="str">
            <v>2025-05-12</v>
          </cell>
          <cell r="CO9705">
            <v>1329.69</v>
          </cell>
        </row>
        <row r="9706">
          <cell r="CJ9706" t="str">
            <v xml:space="preserve">NFT-/XUTR/DEUTH02513204205X </v>
          </cell>
          <cell r="CK9706" t="str">
            <v>2025-05-12</v>
          </cell>
          <cell r="CL9706">
            <v>9725.6650000000009</v>
          </cell>
          <cell r="CM9706" t="str">
            <v xml:space="preserve">NFT-/XUTR/DEUTH02513259438X </v>
          </cell>
          <cell r="CN9706" t="str">
            <v>2025-05-12</v>
          </cell>
          <cell r="CO9706">
            <v>583.31899999999996</v>
          </cell>
        </row>
        <row r="9707">
          <cell r="CJ9707" t="str">
            <v xml:space="preserve">NFT-/XUTR/DEUTH02513204205X </v>
          </cell>
          <cell r="CK9707" t="str">
            <v>2025-05-12</v>
          </cell>
          <cell r="CL9707">
            <v>9807.6360000000004</v>
          </cell>
          <cell r="CM9707" t="str">
            <v xml:space="preserve">NFT-/XUTR/DEUTH02513259438X </v>
          </cell>
          <cell r="CN9707" t="str">
            <v>2025-05-12</v>
          </cell>
          <cell r="CO9707">
            <v>520.22799999999995</v>
          </cell>
        </row>
        <row r="9708">
          <cell r="CJ9708" t="str">
            <v xml:space="preserve">NFT-/XUTR/DEUTH02513204205X </v>
          </cell>
          <cell r="CK9708" t="str">
            <v>2025-05-12</v>
          </cell>
          <cell r="CL9708">
            <v>48735.98</v>
          </cell>
          <cell r="CM9708" t="str">
            <v xml:space="preserve">NFT-/XUTR/DEUTH02513259438X </v>
          </cell>
          <cell r="CN9708" t="str">
            <v>2025-05-12</v>
          </cell>
          <cell r="CO9708">
            <v>2570.085</v>
          </cell>
        </row>
        <row r="9709">
          <cell r="CJ9709" t="str">
            <v xml:space="preserve">NFT-/XUTR/DEUTH02513204205X </v>
          </cell>
          <cell r="CK9709" t="str">
            <v>2025-05-12</v>
          </cell>
          <cell r="CL9709">
            <v>58448.466999999997</v>
          </cell>
          <cell r="CM9709" t="str">
            <v xml:space="preserve">NFT-/XUTR/DEUTH02513259438X </v>
          </cell>
          <cell r="CN9709" t="str">
            <v>2025-05-12</v>
          </cell>
          <cell r="CO9709">
            <v>3089.34</v>
          </cell>
        </row>
        <row r="9710">
          <cell r="CJ9710" t="str">
            <v xml:space="preserve">AXISCN0976029637 </v>
          </cell>
          <cell r="CK9710" t="str">
            <v>2025-05-14</v>
          </cell>
          <cell r="CL9710">
            <v>48719.46</v>
          </cell>
          <cell r="CM9710" t="str">
            <v xml:space="preserve">NFT-/XUTR/DEUTH02513409952X </v>
          </cell>
          <cell r="CN9710" t="str">
            <v>2025-05-14</v>
          </cell>
          <cell r="CO9710">
            <v>2570.085</v>
          </cell>
        </row>
        <row r="9711">
          <cell r="CJ9711" t="str">
            <v xml:space="preserve">AXISCN0976029637 </v>
          </cell>
          <cell r="CK9711" t="str">
            <v>2025-05-14</v>
          </cell>
          <cell r="CL9711">
            <v>29478.224999999999</v>
          </cell>
          <cell r="CM9711" t="str">
            <v xml:space="preserve">NFT-/XUTR/DEUTH02513409952X </v>
          </cell>
          <cell r="CN9711" t="str">
            <v>2025-05-14</v>
          </cell>
          <cell r="CO9711">
            <v>1563.596</v>
          </cell>
        </row>
        <row r="9712">
          <cell r="CJ9712" t="str">
            <v xml:space="preserve">AXISCN0976029637 </v>
          </cell>
          <cell r="CK9712" t="str">
            <v>2025-05-14</v>
          </cell>
          <cell r="CL9712">
            <v>9462.1090000000004</v>
          </cell>
          <cell r="CM9712" t="str">
            <v xml:space="preserve">NFT-/XUTR/DEUTH02513409952X </v>
          </cell>
          <cell r="CN9712" t="str">
            <v>2025-05-14</v>
          </cell>
          <cell r="CO9712">
            <v>1059.8689999999999</v>
          </cell>
        </row>
        <row r="9713">
          <cell r="CJ9713" t="str">
            <v xml:space="preserve">AXISCN0976029637 </v>
          </cell>
          <cell r="CK9713" t="str">
            <v>2025-05-14</v>
          </cell>
          <cell r="CL9713">
            <v>52676.875</v>
          </cell>
          <cell r="CM9713" t="str">
            <v xml:space="preserve">NFT-/XUTR/DEUTH02513409952X </v>
          </cell>
          <cell r="CN9713" t="str">
            <v>2025-05-14</v>
          </cell>
          <cell r="CO9713">
            <v>2776.8139999999999</v>
          </cell>
        </row>
        <row r="9714">
          <cell r="CJ9714" t="str">
            <v xml:space="preserve">AXISCN0976029637 </v>
          </cell>
          <cell r="CK9714" t="str">
            <v>2025-05-14</v>
          </cell>
          <cell r="CL9714">
            <v>9385.43</v>
          </cell>
          <cell r="CM9714" t="str">
            <v xml:space="preserve">NFT-/XUTR/DEUTH02513409952X </v>
          </cell>
          <cell r="CN9714" t="str">
            <v>2025-05-14</v>
          </cell>
          <cell r="CO9714">
            <v>1136.54</v>
          </cell>
        </row>
        <row r="9715">
          <cell r="CJ9715" t="str">
            <v xml:space="preserve">AXISCN0976029637 </v>
          </cell>
          <cell r="CK9715" t="str">
            <v>2025-05-14</v>
          </cell>
          <cell r="CL9715">
            <v>19525.996999999999</v>
          </cell>
          <cell r="CM9715" t="str">
            <v xml:space="preserve">NFT-/XUTR/DEUTH02513409952X </v>
          </cell>
          <cell r="CN9715" t="str">
            <v>2025-05-14</v>
          </cell>
          <cell r="CO9715">
            <v>1031.7180000000001</v>
          </cell>
        </row>
        <row r="9716">
          <cell r="CJ9716" t="str">
            <v xml:space="preserve">AXISCN0976029637 </v>
          </cell>
          <cell r="CK9716" t="str">
            <v>2025-05-14</v>
          </cell>
          <cell r="CL9716">
            <v>9462.1090000000004</v>
          </cell>
          <cell r="CM9716" t="str">
            <v xml:space="preserve">NFT-/XUTR/DEUTH02513409952X </v>
          </cell>
          <cell r="CN9716" t="str">
            <v>2025-05-14</v>
          </cell>
          <cell r="CO9716">
            <v>1059.8689999999999</v>
          </cell>
        </row>
        <row r="9717">
          <cell r="CJ9717" t="str">
            <v xml:space="preserve">AXISCN0976029637 </v>
          </cell>
          <cell r="CK9717" t="str">
            <v>2025-05-14</v>
          </cell>
          <cell r="CL9717">
            <v>9462.1090000000004</v>
          </cell>
          <cell r="CM9717" t="str">
            <v xml:space="preserve">NFT-/XUTR/DEUTH02513409952X </v>
          </cell>
          <cell r="CN9717" t="str">
            <v>2025-05-14</v>
          </cell>
          <cell r="CO9717">
            <v>1059.8689999999999</v>
          </cell>
        </row>
        <row r="9718">
          <cell r="CJ9718" t="str">
            <v xml:space="preserve">AXISCN0976029637 </v>
          </cell>
          <cell r="CK9718" t="str">
            <v>2025-05-14</v>
          </cell>
          <cell r="CL9718">
            <v>19507.116999999998</v>
          </cell>
          <cell r="CM9718" t="str">
            <v xml:space="preserve">NFT-/XUTR/DEUTH02513409952X </v>
          </cell>
          <cell r="CN9718" t="str">
            <v>2025-05-14</v>
          </cell>
          <cell r="CO9718">
            <v>1031.7180000000001</v>
          </cell>
        </row>
        <row r="9719">
          <cell r="CJ9719" t="str">
            <v xml:space="preserve">AXISCN0976029637 </v>
          </cell>
          <cell r="CK9719" t="str">
            <v>2025-05-14</v>
          </cell>
          <cell r="CL9719">
            <v>29478.224999999999</v>
          </cell>
          <cell r="CM9719" t="str">
            <v xml:space="preserve">NFT-/XUTR/DEUTH02513409952X </v>
          </cell>
          <cell r="CN9719" t="str">
            <v>2025-05-14</v>
          </cell>
          <cell r="CO9719">
            <v>1563.596</v>
          </cell>
        </row>
        <row r="9720">
          <cell r="CJ9720" t="str">
            <v xml:space="preserve">AXISCN0976029637 </v>
          </cell>
          <cell r="CK9720" t="str">
            <v>2025-05-14</v>
          </cell>
          <cell r="CL9720">
            <v>0</v>
          </cell>
          <cell r="CM9720" t="str">
            <v xml:space="preserve">NFT-/XUTR/DEUTH02513409952X </v>
          </cell>
          <cell r="CN9720" t="str">
            <v>2025-05-14</v>
          </cell>
          <cell r="CO9720">
            <v>0</v>
          </cell>
        </row>
        <row r="9721">
          <cell r="CJ9721" t="str">
            <v xml:space="preserve">AXISCN0976029637 </v>
          </cell>
          <cell r="CK9721" t="str">
            <v>2025-05-14</v>
          </cell>
          <cell r="CL9721">
            <v>2573.5</v>
          </cell>
        </row>
        <row r="9722">
          <cell r="CJ9722" t="str">
            <v xml:space="preserve">AXISCN0976029637 </v>
          </cell>
          <cell r="CK9722" t="str">
            <v>2025-05-14</v>
          </cell>
          <cell r="CL9722">
            <v>29478.224999999999</v>
          </cell>
          <cell r="CM9722" t="str">
            <v xml:space="preserve">NFT-/XUTR/DEUTH02513409952X </v>
          </cell>
          <cell r="CN9722" t="str">
            <v>2025-05-14</v>
          </cell>
          <cell r="CO9722">
            <v>1563.596</v>
          </cell>
        </row>
        <row r="9723">
          <cell r="CJ9723" t="str">
            <v xml:space="preserve">AXISCN0976029637 </v>
          </cell>
          <cell r="CK9723" t="str">
            <v>2025-05-14</v>
          </cell>
          <cell r="CL9723">
            <v>48818.474999999999</v>
          </cell>
          <cell r="CM9723" t="str">
            <v xml:space="preserve">NFT-/XUTR/DEUTH02513409952X </v>
          </cell>
          <cell r="CN9723" t="str">
            <v>2025-05-14</v>
          </cell>
          <cell r="CO9723">
            <v>2574.9349999999999</v>
          </cell>
        </row>
        <row r="9724">
          <cell r="CJ9724" t="str">
            <v xml:space="preserve">AXISCN0976029637 </v>
          </cell>
          <cell r="CK9724" t="str">
            <v>2025-05-14</v>
          </cell>
          <cell r="CL9724">
            <v>9443.2289999999994</v>
          </cell>
          <cell r="CM9724" t="str">
            <v xml:space="preserve">NFT-/XUTR/DEUTH02513409952X </v>
          </cell>
          <cell r="CN9724" t="str">
            <v>2025-05-14</v>
          </cell>
          <cell r="CO9724">
            <v>1059.8689999999999</v>
          </cell>
        </row>
        <row r="9725">
          <cell r="CJ9725" t="str">
            <v xml:space="preserve">AXISCN0976029637 </v>
          </cell>
          <cell r="CK9725" t="str">
            <v>2025-05-14</v>
          </cell>
          <cell r="CL9725">
            <v>19663.82</v>
          </cell>
          <cell r="CM9725" t="str">
            <v xml:space="preserve">NFT-/XUTR/DEUTH02513409952X </v>
          </cell>
          <cell r="CN9725" t="str">
            <v>2025-05-14</v>
          </cell>
          <cell r="CO9725">
            <v>1039.481</v>
          </cell>
        </row>
        <row r="9726">
          <cell r="CJ9726" t="str">
            <v xml:space="preserve">AXISCN0976029637 </v>
          </cell>
          <cell r="CK9726" t="str">
            <v>2025-05-14</v>
          </cell>
          <cell r="CL9726">
            <v>9462.11</v>
          </cell>
          <cell r="CM9726" t="str">
            <v xml:space="preserve">NFT-/XUTR/DEUTH02513409952X </v>
          </cell>
          <cell r="CN9726" t="str">
            <v>2025-05-14</v>
          </cell>
          <cell r="CO9726">
            <v>1059.8699999999999</v>
          </cell>
        </row>
        <row r="9727">
          <cell r="CJ9727" t="str">
            <v xml:space="preserve">AXISCN0976029637 </v>
          </cell>
          <cell r="CK9727" t="str">
            <v>2025-05-14</v>
          </cell>
          <cell r="CL9727">
            <v>9149.5849999999991</v>
          </cell>
          <cell r="CM9727" t="str">
            <v xml:space="preserve">NFT-/XUTR/DEUTH02513409952X </v>
          </cell>
          <cell r="CN9727" t="str">
            <v>2025-05-14</v>
          </cell>
          <cell r="CO9727">
            <v>1372.394</v>
          </cell>
        </row>
        <row r="9728">
          <cell r="CJ9728" t="str">
            <v xml:space="preserve">AXISCN0976029637 </v>
          </cell>
          <cell r="CK9728" t="str">
            <v>2025-05-14</v>
          </cell>
          <cell r="CL9728">
            <v>52676.875</v>
          </cell>
          <cell r="CM9728" t="str">
            <v xml:space="preserve">NFT-/XUTR/DEUTH02513409952X </v>
          </cell>
          <cell r="CN9728" t="str">
            <v>2025-05-14</v>
          </cell>
          <cell r="CO9728">
            <v>2776.8139999999999</v>
          </cell>
        </row>
        <row r="9729">
          <cell r="CJ9729" t="str">
            <v xml:space="preserve">AXISCN0976029637 </v>
          </cell>
          <cell r="CK9729" t="str">
            <v>2025-05-14</v>
          </cell>
          <cell r="CL9729">
            <v>11448.875</v>
          </cell>
          <cell r="CM9729" t="str">
            <v xml:space="preserve">NFT-/XUTR/DEUTH02513409952X </v>
          </cell>
          <cell r="CN9729" t="str">
            <v>2025-05-14</v>
          </cell>
          <cell r="CO9729">
            <v>606.60900000000004</v>
          </cell>
        </row>
        <row r="9730">
          <cell r="CJ9730" t="str">
            <v xml:space="preserve">AXISCN0976029637 </v>
          </cell>
          <cell r="CK9730" t="str">
            <v>2025-05-14</v>
          </cell>
          <cell r="CL9730">
            <v>9443.2289999999994</v>
          </cell>
          <cell r="CM9730" t="str">
            <v xml:space="preserve">NFT-/XUTR/DEUTH02513409952X </v>
          </cell>
          <cell r="CN9730" t="str">
            <v>2025-05-14</v>
          </cell>
          <cell r="CO9730">
            <v>1059.8689999999999</v>
          </cell>
        </row>
        <row r="9731">
          <cell r="CJ9731" t="str">
            <v xml:space="preserve">AXISCN0976029637 </v>
          </cell>
          <cell r="CK9731" t="str">
            <v>2025-05-14</v>
          </cell>
          <cell r="CL9731">
            <v>9462.1090000000004</v>
          </cell>
          <cell r="CM9731" t="str">
            <v xml:space="preserve">NFT-/XUTR/DEUTH02513409952X </v>
          </cell>
          <cell r="CN9731" t="str">
            <v>2025-05-14</v>
          </cell>
          <cell r="CO9731">
            <v>1059.8689999999999</v>
          </cell>
        </row>
        <row r="9732">
          <cell r="CJ9732" t="str">
            <v xml:space="preserve">AXISCN0976029637 </v>
          </cell>
          <cell r="CK9732" t="str">
            <v>2025-05-14</v>
          </cell>
          <cell r="CL9732">
            <v>9226.2549999999992</v>
          </cell>
          <cell r="CM9732" t="str">
            <v xml:space="preserve">NFT-/XUTR/DEUTH02513409952X </v>
          </cell>
          <cell r="CN9732" t="str">
            <v>2025-05-14</v>
          </cell>
          <cell r="CO9732">
            <v>1295.713</v>
          </cell>
        </row>
        <row r="9733">
          <cell r="CJ9733" t="str">
            <v xml:space="preserve">AXISCN0976029637 </v>
          </cell>
          <cell r="CK9733" t="str">
            <v>2025-05-14</v>
          </cell>
          <cell r="CL9733">
            <v>1467.0409999999999</v>
          </cell>
        </row>
        <row r="9734">
          <cell r="CJ9734" t="str">
            <v xml:space="preserve">AXISCN0976029637 </v>
          </cell>
          <cell r="CK9734" t="str">
            <v>2025-05-14</v>
          </cell>
          <cell r="CL9734">
            <v>9443.2289999999994</v>
          </cell>
          <cell r="CM9734" t="str">
            <v xml:space="preserve">NFT-/XUTR/DEUTH02513409952X </v>
          </cell>
          <cell r="CN9734" t="str">
            <v>2025-05-14</v>
          </cell>
          <cell r="CO9734">
            <v>1059.8689999999999</v>
          </cell>
        </row>
        <row r="9735">
          <cell r="CJ9735" t="str">
            <v xml:space="preserve">AXISCN0976029637 </v>
          </cell>
          <cell r="CK9735" t="str">
            <v>2025-05-14</v>
          </cell>
          <cell r="CL9735">
            <v>9435.9060000000009</v>
          </cell>
          <cell r="CM9735" t="str">
            <v xml:space="preserve">NFT-/XUTR/DEUTH02513409952X </v>
          </cell>
          <cell r="CN9735" t="str">
            <v>2025-05-14</v>
          </cell>
          <cell r="CO9735">
            <v>1086.0719999999999</v>
          </cell>
        </row>
        <row r="9736">
          <cell r="CJ9736" t="str">
            <v xml:space="preserve">AXISCN0976029637 </v>
          </cell>
          <cell r="CK9736" t="str">
            <v>2025-05-14</v>
          </cell>
          <cell r="CL9736">
            <v>9462.1090000000004</v>
          </cell>
          <cell r="CM9736" t="str">
            <v xml:space="preserve">NFT-/XUTR/DEUTH02513409952X </v>
          </cell>
          <cell r="CN9736" t="str">
            <v>2025-05-14</v>
          </cell>
          <cell r="CO9736">
            <v>1059.8689999999999</v>
          </cell>
        </row>
        <row r="9737">
          <cell r="CJ9737" t="str">
            <v xml:space="preserve">AXISCN0976029637 </v>
          </cell>
          <cell r="CK9737" t="str">
            <v>2025-05-14</v>
          </cell>
          <cell r="CL9737">
            <v>9443.2289999999994</v>
          </cell>
          <cell r="CM9737" t="str">
            <v xml:space="preserve">NFT-/XUTR/DEUTH02513409952X </v>
          </cell>
          <cell r="CN9737" t="str">
            <v>2025-05-14</v>
          </cell>
          <cell r="CO9737">
            <v>1059.8689999999999</v>
          </cell>
        </row>
        <row r="9738">
          <cell r="CJ9738" t="str">
            <v xml:space="preserve">AXISCN0976029637 </v>
          </cell>
          <cell r="CK9738" t="str">
            <v>2025-05-14</v>
          </cell>
          <cell r="CL9738">
            <v>9462.11</v>
          </cell>
          <cell r="CM9738" t="str">
            <v xml:space="preserve">NFT-/XUTR/DEUTH02513409952X </v>
          </cell>
          <cell r="CN9738" t="str">
            <v>2025-05-14</v>
          </cell>
          <cell r="CO9738">
            <v>1059.8699999999999</v>
          </cell>
        </row>
        <row r="9739">
          <cell r="CJ9739" t="str">
            <v xml:space="preserve">AXISCN0976029637 </v>
          </cell>
          <cell r="CK9739" t="str">
            <v>2025-05-14</v>
          </cell>
          <cell r="CL9739">
            <v>9462.1090000000004</v>
          </cell>
          <cell r="CM9739" t="str">
            <v xml:space="preserve">NFT-/XUTR/DEUTH02513409952X </v>
          </cell>
          <cell r="CN9739" t="str">
            <v>2025-05-14</v>
          </cell>
          <cell r="CO9739">
            <v>1059.8689999999999</v>
          </cell>
        </row>
        <row r="9740">
          <cell r="CJ9740" t="str">
            <v xml:space="preserve">AXISCN0976029637 </v>
          </cell>
          <cell r="CK9740" t="str">
            <v>2025-05-14</v>
          </cell>
          <cell r="CL9740">
            <v>9462.11</v>
          </cell>
          <cell r="CM9740" t="str">
            <v xml:space="preserve">NFT-/XUTR/DEUTH02513409952X </v>
          </cell>
          <cell r="CN9740" t="str">
            <v>2025-05-14</v>
          </cell>
          <cell r="CO9740">
            <v>1059.8699999999999</v>
          </cell>
        </row>
        <row r="9741">
          <cell r="CJ9741" t="str">
            <v xml:space="preserve">AXISCN0976029637 </v>
          </cell>
          <cell r="CK9741" t="str">
            <v>2025-05-14</v>
          </cell>
          <cell r="CL9741">
            <v>0</v>
          </cell>
          <cell r="CM9741" t="str">
            <v xml:space="preserve">NFT-/XUTR/DEUTH02513409952X </v>
          </cell>
          <cell r="CN9741" t="str">
            <v>2025-05-14</v>
          </cell>
          <cell r="CO9741">
            <v>-1.734</v>
          </cell>
        </row>
        <row r="9742">
          <cell r="CJ9742" t="str">
            <v xml:space="preserve">AXISCN0976029637 </v>
          </cell>
          <cell r="CK9742" t="str">
            <v>2025-05-14</v>
          </cell>
          <cell r="CL9742">
            <v>9462.1090000000004</v>
          </cell>
          <cell r="CM9742" t="str">
            <v xml:space="preserve">NFT-/XUTR/DEUTH02513409952X </v>
          </cell>
          <cell r="CN9742" t="str">
            <v>2025-05-14</v>
          </cell>
          <cell r="CO9742">
            <v>1059.8689999999999</v>
          </cell>
        </row>
        <row r="9743">
          <cell r="CJ9743" t="str">
            <v xml:space="preserve">AXISCN0976029637 </v>
          </cell>
          <cell r="CK9743" t="str">
            <v>2025-05-14</v>
          </cell>
          <cell r="CL9743">
            <v>9462.1090000000004</v>
          </cell>
          <cell r="CM9743" t="str">
            <v xml:space="preserve">NFT-/XUTR/DEUTH02513409952X </v>
          </cell>
          <cell r="CN9743" t="str">
            <v>2025-05-14</v>
          </cell>
          <cell r="CO9743">
            <v>1059.8689999999999</v>
          </cell>
        </row>
        <row r="9744">
          <cell r="CJ9744" t="str">
            <v xml:space="preserve">AXISCN0976029637 </v>
          </cell>
          <cell r="CK9744" t="str">
            <v>2025-05-14</v>
          </cell>
          <cell r="CL9744">
            <v>9462.1090000000004</v>
          </cell>
          <cell r="CM9744" t="str">
            <v xml:space="preserve">NFT-/XUTR/DEUTH02513409952X </v>
          </cell>
          <cell r="CN9744" t="str">
            <v>2025-05-14</v>
          </cell>
          <cell r="CO9744">
            <v>1059.8689999999999</v>
          </cell>
        </row>
        <row r="9745">
          <cell r="CJ9745" t="str">
            <v xml:space="preserve">AXISCN0976029637 </v>
          </cell>
          <cell r="CK9745" t="str">
            <v>2025-05-14</v>
          </cell>
          <cell r="CL9745">
            <v>10308.983</v>
          </cell>
        </row>
        <row r="9746">
          <cell r="CJ9746" t="str">
            <v xml:space="preserve">AXISCN0976029637 </v>
          </cell>
          <cell r="CK9746" t="str">
            <v>2025-05-14</v>
          </cell>
          <cell r="CL9746">
            <v>20082.673999999999</v>
          </cell>
          <cell r="CM9746" t="str">
            <v xml:space="preserve">NFT-/XUTR/DEUTH02513409952X </v>
          </cell>
          <cell r="CN9746" t="str">
            <v>2025-05-14</v>
          </cell>
          <cell r="CO9746">
            <v>1213.2180000000001</v>
          </cell>
        </row>
        <row r="9747">
          <cell r="CJ9747" t="str">
            <v xml:space="preserve">AXISCN0976029637 </v>
          </cell>
          <cell r="CK9747" t="str">
            <v>2025-05-14</v>
          </cell>
          <cell r="CL9747">
            <v>9565.5259999999998</v>
          </cell>
          <cell r="CM9747" t="str">
            <v xml:space="preserve">NFT-/XUTR/DEUTH02513409952X </v>
          </cell>
          <cell r="CN9747" t="str">
            <v>2025-05-14</v>
          </cell>
          <cell r="CO9747">
            <v>1073.4570000000001</v>
          </cell>
        </row>
        <row r="9748">
          <cell r="CJ9748" t="str">
            <v xml:space="preserve">AXISCN0976029637 </v>
          </cell>
          <cell r="CK9748" t="str">
            <v>2025-05-14</v>
          </cell>
          <cell r="CL9748">
            <v>9584.4060000000009</v>
          </cell>
          <cell r="CM9748" t="str">
            <v xml:space="preserve">NFT-/XUTR/DEUTH02513409952X </v>
          </cell>
          <cell r="CN9748" t="str">
            <v>2025-05-14</v>
          </cell>
          <cell r="CO9748">
            <v>1073.4570000000001</v>
          </cell>
        </row>
        <row r="9749">
          <cell r="CJ9749" t="str">
            <v xml:space="preserve">AXISCN0976029637 </v>
          </cell>
          <cell r="CK9749" t="str">
            <v>2025-05-14</v>
          </cell>
          <cell r="CL9749">
            <v>10828.236999999999</v>
          </cell>
          <cell r="CM9749" t="str">
            <v xml:space="preserve">NFT-/XUTR/DEUTH02513409952X </v>
          </cell>
          <cell r="CN9749" t="str">
            <v>2025-05-14</v>
          </cell>
          <cell r="CO9749">
            <v>1169.5409999999999</v>
          </cell>
        </row>
        <row r="9750">
          <cell r="CJ9750" t="str">
            <v xml:space="preserve">AXISCN0976029637 </v>
          </cell>
          <cell r="CK9750" t="str">
            <v>2025-05-14</v>
          </cell>
          <cell r="CL9750">
            <v>0</v>
          </cell>
          <cell r="CM9750" t="str">
            <v xml:space="preserve">NFT-/XUTR/DEUTH02513409952X </v>
          </cell>
          <cell r="CN9750" t="str">
            <v>2025-05-14</v>
          </cell>
          <cell r="CO9750">
            <v>0</v>
          </cell>
        </row>
        <row r="9751">
          <cell r="CJ9751" t="str">
            <v xml:space="preserve">AXISCN0976029637 </v>
          </cell>
          <cell r="CK9751" t="str">
            <v>2025-05-14</v>
          </cell>
          <cell r="CL9751">
            <v>9584.4060000000009</v>
          </cell>
          <cell r="CM9751" t="str">
            <v xml:space="preserve">NFT-/XUTR/DEUTH02513409952X </v>
          </cell>
          <cell r="CN9751" t="str">
            <v>2025-05-14</v>
          </cell>
          <cell r="CO9751">
            <v>1073.4580000000001</v>
          </cell>
        </row>
        <row r="9752">
          <cell r="CJ9752" t="str">
            <v xml:space="preserve">AXISCN0976029637 </v>
          </cell>
          <cell r="CK9752" t="str">
            <v>2025-05-14</v>
          </cell>
          <cell r="CL9752">
            <v>10492.862999999999</v>
          </cell>
          <cell r="CM9752" t="str">
            <v xml:space="preserve">NFT-/XUTR/DEUTH02513409952X </v>
          </cell>
          <cell r="CN9752" t="str">
            <v>2025-05-14</v>
          </cell>
          <cell r="CO9752">
            <v>1174.3910000000001</v>
          </cell>
        </row>
        <row r="9753">
          <cell r="CJ9753" t="str">
            <v xml:space="preserve">AXISCN0976029637 </v>
          </cell>
          <cell r="CK9753" t="str">
            <v>2025-05-14</v>
          </cell>
          <cell r="CL9753">
            <v>0</v>
          </cell>
          <cell r="CM9753" t="str">
            <v xml:space="preserve">NFT-/XUTR/DEUTH02513409952X </v>
          </cell>
          <cell r="CN9753" t="str">
            <v>2025-05-14</v>
          </cell>
          <cell r="CO9753">
            <v>-1.7569999999999999</v>
          </cell>
        </row>
        <row r="9754">
          <cell r="CJ9754" t="str">
            <v xml:space="preserve">AXISCN0976029637 </v>
          </cell>
          <cell r="CK9754" t="str">
            <v>2025-05-14</v>
          </cell>
          <cell r="CL9754">
            <v>9447.1059999999998</v>
          </cell>
          <cell r="CM9754" t="str">
            <v xml:space="preserve">NFT-/XUTR/DEUTH02513409952X </v>
          </cell>
          <cell r="CN9754" t="str">
            <v>2025-05-14</v>
          </cell>
          <cell r="CO9754">
            <v>1191.867</v>
          </cell>
        </row>
        <row r="9755">
          <cell r="CJ9755" t="str">
            <v xml:space="preserve">AXISCN0976029637 </v>
          </cell>
          <cell r="CK9755" t="str">
            <v>2025-05-14</v>
          </cell>
          <cell r="CL9755">
            <v>9584.4060000000009</v>
          </cell>
          <cell r="CM9755" t="str">
            <v xml:space="preserve">NFT-/XUTR/DEUTH02513409952X </v>
          </cell>
          <cell r="CN9755" t="str">
            <v>2025-05-14</v>
          </cell>
          <cell r="CO9755">
            <v>1073.4570000000001</v>
          </cell>
        </row>
        <row r="9756">
          <cell r="CJ9756" t="str">
            <v xml:space="preserve">AXISCN0976029637 </v>
          </cell>
          <cell r="CK9756" t="str">
            <v>2025-05-14</v>
          </cell>
          <cell r="CL9756">
            <v>20519.767</v>
          </cell>
          <cell r="CM9756" t="str">
            <v xml:space="preserve">NFT-/XUTR/DEUTH02513409952X </v>
          </cell>
          <cell r="CN9756" t="str">
            <v>2025-05-14</v>
          </cell>
          <cell r="CO9756">
            <v>1242.7180000000001</v>
          </cell>
          <cell r="CP9756" t="str">
            <v xml:space="preserve">NFT-/XUTR/DEUTH02513621398X </v>
          </cell>
          <cell r="CQ9756" t="str">
            <v>2025-05-16</v>
          </cell>
          <cell r="CR9756">
            <v>-20519.767</v>
          </cell>
          <cell r="CS9756" t="str">
            <v xml:space="preserve">NFT-/XUTR/DEUTH02513665250X </v>
          </cell>
          <cell r="CT9756" t="str">
            <v>2025-05-16</v>
          </cell>
          <cell r="CU9756">
            <v>-1242.7180000000001</v>
          </cell>
        </row>
        <row r="9757">
          <cell r="CJ9757" t="str">
            <v xml:space="preserve">AXISCN0976029637 </v>
          </cell>
          <cell r="CK9757" t="str">
            <v>2025-05-14</v>
          </cell>
          <cell r="CL9757">
            <v>9535.8760000000002</v>
          </cell>
          <cell r="CM9757" t="str">
            <v xml:space="preserve">NFT-/XUTR/DEUTH02513409952X </v>
          </cell>
          <cell r="CN9757" t="str">
            <v>2025-05-14</v>
          </cell>
          <cell r="CO9757">
            <v>1121.9880000000001</v>
          </cell>
        </row>
        <row r="9758">
          <cell r="CJ9758" t="str">
            <v xml:space="preserve">AXISCN0976029637 </v>
          </cell>
          <cell r="CK9758" t="str">
            <v>2025-05-14</v>
          </cell>
          <cell r="CL9758">
            <v>9565.5259999999998</v>
          </cell>
          <cell r="CM9758" t="str">
            <v xml:space="preserve">NFT-/XUTR/DEUTH02513409952X </v>
          </cell>
          <cell r="CN9758" t="str">
            <v>2025-05-14</v>
          </cell>
          <cell r="CO9758">
            <v>1073.4570000000001</v>
          </cell>
        </row>
        <row r="9759">
          <cell r="CJ9759" t="str">
            <v xml:space="preserve">AXISCN0976029637 </v>
          </cell>
          <cell r="CK9759" t="str">
            <v>2025-05-14</v>
          </cell>
          <cell r="CL9759">
            <v>9565.5259999999998</v>
          </cell>
          <cell r="CM9759" t="str">
            <v xml:space="preserve">NFT-/XUTR/DEUTH02513409952X </v>
          </cell>
          <cell r="CN9759" t="str">
            <v>2025-05-14</v>
          </cell>
          <cell r="CO9759">
            <v>1073.4570000000001</v>
          </cell>
        </row>
        <row r="9760">
          <cell r="CJ9760" t="str">
            <v xml:space="preserve">AXISCN0976029637 </v>
          </cell>
          <cell r="CK9760" t="str">
            <v>2025-05-14</v>
          </cell>
          <cell r="CL9760">
            <v>20101.554</v>
          </cell>
          <cell r="CM9760" t="str">
            <v xml:space="preserve">NFT-/XUTR/DEUTH02513409952X </v>
          </cell>
          <cell r="CN9760" t="str">
            <v>2025-05-14</v>
          </cell>
          <cell r="CO9760">
            <v>1213.2180000000001</v>
          </cell>
          <cell r="CP9760" t="str">
            <v xml:space="preserve">AXISCN0978143446 </v>
          </cell>
          <cell r="CQ9760" t="str">
            <v>2025-05-19</v>
          </cell>
          <cell r="CR9760">
            <v>-20101.554</v>
          </cell>
          <cell r="CS9760" t="str">
            <v xml:space="preserve">NFT-/XUTR/DEUTH02513953805X </v>
          </cell>
          <cell r="CT9760" t="str">
            <v>2025-05-19</v>
          </cell>
          <cell r="CU9760">
            <v>-1213.2180000000001</v>
          </cell>
        </row>
        <row r="9761">
          <cell r="CJ9761" t="str">
            <v xml:space="preserve">AXISCN0976029637 </v>
          </cell>
          <cell r="CK9761" t="str">
            <v>2025-05-14</v>
          </cell>
          <cell r="CL9761">
            <v>9565.5259999999998</v>
          </cell>
          <cell r="CM9761" t="str">
            <v xml:space="preserve">NFT-/XUTR/DEUTH02513409952X </v>
          </cell>
          <cell r="CN9761" t="str">
            <v>2025-05-14</v>
          </cell>
          <cell r="CO9761">
            <v>1073.4570000000001</v>
          </cell>
        </row>
        <row r="9762">
          <cell r="CJ9762" t="str">
            <v xml:space="preserve">AXISCN0976029637 </v>
          </cell>
          <cell r="CK9762" t="str">
            <v>2025-05-14</v>
          </cell>
          <cell r="CL9762">
            <v>11114.558000000001</v>
          </cell>
          <cell r="CM9762" t="str">
            <v xml:space="preserve">NFT-/XUTR/DEUTH02513409952X </v>
          </cell>
          <cell r="CN9762" t="str">
            <v>2025-05-14</v>
          </cell>
          <cell r="CO9762">
            <v>1213.2180000000001</v>
          </cell>
        </row>
        <row r="9763">
          <cell r="CJ9763" t="str">
            <v xml:space="preserve">AXISCN0976029637 </v>
          </cell>
          <cell r="CK9763" t="str">
            <v>2025-05-14</v>
          </cell>
          <cell r="CL9763">
            <v>5337.7</v>
          </cell>
          <cell r="CM9763" t="str">
            <v xml:space="preserve">NFT-/XUTR/DEUTH02513409952X </v>
          </cell>
          <cell r="CN9763" t="str">
            <v>2025-05-14</v>
          </cell>
          <cell r="CO9763">
            <v>603.697</v>
          </cell>
        </row>
        <row r="9764">
          <cell r="CJ9764" t="str">
            <v xml:space="preserve">AXISCN0976029637 </v>
          </cell>
          <cell r="CK9764" t="str">
            <v>2025-05-14</v>
          </cell>
          <cell r="CL9764">
            <v>9565.5259999999998</v>
          </cell>
          <cell r="CM9764" t="str">
            <v xml:space="preserve">NFT-/XUTR/DEUTH02513409952X </v>
          </cell>
          <cell r="CN9764" t="str">
            <v>2025-05-14</v>
          </cell>
          <cell r="CO9764">
            <v>1073.4570000000001</v>
          </cell>
        </row>
        <row r="9765">
          <cell r="CJ9765" t="str">
            <v xml:space="preserve">AXISCN0976029637 </v>
          </cell>
          <cell r="CK9765" t="str">
            <v>2025-05-14</v>
          </cell>
          <cell r="CL9765">
            <v>9584.4060000000009</v>
          </cell>
          <cell r="CM9765" t="str">
            <v xml:space="preserve">NFT-/XUTR/DEUTH02513409952X </v>
          </cell>
          <cell r="CN9765" t="str">
            <v>2025-05-14</v>
          </cell>
          <cell r="CO9765">
            <v>1073.4570000000001</v>
          </cell>
        </row>
        <row r="9766">
          <cell r="CJ9766" t="str">
            <v xml:space="preserve">AXISCN0976029637 </v>
          </cell>
          <cell r="CK9766" t="str">
            <v>2025-05-14</v>
          </cell>
          <cell r="CL9766">
            <v>5346.4380000000001</v>
          </cell>
          <cell r="CM9766" t="str">
            <v xml:space="preserve">NFT-/XUTR/DEUTH02513409952X </v>
          </cell>
          <cell r="CN9766" t="str">
            <v>2025-05-14</v>
          </cell>
          <cell r="CO9766">
            <v>604.67100000000005</v>
          </cell>
        </row>
        <row r="9767">
          <cell r="CJ9767" t="str">
            <v xml:space="preserve">AXISCN0976029637 </v>
          </cell>
          <cell r="CK9767" t="str">
            <v>2025-05-14</v>
          </cell>
          <cell r="CL9767">
            <v>9584.4060000000009</v>
          </cell>
          <cell r="CM9767" t="str">
            <v xml:space="preserve">NFT-/XUTR/DEUTH02513409952X </v>
          </cell>
          <cell r="CN9767" t="str">
            <v>2025-05-14</v>
          </cell>
          <cell r="CO9767">
            <v>1073.4570000000001</v>
          </cell>
        </row>
        <row r="9768">
          <cell r="CJ9768" t="str">
            <v xml:space="preserve">AXISCN0976029637 </v>
          </cell>
          <cell r="CK9768" t="str">
            <v>2025-05-14</v>
          </cell>
          <cell r="CL9768">
            <v>9565.5259999999998</v>
          </cell>
          <cell r="CM9768" t="str">
            <v xml:space="preserve">NFT-/XUTR/DEUTH02513409952X </v>
          </cell>
          <cell r="CN9768" t="str">
            <v>2025-05-14</v>
          </cell>
          <cell r="CO9768">
            <v>1073.4570000000001</v>
          </cell>
        </row>
        <row r="9769">
          <cell r="CJ9769" t="str">
            <v xml:space="preserve">AXISCN0976029637 </v>
          </cell>
          <cell r="CK9769" t="str">
            <v>2025-05-14</v>
          </cell>
          <cell r="CL9769">
            <v>10706.915000000001</v>
          </cell>
        </row>
        <row r="9770">
          <cell r="CJ9770" t="str">
            <v xml:space="preserve">AXISCN0976029637 </v>
          </cell>
          <cell r="CK9770" t="str">
            <v>2025-05-14</v>
          </cell>
          <cell r="CL9770">
            <v>10789.85</v>
          </cell>
          <cell r="CM9770" t="str">
            <v xml:space="preserve">NFT-/XUTR/DEUTH02513409952X </v>
          </cell>
          <cell r="CN9770" t="str">
            <v>2025-05-14</v>
          </cell>
          <cell r="CO9770">
            <v>1207.394</v>
          </cell>
        </row>
        <row r="9771">
          <cell r="CJ9771" t="str">
            <v xml:space="preserve">AXISCN0976029637 </v>
          </cell>
          <cell r="CK9771" t="str">
            <v>2025-05-14</v>
          </cell>
          <cell r="CL9771">
            <v>32158.514999999999</v>
          </cell>
          <cell r="CM9771" t="str">
            <v xml:space="preserve">NFT-/XUTR/DEUTH02513621398X </v>
          </cell>
          <cell r="CN9771" t="str">
            <v>2025-05-16</v>
          </cell>
          <cell r="CO9771">
            <v>-32158.514999999999</v>
          </cell>
        </row>
        <row r="9772">
          <cell r="CJ9772" t="str">
            <v xml:space="preserve">AXISCN0976029637 </v>
          </cell>
          <cell r="CK9772" t="str">
            <v>2025-05-14</v>
          </cell>
          <cell r="CL9772">
            <v>32158.514999999999</v>
          </cell>
          <cell r="CM9772" t="str">
            <v xml:space="preserve">NFT-/XUTR/DEUTH02513621398X </v>
          </cell>
          <cell r="CN9772" t="str">
            <v>2025-05-16</v>
          </cell>
          <cell r="CO9772">
            <v>-32158.514999999999</v>
          </cell>
        </row>
        <row r="9773">
          <cell r="CJ9773" t="str">
            <v xml:space="preserve">AXISCN0976029637 </v>
          </cell>
          <cell r="CK9773" t="str">
            <v>2025-05-14</v>
          </cell>
          <cell r="CL9773">
            <v>32158.514999999999</v>
          </cell>
          <cell r="CM9773" t="str">
            <v xml:space="preserve">NFT-/XUTR/DEUTH02513621398X </v>
          </cell>
          <cell r="CN9773" t="str">
            <v>2025-05-16</v>
          </cell>
          <cell r="CO9773">
            <v>-32158.514999999999</v>
          </cell>
        </row>
        <row r="9774">
          <cell r="CJ9774" t="str">
            <v xml:space="preserve">AXISCN0976029637 </v>
          </cell>
          <cell r="CK9774" t="str">
            <v>2025-05-14</v>
          </cell>
          <cell r="CL9774">
            <v>0</v>
          </cell>
          <cell r="CM9774" t="str">
            <v xml:space="preserve">NFT-/XUTR/DEUTH02513409952X </v>
          </cell>
          <cell r="CN9774" t="str">
            <v>2025-05-14</v>
          </cell>
          <cell r="CO9774">
            <v>0</v>
          </cell>
        </row>
        <row r="9775">
          <cell r="CJ9775" t="str">
            <v xml:space="preserve">AXISCN0976029637 </v>
          </cell>
          <cell r="CK9775" t="str">
            <v>2025-05-14</v>
          </cell>
          <cell r="CL9775">
            <v>5346.4380000000001</v>
          </cell>
          <cell r="CM9775" t="str">
            <v xml:space="preserve">NFT-/XUTR/DEUTH02513409952X </v>
          </cell>
          <cell r="CN9775" t="str">
            <v>2025-05-14</v>
          </cell>
          <cell r="CO9775">
            <v>604.67100000000005</v>
          </cell>
        </row>
        <row r="9776">
          <cell r="CJ9776" t="str">
            <v xml:space="preserve">AXISCN0976029637 </v>
          </cell>
          <cell r="CK9776" t="str">
            <v>2025-05-14</v>
          </cell>
          <cell r="CL9776">
            <v>20082.673999999999</v>
          </cell>
          <cell r="CM9776" t="str">
            <v xml:space="preserve">NFT-/XUTR/DEUTH02513409952X </v>
          </cell>
          <cell r="CN9776" t="str">
            <v>2025-05-14</v>
          </cell>
          <cell r="CO9776">
            <v>1213.2180000000001</v>
          </cell>
          <cell r="CP9776" t="str">
            <v xml:space="preserve">AXISCN0978143446 </v>
          </cell>
          <cell r="CQ9776" t="str">
            <v>2025-05-19</v>
          </cell>
          <cell r="CR9776">
            <v>-20082.673999999999</v>
          </cell>
          <cell r="CS9776" t="str">
            <v xml:space="preserve">NFT-/XUTR/DEUTH02513953805X </v>
          </cell>
          <cell r="CT9776" t="str">
            <v>2025-05-19</v>
          </cell>
          <cell r="CU9776">
            <v>-1213.2180000000001</v>
          </cell>
        </row>
        <row r="9777">
          <cell r="CJ9777" t="str">
            <v xml:space="preserve">NFT-/XUTR/DEUTH02513621398X </v>
          </cell>
          <cell r="CK9777" t="str">
            <v>2025-05-16</v>
          </cell>
          <cell r="CL9777">
            <v>10200.716</v>
          </cell>
          <cell r="CM9777" t="str">
            <v xml:space="preserve">NFT-/XUTR/DEUTH02513665250X </v>
          </cell>
          <cell r="CN9777" t="str">
            <v>2025-05-16</v>
          </cell>
          <cell r="CO9777">
            <v>1495.653</v>
          </cell>
        </row>
        <row r="9778">
          <cell r="CJ9778" t="str">
            <v xml:space="preserve">NFT-/XUTR/DEUTH02513621398X </v>
          </cell>
          <cell r="CK9778" t="str">
            <v>2025-05-16</v>
          </cell>
          <cell r="CL9778">
            <v>1496.1669999999999</v>
          </cell>
        </row>
        <row r="9779">
          <cell r="CJ9779" t="str">
            <v xml:space="preserve">NFT-/XUTR/DEUTH02513665250X </v>
          </cell>
          <cell r="CK9779" t="str">
            <v>2025-05-16</v>
          </cell>
          <cell r="CL9779">
            <v>-3.0369999999999999</v>
          </cell>
        </row>
        <row r="9780">
          <cell r="CJ9780" t="str">
            <v xml:space="preserve">NFT-/XUTR/DEUTH02513621398X </v>
          </cell>
          <cell r="CK9780" t="str">
            <v>2025-05-16</v>
          </cell>
          <cell r="CL9780">
            <v>20653.367999999999</v>
          </cell>
          <cell r="CM9780" t="str">
            <v xml:space="preserve">NFT-/XUTR/DEUTH02513665250X </v>
          </cell>
          <cell r="CN9780" t="str">
            <v>2025-05-16</v>
          </cell>
          <cell r="CO9780">
            <v>642.52300000000002</v>
          </cell>
        </row>
        <row r="9781">
          <cell r="CJ9781" t="str">
            <v xml:space="preserve">NFT-/XUTR/DEUTH02513621398X </v>
          </cell>
          <cell r="CK9781" t="str">
            <v>2025-05-16</v>
          </cell>
          <cell r="CL9781">
            <v>10711.745999999999</v>
          </cell>
          <cell r="CM9781" t="str">
            <v xml:space="preserve">NFT-/XUTR/DEUTH02513665250X </v>
          </cell>
          <cell r="CN9781" t="str">
            <v>2025-05-16</v>
          </cell>
          <cell r="CO9781">
            <v>1209.3320000000001</v>
          </cell>
        </row>
        <row r="9782">
          <cell r="CJ9782" t="str">
            <v xml:space="preserve">NFT-/XUTR/DEUTH02513621398X </v>
          </cell>
          <cell r="CK9782" t="str">
            <v>2025-05-16</v>
          </cell>
          <cell r="CL9782">
            <v>10519.066000000001</v>
          </cell>
          <cell r="CM9782" t="str">
            <v xml:space="preserve">NFT-/XUTR/DEUTH02513665250X </v>
          </cell>
          <cell r="CN9782" t="str">
            <v>2025-05-16</v>
          </cell>
          <cell r="CO9782">
            <v>1177.3040000000001</v>
          </cell>
        </row>
        <row r="9783">
          <cell r="CJ9783" t="str">
            <v xml:space="preserve">NFT-/XUTR/DEUTH02513621398X </v>
          </cell>
          <cell r="CK9783" t="str">
            <v>2025-05-16</v>
          </cell>
          <cell r="CL9783">
            <v>20672.248</v>
          </cell>
          <cell r="CM9783" t="str">
            <v xml:space="preserve">NFT-/XUTR/DEUTH02513665250X </v>
          </cell>
          <cell r="CN9783" t="str">
            <v>2025-05-16</v>
          </cell>
          <cell r="CO9783">
            <v>642.52300000000002</v>
          </cell>
        </row>
        <row r="9784">
          <cell r="CJ9784" t="str">
            <v xml:space="preserve">NFT-/XUTR/DEUTH02513621398X </v>
          </cell>
          <cell r="CK9784" t="str">
            <v>2025-05-16</v>
          </cell>
          <cell r="CL9784">
            <v>19587.673999999999</v>
          </cell>
          <cell r="CM9784" t="str">
            <v xml:space="preserve">NFT-/XUTR/DEUTH02513665250X </v>
          </cell>
          <cell r="CN9784" t="str">
            <v>2025-05-16</v>
          </cell>
          <cell r="CO9784">
            <v>1708.2070000000001</v>
          </cell>
        </row>
        <row r="9785">
          <cell r="CJ9785" t="str">
            <v xml:space="preserve">NFT-/XUTR/DEUTH02513621398X </v>
          </cell>
          <cell r="CK9785" t="str">
            <v>2025-05-16</v>
          </cell>
          <cell r="CL9785">
            <v>19459.03</v>
          </cell>
          <cell r="CM9785" t="str">
            <v xml:space="preserve">NFT-/XUTR/DEUTH02513665250X </v>
          </cell>
          <cell r="CN9785" t="str">
            <v>2025-05-16</v>
          </cell>
          <cell r="CO9785">
            <v>1855.741</v>
          </cell>
        </row>
        <row r="9786">
          <cell r="CJ9786" t="str">
            <v xml:space="preserve">NFT-/XUTR/DEUTH02513621398X </v>
          </cell>
          <cell r="CK9786" t="str">
            <v>2025-05-16</v>
          </cell>
          <cell r="CL9786">
            <v>20672.248</v>
          </cell>
          <cell r="CM9786" t="str">
            <v xml:space="preserve">NFT-/XUTR/DEUTH02513665250X </v>
          </cell>
          <cell r="CN9786" t="str">
            <v>2025-05-16</v>
          </cell>
          <cell r="CO9786">
            <v>642.52300000000002</v>
          </cell>
        </row>
        <row r="9787">
          <cell r="CJ9787" t="str">
            <v xml:space="preserve">NFT-/XUTR/DEUTH02513621398X </v>
          </cell>
          <cell r="CK9787" t="str">
            <v>2025-05-16</v>
          </cell>
          <cell r="CL9787">
            <v>19459.03</v>
          </cell>
          <cell r="CM9787" t="str">
            <v xml:space="preserve">NFT-/XUTR/DEUTH02513665250X </v>
          </cell>
          <cell r="CN9787" t="str">
            <v>2025-05-16</v>
          </cell>
          <cell r="CO9787">
            <v>1855.741</v>
          </cell>
        </row>
        <row r="9788">
          <cell r="CJ9788" t="str">
            <v xml:space="preserve">NFT-/XUTR/DEUTH02513621398X </v>
          </cell>
          <cell r="CK9788" t="str">
            <v>2025-05-16</v>
          </cell>
          <cell r="CL9788">
            <v>19440.149000000001</v>
          </cell>
          <cell r="CM9788" t="str">
            <v xml:space="preserve">NFT-/XUTR/DEUTH02513665250X </v>
          </cell>
          <cell r="CN9788" t="str">
            <v>2025-05-16</v>
          </cell>
          <cell r="CO9788">
            <v>1855.741</v>
          </cell>
        </row>
        <row r="9789">
          <cell r="CJ9789" t="str">
            <v xml:space="preserve">NFT-/XUTR/DEUTH02513621398X </v>
          </cell>
          <cell r="CK9789" t="str">
            <v>2025-05-16</v>
          </cell>
          <cell r="CL9789">
            <v>20672.248</v>
          </cell>
          <cell r="CM9789" t="str">
            <v xml:space="preserve">NFT-/XUTR/DEUTH02513665250X </v>
          </cell>
          <cell r="CN9789" t="str">
            <v>2025-05-16</v>
          </cell>
          <cell r="CO9789">
            <v>642.52300000000002</v>
          </cell>
        </row>
        <row r="9790">
          <cell r="CJ9790" t="str">
            <v xml:space="preserve">NFT-/XUTR/DEUTH02513621398X </v>
          </cell>
          <cell r="CK9790" t="str">
            <v>2025-05-16</v>
          </cell>
          <cell r="CL9790">
            <v>5364.3429999999998</v>
          </cell>
          <cell r="CM9790" t="str">
            <v xml:space="preserve">NFT-/XUTR/DEUTH02513665250X </v>
          </cell>
          <cell r="CN9790" t="str">
            <v>2025-05-16</v>
          </cell>
          <cell r="CO9790">
            <v>605.63499999999999</v>
          </cell>
        </row>
        <row r="9791">
          <cell r="CJ9791" t="str">
            <v xml:space="preserve">NFT-/XUTR/DEUTH02513621398X </v>
          </cell>
          <cell r="CK9791" t="str">
            <v>2025-05-16</v>
          </cell>
          <cell r="CL9791">
            <v>5365.3180000000002</v>
          </cell>
          <cell r="CM9791" t="str">
            <v xml:space="preserve">NFT-/XUTR/DEUTH02513665250X </v>
          </cell>
          <cell r="CN9791" t="str">
            <v>2025-05-16</v>
          </cell>
          <cell r="CO9791">
            <v>604.67100000000005</v>
          </cell>
        </row>
        <row r="9792">
          <cell r="CJ9792" t="str">
            <v xml:space="preserve">NFT-/XUTR/DEUTH02513621398X </v>
          </cell>
          <cell r="CK9792" t="str">
            <v>2025-05-16</v>
          </cell>
          <cell r="CL9792">
            <v>5567.72</v>
          </cell>
          <cell r="CM9792" t="str">
            <v xml:space="preserve">NFT-/XUTR/DEUTH02513665250X </v>
          </cell>
          <cell r="CN9792" t="str">
            <v>2025-05-16</v>
          </cell>
          <cell r="CO9792">
            <v>606.60900000000004</v>
          </cell>
        </row>
        <row r="9793">
          <cell r="CJ9793" t="str">
            <v xml:space="preserve">NFT-/XUTR/DEUTH02513621398X </v>
          </cell>
          <cell r="CK9793" t="str">
            <v>2025-05-16</v>
          </cell>
          <cell r="CL9793">
            <v>10181.835999999999</v>
          </cell>
          <cell r="CM9793" t="str">
            <v xml:space="preserve">NFT-/XUTR/DEUTH02513665250X </v>
          </cell>
          <cell r="CN9793" t="str">
            <v>2025-05-16</v>
          </cell>
          <cell r="CO9793">
            <v>1495.653</v>
          </cell>
        </row>
        <row r="9794">
          <cell r="CJ9794" t="str">
            <v xml:space="preserve">NFT-/XUTR/DEUTH02513621398X </v>
          </cell>
          <cell r="CK9794" t="str">
            <v>2025-05-16</v>
          </cell>
          <cell r="CL9794">
            <v>20653.367999999999</v>
          </cell>
          <cell r="CM9794" t="str">
            <v xml:space="preserve">NFT-/XUTR/DEUTH02513665250X </v>
          </cell>
          <cell r="CN9794" t="str">
            <v>2025-05-16</v>
          </cell>
          <cell r="CO9794">
            <v>642.52300000000002</v>
          </cell>
        </row>
        <row r="9795">
          <cell r="CJ9795" t="str">
            <v xml:space="preserve">NFT-/XUTR/DEUTH02513621398X </v>
          </cell>
          <cell r="CK9795" t="str">
            <v>2025-05-16</v>
          </cell>
          <cell r="CL9795">
            <v>10768.499</v>
          </cell>
          <cell r="CM9795" t="str">
            <v xml:space="preserve">NFT-/XUTR/DEUTH02513665250X </v>
          </cell>
          <cell r="CN9795" t="str">
            <v>2025-05-16</v>
          </cell>
          <cell r="CO9795">
            <v>1578.1569999999999</v>
          </cell>
        </row>
        <row r="9796">
          <cell r="CJ9796" t="str">
            <v xml:space="preserve">NFT-/XUTR/DEUTH02513621398X </v>
          </cell>
          <cell r="CK9796" t="str">
            <v>2025-05-16</v>
          </cell>
          <cell r="CL9796">
            <v>5455.62</v>
          </cell>
          <cell r="CM9796" t="str">
            <v xml:space="preserve">NFT-/XUTR/DEUTH02513665250X </v>
          </cell>
          <cell r="CN9796" t="str">
            <v>2025-05-16</v>
          </cell>
          <cell r="CO9796">
            <v>606.60900000000004</v>
          </cell>
        </row>
        <row r="9797">
          <cell r="CJ9797" t="str">
            <v xml:space="preserve">NFT-/XUTR/DEUTH02513621398X </v>
          </cell>
          <cell r="CK9797" t="str">
            <v>2025-05-16</v>
          </cell>
          <cell r="CL9797">
            <v>19440.149000000001</v>
          </cell>
          <cell r="CM9797" t="str">
            <v xml:space="preserve">NFT-/XUTR/DEUTH02513665250X </v>
          </cell>
          <cell r="CN9797" t="str">
            <v>2025-05-16</v>
          </cell>
          <cell r="CO9797">
            <v>1855.741</v>
          </cell>
          <cell r="CP9797" t="str">
            <v xml:space="preserve">AXISCN0978143446 </v>
          </cell>
          <cell r="CQ9797" t="str">
            <v>2025-05-19</v>
          </cell>
          <cell r="CR9797">
            <v>-19440.149000000001</v>
          </cell>
          <cell r="CS9797" t="str">
            <v xml:space="preserve">NFT-/XUTR/DEUTH02513953805X </v>
          </cell>
          <cell r="CT9797" t="str">
            <v>2025-05-19</v>
          </cell>
          <cell r="CU9797">
            <v>-1858.778</v>
          </cell>
        </row>
        <row r="9798">
          <cell r="CJ9798" t="str">
            <v xml:space="preserve">NFT-/XUTR/DEUTH02513621398X </v>
          </cell>
          <cell r="CK9798" t="str">
            <v>2025-05-16</v>
          </cell>
          <cell r="CL9798">
            <v>5365.3180000000002</v>
          </cell>
          <cell r="CM9798" t="str">
            <v xml:space="preserve">NFT-/XUTR/DEUTH02513665250X </v>
          </cell>
          <cell r="CN9798" t="str">
            <v>2025-05-16</v>
          </cell>
          <cell r="CO9798">
            <v>604.67100000000005</v>
          </cell>
        </row>
        <row r="9799">
          <cell r="CJ9799" t="str">
            <v xml:space="preserve">NFT-/XUTR/DEUTH02513621398X </v>
          </cell>
          <cell r="CK9799" t="str">
            <v>2025-05-16</v>
          </cell>
          <cell r="CL9799">
            <v>10200.716</v>
          </cell>
          <cell r="CM9799" t="str">
            <v xml:space="preserve">NFT-/XUTR/DEUTH02513665250X </v>
          </cell>
          <cell r="CN9799" t="str">
            <v>2025-05-16</v>
          </cell>
          <cell r="CO9799">
            <v>1495.653</v>
          </cell>
        </row>
        <row r="9800">
          <cell r="CJ9800" t="str">
            <v xml:space="preserve">NFT-/XUTR/DEUTH02513621398X </v>
          </cell>
          <cell r="CK9800" t="str">
            <v>2025-05-16</v>
          </cell>
          <cell r="CL9800">
            <v>19459.028999999999</v>
          </cell>
          <cell r="CM9800" t="str">
            <v xml:space="preserve">NFT-/XUTR/DEUTH02513665250X </v>
          </cell>
          <cell r="CN9800" t="str">
            <v>2025-05-16</v>
          </cell>
          <cell r="CO9800">
            <v>1855.741</v>
          </cell>
        </row>
        <row r="9801">
          <cell r="CJ9801" t="str">
            <v xml:space="preserve">NFT-/XUTR/DEUTH02513621398X </v>
          </cell>
          <cell r="CK9801" t="str">
            <v>2025-05-16</v>
          </cell>
          <cell r="CL9801">
            <v>19459.028999999999</v>
          </cell>
          <cell r="CM9801" t="str">
            <v xml:space="preserve">NFT-/XUTR/DEUTH02513665250X </v>
          </cell>
          <cell r="CN9801" t="str">
            <v>2025-05-16</v>
          </cell>
          <cell r="CO9801">
            <v>1855.741</v>
          </cell>
        </row>
        <row r="9802">
          <cell r="CJ9802" t="str">
            <v xml:space="preserve">NFT-/XUTR/DEUTH02513621398X </v>
          </cell>
          <cell r="CK9802" t="str">
            <v>2025-05-16</v>
          </cell>
          <cell r="CL9802">
            <v>10200.716</v>
          </cell>
          <cell r="CM9802" t="str">
            <v xml:space="preserve">NFT-/XUTR/DEUTH02513665250X </v>
          </cell>
          <cell r="CN9802" t="str">
            <v>2025-05-16</v>
          </cell>
          <cell r="CO9802">
            <v>1495.653</v>
          </cell>
        </row>
        <row r="9803">
          <cell r="CJ9803" t="str">
            <v xml:space="preserve">NFT-/XUTR/DEUTH02513621398X </v>
          </cell>
          <cell r="CK9803" t="str">
            <v>2025-05-16</v>
          </cell>
          <cell r="CL9803">
            <v>0</v>
          </cell>
          <cell r="CM9803" t="str">
            <v xml:space="preserve">NFT-/XUTR/DEUTH02513665250X </v>
          </cell>
          <cell r="CN9803" t="str">
            <v>2025-05-16</v>
          </cell>
          <cell r="CO9803">
            <v>0</v>
          </cell>
        </row>
        <row r="9804">
          <cell r="CJ9804" t="str">
            <v xml:space="preserve">NFT-/XUTR/DEUTH02513621398X </v>
          </cell>
          <cell r="CK9804" t="str">
            <v>2025-05-16</v>
          </cell>
          <cell r="CL9804">
            <v>19459.028999999999</v>
          </cell>
          <cell r="CM9804" t="str">
            <v xml:space="preserve">NFT-/XUTR/DEUTH02513665250X </v>
          </cell>
          <cell r="CN9804" t="str">
            <v>2025-05-16</v>
          </cell>
          <cell r="CO9804">
            <v>1855.741</v>
          </cell>
        </row>
        <row r="9805">
          <cell r="CJ9805" t="str">
            <v xml:space="preserve">NFT-/XUTR/DEUTH02513621398X </v>
          </cell>
          <cell r="CK9805" t="str">
            <v>2025-05-16</v>
          </cell>
          <cell r="CL9805">
            <v>19313.442999999999</v>
          </cell>
          <cell r="CM9805" t="str">
            <v xml:space="preserve">NFT-/XUTR/DEUTH02513665250X </v>
          </cell>
          <cell r="CN9805" t="str">
            <v>2025-05-16</v>
          </cell>
          <cell r="CO9805">
            <v>2001.327</v>
          </cell>
        </row>
        <row r="9806">
          <cell r="CJ9806" t="str">
            <v xml:space="preserve">NFT-/XUTR/DEUTH02513621398X </v>
          </cell>
          <cell r="CK9806" t="str">
            <v>2025-05-16</v>
          </cell>
          <cell r="CL9806">
            <v>10401.620000000001</v>
          </cell>
          <cell r="CM9806" t="str">
            <v xml:space="preserve">NFT-/XUTR/DEUTH02513665250X </v>
          </cell>
          <cell r="CN9806" t="str">
            <v>2025-05-16</v>
          </cell>
          <cell r="CO9806">
            <v>324.17500000000001</v>
          </cell>
        </row>
        <row r="9807">
          <cell r="CJ9807" t="str">
            <v xml:space="preserve">NFT-/XUTR/DEUTH02513621398X </v>
          </cell>
          <cell r="CK9807" t="str">
            <v>2025-05-16</v>
          </cell>
          <cell r="CL9807">
            <v>106482.70699999999</v>
          </cell>
          <cell r="CM9807" t="str">
            <v xml:space="preserve">NFT-/XUTR/DEUTH02514329392X </v>
          </cell>
          <cell r="CN9807" t="str">
            <v>2025-05-23</v>
          </cell>
          <cell r="CO9807">
            <v>-106636.107</v>
          </cell>
        </row>
        <row r="9808">
          <cell r="CJ9808" t="str">
            <v xml:space="preserve">NFT-/XUTR/DEUTH02513621398X </v>
          </cell>
          <cell r="CK9808" t="str">
            <v>2025-05-16</v>
          </cell>
          <cell r="CL9808">
            <v>10382.74</v>
          </cell>
          <cell r="CM9808" t="str">
            <v xml:space="preserve">NFT-/XUTR/DEUTH02513665250X </v>
          </cell>
          <cell r="CN9808" t="str">
            <v>2025-05-16</v>
          </cell>
          <cell r="CO9808">
            <v>324.17500000000001</v>
          </cell>
        </row>
        <row r="9809">
          <cell r="CJ9809" t="str">
            <v xml:space="preserve">NFT-/XUTR/DEUTH02513621398X </v>
          </cell>
          <cell r="CK9809" t="str">
            <v>2025-05-16</v>
          </cell>
          <cell r="CL9809">
            <v>10401.620000000001</v>
          </cell>
          <cell r="CM9809" t="str">
            <v xml:space="preserve">NFT-/XUTR/DEUTH02513665250X </v>
          </cell>
          <cell r="CN9809" t="str">
            <v>2025-05-16</v>
          </cell>
          <cell r="CO9809">
            <v>324.17500000000001</v>
          </cell>
        </row>
        <row r="9810">
          <cell r="CJ9810" t="str">
            <v xml:space="preserve">NFT-/XUTR/DEUTH02513621398X </v>
          </cell>
          <cell r="CK9810" t="str">
            <v>2025-05-16</v>
          </cell>
          <cell r="CL9810">
            <v>1496.1669999999999</v>
          </cell>
        </row>
        <row r="9811">
          <cell r="CJ9811" t="str">
            <v xml:space="preserve">NFT-/XUTR/DEUTH02513621398X </v>
          </cell>
          <cell r="CK9811" t="str">
            <v>2025-05-16</v>
          </cell>
          <cell r="CL9811">
            <v>19459.028999999999</v>
          </cell>
          <cell r="CM9811" t="str">
            <v xml:space="preserve">NFT-/XUTR/DEUTH02513665250X </v>
          </cell>
          <cell r="CN9811" t="str">
            <v>2025-05-16</v>
          </cell>
          <cell r="CO9811">
            <v>1855.741</v>
          </cell>
        </row>
        <row r="9812">
          <cell r="CJ9812" t="str">
            <v xml:space="preserve">NFT-/XUTR/DEUTH02513621398X </v>
          </cell>
          <cell r="CK9812" t="str">
            <v>2025-05-16</v>
          </cell>
          <cell r="CL9812">
            <v>10200.716</v>
          </cell>
          <cell r="CM9812" t="str">
            <v xml:space="preserve">NFT-/XUTR/DEUTH02513665250X </v>
          </cell>
          <cell r="CN9812" t="str">
            <v>2025-05-16</v>
          </cell>
          <cell r="CO9812">
            <v>1495.653</v>
          </cell>
        </row>
        <row r="9813">
          <cell r="CJ9813" t="str">
            <v xml:space="preserve">NFT-/XUTR/DEUTH02513621398X </v>
          </cell>
          <cell r="CK9813" t="str">
            <v>2025-05-16</v>
          </cell>
          <cell r="CL9813">
            <v>10480.239</v>
          </cell>
          <cell r="CM9813" t="str">
            <v xml:space="preserve">NFT-/XUTR/DEUTH02513665250X </v>
          </cell>
          <cell r="CN9813" t="str">
            <v>2025-05-16</v>
          </cell>
          <cell r="CO9813">
            <v>1536.4179999999999</v>
          </cell>
        </row>
        <row r="9814">
          <cell r="CJ9814" t="str">
            <v xml:space="preserve">NFT-/XUTR/DEUTH02513621398X </v>
          </cell>
          <cell r="CK9814" t="str">
            <v>2025-05-16</v>
          </cell>
          <cell r="CL9814">
            <v>9488.3119999999999</v>
          </cell>
          <cell r="CM9814" t="str">
            <v xml:space="preserve">NFT-/XUTR/DEUTH02513665250X </v>
          </cell>
          <cell r="CN9814" t="str">
            <v>2025-05-16</v>
          </cell>
          <cell r="CO9814">
            <v>1062.7809999999999</v>
          </cell>
        </row>
        <row r="9815">
          <cell r="CJ9815" t="str">
            <v xml:space="preserve">NFT-/XUTR/DEUTH02513621398X </v>
          </cell>
          <cell r="CK9815" t="str">
            <v>2025-05-16</v>
          </cell>
          <cell r="CL9815">
            <v>1355.8720000000001</v>
          </cell>
          <cell r="CM9815" t="str">
            <v xml:space="preserve">NFT-/XUTR/DEUTH02513665250X </v>
          </cell>
          <cell r="CN9815" t="str">
            <v>2025-05-16</v>
          </cell>
          <cell r="CO9815">
            <v>159.17500000000001</v>
          </cell>
        </row>
        <row r="9816">
          <cell r="CJ9816" t="str">
            <v xml:space="preserve">NFT-/XUTR/DEUTH02513621398X </v>
          </cell>
          <cell r="CK9816" t="str">
            <v>2025-05-16</v>
          </cell>
          <cell r="CL9816">
            <v>9101.0570000000007</v>
          </cell>
          <cell r="CM9816" t="str">
            <v xml:space="preserve">NFT-/XUTR/DEUTH02513665250X </v>
          </cell>
          <cell r="CN9816" t="str">
            <v>2025-05-16</v>
          </cell>
          <cell r="CO9816">
            <v>1556.797</v>
          </cell>
        </row>
        <row r="9817">
          <cell r="CJ9817" t="str">
            <v xml:space="preserve">NFT-/XUTR/DEUTH02513621398X </v>
          </cell>
          <cell r="CK9817" t="str">
            <v>2025-05-16</v>
          </cell>
          <cell r="CL9817">
            <v>9082.1759999999995</v>
          </cell>
          <cell r="CM9817" t="str">
            <v xml:space="preserve">NFT-/XUTR/DEUTH02513665250X </v>
          </cell>
          <cell r="CN9817" t="str">
            <v>2025-05-16</v>
          </cell>
          <cell r="CO9817">
            <v>1556.797</v>
          </cell>
        </row>
        <row r="9818">
          <cell r="CJ9818" t="str">
            <v xml:space="preserve">NFT-/XUTR/DEUTH02513621398X </v>
          </cell>
          <cell r="CK9818" t="str">
            <v>2025-05-16</v>
          </cell>
          <cell r="CL9818">
            <v>18692.271000000001</v>
          </cell>
          <cell r="CM9818" t="str">
            <v xml:space="preserve">NFT-/XUTR/DEUTH02513665250X </v>
          </cell>
          <cell r="CN9818" t="str">
            <v>2025-05-16</v>
          </cell>
          <cell r="CO9818">
            <v>2265.3240000000001</v>
          </cell>
        </row>
        <row r="9819">
          <cell r="CJ9819" t="str">
            <v xml:space="preserve">NFT-/XUTR/DEUTH02513621398X </v>
          </cell>
          <cell r="CK9819" t="str">
            <v>2025-05-16</v>
          </cell>
          <cell r="CL9819">
            <v>9077.3250000000007</v>
          </cell>
          <cell r="CM9819" t="str">
            <v xml:space="preserve">NFT-/XUTR/DEUTH02513665250X </v>
          </cell>
          <cell r="CN9819" t="str">
            <v>2025-05-16</v>
          </cell>
          <cell r="CO9819">
            <v>1561.6579999999999</v>
          </cell>
        </row>
        <row r="9820">
          <cell r="CJ9820" t="str">
            <v xml:space="preserve">NFT-/XUTR/DEUTH02513621398X </v>
          </cell>
          <cell r="CK9820" t="str">
            <v>2025-05-16</v>
          </cell>
          <cell r="CL9820">
            <v>9082.1759999999995</v>
          </cell>
          <cell r="CM9820" t="str">
            <v xml:space="preserve">NFT-/XUTR/DEUTH02513665250X </v>
          </cell>
          <cell r="CN9820" t="str">
            <v>2025-05-16</v>
          </cell>
          <cell r="CO9820">
            <v>1556.797</v>
          </cell>
        </row>
        <row r="9821">
          <cell r="CJ9821" t="str">
            <v xml:space="preserve">NFT-/XUTR/DEUTH02513621398X </v>
          </cell>
          <cell r="CK9821" t="str">
            <v>2025-05-16</v>
          </cell>
          <cell r="CL9821">
            <v>9008.85</v>
          </cell>
          <cell r="CM9821" t="str">
            <v xml:space="preserve">NFT-/XUTR/DEUTH02513665250X </v>
          </cell>
          <cell r="CN9821" t="str">
            <v>2025-05-16</v>
          </cell>
          <cell r="CO9821">
            <v>1542.2439999999999</v>
          </cell>
        </row>
        <row r="9822">
          <cell r="CJ9822" t="str">
            <v xml:space="preserve">NFT-/XUTR/DEUTH02513621398X </v>
          </cell>
          <cell r="CK9822" t="str">
            <v>2025-05-16</v>
          </cell>
          <cell r="CL9822">
            <v>9008.85</v>
          </cell>
          <cell r="CM9822" t="str">
            <v xml:space="preserve">NFT-/XUTR/DEUTH02513665250X </v>
          </cell>
          <cell r="CN9822" t="str">
            <v>2025-05-16</v>
          </cell>
          <cell r="CO9822">
            <v>1542.2439999999999</v>
          </cell>
        </row>
        <row r="9823">
          <cell r="CJ9823" t="str">
            <v xml:space="preserve">NFT-/XUTR/DEUTH02513621398X </v>
          </cell>
          <cell r="CK9823" t="str">
            <v>2025-05-16</v>
          </cell>
          <cell r="CL9823">
            <v>9101.0560000000005</v>
          </cell>
          <cell r="CM9823" t="str">
            <v xml:space="preserve">NFT-/XUTR/DEUTH02513665250X </v>
          </cell>
          <cell r="CN9823" t="str">
            <v>2025-05-16</v>
          </cell>
          <cell r="CO9823">
            <v>1556.797</v>
          </cell>
        </row>
        <row r="9824">
          <cell r="CJ9824" t="str">
            <v xml:space="preserve">NFT-/XUTR/DEUTH02513621398X </v>
          </cell>
          <cell r="CK9824" t="str">
            <v>2025-05-16</v>
          </cell>
          <cell r="CL9824">
            <v>5435.2420000000002</v>
          </cell>
          <cell r="CM9824" t="str">
            <v xml:space="preserve">NFT-/XUTR/DEUTH02513665250X </v>
          </cell>
          <cell r="CN9824" t="str">
            <v>2025-05-16</v>
          </cell>
          <cell r="CO9824">
            <v>626.98699999999997</v>
          </cell>
        </row>
        <row r="9825">
          <cell r="CJ9825" t="str">
            <v xml:space="preserve">NFT-/XUTR/DEUTH02513621398X </v>
          </cell>
          <cell r="CK9825" t="str">
            <v>2025-05-16</v>
          </cell>
          <cell r="CL9825">
            <v>18692.271000000001</v>
          </cell>
          <cell r="CM9825" t="str">
            <v xml:space="preserve">NFT-/XUTR/DEUTH02513665250X </v>
          </cell>
          <cell r="CN9825" t="str">
            <v>2025-05-16</v>
          </cell>
          <cell r="CO9825">
            <v>2265.3240000000001</v>
          </cell>
        </row>
        <row r="9826">
          <cell r="CJ9826" t="str">
            <v xml:space="preserve">NFT-/XUTR/DEUTH02513621398X </v>
          </cell>
          <cell r="CK9826" t="str">
            <v>2025-05-16</v>
          </cell>
          <cell r="CL9826">
            <v>9008.85</v>
          </cell>
          <cell r="CM9826" t="str">
            <v xml:space="preserve">NFT-/XUTR/DEUTH02513665250X </v>
          </cell>
          <cell r="CN9826" t="str">
            <v>2025-05-16</v>
          </cell>
          <cell r="CO9826">
            <v>1542.2429999999999</v>
          </cell>
        </row>
        <row r="9827">
          <cell r="CJ9827" t="str">
            <v xml:space="preserve">NFT-/XUTR/DEUTH02513621398X </v>
          </cell>
          <cell r="CK9827" t="str">
            <v>2025-05-16</v>
          </cell>
          <cell r="CL9827">
            <v>9082.1759999999995</v>
          </cell>
          <cell r="CM9827" t="str">
            <v xml:space="preserve">NFT-/XUTR/DEUTH02513665250X </v>
          </cell>
          <cell r="CN9827" t="str">
            <v>2025-05-16</v>
          </cell>
          <cell r="CO9827">
            <v>1556.797</v>
          </cell>
        </row>
        <row r="9828">
          <cell r="CJ9828" t="str">
            <v xml:space="preserve">NFT-/XUTR/DEUTH02513621398X </v>
          </cell>
          <cell r="CK9828" t="str">
            <v>2025-05-16</v>
          </cell>
          <cell r="CL9828">
            <v>9101.0560000000005</v>
          </cell>
          <cell r="CM9828" t="str">
            <v xml:space="preserve">NFT-/XUTR/DEUTH02513665250X </v>
          </cell>
          <cell r="CN9828" t="str">
            <v>2025-05-16</v>
          </cell>
          <cell r="CO9828">
            <v>1556.797</v>
          </cell>
        </row>
        <row r="9829">
          <cell r="CJ9829" t="str">
            <v xml:space="preserve">NFT-/XUTR/DEUTH02513621398X </v>
          </cell>
          <cell r="CK9829" t="str">
            <v>2025-05-16</v>
          </cell>
          <cell r="CL9829">
            <v>9101.0560000000005</v>
          </cell>
          <cell r="CM9829" t="str">
            <v xml:space="preserve">NFT-/XUTR/DEUTH02513665250X </v>
          </cell>
          <cell r="CN9829" t="str">
            <v>2025-05-16</v>
          </cell>
          <cell r="CO9829">
            <v>1556.797</v>
          </cell>
        </row>
        <row r="9830">
          <cell r="CJ9830" t="str">
            <v xml:space="preserve">NFT-/XUTR/DEUTH02513621398X </v>
          </cell>
          <cell r="CK9830" t="str">
            <v>2025-05-16</v>
          </cell>
          <cell r="CL9830">
            <v>9082.1759999999995</v>
          </cell>
          <cell r="CM9830" t="str">
            <v xml:space="preserve">NFT-/XUTR/DEUTH02513665250X </v>
          </cell>
          <cell r="CN9830" t="str">
            <v>2025-05-16</v>
          </cell>
          <cell r="CO9830">
            <v>1556.797</v>
          </cell>
        </row>
        <row r="9831">
          <cell r="CJ9831" t="str">
            <v xml:space="preserve">NFT-/XUTR/DEUTH02513621398X </v>
          </cell>
          <cell r="CK9831" t="str">
            <v>2025-05-16</v>
          </cell>
          <cell r="CL9831">
            <v>9101.0570000000007</v>
          </cell>
          <cell r="CM9831" t="str">
            <v xml:space="preserve">NFT-/XUTR/DEUTH02513665250X </v>
          </cell>
          <cell r="CN9831" t="str">
            <v>2025-05-16</v>
          </cell>
          <cell r="CO9831">
            <v>1556.797</v>
          </cell>
        </row>
        <row r="9832">
          <cell r="CJ9832" t="str">
            <v xml:space="preserve">NFT-/XUTR/DEUTH02513621398X </v>
          </cell>
          <cell r="CK9832" t="str">
            <v>2025-05-16</v>
          </cell>
          <cell r="CL9832">
            <v>9082.1759999999995</v>
          </cell>
          <cell r="CM9832" t="str">
            <v xml:space="preserve">NFT-/XUTR/DEUTH02513665250X </v>
          </cell>
          <cell r="CN9832" t="str">
            <v>2025-05-16</v>
          </cell>
          <cell r="CO9832">
            <v>1556.797</v>
          </cell>
        </row>
        <row r="9833">
          <cell r="CJ9833" t="str">
            <v xml:space="preserve">NFT-/XUTR/DEUTH02513621398X </v>
          </cell>
          <cell r="CK9833" t="str">
            <v>2025-05-16</v>
          </cell>
          <cell r="CL9833">
            <v>9082.1759999999995</v>
          </cell>
          <cell r="CM9833" t="str">
            <v xml:space="preserve">NFT-/XUTR/DEUTH02513665250X </v>
          </cell>
          <cell r="CN9833" t="str">
            <v>2025-05-16</v>
          </cell>
          <cell r="CO9833">
            <v>1556.797</v>
          </cell>
        </row>
        <row r="9834">
          <cell r="CJ9834" t="str">
            <v xml:space="preserve">NFT-/XUTR/DEUTH02513621398X </v>
          </cell>
          <cell r="CK9834" t="str">
            <v>2025-05-16</v>
          </cell>
          <cell r="CL9834">
            <v>18692.271000000001</v>
          </cell>
          <cell r="CM9834" t="str">
            <v xml:space="preserve">NFT-/XUTR/DEUTH02513665250X </v>
          </cell>
          <cell r="CN9834" t="str">
            <v>2025-05-16</v>
          </cell>
          <cell r="CO9834">
            <v>2265.3240000000001</v>
          </cell>
        </row>
        <row r="9835">
          <cell r="CJ9835" t="str">
            <v xml:space="preserve">NFT-/XUTR/DEUTH02513621398X </v>
          </cell>
          <cell r="CK9835" t="str">
            <v>2025-05-16</v>
          </cell>
          <cell r="CL9835">
            <v>9101.0560000000005</v>
          </cell>
          <cell r="CM9835" t="str">
            <v xml:space="preserve">NFT-/XUTR/DEUTH02513665250X </v>
          </cell>
          <cell r="CN9835" t="str">
            <v>2025-05-16</v>
          </cell>
          <cell r="CO9835">
            <v>1556.797</v>
          </cell>
        </row>
        <row r="9836">
          <cell r="CJ9836" t="str">
            <v xml:space="preserve">NFT-/XUTR/DEUTH02513621398X </v>
          </cell>
          <cell r="CK9836" t="str">
            <v>2025-05-16</v>
          </cell>
          <cell r="CL9836">
            <v>18692.271000000001</v>
          </cell>
          <cell r="CM9836" t="str">
            <v xml:space="preserve">NFT-/XUTR/DEUTH02513665250X </v>
          </cell>
          <cell r="CN9836" t="str">
            <v>2025-05-16</v>
          </cell>
          <cell r="CO9836">
            <v>2265.3240000000001</v>
          </cell>
        </row>
        <row r="9837">
          <cell r="CJ9837" t="str">
            <v xml:space="preserve">NFT-/XUTR/DEUTH02513621398X </v>
          </cell>
          <cell r="CK9837" t="str">
            <v>2025-05-16</v>
          </cell>
          <cell r="CL9837">
            <v>9101.0570000000007</v>
          </cell>
          <cell r="CM9837" t="str">
            <v xml:space="preserve">NFT-/XUTR/DEUTH02513665250X </v>
          </cell>
          <cell r="CN9837" t="str">
            <v>2025-05-16</v>
          </cell>
          <cell r="CO9837">
            <v>1556.797</v>
          </cell>
        </row>
        <row r="9838">
          <cell r="CJ9838" t="str">
            <v xml:space="preserve">NFT-/XUTR/DEUTH02513621398X </v>
          </cell>
          <cell r="CK9838" t="str">
            <v>2025-05-16</v>
          </cell>
          <cell r="CL9838">
            <v>9081.2019999999993</v>
          </cell>
          <cell r="CM9838" t="str">
            <v xml:space="preserve">NFT-/XUTR/DEUTH02513665250X </v>
          </cell>
          <cell r="CN9838" t="str">
            <v>2025-05-16</v>
          </cell>
          <cell r="CO9838">
            <v>1557.771</v>
          </cell>
        </row>
        <row r="9839">
          <cell r="CJ9839" t="str">
            <v xml:space="preserve">NFT-/XUTR/DEUTH02513621398X </v>
          </cell>
          <cell r="CK9839" t="str">
            <v>2025-05-16</v>
          </cell>
          <cell r="CL9839">
            <v>9082.1759999999995</v>
          </cell>
          <cell r="CM9839" t="str">
            <v xml:space="preserve">NFT-/XUTR/DEUTH02513665250X </v>
          </cell>
          <cell r="CN9839" t="str">
            <v>2025-05-16</v>
          </cell>
          <cell r="CO9839">
            <v>1556.797</v>
          </cell>
        </row>
        <row r="9840">
          <cell r="CJ9840" t="str">
            <v xml:space="preserve">NFT-/XUTR/DEUTH02513621398X </v>
          </cell>
          <cell r="CK9840" t="str">
            <v>2025-05-16</v>
          </cell>
          <cell r="CL9840">
            <v>9082.1759999999995</v>
          </cell>
          <cell r="CM9840" t="str">
            <v xml:space="preserve">NFT-/XUTR/DEUTH02513665250X </v>
          </cell>
          <cell r="CN9840" t="str">
            <v>2025-05-16</v>
          </cell>
          <cell r="CO9840">
            <v>1556.797</v>
          </cell>
        </row>
        <row r="9841">
          <cell r="CJ9841" t="str">
            <v xml:space="preserve">NFT-/XUTR/DEUTH02513621398X </v>
          </cell>
          <cell r="CK9841" t="str">
            <v>2025-05-16</v>
          </cell>
          <cell r="CL9841">
            <v>9008.85</v>
          </cell>
          <cell r="CM9841" t="str">
            <v xml:space="preserve">NFT-/XUTR/DEUTH02513665250X </v>
          </cell>
          <cell r="CN9841" t="str">
            <v>2025-05-16</v>
          </cell>
          <cell r="CO9841">
            <v>1542.2429999999999</v>
          </cell>
        </row>
        <row r="9842">
          <cell r="CJ9842" t="str">
            <v xml:space="preserve">NFT-/XUTR/DEUTH02513621398X </v>
          </cell>
          <cell r="CK9842" t="str">
            <v>2025-05-16</v>
          </cell>
          <cell r="CL9842">
            <v>9008.85</v>
          </cell>
          <cell r="CM9842" t="str">
            <v xml:space="preserve">NFT-/XUTR/DEUTH02513665250X </v>
          </cell>
          <cell r="CN9842" t="str">
            <v>2025-05-16</v>
          </cell>
          <cell r="CO9842">
            <v>1542.2429999999999</v>
          </cell>
        </row>
        <row r="9843">
          <cell r="CJ9843" t="str">
            <v xml:space="preserve">NFT-/XUTR/DEUTH02513621398X </v>
          </cell>
          <cell r="CK9843" t="str">
            <v>2025-05-16</v>
          </cell>
          <cell r="CL9843">
            <v>9584.4060000000009</v>
          </cell>
          <cell r="CM9843" t="str">
            <v xml:space="preserve">NFT-/XUTR/DEUTH02513665250X </v>
          </cell>
          <cell r="CN9843" t="str">
            <v>2025-05-16</v>
          </cell>
          <cell r="CO9843">
            <v>1073.4570000000001</v>
          </cell>
        </row>
        <row r="9844">
          <cell r="CJ9844" t="str">
            <v xml:space="preserve">NFT-/XUTR/DEUTH02513621398X </v>
          </cell>
          <cell r="CK9844" t="str">
            <v>2025-05-16</v>
          </cell>
          <cell r="CL9844">
            <v>9082.1759999999995</v>
          </cell>
          <cell r="CM9844" t="str">
            <v xml:space="preserve">NFT-/XUTR/DEUTH02513665250X </v>
          </cell>
          <cell r="CN9844" t="str">
            <v>2025-05-16</v>
          </cell>
          <cell r="CO9844">
            <v>1556.797</v>
          </cell>
        </row>
        <row r="9845">
          <cell r="CJ9845" t="str">
            <v xml:space="preserve">NFT-/XUTR/DEUTH02513621398X </v>
          </cell>
          <cell r="CK9845" t="str">
            <v>2025-05-16</v>
          </cell>
          <cell r="CL9845">
            <v>9101.0560000000005</v>
          </cell>
          <cell r="CM9845" t="str">
            <v xml:space="preserve">NFT-/XUTR/DEUTH02513665250X </v>
          </cell>
          <cell r="CN9845" t="str">
            <v>2025-05-16</v>
          </cell>
          <cell r="CO9845">
            <v>1556.797</v>
          </cell>
        </row>
        <row r="9846">
          <cell r="CJ9846" t="str">
            <v xml:space="preserve">NFT-/XUTR/DEUTH02513621398X </v>
          </cell>
          <cell r="CK9846" t="str">
            <v>2025-05-16</v>
          </cell>
          <cell r="CL9846">
            <v>10102.254000000001</v>
          </cell>
          <cell r="CM9846" t="str">
            <v xml:space="preserve">NFT-/XUTR/DEUTH02513665250X </v>
          </cell>
          <cell r="CN9846" t="str">
            <v>2025-05-16</v>
          </cell>
          <cell r="CO9846">
            <v>536.72900000000004</v>
          </cell>
        </row>
        <row r="9847">
          <cell r="CJ9847" t="str">
            <v xml:space="preserve">NFT-/XUTR/DEUTH02513621398X </v>
          </cell>
          <cell r="CK9847" t="str">
            <v>2025-05-16</v>
          </cell>
          <cell r="CL9847">
            <v>8907.4750000000004</v>
          </cell>
          <cell r="CM9847" t="str">
            <v xml:space="preserve">NFT-/XUTR/DEUTH02513665250X </v>
          </cell>
          <cell r="CN9847" t="str">
            <v>2025-05-16</v>
          </cell>
          <cell r="CO9847">
            <v>1731.508</v>
          </cell>
        </row>
        <row r="9848">
          <cell r="CJ9848" t="str">
            <v xml:space="preserve">NFT-/XUTR/DEUTH02513621398X </v>
          </cell>
          <cell r="CK9848" t="str">
            <v>2025-05-16</v>
          </cell>
          <cell r="CL9848">
            <v>9008.85</v>
          </cell>
          <cell r="CM9848" t="str">
            <v xml:space="preserve">NFT-/XUTR/DEUTH02513665250X </v>
          </cell>
          <cell r="CN9848" t="str">
            <v>2025-05-16</v>
          </cell>
          <cell r="CO9848">
            <v>1542.2439999999999</v>
          </cell>
        </row>
        <row r="9849">
          <cell r="CJ9849" t="str">
            <v xml:space="preserve">NFT-/XUTR/DEUTH02513621398X </v>
          </cell>
          <cell r="CK9849" t="str">
            <v>2025-05-16</v>
          </cell>
          <cell r="CL9849">
            <v>18945.16</v>
          </cell>
          <cell r="CM9849" t="str">
            <v xml:space="preserve">NFT-/XUTR/DEUTH02513665250X </v>
          </cell>
          <cell r="CN9849" t="str">
            <v>2025-05-16</v>
          </cell>
          <cell r="CO9849">
            <v>1993.5650000000001</v>
          </cell>
        </row>
        <row r="9850">
          <cell r="CJ9850" t="str">
            <v xml:space="preserve">NFT-/XUTR/DEUTH02513621398X </v>
          </cell>
          <cell r="CK9850" t="str">
            <v>2025-05-16</v>
          </cell>
          <cell r="CL9850">
            <v>9008.85</v>
          </cell>
          <cell r="CM9850" t="str">
            <v xml:space="preserve">NFT-/XUTR/DEUTH02513665250X </v>
          </cell>
          <cell r="CN9850" t="str">
            <v>2025-05-16</v>
          </cell>
          <cell r="CO9850">
            <v>1542.2439999999999</v>
          </cell>
        </row>
        <row r="9851">
          <cell r="CJ9851" t="str">
            <v xml:space="preserve">NFT-/XUTR/DEUTH02513621398X </v>
          </cell>
          <cell r="CK9851" t="str">
            <v>2025-05-16</v>
          </cell>
          <cell r="CL9851">
            <v>48726.269</v>
          </cell>
          <cell r="CM9851" t="str">
            <v xml:space="preserve">NFT-/XUTR/DEUTH02513665250X </v>
          </cell>
          <cell r="CN9851" t="str">
            <v>2025-05-16</v>
          </cell>
          <cell r="CO9851">
            <v>3847.3580000000002</v>
          </cell>
        </row>
        <row r="9852">
          <cell r="CJ9852" t="str">
            <v xml:space="preserve">NFT-/XUTR/DEUTH02513621398X </v>
          </cell>
          <cell r="CK9852" t="str">
            <v>2025-05-16</v>
          </cell>
          <cell r="CL9852">
            <v>9082.1759999999995</v>
          </cell>
          <cell r="CM9852" t="str">
            <v xml:space="preserve">NFT-/XUTR/DEUTH02513665250X </v>
          </cell>
          <cell r="CN9852" t="str">
            <v>2025-05-16</v>
          </cell>
          <cell r="CO9852">
            <v>1556.797</v>
          </cell>
        </row>
        <row r="9853">
          <cell r="CJ9853" t="str">
            <v xml:space="preserve">NFT-/XUTR/DEUTH02513621398X </v>
          </cell>
          <cell r="CK9853" t="str">
            <v>2025-05-16</v>
          </cell>
          <cell r="CL9853">
            <v>9082.1759999999995</v>
          </cell>
          <cell r="CM9853" t="str">
            <v xml:space="preserve">NFT-/XUTR/DEUTH02513665250X </v>
          </cell>
          <cell r="CN9853" t="str">
            <v>2025-05-16</v>
          </cell>
          <cell r="CO9853">
            <v>1556.797</v>
          </cell>
        </row>
        <row r="9854">
          <cell r="CJ9854" t="str">
            <v xml:space="preserve">NFT-/XUTR/DEUTH02513621398X </v>
          </cell>
          <cell r="CK9854" t="str">
            <v>2025-05-16</v>
          </cell>
          <cell r="CL9854">
            <v>48580.682999999997</v>
          </cell>
          <cell r="CM9854" t="str">
            <v xml:space="preserve">NFT-/XUTR/DEUTH02513665250X </v>
          </cell>
          <cell r="CN9854" t="str">
            <v>2025-05-16</v>
          </cell>
          <cell r="CO9854">
            <v>3992.944</v>
          </cell>
        </row>
        <row r="9855">
          <cell r="CJ9855" t="str">
            <v xml:space="preserve">NFT-/XUTR/DEUTH02513621398X </v>
          </cell>
          <cell r="CK9855" t="str">
            <v>2025-05-16</v>
          </cell>
          <cell r="CL9855">
            <v>9082.1759999999995</v>
          </cell>
          <cell r="CM9855" t="str">
            <v xml:space="preserve">NFT-/XUTR/DEUTH02513665250X </v>
          </cell>
          <cell r="CN9855" t="str">
            <v>2025-05-16</v>
          </cell>
          <cell r="CO9855">
            <v>1556.797</v>
          </cell>
        </row>
        <row r="9856">
          <cell r="CJ9856" t="str">
            <v xml:space="preserve">NFT-/XUTR/DEUTH02513621398X </v>
          </cell>
          <cell r="CK9856" t="str">
            <v>2025-05-16</v>
          </cell>
          <cell r="CL9856">
            <v>10200.717000000001</v>
          </cell>
          <cell r="CM9856" t="str">
            <v xml:space="preserve">NFT-/XUTR/DEUTH02513665250X </v>
          </cell>
          <cell r="CN9856" t="str">
            <v>2025-05-16</v>
          </cell>
          <cell r="CO9856">
            <v>1495.654</v>
          </cell>
        </row>
        <row r="9857">
          <cell r="CJ9857" t="str">
            <v xml:space="preserve">NFT-/XUTR/DEUTH02513621398X </v>
          </cell>
          <cell r="CK9857" t="str">
            <v>2025-05-16</v>
          </cell>
          <cell r="CL9857">
            <v>38578.89</v>
          </cell>
          <cell r="CM9857" t="str">
            <v xml:space="preserve">NFT-/XUTR/DEUTH02513665250X </v>
          </cell>
          <cell r="CN9857" t="str">
            <v>2025-05-16</v>
          </cell>
          <cell r="CO9857">
            <v>3317.43</v>
          </cell>
        </row>
        <row r="9858">
          <cell r="CJ9858" t="str">
            <v xml:space="preserve">NFT-/XUTR/DEUTH02513621398X </v>
          </cell>
          <cell r="CK9858" t="str">
            <v>2025-05-16</v>
          </cell>
          <cell r="CL9858">
            <v>9008.85</v>
          </cell>
          <cell r="CM9858" t="str">
            <v xml:space="preserve">NFT-/XUTR/DEUTH02513665250X </v>
          </cell>
          <cell r="CN9858" t="str">
            <v>2025-05-16</v>
          </cell>
          <cell r="CO9858">
            <v>1542.2429999999999</v>
          </cell>
        </row>
        <row r="9859">
          <cell r="CJ9859" t="str">
            <v xml:space="preserve">NFT-/XUTR/DEUTH02513621398X </v>
          </cell>
          <cell r="CK9859" t="str">
            <v>2025-05-16</v>
          </cell>
          <cell r="CL9859">
            <v>18895.124</v>
          </cell>
          <cell r="CM9859" t="str">
            <v xml:space="preserve">NFT-/XUTR/DEUTH02513665250X </v>
          </cell>
          <cell r="CN9859" t="str">
            <v>2025-05-16</v>
          </cell>
          <cell r="CO9859">
            <v>2275.9989999999998</v>
          </cell>
        </row>
        <row r="9860">
          <cell r="CJ9860" t="str">
            <v xml:space="preserve">NFT-/XUTR/DEUTH02513621398X </v>
          </cell>
          <cell r="CK9860" t="str">
            <v>2025-05-16</v>
          </cell>
          <cell r="CL9860">
            <v>9082.1759999999995</v>
          </cell>
          <cell r="CM9860" t="str">
            <v xml:space="preserve">NFT-/XUTR/DEUTH02513665250X </v>
          </cell>
          <cell r="CN9860" t="str">
            <v>2025-05-16</v>
          </cell>
          <cell r="CO9860">
            <v>1556.797</v>
          </cell>
        </row>
        <row r="9861">
          <cell r="CJ9861" t="str">
            <v xml:space="preserve">NFT-/XUTR/DEUTH02513621398X </v>
          </cell>
          <cell r="CK9861" t="str">
            <v>2025-05-16</v>
          </cell>
          <cell r="CL9861">
            <v>8989.9699999999993</v>
          </cell>
          <cell r="CM9861" t="str">
            <v xml:space="preserve">NFT-/XUTR/DEUTH02513665250X </v>
          </cell>
          <cell r="CN9861" t="str">
            <v>2025-05-16</v>
          </cell>
          <cell r="CO9861">
            <v>1542.2439999999999</v>
          </cell>
        </row>
        <row r="9862">
          <cell r="CJ9862" t="str">
            <v xml:space="preserve">NFT-/XUTR/DEUTH02513621398X </v>
          </cell>
          <cell r="CK9862" t="str">
            <v>2025-05-16</v>
          </cell>
          <cell r="CL9862">
            <v>9082.1759999999995</v>
          </cell>
          <cell r="CM9862" t="str">
            <v xml:space="preserve">NFT-/XUTR/DEUTH02513665250X </v>
          </cell>
          <cell r="CN9862" t="str">
            <v>2025-05-16</v>
          </cell>
          <cell r="CO9862">
            <v>1556.797</v>
          </cell>
        </row>
        <row r="9863">
          <cell r="CJ9863" t="str">
            <v xml:space="preserve">NFT-/XUTR/DEUTH02513621398X </v>
          </cell>
          <cell r="CK9863" t="str">
            <v>2025-05-16</v>
          </cell>
          <cell r="CL9863">
            <v>18876.243999999999</v>
          </cell>
          <cell r="CM9863" t="str">
            <v xml:space="preserve">NFT-/XUTR/DEUTH02513665250X </v>
          </cell>
          <cell r="CN9863" t="str">
            <v>2025-05-16</v>
          </cell>
          <cell r="CO9863">
            <v>2275.9989999999998</v>
          </cell>
        </row>
        <row r="9864">
          <cell r="CJ9864" t="str">
            <v xml:space="preserve">NFT-/XUTR/DEUTH02513621398X </v>
          </cell>
          <cell r="CK9864" t="str">
            <v>2025-05-16</v>
          </cell>
          <cell r="CL9864">
            <v>8907.4750000000004</v>
          </cell>
          <cell r="CM9864" t="str">
            <v xml:space="preserve">NFT-/XUTR/DEUTH02513665250X </v>
          </cell>
          <cell r="CN9864" t="str">
            <v>2025-05-16</v>
          </cell>
          <cell r="CO9864">
            <v>1731.508</v>
          </cell>
        </row>
        <row r="9865">
          <cell r="CJ9865" t="str">
            <v xml:space="preserve">NFT-/XUTR/DEUTH02513621398X </v>
          </cell>
          <cell r="CK9865" t="str">
            <v>2025-05-16</v>
          </cell>
          <cell r="CL9865">
            <v>9008.85</v>
          </cell>
          <cell r="CM9865" t="str">
            <v xml:space="preserve">NFT-/XUTR/DEUTH02513665250X </v>
          </cell>
          <cell r="CN9865" t="str">
            <v>2025-05-16</v>
          </cell>
          <cell r="CO9865">
            <v>1542.2429999999999</v>
          </cell>
        </row>
        <row r="9866">
          <cell r="CJ9866" t="str">
            <v xml:space="preserve">NFT-/XUTR/DEUTH02513621398X </v>
          </cell>
          <cell r="CK9866" t="str">
            <v>2025-05-16</v>
          </cell>
          <cell r="CL9866">
            <v>9008.85</v>
          </cell>
          <cell r="CM9866" t="str">
            <v xml:space="preserve">NFT-/XUTR/DEUTH02513665250X </v>
          </cell>
          <cell r="CN9866" t="str">
            <v>2025-05-16</v>
          </cell>
          <cell r="CO9866">
            <v>1542.2439999999999</v>
          </cell>
        </row>
        <row r="9867">
          <cell r="CJ9867" t="str">
            <v xml:space="preserve">NFT-/XUTR/DEUTH02513621398X </v>
          </cell>
          <cell r="CK9867" t="str">
            <v>2025-05-16</v>
          </cell>
          <cell r="CL9867">
            <v>9082.1759999999995</v>
          </cell>
          <cell r="CM9867" t="str">
            <v xml:space="preserve">NFT-/XUTR/DEUTH02513665250X </v>
          </cell>
          <cell r="CN9867" t="str">
            <v>2025-05-16</v>
          </cell>
          <cell r="CO9867">
            <v>1556.797</v>
          </cell>
        </row>
        <row r="9868">
          <cell r="CJ9868" t="str">
            <v xml:space="preserve">NFT-/XUTR/DEUTH02513621398X </v>
          </cell>
          <cell r="CK9868" t="str">
            <v>2025-05-16</v>
          </cell>
          <cell r="CL9868">
            <v>9008.85</v>
          </cell>
          <cell r="CM9868" t="str">
            <v xml:space="preserve">NFT-/XUTR/DEUTH02513665250X </v>
          </cell>
          <cell r="CN9868" t="str">
            <v>2025-05-16</v>
          </cell>
          <cell r="CO9868">
            <v>1542.2439999999999</v>
          </cell>
        </row>
        <row r="9869">
          <cell r="CJ9869" t="str">
            <v xml:space="preserve">NFT-/XUTR/DEUTH02513621398X </v>
          </cell>
          <cell r="CK9869" t="str">
            <v>2025-05-16</v>
          </cell>
          <cell r="CL9869">
            <v>9008.85</v>
          </cell>
          <cell r="CM9869" t="str">
            <v xml:space="preserve">NFT-/XUTR/DEUTH02513665250X </v>
          </cell>
          <cell r="CN9869" t="str">
            <v>2025-05-16</v>
          </cell>
          <cell r="CO9869">
            <v>1542.2439999999999</v>
          </cell>
        </row>
        <row r="9870">
          <cell r="CJ9870" t="str">
            <v xml:space="preserve">NFT-/XUTR/DEUTH02513621398X </v>
          </cell>
          <cell r="CK9870" t="str">
            <v>2025-05-16</v>
          </cell>
          <cell r="CL9870">
            <v>18876.243999999999</v>
          </cell>
          <cell r="CM9870" t="str">
            <v xml:space="preserve">NFT-/XUTR/DEUTH02513665250X </v>
          </cell>
          <cell r="CN9870" t="str">
            <v>2025-05-16</v>
          </cell>
          <cell r="CO9870">
            <v>2275.9989999999998</v>
          </cell>
        </row>
        <row r="9871">
          <cell r="CJ9871" t="str">
            <v xml:space="preserve">NFT-/XUTR/DEUTH02513621398X </v>
          </cell>
          <cell r="CK9871" t="str">
            <v>2025-05-16</v>
          </cell>
          <cell r="CL9871">
            <v>9008.85</v>
          </cell>
          <cell r="CM9871" t="str">
            <v xml:space="preserve">NFT-/XUTR/DEUTH02513665250X </v>
          </cell>
          <cell r="CN9871" t="str">
            <v>2025-05-16</v>
          </cell>
          <cell r="CO9871">
            <v>1542.2429999999999</v>
          </cell>
        </row>
        <row r="9872">
          <cell r="CJ9872" t="str">
            <v xml:space="preserve">NFT-/XUTR/DEUTH02513621398X </v>
          </cell>
          <cell r="CK9872" t="str">
            <v>2025-05-16</v>
          </cell>
          <cell r="CL9872">
            <v>9082.1759999999995</v>
          </cell>
          <cell r="CM9872" t="str">
            <v xml:space="preserve">NFT-/XUTR/DEUTH02513665250X </v>
          </cell>
          <cell r="CN9872" t="str">
            <v>2025-05-16</v>
          </cell>
          <cell r="CO9872">
            <v>1556.797</v>
          </cell>
        </row>
        <row r="9873">
          <cell r="CJ9873" t="str">
            <v xml:space="preserve">NFT-/XUTR/DEUTH02513621398X </v>
          </cell>
          <cell r="CK9873" t="str">
            <v>2025-05-16</v>
          </cell>
          <cell r="CL9873">
            <v>9082.1759999999995</v>
          </cell>
          <cell r="CM9873" t="str">
            <v xml:space="preserve">NFT-/XUTR/DEUTH02513665250X </v>
          </cell>
          <cell r="CN9873" t="str">
            <v>2025-05-16</v>
          </cell>
          <cell r="CO9873">
            <v>1556.797</v>
          </cell>
        </row>
        <row r="9874">
          <cell r="CJ9874" t="str">
            <v xml:space="preserve">NFT-/XUTR/DEUTH02513621398X </v>
          </cell>
          <cell r="CK9874" t="str">
            <v>2025-05-16</v>
          </cell>
          <cell r="CL9874">
            <v>8989.9699999999993</v>
          </cell>
          <cell r="CM9874" t="str">
            <v xml:space="preserve">NFT-/XUTR/DEUTH02513665250X </v>
          </cell>
          <cell r="CN9874" t="str">
            <v>2025-05-16</v>
          </cell>
          <cell r="CO9874">
            <v>1542.2439999999999</v>
          </cell>
        </row>
        <row r="9875">
          <cell r="CJ9875" t="str">
            <v xml:space="preserve">NFT-/XUTR/DEUTH02513621398X </v>
          </cell>
          <cell r="CK9875" t="str">
            <v>2025-05-16</v>
          </cell>
          <cell r="CL9875">
            <v>9101.0560000000005</v>
          </cell>
          <cell r="CM9875" t="str">
            <v xml:space="preserve">NFT-/XUTR/DEUTH02513665250X </v>
          </cell>
          <cell r="CN9875" t="str">
            <v>2025-05-16</v>
          </cell>
          <cell r="CO9875">
            <v>1556.797</v>
          </cell>
        </row>
        <row r="9876">
          <cell r="CJ9876" t="str">
            <v xml:space="preserve">NFT-/XUTR/DEUTH02513621398X </v>
          </cell>
          <cell r="CK9876" t="str">
            <v>2025-05-16</v>
          </cell>
          <cell r="CL9876">
            <v>18692.271000000001</v>
          </cell>
          <cell r="CM9876" t="str">
            <v xml:space="preserve">NFT-/XUTR/DEUTH02513665250X </v>
          </cell>
          <cell r="CN9876" t="str">
            <v>2025-05-16</v>
          </cell>
          <cell r="CO9876">
            <v>2265.3240000000001</v>
          </cell>
        </row>
        <row r="9877">
          <cell r="CJ9877" t="str">
            <v xml:space="preserve">NFT-/XUTR/DEUTH02513621398X </v>
          </cell>
          <cell r="CK9877" t="str">
            <v>2025-05-16</v>
          </cell>
          <cell r="CL9877">
            <v>19320.232</v>
          </cell>
          <cell r="CM9877" t="str">
            <v xml:space="preserve">NFT-/XUTR/DEUTH02513665250X </v>
          </cell>
          <cell r="CN9877" t="str">
            <v>2025-05-16</v>
          </cell>
          <cell r="CO9877">
            <v>1850.8910000000001</v>
          </cell>
        </row>
        <row r="9878">
          <cell r="CJ9878" t="str">
            <v xml:space="preserve">NFT-/XUTR/DEUTH02513621398X </v>
          </cell>
          <cell r="CK9878" t="str">
            <v>2025-05-16</v>
          </cell>
          <cell r="CL9878">
            <v>19301.351999999999</v>
          </cell>
          <cell r="CM9878" t="str">
            <v xml:space="preserve">NFT-/XUTR/DEUTH02513665250X </v>
          </cell>
          <cell r="CN9878" t="str">
            <v>2025-05-16</v>
          </cell>
          <cell r="CO9878">
            <v>1850.8910000000001</v>
          </cell>
        </row>
        <row r="9879">
          <cell r="CJ9879" t="str">
            <v xml:space="preserve">NFT-/XUTR/DEUTH02513621398X </v>
          </cell>
          <cell r="CK9879" t="str">
            <v>2025-05-16</v>
          </cell>
          <cell r="CL9879">
            <v>5385.7389999999996</v>
          </cell>
          <cell r="CM9879" t="str">
            <v xml:space="preserve">NFT-/XUTR/DEUTH02513665250X </v>
          </cell>
          <cell r="CN9879" t="str">
            <v>2025-05-16</v>
          </cell>
          <cell r="CO9879">
            <v>676.49</v>
          </cell>
        </row>
        <row r="9880">
          <cell r="CJ9880" t="str">
            <v xml:space="preserve">NFT-/XUTR/DEUTH02513621398X </v>
          </cell>
          <cell r="CK9880" t="str">
            <v>2025-05-16</v>
          </cell>
          <cell r="CL9880">
            <v>18876.243999999999</v>
          </cell>
          <cell r="CM9880" t="str">
            <v xml:space="preserve">NFT-/XUTR/DEUTH02513665250X </v>
          </cell>
          <cell r="CN9880" t="str">
            <v>2025-05-16</v>
          </cell>
          <cell r="CO9880">
            <v>2275.9989999999998</v>
          </cell>
        </row>
        <row r="9881">
          <cell r="CJ9881" t="str">
            <v xml:space="preserve">NFT-/XUTR/DEUTH02513621398X </v>
          </cell>
          <cell r="CK9881" t="str">
            <v>2025-05-16</v>
          </cell>
          <cell r="CL9881">
            <v>9101.0560000000005</v>
          </cell>
          <cell r="CM9881" t="str">
            <v xml:space="preserve">NFT-/XUTR/DEUTH02513665250X </v>
          </cell>
          <cell r="CN9881" t="str">
            <v>2025-05-16</v>
          </cell>
          <cell r="CO9881">
            <v>1556.797</v>
          </cell>
        </row>
        <row r="9882">
          <cell r="CJ9882" t="str">
            <v xml:space="preserve">NFT-/XUTR/DEUTH02513621398X </v>
          </cell>
          <cell r="CK9882" t="str">
            <v>2025-05-16</v>
          </cell>
          <cell r="CL9882">
            <v>9008.85</v>
          </cell>
          <cell r="CM9882" t="str">
            <v xml:space="preserve">NFT-/XUTR/DEUTH02513665250X </v>
          </cell>
          <cell r="CN9882" t="str">
            <v>2025-05-16</v>
          </cell>
          <cell r="CO9882">
            <v>1542.2439999999999</v>
          </cell>
        </row>
        <row r="9883">
          <cell r="CJ9883" t="str">
            <v xml:space="preserve">NFT-/XUTR/DEUTH02513621398X </v>
          </cell>
          <cell r="CK9883" t="str">
            <v>2025-05-16</v>
          </cell>
          <cell r="CL9883">
            <v>0</v>
          </cell>
          <cell r="CM9883" t="str">
            <v xml:space="preserve">NFT-/XUTR/DEUTH02513665250X </v>
          </cell>
          <cell r="CN9883" t="str">
            <v>2025-05-16</v>
          </cell>
          <cell r="CO9883">
            <v>0</v>
          </cell>
        </row>
        <row r="9884">
          <cell r="CJ9884" t="str">
            <v xml:space="preserve">NFT-/XUTR/DEUTH02513621398X </v>
          </cell>
          <cell r="CK9884" t="str">
            <v>2025-05-16</v>
          </cell>
          <cell r="CL9884">
            <v>9082.1759999999995</v>
          </cell>
          <cell r="CM9884" t="str">
            <v xml:space="preserve">NFT-/XUTR/DEUTH02513665250X </v>
          </cell>
          <cell r="CN9884" t="str">
            <v>2025-05-16</v>
          </cell>
          <cell r="CO9884">
            <v>1556.797</v>
          </cell>
        </row>
        <row r="9885">
          <cell r="CJ9885" t="str">
            <v xml:space="preserve">NFT-/XUTR/DEUTH02513621398X </v>
          </cell>
          <cell r="CK9885" t="str">
            <v>2025-05-16</v>
          </cell>
          <cell r="CL9885">
            <v>9101.0560000000005</v>
          </cell>
          <cell r="CM9885" t="str">
            <v xml:space="preserve">NFT-/XUTR/DEUTH02513665250X </v>
          </cell>
          <cell r="CN9885" t="str">
            <v>2025-05-16</v>
          </cell>
          <cell r="CO9885">
            <v>1556.797</v>
          </cell>
        </row>
        <row r="9886">
          <cell r="CJ9886" t="str">
            <v xml:space="preserve">NFT-/XUTR/DEUTH02513621398X </v>
          </cell>
          <cell r="CK9886" t="str">
            <v>2025-05-16</v>
          </cell>
          <cell r="CL9886">
            <v>9101.0570000000007</v>
          </cell>
          <cell r="CM9886" t="str">
            <v xml:space="preserve">NFT-/XUTR/DEUTH02513665250X </v>
          </cell>
          <cell r="CN9886" t="str">
            <v>2025-05-16</v>
          </cell>
          <cell r="CO9886">
            <v>1556.797</v>
          </cell>
        </row>
        <row r="9887">
          <cell r="CJ9887" t="str">
            <v xml:space="preserve">NFT-/XUTR/DEUTH02513621398X </v>
          </cell>
          <cell r="CK9887" t="str">
            <v>2025-05-16</v>
          </cell>
          <cell r="CL9887">
            <v>8989.9699999999993</v>
          </cell>
          <cell r="CM9887" t="str">
            <v xml:space="preserve">NFT-/XUTR/DEUTH02513665250X </v>
          </cell>
          <cell r="CN9887" t="str">
            <v>2025-05-16</v>
          </cell>
          <cell r="CO9887">
            <v>1542.2439999999999</v>
          </cell>
        </row>
        <row r="9888">
          <cell r="CJ9888" t="str">
            <v xml:space="preserve">NFT-/XUTR/DEUTH02513621398X </v>
          </cell>
          <cell r="CK9888" t="str">
            <v>2025-05-16</v>
          </cell>
          <cell r="CL9888">
            <v>9082.1759999999995</v>
          </cell>
          <cell r="CM9888" t="str">
            <v xml:space="preserve">NFT-/XUTR/DEUTH02513665250X </v>
          </cell>
          <cell r="CN9888" t="str">
            <v>2025-05-16</v>
          </cell>
          <cell r="CO9888">
            <v>1556.797</v>
          </cell>
        </row>
        <row r="9889">
          <cell r="CJ9889" t="str">
            <v xml:space="preserve">NFT-/XUTR/DEUTH02513621398X </v>
          </cell>
          <cell r="CK9889" t="str">
            <v>2025-05-16</v>
          </cell>
          <cell r="CL9889">
            <v>9101.0570000000007</v>
          </cell>
          <cell r="CM9889" t="str">
            <v xml:space="preserve">NFT-/XUTR/DEUTH02513665250X </v>
          </cell>
          <cell r="CN9889" t="str">
            <v>2025-05-16</v>
          </cell>
          <cell r="CO9889">
            <v>1556.797</v>
          </cell>
        </row>
        <row r="9890">
          <cell r="CJ9890" t="str">
            <v xml:space="preserve">NFT-/XUTR/DEUTH02513621398X </v>
          </cell>
          <cell r="CK9890" t="str">
            <v>2025-05-16</v>
          </cell>
          <cell r="CL9890">
            <v>18692.271000000001</v>
          </cell>
          <cell r="CM9890" t="str">
            <v xml:space="preserve">NFT-/XUTR/DEUTH02513665250X </v>
          </cell>
          <cell r="CN9890" t="str">
            <v>2025-05-16</v>
          </cell>
          <cell r="CO9890">
            <v>2265.3240000000001</v>
          </cell>
        </row>
        <row r="9891">
          <cell r="CJ9891" t="str">
            <v xml:space="preserve">NFT-/XUTR/DEUTH02513621398X </v>
          </cell>
          <cell r="CK9891" t="str">
            <v>2025-05-16</v>
          </cell>
          <cell r="CL9891">
            <v>98704.491999999998</v>
          </cell>
          <cell r="CM9891" t="str">
            <v xml:space="preserve">NFT-/XUTR/DEUTH02513665250X </v>
          </cell>
          <cell r="CN9891" t="str">
            <v>2025-05-16</v>
          </cell>
          <cell r="CO9891">
            <v>6481.5</v>
          </cell>
        </row>
        <row r="9892">
          <cell r="CJ9892" t="str">
            <v xml:space="preserve">NFT-/XUTR/DEUTH02513621398X </v>
          </cell>
          <cell r="CK9892" t="str">
            <v>2025-05-16</v>
          </cell>
          <cell r="CL9892">
            <v>9082.1759999999995</v>
          </cell>
          <cell r="CM9892" t="str">
            <v xml:space="preserve">NFT-/XUTR/DEUTH02513665250X </v>
          </cell>
          <cell r="CN9892" t="str">
            <v>2025-05-16</v>
          </cell>
          <cell r="CO9892">
            <v>1556.797</v>
          </cell>
        </row>
        <row r="9893">
          <cell r="CJ9893" t="str">
            <v xml:space="preserve">NFT-/XUTR/DEUTH02513621398X </v>
          </cell>
          <cell r="CK9893" t="str">
            <v>2025-05-16</v>
          </cell>
          <cell r="CL9893">
            <v>0</v>
          </cell>
        </row>
        <row r="9894">
          <cell r="CJ9894" t="str">
            <v xml:space="preserve">NFT-/XUTR/DEUTH02513621398X </v>
          </cell>
          <cell r="CK9894" t="str">
            <v>2025-05-16</v>
          </cell>
          <cell r="CL9894">
            <v>8914.7049999999999</v>
          </cell>
          <cell r="CM9894" t="str">
            <v xml:space="preserve">NFT-/XUTR/DEUTH02513665250X </v>
          </cell>
          <cell r="CN9894" t="str">
            <v>2025-05-16</v>
          </cell>
          <cell r="CO9894">
            <v>1743.1479999999999</v>
          </cell>
        </row>
        <row r="9895">
          <cell r="CJ9895" t="str">
            <v xml:space="preserve">NFT-/XUTR/DEUTH02513621398X </v>
          </cell>
          <cell r="CK9895" t="str">
            <v>2025-05-16</v>
          </cell>
          <cell r="CL9895">
            <v>9047.2360000000008</v>
          </cell>
          <cell r="CM9895" t="str">
            <v xml:space="preserve">NFT-/XUTR/DEUTH02513665250X </v>
          </cell>
          <cell r="CN9895" t="str">
            <v>2025-05-16</v>
          </cell>
          <cell r="CO9895">
            <v>1591.7460000000001</v>
          </cell>
        </row>
        <row r="9896">
          <cell r="CJ9896" t="str">
            <v xml:space="preserve">NFT-/XUTR/DEUTH02513621398X </v>
          </cell>
          <cell r="CK9896" t="str">
            <v>2025-05-16</v>
          </cell>
          <cell r="CL9896">
            <v>9008.85</v>
          </cell>
          <cell r="CM9896" t="str">
            <v xml:space="preserve">NFT-/XUTR/DEUTH02513665250X </v>
          </cell>
          <cell r="CN9896" t="str">
            <v>2025-05-16</v>
          </cell>
          <cell r="CO9896">
            <v>1542.2439999999999</v>
          </cell>
        </row>
        <row r="9897">
          <cell r="CJ9897" t="str">
            <v xml:space="preserve">NFT-/XUTR/DEUTH02513621398X </v>
          </cell>
          <cell r="CK9897" t="str">
            <v>2025-05-16</v>
          </cell>
          <cell r="CL9897">
            <v>9101.0570000000007</v>
          </cell>
          <cell r="CM9897" t="str">
            <v xml:space="preserve">NFT-/XUTR/DEUTH02513665250X </v>
          </cell>
          <cell r="CN9897" t="str">
            <v>2025-05-16</v>
          </cell>
          <cell r="CO9897">
            <v>1556.797</v>
          </cell>
        </row>
        <row r="9898">
          <cell r="CJ9898" t="str">
            <v xml:space="preserve">NFT-/XUTR/DEUTH02513621398X </v>
          </cell>
          <cell r="CK9898" t="str">
            <v>2025-05-16</v>
          </cell>
          <cell r="CL9898">
            <v>0</v>
          </cell>
          <cell r="CM9898" t="str">
            <v xml:space="preserve">NFT-/XUTR/DEUTH02513665250X </v>
          </cell>
          <cell r="CN9898" t="str">
            <v>2025-05-16</v>
          </cell>
          <cell r="CO9898">
            <v>-3.028</v>
          </cell>
        </row>
        <row r="9899">
          <cell r="CJ9899" t="str">
            <v xml:space="preserve">NFT-/XUTR/DEUTH02513621398X </v>
          </cell>
          <cell r="CK9899" t="str">
            <v>2025-05-16</v>
          </cell>
          <cell r="CL9899">
            <v>19957.904999999999</v>
          </cell>
          <cell r="CM9899" t="str">
            <v xml:space="preserve">NFT-/XUTR/DEUTH02513665250X </v>
          </cell>
          <cell r="CN9899" t="str">
            <v>2025-05-16</v>
          </cell>
          <cell r="CO9899">
            <v>1213.2180000000001</v>
          </cell>
        </row>
        <row r="9900">
          <cell r="CJ9900" t="str">
            <v xml:space="preserve">NFT-/XUTR/DEUTH02513621398X </v>
          </cell>
          <cell r="CK9900" t="str">
            <v>2025-05-16</v>
          </cell>
          <cell r="CL9900">
            <v>9565.5259999999998</v>
          </cell>
          <cell r="CM9900" t="str">
            <v xml:space="preserve">NFT-/XUTR/DEUTH02513665250X </v>
          </cell>
          <cell r="CN9900" t="str">
            <v>2025-05-16</v>
          </cell>
          <cell r="CO9900">
            <v>1073.4570000000001</v>
          </cell>
        </row>
        <row r="9901">
          <cell r="CJ9901" t="str">
            <v xml:space="preserve">NFT-/XUTR/DEUTH02513621398X </v>
          </cell>
          <cell r="CK9901" t="str">
            <v>2025-05-16</v>
          </cell>
          <cell r="CL9901">
            <v>9082.1759999999995</v>
          </cell>
          <cell r="CM9901" t="str">
            <v xml:space="preserve">NFT-/XUTR/DEUTH02513665250X </v>
          </cell>
          <cell r="CN9901" t="str">
            <v>2025-05-16</v>
          </cell>
          <cell r="CO9901">
            <v>1556.797</v>
          </cell>
        </row>
        <row r="9902">
          <cell r="CJ9902" t="str">
            <v xml:space="preserve">NFT-/XUTR/DEUTH02513621398X </v>
          </cell>
          <cell r="CK9902" t="str">
            <v>2025-05-16</v>
          </cell>
          <cell r="CL9902">
            <v>9101.0560000000005</v>
          </cell>
          <cell r="CM9902" t="str">
            <v xml:space="preserve">NFT-/XUTR/DEUTH02513665250X </v>
          </cell>
          <cell r="CN9902" t="str">
            <v>2025-05-16</v>
          </cell>
          <cell r="CO9902">
            <v>1556.797</v>
          </cell>
        </row>
        <row r="9903">
          <cell r="CJ9903" t="str">
            <v xml:space="preserve">NFT-/XUTR/DEUTH02513621398X </v>
          </cell>
          <cell r="CK9903" t="str">
            <v>2025-05-16</v>
          </cell>
          <cell r="CL9903">
            <v>9082.1759999999995</v>
          </cell>
          <cell r="CM9903" t="str">
            <v xml:space="preserve">NFT-/XUTR/DEUTH02513665250X </v>
          </cell>
          <cell r="CN9903" t="str">
            <v>2025-05-16</v>
          </cell>
          <cell r="CO9903">
            <v>1556.797</v>
          </cell>
        </row>
        <row r="9904">
          <cell r="CJ9904" t="str">
            <v xml:space="preserve">NFT-/XUTR/DEUTH02513621398X </v>
          </cell>
          <cell r="CK9904" t="str">
            <v>2025-05-16</v>
          </cell>
          <cell r="CL9904">
            <v>9101.0560000000005</v>
          </cell>
          <cell r="CM9904" t="str">
            <v xml:space="preserve">NFT-/XUTR/DEUTH02513665250X </v>
          </cell>
          <cell r="CN9904" t="str">
            <v>2025-05-16</v>
          </cell>
          <cell r="CO9904">
            <v>1556.797</v>
          </cell>
        </row>
        <row r="9905">
          <cell r="CJ9905" t="str">
            <v xml:space="preserve">NFT-/XUTR/DEUTH02513621398X </v>
          </cell>
          <cell r="CK9905" t="str">
            <v>2025-05-16</v>
          </cell>
          <cell r="CL9905">
            <v>9082.1759999999995</v>
          </cell>
          <cell r="CM9905" t="str">
            <v xml:space="preserve">NFT-/XUTR/DEUTH02513665250X </v>
          </cell>
          <cell r="CN9905" t="str">
            <v>2025-05-16</v>
          </cell>
          <cell r="CO9905">
            <v>1556.797</v>
          </cell>
        </row>
        <row r="9906">
          <cell r="CJ9906" t="str">
            <v xml:space="preserve">NFT-/XUTR/DEUTH02513621398X </v>
          </cell>
          <cell r="CK9906" t="str">
            <v>2025-05-16</v>
          </cell>
          <cell r="CL9906">
            <v>0</v>
          </cell>
        </row>
        <row r="9907">
          <cell r="CJ9907" t="str">
            <v xml:space="preserve">NFT-/XUTR/DEUTH02513621398X </v>
          </cell>
          <cell r="CK9907" t="str">
            <v>2025-05-16</v>
          </cell>
          <cell r="CL9907">
            <v>9565.5259999999998</v>
          </cell>
          <cell r="CM9907" t="str">
            <v xml:space="preserve">NFT-/XUTR/DEUTH02513665250X </v>
          </cell>
          <cell r="CN9907" t="str">
            <v>2025-05-16</v>
          </cell>
          <cell r="CO9907">
            <v>1073.4570000000001</v>
          </cell>
        </row>
        <row r="9908">
          <cell r="CJ9908" t="str">
            <v xml:space="preserve">NFT-/XUTR/DEUTH02513621398X </v>
          </cell>
          <cell r="CK9908" t="str">
            <v>2025-05-16</v>
          </cell>
          <cell r="CL9908">
            <v>8989.9699999999993</v>
          </cell>
          <cell r="CM9908" t="str">
            <v xml:space="preserve">NFT-/XUTR/DEUTH02513665250X </v>
          </cell>
          <cell r="CN9908" t="str">
            <v>2025-05-16</v>
          </cell>
          <cell r="CO9908">
            <v>1542.2439999999999</v>
          </cell>
        </row>
        <row r="9909">
          <cell r="CJ9909" t="str">
            <v xml:space="preserve">NFT-/XUTR/DEUTH02513621398X </v>
          </cell>
          <cell r="CK9909" t="str">
            <v>2025-05-16</v>
          </cell>
          <cell r="CL9909">
            <v>18692.271000000001</v>
          </cell>
          <cell r="CM9909" t="str">
            <v xml:space="preserve">NFT-/XUTR/DEUTH02513665250X </v>
          </cell>
          <cell r="CN9909" t="str">
            <v>2025-05-16</v>
          </cell>
          <cell r="CO9909">
            <v>2265.3240000000001</v>
          </cell>
        </row>
        <row r="9910">
          <cell r="CJ9910" t="str">
            <v xml:space="preserve">NFT-/XUTR/DEUTH02513621398X </v>
          </cell>
          <cell r="CK9910" t="str">
            <v>2025-05-16</v>
          </cell>
          <cell r="CL9910">
            <v>9082.1759999999995</v>
          </cell>
          <cell r="CM9910" t="str">
            <v xml:space="preserve">NFT-/XUTR/DEUTH02513665250X </v>
          </cell>
          <cell r="CN9910" t="str">
            <v>2025-05-16</v>
          </cell>
          <cell r="CO9910">
            <v>1556.797</v>
          </cell>
        </row>
        <row r="9911">
          <cell r="CJ9911" t="str">
            <v xml:space="preserve">NFT-/XUTR/DEUTH02513621398X </v>
          </cell>
          <cell r="CK9911" t="str">
            <v>2025-05-16</v>
          </cell>
          <cell r="CL9911">
            <v>9101.0560000000005</v>
          </cell>
          <cell r="CM9911" t="str">
            <v xml:space="preserve">NFT-/XUTR/DEUTH02513665250X </v>
          </cell>
          <cell r="CN9911" t="str">
            <v>2025-05-16</v>
          </cell>
          <cell r="CO9911">
            <v>1556.797</v>
          </cell>
        </row>
        <row r="9912">
          <cell r="CJ9912" t="str">
            <v xml:space="preserve">NFT-/XUTR/DEUTH02513621398X </v>
          </cell>
          <cell r="CK9912" t="str">
            <v>2025-05-16</v>
          </cell>
          <cell r="CL9912">
            <v>18895.124</v>
          </cell>
          <cell r="CM9912" t="str">
            <v xml:space="preserve">NFT-/XUTR/DEUTH02513665250X </v>
          </cell>
          <cell r="CN9912" t="str">
            <v>2025-05-16</v>
          </cell>
          <cell r="CO9912">
            <v>2275.9989999999998</v>
          </cell>
        </row>
        <row r="9913">
          <cell r="CJ9913" t="str">
            <v xml:space="preserve">NFT-/XUTR/DEUTH02513621398X </v>
          </cell>
          <cell r="CK9913" t="str">
            <v>2025-05-16</v>
          </cell>
          <cell r="CL9913">
            <v>9101.0560000000005</v>
          </cell>
          <cell r="CM9913" t="str">
            <v xml:space="preserve">NFT-/XUTR/DEUTH02513665250X </v>
          </cell>
          <cell r="CN9913" t="str">
            <v>2025-05-16</v>
          </cell>
          <cell r="CO9913">
            <v>1556.797</v>
          </cell>
        </row>
        <row r="9914">
          <cell r="CJ9914" t="str">
            <v xml:space="preserve">NFT-/XUTR/DEUTH02513621398X </v>
          </cell>
          <cell r="CK9914" t="str">
            <v>2025-05-16</v>
          </cell>
          <cell r="CL9914">
            <v>9082.1759999999995</v>
          </cell>
          <cell r="CM9914" t="str">
            <v xml:space="preserve">NFT-/XUTR/DEUTH02513665250X </v>
          </cell>
          <cell r="CN9914" t="str">
            <v>2025-05-16</v>
          </cell>
          <cell r="CO9914">
            <v>1556.797</v>
          </cell>
        </row>
        <row r="9915">
          <cell r="CJ9915" t="str">
            <v xml:space="preserve">NFT-/XUTR/DEUTH02513621398X </v>
          </cell>
          <cell r="CK9915" t="str">
            <v>2025-05-16</v>
          </cell>
          <cell r="CL9915">
            <v>9082.1759999999995</v>
          </cell>
          <cell r="CM9915" t="str">
            <v xml:space="preserve">NFT-/XUTR/DEUTH02513665250X </v>
          </cell>
          <cell r="CN9915" t="str">
            <v>2025-05-16</v>
          </cell>
          <cell r="CO9915">
            <v>1556.797</v>
          </cell>
        </row>
        <row r="9916">
          <cell r="CJ9916" t="str">
            <v xml:space="preserve">NFT-/XUTR/DEUTH02513621398X </v>
          </cell>
          <cell r="CK9916" t="str">
            <v>2025-05-16</v>
          </cell>
          <cell r="CL9916">
            <v>10046.393</v>
          </cell>
          <cell r="CM9916" t="str">
            <v xml:space="preserve">NFT-/XUTR/DEUTH02513665250X </v>
          </cell>
          <cell r="CN9916" t="str">
            <v>2025-05-16</v>
          </cell>
          <cell r="CO9916">
            <v>1844.0930000000001</v>
          </cell>
        </row>
        <row r="9917">
          <cell r="CJ9917" t="str">
            <v xml:space="preserve">NFT-/XUTR/DEUTH02513621398X </v>
          </cell>
          <cell r="CK9917" t="str">
            <v>2025-05-16</v>
          </cell>
          <cell r="CL9917">
            <v>9584.4060000000009</v>
          </cell>
          <cell r="CM9917" t="str">
            <v xml:space="preserve">NFT-/XUTR/DEUTH02513665250X </v>
          </cell>
          <cell r="CN9917" t="str">
            <v>2025-05-16</v>
          </cell>
          <cell r="CO9917">
            <v>1073.4570000000001</v>
          </cell>
        </row>
        <row r="9918">
          <cell r="CJ9918" t="str">
            <v xml:space="preserve">NFT-/XUTR/DEUTH02513621398X </v>
          </cell>
          <cell r="CK9918" t="str">
            <v>2025-05-16</v>
          </cell>
          <cell r="CL9918">
            <v>9008.85</v>
          </cell>
          <cell r="CM9918" t="str">
            <v xml:space="preserve">NFT-/XUTR/DEUTH02513665250X </v>
          </cell>
          <cell r="CN9918" t="str">
            <v>2025-05-16</v>
          </cell>
          <cell r="CO9918">
            <v>1542.2439999999999</v>
          </cell>
        </row>
        <row r="9919">
          <cell r="CJ9919" t="str">
            <v xml:space="preserve">NFT-/XUTR/DEUTH02513621398X </v>
          </cell>
          <cell r="CK9919" t="str">
            <v>2025-05-16</v>
          </cell>
          <cell r="CL9919">
            <v>9565.5259999999998</v>
          </cell>
          <cell r="CM9919" t="str">
            <v xml:space="preserve">NFT-/XUTR/DEUTH02513665250X </v>
          </cell>
          <cell r="CN9919" t="str">
            <v>2025-05-16</v>
          </cell>
          <cell r="CO9919">
            <v>1073.4570000000001</v>
          </cell>
        </row>
        <row r="9920">
          <cell r="CJ9920" t="str">
            <v xml:space="preserve">NFT-/XUTR/DEUTH02513621398X </v>
          </cell>
          <cell r="CK9920" t="str">
            <v>2025-05-16</v>
          </cell>
          <cell r="CL9920">
            <v>19301.351999999999</v>
          </cell>
          <cell r="CM9920" t="str">
            <v xml:space="preserve">NFT-/XUTR/DEUTH02513665250X </v>
          </cell>
          <cell r="CN9920" t="str">
            <v>2025-05-16</v>
          </cell>
          <cell r="CO9920">
            <v>1850.8910000000001</v>
          </cell>
        </row>
        <row r="9921">
          <cell r="CJ9921" t="str">
            <v xml:space="preserve">NFT-/XUTR/DEUTH02513621398X </v>
          </cell>
          <cell r="CK9921" t="str">
            <v>2025-05-16</v>
          </cell>
          <cell r="CL9921">
            <v>8989.9699999999993</v>
          </cell>
          <cell r="CM9921" t="str">
            <v xml:space="preserve">NFT-/XUTR/DEUTH02513665250X </v>
          </cell>
          <cell r="CN9921" t="str">
            <v>2025-05-16</v>
          </cell>
          <cell r="CO9921">
            <v>1542.2439999999999</v>
          </cell>
        </row>
        <row r="9922">
          <cell r="CJ9922" t="str">
            <v xml:space="preserve">NFT-/XUTR/DEUTH02513621398X </v>
          </cell>
          <cell r="CK9922" t="str">
            <v>2025-05-16</v>
          </cell>
          <cell r="CL9922">
            <v>9082.1759999999995</v>
          </cell>
          <cell r="CM9922" t="str">
            <v xml:space="preserve">NFT-/XUTR/DEUTH02513665250X </v>
          </cell>
          <cell r="CN9922" t="str">
            <v>2025-05-16</v>
          </cell>
          <cell r="CO9922">
            <v>1556.797</v>
          </cell>
        </row>
        <row r="9923">
          <cell r="CJ9923" t="str">
            <v xml:space="preserve">NFT-/XUTR/DEUTH02513621398X </v>
          </cell>
          <cell r="CK9923" t="str">
            <v>2025-05-16</v>
          </cell>
          <cell r="CL9923">
            <v>9584.4060000000009</v>
          </cell>
          <cell r="CM9923" t="str">
            <v xml:space="preserve">NFT-/XUTR/DEUTH02513665250X </v>
          </cell>
          <cell r="CN9923" t="str">
            <v>2025-05-16</v>
          </cell>
          <cell r="CO9923">
            <v>1073.4570000000001</v>
          </cell>
        </row>
        <row r="9924">
          <cell r="CJ9924" t="str">
            <v xml:space="preserve">NFT-/XUTR/DEUTH02513621398X </v>
          </cell>
          <cell r="CK9924" t="str">
            <v>2025-05-16</v>
          </cell>
          <cell r="CL9924">
            <v>18692.271000000001</v>
          </cell>
          <cell r="CM9924" t="str">
            <v xml:space="preserve">NFT-/XUTR/DEUTH02513665250X </v>
          </cell>
          <cell r="CN9924" t="str">
            <v>2025-05-16</v>
          </cell>
          <cell r="CO9924">
            <v>2265.3240000000001</v>
          </cell>
        </row>
        <row r="9925">
          <cell r="CJ9925" t="str">
            <v xml:space="preserve">NFT-/XUTR/DEUTH02513621398X </v>
          </cell>
          <cell r="CK9925" t="str">
            <v>2025-05-16</v>
          </cell>
          <cell r="CL9925">
            <v>9385.9639999999999</v>
          </cell>
          <cell r="CM9925" t="str">
            <v xml:space="preserve">NFT-/XUTR/DEUTH02513665250X </v>
          </cell>
          <cell r="CN9925" t="str">
            <v>2025-05-16</v>
          </cell>
          <cell r="CO9925">
            <v>1253.01</v>
          </cell>
        </row>
        <row r="9926">
          <cell r="CJ9926" t="str">
            <v xml:space="preserve">NFT-/XUTR/DEUTH02513621398X </v>
          </cell>
          <cell r="CK9926" t="str">
            <v>2025-05-16</v>
          </cell>
          <cell r="CL9926">
            <v>9082.1759999999995</v>
          </cell>
          <cell r="CM9926" t="str">
            <v xml:space="preserve">NFT-/XUTR/DEUTH02513665250X </v>
          </cell>
          <cell r="CN9926" t="str">
            <v>2025-05-16</v>
          </cell>
          <cell r="CO9926">
            <v>1556.797</v>
          </cell>
        </row>
        <row r="9927">
          <cell r="CJ9927" t="str">
            <v xml:space="preserve">NFT-/XUTR/DEUTH02513621398X </v>
          </cell>
          <cell r="CK9927" t="str">
            <v>2025-05-16</v>
          </cell>
          <cell r="CL9927">
            <v>5382.8270000000002</v>
          </cell>
          <cell r="CM9927" t="str">
            <v xml:space="preserve">NFT-/XUTR/DEUTH02513665250X </v>
          </cell>
          <cell r="CN9927" t="str">
            <v>2025-05-16</v>
          </cell>
          <cell r="CO9927">
            <v>621.17200000000003</v>
          </cell>
        </row>
        <row r="9928">
          <cell r="CJ9928" t="str">
            <v xml:space="preserve">NFT-/XUTR/DEUTH02513621398X </v>
          </cell>
          <cell r="CK9928" t="str">
            <v>2025-05-16</v>
          </cell>
          <cell r="CL9928">
            <v>9082.1759999999995</v>
          </cell>
          <cell r="CM9928" t="str">
            <v xml:space="preserve">NFT-/XUTR/DEUTH02513665250X </v>
          </cell>
          <cell r="CN9928" t="str">
            <v>2025-05-16</v>
          </cell>
          <cell r="CO9928">
            <v>1556.797</v>
          </cell>
        </row>
        <row r="9929">
          <cell r="CJ9929" t="str">
            <v xml:space="preserve">NFT-/XUTR/DEUTH02513621398X </v>
          </cell>
          <cell r="CK9929" t="str">
            <v>2025-05-16</v>
          </cell>
          <cell r="CL9929">
            <v>9857.6620000000003</v>
          </cell>
          <cell r="CM9929" t="str">
            <v xml:space="preserve">NFT-/XUTR/DEUTH02513665250X </v>
          </cell>
          <cell r="CN9929" t="str">
            <v>2025-05-16</v>
          </cell>
          <cell r="CO9929">
            <v>674.55100000000004</v>
          </cell>
        </row>
        <row r="9930">
          <cell r="CJ9930" t="str">
            <v xml:space="preserve">NFT-/XUTR/DEUTH02513621398X </v>
          </cell>
          <cell r="CK9930" t="str">
            <v>2025-05-16</v>
          </cell>
          <cell r="CL9930">
            <v>18692.271000000001</v>
          </cell>
          <cell r="CM9930" t="str">
            <v xml:space="preserve">NFT-/XUTR/DEUTH02513665250X </v>
          </cell>
          <cell r="CN9930" t="str">
            <v>2025-05-16</v>
          </cell>
          <cell r="CO9930">
            <v>2265.3240000000001</v>
          </cell>
        </row>
        <row r="9931">
          <cell r="CJ9931" t="str">
            <v xml:space="preserve">NFT-/XUTR/DEUTH02513621398X </v>
          </cell>
          <cell r="CK9931" t="str">
            <v>2025-05-16</v>
          </cell>
          <cell r="CL9931">
            <v>18895.124</v>
          </cell>
          <cell r="CM9931" t="str">
            <v xml:space="preserve">NFT-/XUTR/DEUTH02513665250X </v>
          </cell>
          <cell r="CN9931" t="str">
            <v>2025-05-16</v>
          </cell>
          <cell r="CO9931">
            <v>2275.9989999999998</v>
          </cell>
        </row>
        <row r="9932">
          <cell r="CJ9932" t="str">
            <v xml:space="preserve">NFT-/XUTR/DEUTH02513621398X </v>
          </cell>
          <cell r="CK9932" t="str">
            <v>2025-05-16</v>
          </cell>
          <cell r="CL9932">
            <v>0</v>
          </cell>
          <cell r="CM9932" t="str">
            <v xml:space="preserve">NFT-/XUTR/DEUTH02513665250X </v>
          </cell>
          <cell r="CN9932" t="str">
            <v>2025-05-16</v>
          </cell>
          <cell r="CO9932">
            <v>0</v>
          </cell>
        </row>
        <row r="9933">
          <cell r="CJ9933" t="str">
            <v xml:space="preserve">NFT-/XUTR/DEUTH02513621398X </v>
          </cell>
          <cell r="CK9933" t="str">
            <v>2025-05-16</v>
          </cell>
          <cell r="CL9933">
            <v>8989.9699999999993</v>
          </cell>
          <cell r="CM9933" t="str">
            <v xml:space="preserve">NFT-/XUTR/DEUTH02513665250X </v>
          </cell>
          <cell r="CN9933" t="str">
            <v>2025-05-16</v>
          </cell>
          <cell r="CO9933">
            <v>1542.2439999999999</v>
          </cell>
        </row>
        <row r="9934">
          <cell r="CJ9934" t="str">
            <v xml:space="preserve">NFT-/XUTR/DEUTH02513621398X </v>
          </cell>
          <cell r="CK9934" t="str">
            <v>2025-05-16</v>
          </cell>
          <cell r="CL9934">
            <v>8746.3520000000008</v>
          </cell>
          <cell r="CM9934" t="str">
            <v xml:space="preserve">NFT-/XUTR/DEUTH02513665250X </v>
          </cell>
          <cell r="CN9934" t="str">
            <v>2025-05-16</v>
          </cell>
          <cell r="CO9934">
            <v>1892.6220000000001</v>
          </cell>
        </row>
        <row r="9935">
          <cell r="CJ9935" t="str">
            <v xml:space="preserve">NFT-/XUTR/DEUTH02513621398X </v>
          </cell>
          <cell r="CK9935" t="str">
            <v>2025-05-16</v>
          </cell>
          <cell r="CL9935">
            <v>9082.1759999999995</v>
          </cell>
          <cell r="CM9935" t="str">
            <v xml:space="preserve">NFT-/XUTR/DEUTH02513665250X </v>
          </cell>
          <cell r="CN9935" t="str">
            <v>2025-05-16</v>
          </cell>
          <cell r="CO9935">
            <v>1556.797</v>
          </cell>
        </row>
        <row r="9936">
          <cell r="CJ9936" t="str">
            <v xml:space="preserve">NFT-/XUTR/DEUTH02513621398X </v>
          </cell>
          <cell r="CK9936" t="str">
            <v>2025-05-16</v>
          </cell>
          <cell r="CL9936">
            <v>9008.85</v>
          </cell>
          <cell r="CM9936" t="str">
            <v xml:space="preserve">NFT-/XUTR/DEUTH02513665250X </v>
          </cell>
          <cell r="CN9936" t="str">
            <v>2025-05-16</v>
          </cell>
          <cell r="CO9936">
            <v>1542.2439999999999</v>
          </cell>
        </row>
        <row r="9937">
          <cell r="CJ9937" t="str">
            <v xml:space="preserve">NFT-/XUTR/DEUTH02513621398X </v>
          </cell>
          <cell r="CK9937" t="str">
            <v>2025-05-16</v>
          </cell>
          <cell r="CL9937">
            <v>18895.124</v>
          </cell>
          <cell r="CM9937" t="str">
            <v xml:space="preserve">NFT-/XUTR/DEUTH02513665250X </v>
          </cell>
          <cell r="CN9937" t="str">
            <v>2025-05-16</v>
          </cell>
          <cell r="CO9937">
            <v>2275.9989999999998</v>
          </cell>
        </row>
        <row r="9938">
          <cell r="CJ9938" t="str">
            <v xml:space="preserve">NFT-/XUTR/DEUTH02513621398X </v>
          </cell>
          <cell r="CK9938" t="str">
            <v>2025-05-16</v>
          </cell>
          <cell r="CL9938">
            <v>9101.0560000000005</v>
          </cell>
          <cell r="CM9938" t="str">
            <v xml:space="preserve">NFT-/XUTR/DEUTH02513665250X </v>
          </cell>
          <cell r="CN9938" t="str">
            <v>2025-05-16</v>
          </cell>
          <cell r="CO9938">
            <v>1556.797</v>
          </cell>
        </row>
        <row r="9939">
          <cell r="CJ9939" t="str">
            <v xml:space="preserve">NFT-/XUTR/DEUTH02513621398X </v>
          </cell>
          <cell r="CK9939" t="str">
            <v>2025-05-16</v>
          </cell>
          <cell r="CL9939">
            <v>9101.0560000000005</v>
          </cell>
          <cell r="CM9939" t="str">
            <v xml:space="preserve">NFT-/XUTR/DEUTH02513665250X </v>
          </cell>
          <cell r="CN9939" t="str">
            <v>2025-05-16</v>
          </cell>
          <cell r="CO9939">
            <v>1556.797</v>
          </cell>
        </row>
        <row r="9940">
          <cell r="CJ9940" t="str">
            <v xml:space="preserve">NFT-/XUTR/DEUTH02513621398X </v>
          </cell>
          <cell r="CK9940" t="str">
            <v>2025-05-16</v>
          </cell>
          <cell r="CL9940">
            <v>9082.1759999999995</v>
          </cell>
          <cell r="CM9940" t="str">
            <v xml:space="preserve">NFT-/XUTR/DEUTH02513665250X </v>
          </cell>
          <cell r="CN9940" t="str">
            <v>2025-05-16</v>
          </cell>
          <cell r="CO9940">
            <v>1556.797</v>
          </cell>
        </row>
        <row r="9941">
          <cell r="CJ9941" t="str">
            <v xml:space="preserve">NFT-/XUTR/DEUTH02513621398X </v>
          </cell>
          <cell r="CK9941" t="str">
            <v>2025-05-16</v>
          </cell>
          <cell r="CL9941">
            <v>0</v>
          </cell>
          <cell r="CM9941" t="str">
            <v xml:space="preserve">NFT-/XUTR/DEUTH02513665250X </v>
          </cell>
          <cell r="CN9941" t="str">
            <v>2025-05-16</v>
          </cell>
          <cell r="CO9941">
            <v>0</v>
          </cell>
        </row>
        <row r="9942">
          <cell r="CJ9942" t="str">
            <v xml:space="preserve">NFT-/XUTR/DEUTH02513621398X </v>
          </cell>
          <cell r="CK9942" t="str">
            <v>2025-05-16</v>
          </cell>
          <cell r="CL9942">
            <v>9200.0519999999997</v>
          </cell>
          <cell r="CM9942" t="str">
            <v xml:space="preserve">NFT-/XUTR/DEUTH02513665250X </v>
          </cell>
          <cell r="CN9942" t="str">
            <v>2025-05-16</v>
          </cell>
          <cell r="CO9942">
            <v>1457.8009999999999</v>
          </cell>
        </row>
        <row r="9943">
          <cell r="CJ9943" t="str">
            <v xml:space="preserve">NFT-/XUTR/DEUTH02513621398X </v>
          </cell>
          <cell r="CK9943" t="str">
            <v>2025-05-16</v>
          </cell>
          <cell r="CL9943">
            <v>18987.330000000002</v>
          </cell>
          <cell r="CM9943" t="str">
            <v xml:space="preserve">NFT-/XUTR/DEUTH02513665250X </v>
          </cell>
          <cell r="CN9943" t="str">
            <v>2025-05-16</v>
          </cell>
          <cell r="CO9943">
            <v>2183.7930000000001</v>
          </cell>
        </row>
        <row r="9944">
          <cell r="CJ9944" t="str">
            <v xml:space="preserve">NFT-/XUTR/DEUTH02513621398X </v>
          </cell>
          <cell r="CK9944" t="str">
            <v>2025-05-16</v>
          </cell>
          <cell r="CL9944">
            <v>9082.1759999999995</v>
          </cell>
          <cell r="CM9944" t="str">
            <v xml:space="preserve">NFT-/XUTR/DEUTH02513665250X </v>
          </cell>
          <cell r="CN9944" t="str">
            <v>2025-05-16</v>
          </cell>
          <cell r="CO9944">
            <v>1556.797</v>
          </cell>
        </row>
        <row r="9945">
          <cell r="CJ9945" t="str">
            <v xml:space="preserve">NFT-/XUTR/DEUTH02513621398X </v>
          </cell>
          <cell r="CK9945" t="str">
            <v>2025-05-16</v>
          </cell>
          <cell r="CL9945">
            <v>8989.9699999999993</v>
          </cell>
          <cell r="CM9945" t="str">
            <v xml:space="preserve">NFT-/XUTR/DEUTH02513665250X </v>
          </cell>
          <cell r="CN9945" t="str">
            <v>2025-05-16</v>
          </cell>
          <cell r="CO9945">
            <v>1542.2439999999999</v>
          </cell>
        </row>
        <row r="9946">
          <cell r="CJ9946" t="str">
            <v xml:space="preserve">NFT-/XUTR/DEUTH02513621398X </v>
          </cell>
          <cell r="CK9946" t="str">
            <v>2025-05-16</v>
          </cell>
          <cell r="CL9946">
            <v>10000.335999999999</v>
          </cell>
          <cell r="CM9946" t="str">
            <v xml:space="preserve">NFT-/XUTR/DEUTH02513665250X </v>
          </cell>
          <cell r="CN9946" t="str">
            <v>2025-05-16</v>
          </cell>
          <cell r="CO9946">
            <v>531.87800000000004</v>
          </cell>
        </row>
        <row r="9947">
          <cell r="CJ9947" t="str">
            <v xml:space="preserve">NFT-/XUTR/DEUTH02513621398X </v>
          </cell>
          <cell r="CK9947" t="str">
            <v>2025-05-16</v>
          </cell>
          <cell r="CL9947">
            <v>8907.4750000000004</v>
          </cell>
          <cell r="CM9947" t="str">
            <v xml:space="preserve">NFT-/XUTR/DEUTH02513665250X </v>
          </cell>
          <cell r="CN9947" t="str">
            <v>2025-05-16</v>
          </cell>
          <cell r="CO9947">
            <v>1731.508</v>
          </cell>
        </row>
        <row r="9948">
          <cell r="CJ9948" t="str">
            <v xml:space="preserve">NFT-/XUTR/DEUTH02513621398X </v>
          </cell>
          <cell r="CK9948" t="str">
            <v>2025-05-16</v>
          </cell>
          <cell r="CL9948">
            <v>9488.3119999999999</v>
          </cell>
          <cell r="CM9948" t="str">
            <v xml:space="preserve">NFT-/XUTR/DEUTH02513665250X </v>
          </cell>
          <cell r="CN9948" t="str">
            <v>2025-05-16</v>
          </cell>
          <cell r="CO9948">
            <v>1062.7809999999999</v>
          </cell>
        </row>
        <row r="9949">
          <cell r="CJ9949" t="str">
            <v xml:space="preserve">NFT-/XUTR/DEUTH02513621398X </v>
          </cell>
          <cell r="CK9949" t="str">
            <v>2025-05-16</v>
          </cell>
          <cell r="CL9949">
            <v>9082.1759999999995</v>
          </cell>
          <cell r="CM9949" t="str">
            <v xml:space="preserve">NFT-/XUTR/DEUTH02513665250X </v>
          </cell>
          <cell r="CN9949" t="str">
            <v>2025-05-16</v>
          </cell>
          <cell r="CO9949">
            <v>1556.797</v>
          </cell>
        </row>
        <row r="9950">
          <cell r="CJ9950" t="str">
            <v xml:space="preserve">NFT-/XUTR/DEUTH02513621398X </v>
          </cell>
          <cell r="CK9950" t="str">
            <v>2025-05-16</v>
          </cell>
          <cell r="CL9950">
            <v>8989.9699999999993</v>
          </cell>
          <cell r="CM9950" t="str">
            <v xml:space="preserve">NFT-/XUTR/DEUTH02513665250X </v>
          </cell>
          <cell r="CN9950" t="str">
            <v>2025-05-16</v>
          </cell>
          <cell r="CO9950">
            <v>1542.2439999999999</v>
          </cell>
        </row>
        <row r="9951">
          <cell r="CJ9951" t="str">
            <v xml:space="preserve">NFT-/XUTR/DEUTH02513621398X </v>
          </cell>
          <cell r="CK9951" t="str">
            <v>2025-05-16</v>
          </cell>
          <cell r="CL9951">
            <v>9008.85</v>
          </cell>
          <cell r="CM9951" t="str">
            <v xml:space="preserve">NFT-/XUTR/DEUTH02513665250X </v>
          </cell>
          <cell r="CN9951" t="str">
            <v>2025-05-16</v>
          </cell>
          <cell r="CO9951">
            <v>1542.2439999999999</v>
          </cell>
        </row>
        <row r="9952">
          <cell r="CJ9952" t="str">
            <v xml:space="preserve">NFT-/XUTR/DEUTH02513621398X </v>
          </cell>
          <cell r="CK9952" t="str">
            <v>2025-05-16</v>
          </cell>
          <cell r="CL9952">
            <v>19844.88</v>
          </cell>
          <cell r="CM9952" t="str">
            <v xml:space="preserve">NFT-/XUTR/DEUTH02513665250X </v>
          </cell>
          <cell r="CN9952" t="str">
            <v>2025-05-16</v>
          </cell>
          <cell r="CO9952">
            <v>1093.835</v>
          </cell>
        </row>
        <row r="9953">
          <cell r="CJ9953" t="str">
            <v xml:space="preserve">NFT-/XUTR/DEUTH02513621398X </v>
          </cell>
          <cell r="CK9953" t="str">
            <v>2025-05-16</v>
          </cell>
          <cell r="CL9953">
            <v>18692.271000000001</v>
          </cell>
          <cell r="CM9953" t="str">
            <v xml:space="preserve">NFT-/XUTR/DEUTH02513665250X </v>
          </cell>
          <cell r="CN9953" t="str">
            <v>2025-05-16</v>
          </cell>
          <cell r="CO9953">
            <v>2265.3240000000001</v>
          </cell>
        </row>
        <row r="9954">
          <cell r="CJ9954" t="str">
            <v xml:space="preserve">NFT-/XUTR/DEUTH02513621398X </v>
          </cell>
          <cell r="CK9954" t="str">
            <v>2025-05-16</v>
          </cell>
          <cell r="CL9954">
            <v>9082.1759999999995</v>
          </cell>
          <cell r="CM9954" t="str">
            <v xml:space="preserve">NFT-/XUTR/DEUTH02513665250X </v>
          </cell>
          <cell r="CN9954" t="str">
            <v>2025-05-16</v>
          </cell>
          <cell r="CO9954">
            <v>1556.797</v>
          </cell>
        </row>
        <row r="9955">
          <cell r="CJ9955" t="str">
            <v xml:space="preserve">NFT-/XUTR/DEUTH02513621398X </v>
          </cell>
          <cell r="CK9955" t="str">
            <v>2025-05-16</v>
          </cell>
          <cell r="CL9955">
            <v>10798.588</v>
          </cell>
          <cell r="CM9955" t="str">
            <v xml:space="preserve">NFT-/XUTR/DEUTH02513665250X </v>
          </cell>
          <cell r="CN9955" t="str">
            <v>2025-05-16</v>
          </cell>
          <cell r="CO9955">
            <v>1208.367</v>
          </cell>
        </row>
        <row r="9956">
          <cell r="CJ9956" t="str">
            <v xml:space="preserve">NFT-/XUTR/DEUTH02513621398X </v>
          </cell>
          <cell r="CK9956" t="str">
            <v>2025-05-16</v>
          </cell>
          <cell r="CL9956">
            <v>9101.0560000000005</v>
          </cell>
          <cell r="CM9956" t="str">
            <v xml:space="preserve">NFT-/XUTR/DEUTH02513665250X </v>
          </cell>
          <cell r="CN9956" t="str">
            <v>2025-05-16</v>
          </cell>
          <cell r="CO9956">
            <v>1556.797</v>
          </cell>
        </row>
        <row r="9957">
          <cell r="CJ9957" t="str">
            <v xml:space="preserve">NFT-/XUTR/DEUTH02513621398X </v>
          </cell>
          <cell r="CK9957" t="str">
            <v>2025-05-16</v>
          </cell>
          <cell r="CL9957">
            <v>9101.0560000000005</v>
          </cell>
          <cell r="CM9957" t="str">
            <v xml:space="preserve">NFT-/XUTR/DEUTH02513665250X </v>
          </cell>
          <cell r="CN9957" t="str">
            <v>2025-05-16</v>
          </cell>
          <cell r="CO9957">
            <v>1556.797</v>
          </cell>
        </row>
        <row r="9958">
          <cell r="CJ9958" t="str">
            <v xml:space="preserve">NFT-/XUTR/DEUTH02513621398X </v>
          </cell>
          <cell r="CK9958" t="str">
            <v>2025-05-16</v>
          </cell>
          <cell r="CL9958">
            <v>0</v>
          </cell>
          <cell r="CM9958" t="str">
            <v xml:space="preserve">NFT-/XUTR/DEUTH02513665250X </v>
          </cell>
          <cell r="CN9958" t="str">
            <v>2025-05-16</v>
          </cell>
          <cell r="CO9958">
            <v>-1.9850000000000001</v>
          </cell>
        </row>
        <row r="9959">
          <cell r="CJ9959" t="str">
            <v xml:space="preserve">NFT-/XUTR/DEUTH02513621398X </v>
          </cell>
          <cell r="CK9959" t="str">
            <v>2025-05-16</v>
          </cell>
          <cell r="CL9959">
            <v>9881.393</v>
          </cell>
          <cell r="CM9959" t="str">
            <v xml:space="preserve">NFT-/XUTR/DEUTH02513665250X </v>
          </cell>
          <cell r="CN9959" t="str">
            <v>2025-05-16</v>
          </cell>
          <cell r="CO9959">
            <v>1688.8040000000001</v>
          </cell>
        </row>
        <row r="9960">
          <cell r="CJ9960" t="str">
            <v xml:space="preserve">NFT-/XUTR/DEUTH02513621398X </v>
          </cell>
          <cell r="CK9960" t="str">
            <v>2025-05-16</v>
          </cell>
          <cell r="CL9960">
            <v>9101.0560000000005</v>
          </cell>
          <cell r="CM9960" t="str">
            <v xml:space="preserve">NFT-/XUTR/DEUTH02513665250X </v>
          </cell>
          <cell r="CN9960" t="str">
            <v>2025-05-16</v>
          </cell>
          <cell r="CO9960">
            <v>1556.797</v>
          </cell>
        </row>
        <row r="9961">
          <cell r="CJ9961" t="str">
            <v xml:space="preserve">NFT-/XUTR/DEUTH02513621398X </v>
          </cell>
          <cell r="CK9961" t="str">
            <v>2025-05-16</v>
          </cell>
          <cell r="CL9961">
            <v>9584.4060000000009</v>
          </cell>
          <cell r="CM9961" t="str">
            <v xml:space="preserve">NFT-/XUTR/DEUTH02513665250X </v>
          </cell>
          <cell r="CN9961" t="str">
            <v>2025-05-16</v>
          </cell>
          <cell r="CO9961">
            <v>1073.4570000000001</v>
          </cell>
        </row>
        <row r="9962">
          <cell r="CJ9962" t="str">
            <v xml:space="preserve">NFT-/XUTR/DEUTH02513621398X </v>
          </cell>
          <cell r="CK9962" t="str">
            <v>2025-05-16</v>
          </cell>
          <cell r="CL9962">
            <v>19957.904999999999</v>
          </cell>
          <cell r="CM9962" t="str">
            <v xml:space="preserve">NFT-/XUTR/DEUTH02513665250X </v>
          </cell>
          <cell r="CN9962" t="str">
            <v>2025-05-16</v>
          </cell>
          <cell r="CO9962">
            <v>1213.2180000000001</v>
          </cell>
        </row>
        <row r="9963">
          <cell r="CJ9963" t="str">
            <v xml:space="preserve">NFT-/XUTR/DEUTH02513621398X </v>
          </cell>
          <cell r="CK9963" t="str">
            <v>2025-05-16</v>
          </cell>
          <cell r="CL9963">
            <v>18692.271000000001</v>
          </cell>
          <cell r="CM9963" t="str">
            <v xml:space="preserve">NFT-/XUTR/DEUTH02513665250X </v>
          </cell>
          <cell r="CN9963" t="str">
            <v>2025-05-16</v>
          </cell>
          <cell r="CO9963">
            <v>2265.3240000000001</v>
          </cell>
        </row>
        <row r="9964">
          <cell r="CJ9964" t="str">
            <v xml:space="preserve">AXISCN0978143446 </v>
          </cell>
          <cell r="CK9964" t="str">
            <v>2025-05-19</v>
          </cell>
          <cell r="CL9964">
            <v>10580.742</v>
          </cell>
        </row>
        <row r="9965">
          <cell r="CJ9965" t="str">
            <v xml:space="preserve">AXISCN0978143446 </v>
          </cell>
          <cell r="CK9965" t="str">
            <v>2025-05-19</v>
          </cell>
          <cell r="CL9965">
            <v>10580.742</v>
          </cell>
        </row>
        <row r="9966">
          <cell r="CJ9966" t="str">
            <v xml:space="preserve">AXISCN0978143446 </v>
          </cell>
          <cell r="CK9966" t="str">
            <v>2025-05-19</v>
          </cell>
          <cell r="CL9966">
            <v>10580.742</v>
          </cell>
        </row>
        <row r="9968">
          <cell r="CJ9968" t="str">
            <v xml:space="preserve">NFT-/XUTR/DEUTH02513621398X </v>
          </cell>
          <cell r="CK9968" t="str">
            <v>2025-05-16</v>
          </cell>
          <cell r="CL9968">
            <v>21171.124</v>
          </cell>
        </row>
        <row r="9969">
          <cell r="CJ9969" t="str">
            <v xml:space="preserve">AXISCN0978143446 </v>
          </cell>
          <cell r="CK9969" t="str">
            <v>2025-05-19</v>
          </cell>
          <cell r="CL9969">
            <v>10580.742</v>
          </cell>
        </row>
        <row r="9970">
          <cell r="CJ9970" t="str">
            <v xml:space="preserve">AXISCN0978143446 </v>
          </cell>
          <cell r="CK9970" t="str">
            <v>2025-05-19</v>
          </cell>
          <cell r="CL9970">
            <v>5960.8109999999997</v>
          </cell>
        </row>
        <row r="9971">
          <cell r="CJ9971" t="str">
            <v xml:space="preserve">AXISCN0978143446 </v>
          </cell>
          <cell r="CK9971" t="str">
            <v>2025-05-19</v>
          </cell>
          <cell r="CL9971">
            <v>21035.773000000001</v>
          </cell>
        </row>
        <row r="9972">
          <cell r="CJ9972" t="str">
            <v xml:space="preserve">AXISCN0978143446 </v>
          </cell>
          <cell r="CK9972" t="str">
            <v>2025-05-19</v>
          </cell>
          <cell r="CL9972">
            <v>5960.8109999999997</v>
          </cell>
        </row>
        <row r="9973">
          <cell r="CJ9973" t="str">
            <v xml:space="preserve">AXISCN0978143446 </v>
          </cell>
          <cell r="CK9973" t="str">
            <v>2025-05-19</v>
          </cell>
          <cell r="CL9973">
            <v>10580.742</v>
          </cell>
        </row>
        <row r="9974">
          <cell r="CJ9974" t="str">
            <v xml:space="preserve">AXISCN0978143446 </v>
          </cell>
          <cell r="CK9974" t="str">
            <v>2025-05-19</v>
          </cell>
          <cell r="CL9974">
            <v>10580.742</v>
          </cell>
        </row>
        <row r="9975">
          <cell r="CJ9975" t="str">
            <v xml:space="preserve">NFT-/XUTR/DEUTH02513621398X </v>
          </cell>
          <cell r="CK9975" t="str">
            <v>2025-05-16</v>
          </cell>
          <cell r="CL9975">
            <v>10561.329</v>
          </cell>
          <cell r="CM9975" t="str">
            <v xml:space="preserve">NFT-/XUTR/DEUTH02513665250X </v>
          </cell>
          <cell r="CN9975" t="str">
            <v>2025-05-16</v>
          </cell>
          <cell r="CO9975">
            <v>77.644000000000005</v>
          </cell>
        </row>
        <row r="9976">
          <cell r="CJ9976" t="str">
            <v xml:space="preserve">AXISCN0978143446 </v>
          </cell>
          <cell r="CK9976" t="str">
            <v>2025-05-19</v>
          </cell>
          <cell r="CL9976">
            <v>10580.742</v>
          </cell>
        </row>
        <row r="9977">
          <cell r="CJ9977" t="str">
            <v xml:space="preserve">AXISCN0978143446 </v>
          </cell>
          <cell r="CK9977" t="str">
            <v>2025-05-19</v>
          </cell>
          <cell r="CL9977">
            <v>10580.742</v>
          </cell>
        </row>
        <row r="9978">
          <cell r="CJ9978" t="str">
            <v xml:space="preserve">AXISCN0978143446 </v>
          </cell>
          <cell r="CK9978" t="str">
            <v>2025-05-19</v>
          </cell>
          <cell r="CL9978">
            <v>1496.1669999999999</v>
          </cell>
        </row>
        <row r="9979">
          <cell r="CJ9979" t="str">
            <v xml:space="preserve">AXISCN0978143446 </v>
          </cell>
          <cell r="CK9979" t="str">
            <v>2025-05-19</v>
          </cell>
          <cell r="CL9979">
            <v>10580.742</v>
          </cell>
        </row>
        <row r="9980">
          <cell r="CJ9980" t="str">
            <v xml:space="preserve">AXISCN0978143446 </v>
          </cell>
          <cell r="CK9980" t="str">
            <v>2025-05-19</v>
          </cell>
          <cell r="CL9980">
            <v>5960.8109999999997</v>
          </cell>
        </row>
        <row r="9981">
          <cell r="CJ9981" t="str">
            <v xml:space="preserve">AXISCN0978143446 </v>
          </cell>
          <cell r="CK9981" t="str">
            <v>2025-05-19</v>
          </cell>
          <cell r="CL9981">
            <v>21035.773000000001</v>
          </cell>
        </row>
        <row r="9982">
          <cell r="CJ9982" t="str">
            <v xml:space="preserve">AXISCN0978143446 </v>
          </cell>
          <cell r="CK9982" t="str">
            <v>2025-05-19</v>
          </cell>
          <cell r="CL9982">
            <v>10269.621999999999</v>
          </cell>
          <cell r="CM9982" t="str">
            <v xml:space="preserve">NFT-/XUTR/DEUTH02513953805X </v>
          </cell>
          <cell r="CN9982" t="str">
            <v>2025-05-19</v>
          </cell>
          <cell r="CO9982">
            <v>320.28800000000001</v>
          </cell>
        </row>
        <row r="9983">
          <cell r="CJ9983" t="str">
            <v xml:space="preserve">AXISCN0978143446 </v>
          </cell>
          <cell r="CK9983" t="str">
            <v>2025-05-19</v>
          </cell>
          <cell r="CL9983">
            <v>10250.742</v>
          </cell>
          <cell r="CM9983" t="str">
            <v xml:space="preserve">NFT-/XUTR/DEUTH02513953805X </v>
          </cell>
          <cell r="CN9983" t="str">
            <v>2025-05-19</v>
          </cell>
          <cell r="CO9983">
            <v>320.28800000000001</v>
          </cell>
        </row>
        <row r="9984">
          <cell r="CJ9984" t="str">
            <v xml:space="preserve">AXISCN0978143446 </v>
          </cell>
          <cell r="CK9984" t="str">
            <v>2025-05-19</v>
          </cell>
          <cell r="CL9984">
            <v>75653.892999999996</v>
          </cell>
          <cell r="CM9984" t="str">
            <v xml:space="preserve">NFT-/XUTR/DEUTH02513953805X </v>
          </cell>
          <cell r="CN9984" t="str">
            <v>2025-05-19</v>
          </cell>
          <cell r="CO9984">
            <v>2342.9679999999998</v>
          </cell>
          <cell r="CP9984" t="str">
            <v xml:space="preserve">NFT-/XUTR/DEUTH02514329392X </v>
          </cell>
          <cell r="CQ9984" t="str">
            <v>2025-05-23</v>
          </cell>
          <cell r="CR9984">
            <v>-75653.892999999996</v>
          </cell>
          <cell r="CS9984" t="str">
            <v xml:space="preserve">NFT-/XUTR/DEUTH02514367552X </v>
          </cell>
          <cell r="CT9984" t="str">
            <v>2025-05-23</v>
          </cell>
          <cell r="CU9984">
            <v>-2342.9679999999998</v>
          </cell>
        </row>
        <row r="9985">
          <cell r="CJ9985" t="str">
            <v xml:space="preserve">AXISCN0978143446 </v>
          </cell>
          <cell r="CK9985" t="str">
            <v>2025-05-19</v>
          </cell>
          <cell r="CL9985">
            <v>5980.2139999999999</v>
          </cell>
        </row>
        <row r="9986">
          <cell r="CJ9986" t="str">
            <v xml:space="preserve">AXISCN0978143446 </v>
          </cell>
          <cell r="CK9986" t="str">
            <v>2025-05-19</v>
          </cell>
          <cell r="CL9986">
            <v>101365.808</v>
          </cell>
          <cell r="CM9986" t="str">
            <v xml:space="preserve">NFT-/XUTR/DEUTH02513953805X </v>
          </cell>
          <cell r="CN9986" t="str">
            <v>2025-05-19</v>
          </cell>
          <cell r="CO9986">
            <v>3140.78</v>
          </cell>
        </row>
        <row r="9987">
          <cell r="CJ9987" t="str">
            <v xml:space="preserve">AXISCN0978143446 </v>
          </cell>
          <cell r="CK9987" t="str">
            <v>2025-05-19</v>
          </cell>
          <cell r="CL9987">
            <v>11370.79</v>
          </cell>
          <cell r="CM9987" t="str">
            <v xml:space="preserve">NFT-/XUTR/DEUTH02513953805X </v>
          </cell>
          <cell r="CN9987" t="str">
            <v>2025-05-19</v>
          </cell>
          <cell r="CO9987">
            <v>355.22800000000001</v>
          </cell>
        </row>
        <row r="9991">
          <cell r="CJ9991" t="str">
            <v xml:space="preserve">AXISCN0978143446 </v>
          </cell>
          <cell r="CK9991" t="str">
            <v>2025-05-19</v>
          </cell>
          <cell r="CL9991">
            <v>50663.540999999997</v>
          </cell>
          <cell r="CM9991" t="str">
            <v xml:space="preserve">NFT-/XUTR/DEUTH02513953805X </v>
          </cell>
          <cell r="CN9991" t="str">
            <v>2025-05-19</v>
          </cell>
          <cell r="CO9991">
            <v>1570.395</v>
          </cell>
        </row>
        <row r="9992">
          <cell r="CJ9992" t="str">
            <v xml:space="preserve">AXISCN0978143446 </v>
          </cell>
          <cell r="CK9992" t="str">
            <v>2025-05-19</v>
          </cell>
          <cell r="CL9992">
            <v>9716.9259999999995</v>
          </cell>
          <cell r="CM9992" t="str">
            <v xml:space="preserve">NFT-/XUTR/DEUTH02513953805X </v>
          </cell>
          <cell r="CN9992" t="str">
            <v>2025-05-19</v>
          </cell>
          <cell r="CO9992">
            <v>854.10400000000004</v>
          </cell>
        </row>
        <row r="9993">
          <cell r="CJ9993" t="str">
            <v xml:space="preserve">AXISCN0978143446 </v>
          </cell>
          <cell r="CK9993" t="str">
            <v>2025-05-19</v>
          </cell>
          <cell r="CL9993">
            <v>10250.742</v>
          </cell>
          <cell r="CM9993" t="str">
            <v xml:space="preserve">NFT-/XUTR/DEUTH02513953805X </v>
          </cell>
          <cell r="CN9993" t="str">
            <v>2025-05-19</v>
          </cell>
          <cell r="CO9993">
            <v>320.28800000000001</v>
          </cell>
        </row>
        <row r="9994">
          <cell r="CJ9994" t="str">
            <v xml:space="preserve">AXISCN0978143446 </v>
          </cell>
          <cell r="CK9994" t="str">
            <v>2025-05-19</v>
          </cell>
          <cell r="CL9994">
            <v>10240.508</v>
          </cell>
          <cell r="CM9994" t="str">
            <v xml:space="preserve">NFT-/XUTR/DEUTH02513953805X </v>
          </cell>
          <cell r="CN9994" t="str">
            <v>2025-05-19</v>
          </cell>
          <cell r="CO9994">
            <v>349.40300000000002</v>
          </cell>
        </row>
        <row r="9995">
          <cell r="CJ9995" t="str">
            <v xml:space="preserve">AXISCN0978143446 </v>
          </cell>
          <cell r="CK9995" t="str">
            <v>2025-05-19</v>
          </cell>
          <cell r="CL9995">
            <v>21035.24</v>
          </cell>
        </row>
        <row r="9999">
          <cell r="CJ9999" t="str">
            <v xml:space="preserve">AXISCN0978143446 </v>
          </cell>
          <cell r="CK9999" t="str">
            <v>2025-05-19</v>
          </cell>
          <cell r="CL9999">
            <v>10589.92</v>
          </cell>
        </row>
        <row r="10000">
          <cell r="CJ10000" t="str">
            <v xml:space="preserve">NFT-/XUTR/DEUTH02513204205X </v>
          </cell>
          <cell r="CK10000" t="str">
            <v>2025-05-12</v>
          </cell>
          <cell r="CL10000">
            <v>19910.32</v>
          </cell>
          <cell r="CM10000" t="str">
            <v xml:space="preserve">NFT-/XUTR/DEUTH02513259438X </v>
          </cell>
          <cell r="CN10000" t="str">
            <v>2025-05-12</v>
          </cell>
          <cell r="CO10000">
            <v>1055.982</v>
          </cell>
        </row>
        <row r="10002">
          <cell r="CJ10002" t="str">
            <v xml:space="preserve">NFT-/XUTR/DEUTH02514124655X </v>
          </cell>
          <cell r="CK10002" t="str">
            <v>2025-05-21</v>
          </cell>
          <cell r="CL10002">
            <v>10366.679</v>
          </cell>
        </row>
        <row r="10003">
          <cell r="CJ10003" t="str">
            <v xml:space="preserve">NFT-/XUTR/DEUTH02514124655X </v>
          </cell>
          <cell r="CK10003" t="str">
            <v>2025-05-21</v>
          </cell>
          <cell r="CL10003">
            <v>10034.312</v>
          </cell>
          <cell r="CM10003" t="str">
            <v xml:space="preserve">NFT-/XUTR/DEUTH02514164574X </v>
          </cell>
          <cell r="CN10003" t="str">
            <v>2025-05-21</v>
          </cell>
          <cell r="CO10003">
            <v>313.49799999999999</v>
          </cell>
        </row>
        <row r="10004">
          <cell r="CJ10004" t="str">
            <v xml:space="preserve">NFT-/XUTR/DEUTH02514124655X </v>
          </cell>
          <cell r="CK10004" t="str">
            <v>2025-05-21</v>
          </cell>
          <cell r="CL10004">
            <v>19958.438999999998</v>
          </cell>
          <cell r="CM10004" t="str">
            <v xml:space="preserve">NFT-/XUTR/DEUTH02514164574X </v>
          </cell>
          <cell r="CN10004" t="str">
            <v>2025-05-21</v>
          </cell>
          <cell r="CO10004">
            <v>621.17200000000003</v>
          </cell>
        </row>
        <row r="10007">
          <cell r="CJ10007" t="str">
            <v xml:space="preserve">NFT-/XUTR/DEUTH02514124655X </v>
          </cell>
          <cell r="CK10007" t="str">
            <v>2025-05-21</v>
          </cell>
          <cell r="CL10007">
            <v>20356.370999999999</v>
          </cell>
        </row>
        <row r="10008">
          <cell r="CJ10008" t="str">
            <v xml:space="preserve">NFT-/XUTR/DEUTH02514124655X </v>
          </cell>
          <cell r="CK10008" t="str">
            <v>2025-05-21</v>
          </cell>
          <cell r="CL10008">
            <v>19741.998</v>
          </cell>
          <cell r="CM10008" t="str">
            <v xml:space="preserve">NFT-/XUTR/DEUTH02514164574X </v>
          </cell>
          <cell r="CN10008" t="str">
            <v>2025-05-21</v>
          </cell>
          <cell r="CO10008">
            <v>614.37199999999996</v>
          </cell>
        </row>
        <row r="10011">
          <cell r="CJ10011" t="str">
            <v xml:space="preserve">NFT-/XUTR/DEUTH02514124655X </v>
          </cell>
          <cell r="CK10011" t="str">
            <v>2025-05-21</v>
          </cell>
          <cell r="CL10011">
            <v>49063.057000000001</v>
          </cell>
          <cell r="CM10011" t="str">
            <v xml:space="preserve">NFT-/XUTR/DEUTH02514164574X </v>
          </cell>
          <cell r="CN10011" t="str">
            <v>2025-05-21</v>
          </cell>
          <cell r="CO10011">
            <v>1520.8920000000001</v>
          </cell>
        </row>
        <row r="10012">
          <cell r="CJ10012" t="str">
            <v xml:space="preserve">NFT-/XUTR/DEUTH02514124655X </v>
          </cell>
          <cell r="CK10012" t="str">
            <v>2025-05-21</v>
          </cell>
          <cell r="CL10012">
            <v>19797.455999999998</v>
          </cell>
        </row>
        <row r="10013">
          <cell r="CJ10013" t="str">
            <v xml:space="preserve">NFT-/XUTR/DEUTH02514124655X </v>
          </cell>
          <cell r="CK10013" t="str">
            <v>2025-05-21</v>
          </cell>
          <cell r="CL10013">
            <v>20356.370999999999</v>
          </cell>
        </row>
        <row r="10014">
          <cell r="CJ10014" t="str">
            <v xml:space="preserve">NFT-/XUTR/DEUTH02514124655X </v>
          </cell>
          <cell r="CK10014" t="str">
            <v>2025-05-21</v>
          </cell>
          <cell r="CL10014">
            <v>11088.356</v>
          </cell>
          <cell r="CM10014" t="str">
            <v xml:space="preserve">NFT-/XUTR/DEUTH02514164574X </v>
          </cell>
          <cell r="CN10014" t="str">
            <v>2025-05-21</v>
          </cell>
          <cell r="CO10014">
            <v>346.5</v>
          </cell>
        </row>
        <row r="10015">
          <cell r="CJ10015" t="str">
            <v xml:space="preserve">NFT-/XUTR/DEUTH02514124655X </v>
          </cell>
          <cell r="CK10015" t="str">
            <v>2025-05-21</v>
          </cell>
          <cell r="CL10015">
            <v>49063.057000000001</v>
          </cell>
          <cell r="CM10015" t="str">
            <v xml:space="preserve">NFT-/XUTR/DEUTH02514164574X </v>
          </cell>
          <cell r="CN10015" t="str">
            <v>2025-05-21</v>
          </cell>
          <cell r="CO10015">
            <v>1520.8920000000001</v>
          </cell>
        </row>
        <row r="10018">
          <cell r="CJ10018" t="str">
            <v xml:space="preserve">NFT-/XUTR/DEUTH02514124655X </v>
          </cell>
          <cell r="CK10018" t="str">
            <v>2025-05-21</v>
          </cell>
          <cell r="CL10018">
            <v>9930.4549999999999</v>
          </cell>
          <cell r="CM10018" t="str">
            <v xml:space="preserve">NFT-/XUTR/DEUTH02514164574X </v>
          </cell>
          <cell r="CN10018" t="str">
            <v>2025-05-21</v>
          </cell>
          <cell r="CO10018">
            <v>310.58600000000001</v>
          </cell>
        </row>
        <row r="10021">
          <cell r="CJ10021" t="str">
            <v xml:space="preserve">NFT-/XUTR/DEUTH02514124655X </v>
          </cell>
          <cell r="CK10021" t="str">
            <v>2025-05-21</v>
          </cell>
          <cell r="CL10021">
            <v>19741.998</v>
          </cell>
          <cell r="CM10021" t="str">
            <v xml:space="preserve">NFT-/XUTR/DEUTH02514164574X </v>
          </cell>
          <cell r="CN10021" t="str">
            <v>2025-05-21</v>
          </cell>
          <cell r="CO10021">
            <v>614.37199999999996</v>
          </cell>
        </row>
        <row r="10022">
          <cell r="CJ10022" t="str">
            <v xml:space="preserve">NFT-/XUTR/DEUTH02514124655X </v>
          </cell>
          <cell r="CK10022" t="str">
            <v>2025-05-21</v>
          </cell>
          <cell r="CL10022">
            <v>29848.982</v>
          </cell>
          <cell r="CM10022" t="str">
            <v xml:space="preserve">NFT-/XUTR/DEUTH02514164574X </v>
          </cell>
          <cell r="CN10022" t="str">
            <v>2025-05-21</v>
          </cell>
          <cell r="CO10022">
            <v>928.84299999999996</v>
          </cell>
        </row>
        <row r="10023">
          <cell r="CJ10023" t="str">
            <v xml:space="preserve">NFT-/XUTR/DEUTH02514124655X </v>
          </cell>
          <cell r="CK10023" t="str">
            <v>2025-05-21</v>
          </cell>
          <cell r="CL10023">
            <v>29848.982</v>
          </cell>
          <cell r="CM10023" t="str">
            <v xml:space="preserve">NFT-/XUTR/DEUTH02514164574X </v>
          </cell>
          <cell r="CN10023" t="str">
            <v>2025-05-21</v>
          </cell>
          <cell r="CO10023">
            <v>931.74800000000005</v>
          </cell>
        </row>
        <row r="10024">
          <cell r="CJ10024" t="str">
            <v xml:space="preserve">NFT-/XUTR/DEUTH02514124655X </v>
          </cell>
          <cell r="CK10024" t="str">
            <v>2025-05-21</v>
          </cell>
          <cell r="CL10024">
            <v>49063.057000000001</v>
          </cell>
          <cell r="CM10024" t="str">
            <v xml:space="preserve">NFT-/XUTR/DEUTH02514164574X </v>
          </cell>
          <cell r="CN10024" t="str">
            <v>2025-05-21</v>
          </cell>
          <cell r="CO10024">
            <v>1520.8920000000001</v>
          </cell>
        </row>
        <row r="10025">
          <cell r="CJ10025" t="str">
            <v xml:space="preserve">NFT-/XUTR/DEUTH02514124655X </v>
          </cell>
          <cell r="CK10025" t="str">
            <v>2025-05-21</v>
          </cell>
          <cell r="CL10025">
            <v>19741.998</v>
          </cell>
          <cell r="CM10025" t="str">
            <v xml:space="preserve">NFT-/XUTR/DEUTH02514164574X </v>
          </cell>
          <cell r="CN10025" t="str">
            <v>2025-05-21</v>
          </cell>
          <cell r="CO10025">
            <v>614.37199999999996</v>
          </cell>
        </row>
        <row r="10026">
          <cell r="CJ10026" t="str">
            <v xml:space="preserve">NFT-/XUTR/DEUTH02514124655X </v>
          </cell>
          <cell r="CK10026" t="str">
            <v>2025-05-21</v>
          </cell>
          <cell r="CL10026">
            <v>9676.6020000000008</v>
          </cell>
          <cell r="CM10026" t="str">
            <v xml:space="preserve">NFT-/XUTR/DEUTH02514164574X </v>
          </cell>
          <cell r="CN10026" t="str">
            <v>2025-05-21</v>
          </cell>
          <cell r="CO10026">
            <v>583.31799999999998</v>
          </cell>
        </row>
        <row r="10027">
          <cell r="CJ10027" t="str">
            <v xml:space="preserve">NFT-/XUTR/DEUTH02514124655X </v>
          </cell>
          <cell r="CK10027" t="str">
            <v>2025-05-21</v>
          </cell>
          <cell r="CL10027">
            <v>9920.7540000000008</v>
          </cell>
          <cell r="CM10027" t="str">
            <v xml:space="preserve">NFT-/XUTR/DEUTH02514164574X </v>
          </cell>
          <cell r="CN10027" t="str">
            <v>2025-05-21</v>
          </cell>
          <cell r="CO10027">
            <v>310.58600000000001</v>
          </cell>
        </row>
        <row r="10030">
          <cell r="CJ10030" t="str">
            <v xml:space="preserve">NFT-/XUTR/DEUTH02514124655X </v>
          </cell>
          <cell r="CK10030" t="str">
            <v>2025-05-21</v>
          </cell>
          <cell r="CL10030">
            <v>9521.3150000000005</v>
          </cell>
          <cell r="CM10030" t="str">
            <v xml:space="preserve">NFT-/XUTR/DEUTH02514164574X </v>
          </cell>
          <cell r="CN10030" t="str">
            <v>2025-05-21</v>
          </cell>
          <cell r="CO10030">
            <v>835.66399999999999</v>
          </cell>
        </row>
        <row r="10031">
          <cell r="CJ10031" t="str">
            <v xml:space="preserve">NFT-/XUTR/DEUTH02514124655X </v>
          </cell>
          <cell r="CK10031" t="str">
            <v>2025-05-21</v>
          </cell>
          <cell r="CL10031">
            <v>48510.802000000003</v>
          </cell>
          <cell r="CM10031" t="str">
            <v xml:space="preserve">NFT-/XUTR/DEUTH02514164574X </v>
          </cell>
          <cell r="CN10031" t="str">
            <v>2025-05-21</v>
          </cell>
          <cell r="CO10031">
            <v>2558.4349999999999</v>
          </cell>
        </row>
        <row r="10032">
          <cell r="CJ10032" t="str">
            <v xml:space="preserve">NFT-/XUTR/DEUTH02514124655X </v>
          </cell>
          <cell r="CK10032" t="str">
            <v>2025-05-21</v>
          </cell>
          <cell r="CL10032">
            <v>10347.539000000001</v>
          </cell>
        </row>
        <row r="10033">
          <cell r="CJ10033" t="str">
            <v xml:space="preserve">NFT-/XUTR/DEUTH02514124655X </v>
          </cell>
          <cell r="CK10033" t="str">
            <v>2025-05-21</v>
          </cell>
          <cell r="CL10033">
            <v>20559.925999999999</v>
          </cell>
        </row>
        <row r="10034">
          <cell r="CJ10034" t="str">
            <v xml:space="preserve">NFT-/XUTR/DEUTH02514124655X </v>
          </cell>
          <cell r="CK10034" t="str">
            <v>2025-05-21</v>
          </cell>
          <cell r="CL10034">
            <v>97040.483999999997</v>
          </cell>
          <cell r="CM10034" t="str">
            <v xml:space="preserve">NFT-/XUTR/DEUTH02514164574X </v>
          </cell>
          <cell r="CN10034" t="str">
            <v>2025-05-21</v>
          </cell>
          <cell r="CO10034">
            <v>5116.87</v>
          </cell>
        </row>
        <row r="10035">
          <cell r="CJ10035" t="str">
            <v xml:space="preserve">NFT-/XUTR/DEUTH02514124655X </v>
          </cell>
          <cell r="CK10035" t="str">
            <v>2025-05-21</v>
          </cell>
          <cell r="CL10035">
            <v>19536.672999999999</v>
          </cell>
          <cell r="CM10035" t="str">
            <v xml:space="preserve">NFT-/XUTR/DEUTH02514164574X </v>
          </cell>
          <cell r="CN10035" t="str">
            <v>2025-05-21</v>
          </cell>
          <cell r="CO10035">
            <v>1032.691</v>
          </cell>
        </row>
        <row r="10036">
          <cell r="CJ10036" t="str">
            <v xml:space="preserve">NFT-/XUTR/DEUTH02514124655X </v>
          </cell>
          <cell r="CK10036" t="str">
            <v>2025-05-21</v>
          </cell>
          <cell r="CL10036">
            <v>48510.802000000003</v>
          </cell>
          <cell r="CM10036" t="str">
            <v xml:space="preserve">NFT-/XUTR/DEUTH02514164574X </v>
          </cell>
          <cell r="CN10036" t="str">
            <v>2025-05-21</v>
          </cell>
          <cell r="CO10036">
            <v>2558.4349999999999</v>
          </cell>
        </row>
        <row r="10040">
          <cell r="CJ10040" t="str">
            <v xml:space="preserve">NFT-/XUTR/DEUTH02514124655X </v>
          </cell>
          <cell r="CK10040" t="str">
            <v>2025-05-21</v>
          </cell>
          <cell r="CL10040">
            <v>9834.8119999999999</v>
          </cell>
          <cell r="CM10040" t="str">
            <v xml:space="preserve">NFT-/XUTR/DEUTH02514164574X </v>
          </cell>
          <cell r="CN10040" t="str">
            <v>2025-05-21</v>
          </cell>
          <cell r="CO10040">
            <v>522.16600000000005</v>
          </cell>
        </row>
        <row r="10041">
          <cell r="CJ10041" t="str">
            <v xml:space="preserve">NFT-/XUTR/DEUTH02514124655X </v>
          </cell>
          <cell r="CK10041" t="str">
            <v>2025-05-21</v>
          </cell>
          <cell r="CL10041">
            <v>48529.682999999997</v>
          </cell>
          <cell r="CM10041" t="str">
            <v xml:space="preserve">NFT-/XUTR/DEUTH02514164574X </v>
          </cell>
          <cell r="CN10041" t="str">
            <v>2025-05-21</v>
          </cell>
          <cell r="CO10041">
            <v>2558.4349999999999</v>
          </cell>
        </row>
        <row r="10042">
          <cell r="CJ10042" t="str">
            <v xml:space="preserve">NFT-/XUTR/DEUTH02514124655X </v>
          </cell>
          <cell r="CK10042" t="str">
            <v>2025-05-21</v>
          </cell>
          <cell r="CL10042">
            <v>9815.9320000000007</v>
          </cell>
          <cell r="CM10042" t="str">
            <v xml:space="preserve">NFT-/XUTR/DEUTH02514164574X </v>
          </cell>
          <cell r="CN10042" t="str">
            <v>2025-05-21</v>
          </cell>
          <cell r="CO10042">
            <v>522.16600000000005</v>
          </cell>
        </row>
        <row r="10043">
          <cell r="CJ10043" t="str">
            <v xml:space="preserve">NFT-/XUTR/DEUTH02514329392X </v>
          </cell>
          <cell r="CK10043" t="str">
            <v>2025-05-23</v>
          </cell>
          <cell r="CL10043">
            <v>49147.940999999999</v>
          </cell>
          <cell r="CM10043" t="str">
            <v xml:space="preserve">NFT-/XUTR/DEUTH02514367552X </v>
          </cell>
          <cell r="CN10043" t="str">
            <v>2025-05-23</v>
          </cell>
          <cell r="CO10043">
            <v>1522.83</v>
          </cell>
        </row>
        <row r="10044">
          <cell r="CJ10044" t="str">
            <v xml:space="preserve">NFT-/XUTR/DEUTH02514329392X </v>
          </cell>
          <cell r="CK10044" t="str">
            <v>2025-05-23</v>
          </cell>
          <cell r="CL10044">
            <v>50651.891000000003</v>
          </cell>
          <cell r="CM10044" t="str">
            <v xml:space="preserve">NFT-/XUTR/DEUTH02514620925X </v>
          </cell>
          <cell r="CN10044" t="str">
            <v>2025-05-26</v>
          </cell>
          <cell r="CO10044">
            <v>-50651.891000000003</v>
          </cell>
        </row>
        <row r="10045">
          <cell r="CJ10045" t="str">
            <v xml:space="preserve">NFT-/XUTR/DEUTH02514329392X </v>
          </cell>
          <cell r="CK10045" t="str">
            <v>2025-05-23</v>
          </cell>
          <cell r="CL10045">
            <v>9940.1669999999995</v>
          </cell>
          <cell r="CM10045" t="str">
            <v xml:space="preserve">NFT-/XUTR/DEUTH02514367552X </v>
          </cell>
          <cell r="CN10045" t="str">
            <v>2025-05-23</v>
          </cell>
          <cell r="CO10045">
            <v>310.58600000000001</v>
          </cell>
        </row>
        <row r="10046">
          <cell r="CJ10046" t="str">
            <v xml:space="preserve">NFT-/XUTR/DEUTH02514329392X </v>
          </cell>
          <cell r="CK10046" t="str">
            <v>2025-05-23</v>
          </cell>
          <cell r="CL10046">
            <v>9940.1669999999995</v>
          </cell>
          <cell r="CM10046" t="str">
            <v xml:space="preserve">NFT-/XUTR/DEUTH02514367552X </v>
          </cell>
          <cell r="CN10046" t="str">
            <v>2025-05-23</v>
          </cell>
          <cell r="CO10046">
            <v>310.58600000000001</v>
          </cell>
        </row>
        <row r="10047">
          <cell r="CJ10047" t="str">
            <v xml:space="preserve">NFT-/XUTR/DEUTH02514329392X </v>
          </cell>
          <cell r="CK10047" t="str">
            <v>2025-05-23</v>
          </cell>
          <cell r="CL10047">
            <v>40808.743999999999</v>
          </cell>
        </row>
        <row r="10048">
          <cell r="CJ10048" t="str">
            <v xml:space="preserve">NFT-/XUTR/DEUTH02514329392X </v>
          </cell>
          <cell r="CK10048" t="str">
            <v>2025-05-23</v>
          </cell>
          <cell r="CL10048">
            <v>9959.0470000000005</v>
          </cell>
          <cell r="CM10048" t="str">
            <v xml:space="preserve">NFT-/XUTR/DEUTH02514367552X </v>
          </cell>
          <cell r="CN10048" t="str">
            <v>2025-05-23</v>
          </cell>
          <cell r="CO10048">
            <v>310.58600000000001</v>
          </cell>
        </row>
        <row r="10049">
          <cell r="CJ10049" t="str">
            <v xml:space="preserve">NFT-/XUTR/DEUTH02514329392X </v>
          </cell>
          <cell r="CK10049" t="str">
            <v>2025-05-23</v>
          </cell>
          <cell r="CL10049">
            <v>49147.94</v>
          </cell>
          <cell r="CM10049" t="str">
            <v xml:space="preserve">NFT-/XUTR/DEUTH02514367552X </v>
          </cell>
          <cell r="CN10049" t="str">
            <v>2025-05-23</v>
          </cell>
          <cell r="CO10049">
            <v>1522.8309999999999</v>
          </cell>
        </row>
        <row r="10050">
          <cell r="CJ10050" t="str">
            <v xml:space="preserve">NFT-/XUTR/DEUTH02514329392X </v>
          </cell>
          <cell r="CK10050" t="str">
            <v>2025-05-23</v>
          </cell>
          <cell r="CL10050">
            <v>49147.94</v>
          </cell>
          <cell r="CM10050" t="str">
            <v xml:space="preserve">NFT-/XUTR/DEUTH02514367552X </v>
          </cell>
          <cell r="CN10050" t="str">
            <v>2025-05-23</v>
          </cell>
          <cell r="CO10050">
            <v>1522.8309999999999</v>
          </cell>
        </row>
        <row r="10052">
          <cell r="CJ10052" t="str">
            <v xml:space="preserve">NFT-/XUTR/DEUTH02514329392X </v>
          </cell>
          <cell r="CK10052" t="str">
            <v>2025-05-23</v>
          </cell>
          <cell r="CL10052">
            <v>9940.1669999999995</v>
          </cell>
          <cell r="CM10052" t="str">
            <v xml:space="preserve">NFT-/XUTR/DEUTH02514367552X </v>
          </cell>
          <cell r="CN10052" t="str">
            <v>2025-05-23</v>
          </cell>
          <cell r="CO10052">
            <v>310.58600000000001</v>
          </cell>
        </row>
        <row r="10057">
          <cell r="CJ10057" t="str">
            <v xml:space="preserve">NFT-/XUTR/DEUTH02514329392X </v>
          </cell>
          <cell r="CK10057" t="str">
            <v>2025-05-23</v>
          </cell>
          <cell r="CL10057">
            <v>73412.843999999997</v>
          </cell>
          <cell r="CM10057" t="str">
            <v xml:space="preserve">NFT-/XUTR/DEUTH02514367552X </v>
          </cell>
          <cell r="CN10057" t="str">
            <v>2025-05-23</v>
          </cell>
          <cell r="CO10057">
            <v>2274.0509999999999</v>
          </cell>
        </row>
        <row r="10059">
          <cell r="CJ10059" t="str">
            <v xml:space="preserve">NFT-/XUTR/DEUTH02514329392X </v>
          </cell>
          <cell r="CK10059" t="str">
            <v>2025-05-23</v>
          </cell>
          <cell r="CL10059">
            <v>19770.149000000001</v>
          </cell>
          <cell r="CM10059" t="str">
            <v xml:space="preserve">NFT-/XUTR/DEUTH02514367552X </v>
          </cell>
          <cell r="CN10059" t="str">
            <v>2025-05-23</v>
          </cell>
          <cell r="CO10059">
            <v>615.346</v>
          </cell>
        </row>
        <row r="10060">
          <cell r="CJ10060" t="str">
            <v xml:space="preserve">NFT-/XUTR/DEUTH02514329392X </v>
          </cell>
          <cell r="CK10060" t="str">
            <v>2025-05-23</v>
          </cell>
          <cell r="CL10060">
            <v>19770.149000000001</v>
          </cell>
          <cell r="CM10060" t="str">
            <v xml:space="preserve">NFT-/XUTR/DEUTH02514367552X </v>
          </cell>
          <cell r="CN10060" t="str">
            <v>2025-05-23</v>
          </cell>
          <cell r="CO10060">
            <v>615.346</v>
          </cell>
          <cell r="CP10060" t="str">
            <v xml:space="preserve">NFT-/XUTR/DEUTH02514823955X </v>
          </cell>
          <cell r="CQ10060" t="str">
            <v>2025-05-28</v>
          </cell>
          <cell r="CR10060">
            <v>-19770.149000000001</v>
          </cell>
          <cell r="CS10060" t="str">
            <v xml:space="preserve">NFT-/XUTR/DEUTH02514868866X </v>
          </cell>
          <cell r="CT10060" t="str">
            <v>2025-05-28</v>
          </cell>
          <cell r="CU10060">
            <v>-615.346</v>
          </cell>
        </row>
        <row r="10061">
          <cell r="CJ10061" t="str">
            <v xml:space="preserve">NFT-/XUTR/DEUTH02514124655X </v>
          </cell>
          <cell r="CK10061" t="str">
            <v>2025-05-21</v>
          </cell>
          <cell r="CL10061">
            <v>19977.32</v>
          </cell>
          <cell r="CM10061" t="str">
            <v xml:space="preserve">NFT-/XUTR/DEUTH02514164574X </v>
          </cell>
          <cell r="CN10061" t="str">
            <v>2025-05-21</v>
          </cell>
          <cell r="CO10061">
            <v>621.173</v>
          </cell>
        </row>
        <row r="10064">
          <cell r="CJ10064" t="str">
            <v xml:space="preserve">NFT-/XUTR/DEUTH02514124655X </v>
          </cell>
          <cell r="CK10064" t="str">
            <v>2025-05-21</v>
          </cell>
          <cell r="CL10064">
            <v>19741.998</v>
          </cell>
          <cell r="CM10064" t="str">
            <v xml:space="preserve">NFT-/XUTR/DEUTH02514164574X </v>
          </cell>
          <cell r="CN10064" t="str">
            <v>2025-05-21</v>
          </cell>
          <cell r="CO10064">
            <v>614.37199999999996</v>
          </cell>
        </row>
        <row r="10065">
          <cell r="CJ10065" t="str">
            <v xml:space="preserve">NFT-/XUTR/DEUTH02514124655X </v>
          </cell>
          <cell r="CK10065" t="str">
            <v>2025-05-21</v>
          </cell>
          <cell r="CL10065">
            <v>79683.194000000003</v>
          </cell>
          <cell r="CM10065" t="str">
            <v xml:space="preserve">NFT-/XUTR/DEUTH02514164574X </v>
          </cell>
          <cell r="CN10065" t="str">
            <v>2025-05-21</v>
          </cell>
          <cell r="CO10065">
            <v>2467.2020000000002</v>
          </cell>
        </row>
        <row r="10066">
          <cell r="CJ10066" t="str">
            <v xml:space="preserve">NFT-/XUTR/DEUTH02514124655X </v>
          </cell>
          <cell r="CK10066" t="str">
            <v>2025-05-21</v>
          </cell>
          <cell r="CL10066">
            <v>10241.040999999999</v>
          </cell>
        </row>
        <row r="10069">
          <cell r="CJ10069" t="str">
            <v xml:space="preserve">NFT-/XUTR/DEUTH02514124655X </v>
          </cell>
          <cell r="CK10069" t="str">
            <v>2025-05-21</v>
          </cell>
          <cell r="CL10069">
            <v>19741.998</v>
          </cell>
          <cell r="CM10069" t="str">
            <v xml:space="preserve">NFT-/XUTR/DEUTH02514164574X </v>
          </cell>
          <cell r="CN10069" t="str">
            <v>2025-05-21</v>
          </cell>
          <cell r="CO10069">
            <v>614.37199999999996</v>
          </cell>
        </row>
        <row r="10070">
          <cell r="CJ10070" t="str">
            <v xml:space="preserve">NFT-/XUTR/DEUTH02514124655X </v>
          </cell>
          <cell r="CK10070" t="str">
            <v>2025-05-21</v>
          </cell>
          <cell r="CL10070">
            <v>9930.4549999999999</v>
          </cell>
          <cell r="CM10070" t="str">
            <v xml:space="preserve">NFT-/XUTR/DEUTH02514164574X </v>
          </cell>
          <cell r="CN10070" t="str">
            <v>2025-05-21</v>
          </cell>
          <cell r="CO10070">
            <v>310.58600000000001</v>
          </cell>
        </row>
        <row r="10071">
          <cell r="CJ10071" t="str">
            <v xml:space="preserve">NFT-/XUTR/DEUTH02514124655X </v>
          </cell>
          <cell r="CK10071" t="str">
            <v>2025-05-21</v>
          </cell>
          <cell r="CL10071">
            <v>9949.3349999999991</v>
          </cell>
          <cell r="CM10071" t="str">
            <v xml:space="preserve">NFT-/XUTR/DEUTH02514164574X </v>
          </cell>
          <cell r="CN10071" t="str">
            <v>2025-05-21</v>
          </cell>
          <cell r="CO10071">
            <v>310.58600000000001</v>
          </cell>
        </row>
        <row r="10072">
          <cell r="CJ10072" t="str">
            <v xml:space="preserve">NFT-/XUTR/DEUTH02514124655X </v>
          </cell>
          <cell r="CK10072" t="str">
            <v>2025-05-21</v>
          </cell>
          <cell r="CL10072">
            <v>39503.85</v>
          </cell>
          <cell r="CM10072" t="str">
            <v xml:space="preserve">NFT-/XUTR/DEUTH02514164574X </v>
          </cell>
          <cell r="CN10072" t="str">
            <v>2025-05-21</v>
          </cell>
          <cell r="CO10072">
            <v>1228.7439999999999</v>
          </cell>
        </row>
        <row r="10073">
          <cell r="CJ10073" t="str">
            <v xml:space="preserve">NFT-/XUTR/DEUTH02514124655X </v>
          </cell>
          <cell r="CK10073" t="str">
            <v>2025-05-21</v>
          </cell>
          <cell r="CL10073">
            <v>19760.878000000001</v>
          </cell>
          <cell r="CM10073" t="str">
            <v xml:space="preserve">NFT-/XUTR/DEUTH02514164574X </v>
          </cell>
          <cell r="CN10073" t="str">
            <v>2025-05-21</v>
          </cell>
          <cell r="CO10073">
            <v>614.37199999999996</v>
          </cell>
        </row>
        <row r="10074">
          <cell r="CJ10074" t="str">
            <v xml:space="preserve">NFT-/XUTR/DEUTH02514124655X </v>
          </cell>
          <cell r="CK10074" t="str">
            <v>2025-05-21</v>
          </cell>
          <cell r="CL10074">
            <v>19760.878000000001</v>
          </cell>
          <cell r="CM10074" t="str">
            <v xml:space="preserve">NFT-/XUTR/DEUTH02514164574X </v>
          </cell>
          <cell r="CN10074" t="str">
            <v>2025-05-21</v>
          </cell>
          <cell r="CO10074">
            <v>614.37300000000005</v>
          </cell>
        </row>
        <row r="10075">
          <cell r="CJ10075" t="str">
            <v xml:space="preserve">NFT-/XUTR/DEUTH02514124655X </v>
          </cell>
          <cell r="CK10075" t="str">
            <v>2025-05-21</v>
          </cell>
          <cell r="CL10075">
            <v>19760.878000000001</v>
          </cell>
          <cell r="CM10075" t="str">
            <v xml:space="preserve">NFT-/XUTR/DEUTH02514164574X </v>
          </cell>
          <cell r="CN10075" t="str">
            <v>2025-05-21</v>
          </cell>
          <cell r="CO10075">
            <v>614.37199999999996</v>
          </cell>
        </row>
        <row r="10076">
          <cell r="CJ10076" t="str">
            <v xml:space="preserve">NFT-/XUTR/DEUTH02514124655X </v>
          </cell>
          <cell r="CK10076" t="str">
            <v>2025-05-21</v>
          </cell>
          <cell r="CL10076">
            <v>5848.7110000000002</v>
          </cell>
          <cell r="CM10076" t="str">
            <v xml:space="preserve">NFT-/XUTR/DEUTH02514164574X </v>
          </cell>
          <cell r="CN10076" t="str">
            <v>2025-05-21</v>
          </cell>
          <cell r="CO10076">
            <v>97.058000000000007</v>
          </cell>
        </row>
        <row r="10077">
          <cell r="CJ10077" t="str">
            <v xml:space="preserve">NFT-/XUTR/DEUTH02514124655X </v>
          </cell>
          <cell r="CK10077" t="str">
            <v>2025-05-21</v>
          </cell>
          <cell r="CL10077">
            <v>48742.77</v>
          </cell>
          <cell r="CM10077" t="str">
            <v xml:space="preserve">NFT-/XUTR/DEUTH02514164574X </v>
          </cell>
          <cell r="CN10077" t="str">
            <v>2025-05-21</v>
          </cell>
          <cell r="CO10077">
            <v>1841.18</v>
          </cell>
          <cell r="CP10077" t="str">
            <v xml:space="preserve">NFT-/XUTR/DEUTH02514329392X </v>
          </cell>
          <cell r="CQ10077" t="str">
            <v>2025-05-23</v>
          </cell>
          <cell r="CR10077">
            <v>-48742.77</v>
          </cell>
          <cell r="CS10077" t="str">
            <v xml:space="preserve">NFT-/XUTR/DEUTH02514367552X </v>
          </cell>
          <cell r="CT10077" t="str">
            <v>2025-05-23</v>
          </cell>
          <cell r="CU10077">
            <v>-1841.18</v>
          </cell>
        </row>
        <row r="10079">
          <cell r="CJ10079" t="str">
            <v xml:space="preserve">NFT-/XUTR/DEUTH02514124655X </v>
          </cell>
          <cell r="CK10079" t="str">
            <v>2025-05-21</v>
          </cell>
          <cell r="CL10079">
            <v>9930.4549999999999</v>
          </cell>
          <cell r="CM10079" t="str">
            <v xml:space="preserve">NFT-/XUTR/DEUTH02514164574X </v>
          </cell>
          <cell r="CN10079" t="str">
            <v>2025-05-21</v>
          </cell>
          <cell r="CO10079">
            <v>310.58600000000001</v>
          </cell>
        </row>
        <row r="10082">
          <cell r="CJ10082" t="str">
            <v xml:space="preserve">NFT-/XUTR/DEUTH02514124655X </v>
          </cell>
          <cell r="CK10082" t="str">
            <v>2025-05-21</v>
          </cell>
          <cell r="CL10082">
            <v>9949.3349999999991</v>
          </cell>
          <cell r="CM10082" t="str">
            <v xml:space="preserve">NFT-/XUTR/DEUTH02514164574X </v>
          </cell>
          <cell r="CN10082" t="str">
            <v>2025-05-21</v>
          </cell>
          <cell r="CO10082">
            <v>310.58499999999998</v>
          </cell>
        </row>
        <row r="10083">
          <cell r="CJ10083" t="str">
            <v xml:space="preserve">NFT-/XUTR/DEUTH02514124655X </v>
          </cell>
          <cell r="CK10083" t="str">
            <v>2025-05-21</v>
          </cell>
          <cell r="CL10083">
            <v>98164.847999999998</v>
          </cell>
          <cell r="CM10083" t="str">
            <v xml:space="preserve">NFT-/XUTR/DEUTH02514164574X </v>
          </cell>
          <cell r="CN10083" t="str">
            <v>2025-05-21</v>
          </cell>
          <cell r="CO10083">
            <v>3041.7860000000001</v>
          </cell>
        </row>
        <row r="10084">
          <cell r="CJ10084" t="str">
            <v xml:space="preserve">NFT-/XUTR/DEUTH02514124655X </v>
          </cell>
          <cell r="CK10084" t="str">
            <v>2025-05-21</v>
          </cell>
          <cell r="CL10084">
            <v>29848.982</v>
          </cell>
          <cell r="CM10084" t="str">
            <v xml:space="preserve">NFT-/XUTR/DEUTH02514164574X </v>
          </cell>
          <cell r="CN10084" t="str">
            <v>2025-05-21</v>
          </cell>
          <cell r="CO10084">
            <v>931.74800000000005</v>
          </cell>
        </row>
        <row r="10085">
          <cell r="CJ10085" t="str">
            <v xml:space="preserve">NFT-/XUTR/DEUTH02514124655X </v>
          </cell>
          <cell r="CK10085" t="str">
            <v>2025-05-21</v>
          </cell>
          <cell r="CL10085">
            <v>29848.982</v>
          </cell>
          <cell r="CM10085" t="str">
            <v xml:space="preserve">NFT-/XUTR/DEUTH02514164574X </v>
          </cell>
          <cell r="CN10085" t="str">
            <v>2025-05-21</v>
          </cell>
          <cell r="CO10085">
            <v>931.74800000000005</v>
          </cell>
        </row>
        <row r="10087">
          <cell r="CJ10087" t="str">
            <v xml:space="preserve">NFT-/XUTR/DEUTH02514124655X </v>
          </cell>
          <cell r="CK10087" t="str">
            <v>2025-05-21</v>
          </cell>
          <cell r="CL10087">
            <v>19760.878000000001</v>
          </cell>
          <cell r="CM10087" t="str">
            <v xml:space="preserve">NFT-/XUTR/DEUTH02514164574X </v>
          </cell>
          <cell r="CN10087" t="str">
            <v>2025-05-21</v>
          </cell>
          <cell r="CO10087">
            <v>614.37199999999996</v>
          </cell>
        </row>
        <row r="10090">
          <cell r="CJ10090" t="str">
            <v xml:space="preserve">NFT-/XUTR/DEUTH02514124655X </v>
          </cell>
          <cell r="CK10090" t="str">
            <v>2025-05-21</v>
          </cell>
          <cell r="CL10090">
            <v>19375.561000000002</v>
          </cell>
          <cell r="CM10090" t="str">
            <v xml:space="preserve">NFT-/XUTR/DEUTH02514164574X </v>
          </cell>
          <cell r="CN10090" t="str">
            <v>2025-05-21</v>
          </cell>
          <cell r="CO10090">
            <v>999.69</v>
          </cell>
        </row>
        <row r="10091">
          <cell r="CJ10091" t="str">
            <v xml:space="preserve">NFT-/XUTR/DEUTH02514124655X </v>
          </cell>
          <cell r="CK10091" t="str">
            <v>2025-05-21</v>
          </cell>
          <cell r="CL10091">
            <v>49063.057000000001</v>
          </cell>
          <cell r="CM10091" t="str">
            <v xml:space="preserve">NFT-/XUTR/DEUTH02514164574X </v>
          </cell>
          <cell r="CN10091" t="str">
            <v>2025-05-21</v>
          </cell>
          <cell r="CO10091">
            <v>1520.8920000000001</v>
          </cell>
        </row>
        <row r="10092">
          <cell r="CJ10092" t="str">
            <v xml:space="preserve">NFT-/XUTR/DEUTH02514124655X </v>
          </cell>
          <cell r="CK10092" t="str">
            <v>2025-05-21</v>
          </cell>
          <cell r="CL10092">
            <v>22196.556</v>
          </cell>
          <cell r="CM10092" t="str">
            <v xml:space="preserve">NFT-/XUTR/DEUTH02514164574X </v>
          </cell>
          <cell r="CN10092" t="str">
            <v>2025-05-21</v>
          </cell>
          <cell r="CO10092">
            <v>692.99</v>
          </cell>
        </row>
        <row r="10093">
          <cell r="CJ10093" t="str">
            <v xml:space="preserve">NFT-/XUTR/DEUTH02514124655X </v>
          </cell>
          <cell r="CK10093" t="str">
            <v>2025-05-21</v>
          </cell>
          <cell r="CL10093">
            <v>19760.878000000001</v>
          </cell>
          <cell r="CM10093" t="str">
            <v xml:space="preserve">NFT-/XUTR/DEUTH02514164574X </v>
          </cell>
          <cell r="CN10093" t="str">
            <v>2025-05-21</v>
          </cell>
          <cell r="CO10093">
            <v>614.37300000000005</v>
          </cell>
        </row>
        <row r="10094">
          <cell r="CJ10094" t="str">
            <v xml:space="preserve">NFT-/XUTR/DEUTH02514124655X </v>
          </cell>
          <cell r="CK10094" t="str">
            <v>2025-05-21</v>
          </cell>
          <cell r="CL10094">
            <v>49063.057000000001</v>
          </cell>
          <cell r="CM10094" t="str">
            <v xml:space="preserve">NFT-/XUTR/DEUTH02514164574X </v>
          </cell>
          <cell r="CN10094" t="str">
            <v>2025-05-21</v>
          </cell>
          <cell r="CO10094">
            <v>1520.8920000000001</v>
          </cell>
        </row>
        <row r="10095">
          <cell r="CJ10095" t="str">
            <v xml:space="preserve">NFT-/XUTR/DEUTH02514124655X </v>
          </cell>
          <cell r="CK10095" t="str">
            <v>2025-05-21</v>
          </cell>
          <cell r="CL10095">
            <v>19752.141</v>
          </cell>
          <cell r="CM10095" t="str">
            <v xml:space="preserve">NFT-/XUTR/DEUTH02514164574X </v>
          </cell>
          <cell r="CN10095" t="str">
            <v>2025-05-21</v>
          </cell>
          <cell r="CO10095">
            <v>613.39800000000002</v>
          </cell>
        </row>
        <row r="10096">
          <cell r="CJ10096" t="str">
            <v xml:space="preserve">NFT-/XUTR/DEUTH02514124655X </v>
          </cell>
          <cell r="CK10096" t="str">
            <v>2025-05-21</v>
          </cell>
          <cell r="CL10096">
            <v>101724.512</v>
          </cell>
        </row>
        <row r="10097">
          <cell r="CJ10097" t="str">
            <v xml:space="preserve">NFT-/XUTR/DEUTH02514124655X </v>
          </cell>
          <cell r="CK10097" t="str">
            <v>2025-05-21</v>
          </cell>
          <cell r="CL10097">
            <v>48529.682999999997</v>
          </cell>
          <cell r="CM10097" t="str">
            <v xml:space="preserve">NFT-/XUTR/DEUTH02514164574X </v>
          </cell>
          <cell r="CN10097" t="str">
            <v>2025-05-21</v>
          </cell>
          <cell r="CO10097">
            <v>2558.4349999999999</v>
          </cell>
        </row>
        <row r="10098">
          <cell r="CJ10098" t="str">
            <v xml:space="preserve">NFT-/XUTR/DEUTH02514124655X </v>
          </cell>
          <cell r="CK10098" t="str">
            <v>2025-05-21</v>
          </cell>
          <cell r="CL10098">
            <v>48510.802000000003</v>
          </cell>
          <cell r="CM10098" t="str">
            <v xml:space="preserve">NFT-/XUTR/DEUTH02514164574X </v>
          </cell>
          <cell r="CN10098" t="str">
            <v>2025-05-21</v>
          </cell>
          <cell r="CO10098">
            <v>2558.4349999999999</v>
          </cell>
        </row>
        <row r="10099">
          <cell r="CJ10099" t="str">
            <v xml:space="preserve">NFT-/XUTR/DEUTH02514124655X </v>
          </cell>
          <cell r="CK10099" t="str">
            <v>2025-05-21</v>
          </cell>
          <cell r="CL10099">
            <v>54257.196000000004</v>
          </cell>
          <cell r="CM10099" t="str">
            <v xml:space="preserve">NFT-/XUTR/DEUTH02514164574X </v>
          </cell>
          <cell r="CN10099" t="str">
            <v>2025-05-21</v>
          </cell>
          <cell r="CO10099">
            <v>2862.221</v>
          </cell>
        </row>
        <row r="10100">
          <cell r="CJ10100" t="str">
            <v xml:space="preserve">NFT-/XUTR/DEUTH02514124655X </v>
          </cell>
          <cell r="CK10100" t="str">
            <v>2025-05-21</v>
          </cell>
          <cell r="CL10100">
            <v>10356.978999999999</v>
          </cell>
        </row>
        <row r="10101">
          <cell r="CJ10101" t="str">
            <v xml:space="preserve">NFT-/XUTR/DEUTH02514124655X </v>
          </cell>
          <cell r="CK10101" t="str">
            <v>2025-05-21</v>
          </cell>
          <cell r="CL10101">
            <v>9815.9320000000007</v>
          </cell>
          <cell r="CM10101" t="str">
            <v xml:space="preserve">NFT-/XUTR/DEUTH02514164574X </v>
          </cell>
          <cell r="CN10101" t="str">
            <v>2025-05-21</v>
          </cell>
          <cell r="CO10101">
            <v>522.16600000000005</v>
          </cell>
        </row>
        <row r="10104">
          <cell r="CJ10104" t="str">
            <v xml:space="preserve">NFT-/XUTR/DEUTH02514124655X </v>
          </cell>
          <cell r="CK10104" t="str">
            <v>2025-05-21</v>
          </cell>
          <cell r="CL10104">
            <v>11494.491</v>
          </cell>
          <cell r="CM10104" t="str">
            <v xml:space="preserve">NFT-/XUTR/DEUTH02514164574X </v>
          </cell>
          <cell r="CN10104" t="str">
            <v>2025-05-21</v>
          </cell>
          <cell r="CO10104">
            <v>609.52200000000005</v>
          </cell>
        </row>
        <row r="10105">
          <cell r="CJ10105" t="str">
            <v xml:space="preserve">NFT-/XUTR/DEUTH02514124655X </v>
          </cell>
          <cell r="CK10105" t="str">
            <v>2025-05-21</v>
          </cell>
          <cell r="CL10105">
            <v>1505.8679999999999</v>
          </cell>
        </row>
        <row r="10106">
          <cell r="CJ10106" t="str">
            <v xml:space="preserve">NFT-/XUTR/DEUTH02514124655X </v>
          </cell>
          <cell r="CK10106" t="str">
            <v>2025-05-21</v>
          </cell>
          <cell r="CL10106">
            <v>9542.6659999999993</v>
          </cell>
          <cell r="CM10106" t="str">
            <v xml:space="preserve">NFT-/XUTR/DEUTH02514164574X </v>
          </cell>
          <cell r="CN10106" t="str">
            <v>2025-05-21</v>
          </cell>
          <cell r="CO10106">
            <v>814.31299999999999</v>
          </cell>
        </row>
        <row r="10107">
          <cell r="CJ10107" t="str">
            <v xml:space="preserve">NFT-/XUTR/DEUTH02514124655X </v>
          </cell>
          <cell r="CK10107" t="str">
            <v>2025-05-21</v>
          </cell>
          <cell r="CL10107">
            <v>48529.682000000001</v>
          </cell>
          <cell r="CM10107" t="str">
            <v xml:space="preserve">NFT-/XUTR/DEUTH02514164574X </v>
          </cell>
          <cell r="CN10107" t="str">
            <v>2025-05-21</v>
          </cell>
          <cell r="CO10107">
            <v>2558.4349999999999</v>
          </cell>
        </row>
        <row r="10108">
          <cell r="CJ10108" t="str">
            <v xml:space="preserve">NFT-/XUTR/DEUTH02514124655X </v>
          </cell>
          <cell r="CK10108" t="str">
            <v>2025-05-21</v>
          </cell>
          <cell r="CL10108">
            <v>19517.794000000002</v>
          </cell>
          <cell r="CM10108" t="str">
            <v xml:space="preserve">NFT-/XUTR/DEUTH02514164574X </v>
          </cell>
          <cell r="CN10108" t="str">
            <v>2025-05-21</v>
          </cell>
          <cell r="CO10108">
            <v>1032.692</v>
          </cell>
        </row>
        <row r="10109">
          <cell r="CJ10109" t="str">
            <v xml:space="preserve">NFT-/XUTR/DEUTH02514124655X </v>
          </cell>
          <cell r="CK10109" t="str">
            <v>2025-05-21</v>
          </cell>
          <cell r="CL10109">
            <v>48510.802000000003</v>
          </cell>
          <cell r="CM10109" t="str">
            <v xml:space="preserve">NFT-/XUTR/DEUTH02514164574X </v>
          </cell>
          <cell r="CN10109" t="str">
            <v>2025-05-21</v>
          </cell>
          <cell r="CO10109">
            <v>2558.4349999999999</v>
          </cell>
        </row>
        <row r="10110">
          <cell r="CJ10110" t="str">
            <v xml:space="preserve">NFT-/XUTR/DEUTH02514124655X </v>
          </cell>
          <cell r="CK10110" t="str">
            <v>2025-05-21</v>
          </cell>
          <cell r="CL10110">
            <v>145447.878</v>
          </cell>
          <cell r="CM10110" t="str">
            <v xml:space="preserve">NFT-/XUTR/DEUTH02514164574X </v>
          </cell>
          <cell r="CN10110" t="str">
            <v>2025-05-21</v>
          </cell>
          <cell r="CO10110">
            <v>7797.6</v>
          </cell>
        </row>
        <row r="10111">
          <cell r="CJ10111" t="str">
            <v xml:space="preserve">NFT-/XUTR/DEUTH02514124655X </v>
          </cell>
          <cell r="CK10111" t="str">
            <v>2025-05-21</v>
          </cell>
          <cell r="CL10111">
            <v>19517.794000000002</v>
          </cell>
          <cell r="CM10111" t="str">
            <v xml:space="preserve">NFT-/XUTR/DEUTH02514164574X </v>
          </cell>
          <cell r="CN10111" t="str">
            <v>2025-05-21</v>
          </cell>
          <cell r="CO10111">
            <v>1032.692</v>
          </cell>
        </row>
        <row r="10112">
          <cell r="CJ10112" t="str">
            <v xml:space="preserve">NFT-/XUTR/DEUTH02514124655X </v>
          </cell>
          <cell r="CK10112" t="str">
            <v>2025-05-21</v>
          </cell>
          <cell r="CL10112">
            <v>9834.8119999999999</v>
          </cell>
          <cell r="CM10112" t="str">
            <v xml:space="preserve">NFT-/XUTR/DEUTH02514164574X </v>
          </cell>
          <cell r="CN10112" t="str">
            <v>2025-05-21</v>
          </cell>
          <cell r="CO10112">
            <v>522.16600000000005</v>
          </cell>
        </row>
        <row r="10113">
          <cell r="CJ10113" t="str">
            <v xml:space="preserve">NFT-/XUTR/DEUTH02514124655X </v>
          </cell>
          <cell r="CK10113" t="str">
            <v>2025-05-21</v>
          </cell>
          <cell r="CL10113">
            <v>9312.6360000000004</v>
          </cell>
          <cell r="CM10113" t="str">
            <v xml:space="preserve">NFT-/XUTR/DEUTH02514164574X </v>
          </cell>
          <cell r="CN10113" t="str">
            <v>2025-05-21</v>
          </cell>
          <cell r="CO10113">
            <v>1044.3420000000001</v>
          </cell>
        </row>
        <row r="10114">
          <cell r="CJ10114" t="str">
            <v xml:space="preserve">NFT-/XUTR/DEUTH02514124655X </v>
          </cell>
          <cell r="CK10114" t="str">
            <v>2025-05-21</v>
          </cell>
          <cell r="CL10114">
            <v>19517.794000000002</v>
          </cell>
          <cell r="CM10114" t="str">
            <v xml:space="preserve">NFT-/XUTR/DEUTH02514164574X </v>
          </cell>
          <cell r="CN10114" t="str">
            <v>2025-05-21</v>
          </cell>
          <cell r="CO10114">
            <v>1032.692</v>
          </cell>
        </row>
        <row r="10115">
          <cell r="CJ10115" t="str">
            <v xml:space="preserve">NFT-/XUTR/DEUTH02514124655X </v>
          </cell>
          <cell r="CK10115" t="str">
            <v>2025-05-21</v>
          </cell>
          <cell r="CL10115">
            <v>9293.7569999999996</v>
          </cell>
          <cell r="CM10115" t="str">
            <v xml:space="preserve">NFT-/XUTR/DEUTH02514164574X </v>
          </cell>
          <cell r="CN10115" t="str">
            <v>2025-05-21</v>
          </cell>
          <cell r="CO10115">
            <v>1044.3420000000001</v>
          </cell>
        </row>
        <row r="10116">
          <cell r="CJ10116" t="str">
            <v xml:space="preserve">NFT-/XUTR/DEUTH02514329392X </v>
          </cell>
          <cell r="CK10116" t="str">
            <v>2025-05-23</v>
          </cell>
          <cell r="CL10116">
            <v>9959.0470000000005</v>
          </cell>
          <cell r="CM10116" t="str">
            <v xml:space="preserve">NFT-/XUTR/DEUTH02514367552X </v>
          </cell>
          <cell r="CN10116" t="str">
            <v>2025-05-23</v>
          </cell>
          <cell r="CO10116">
            <v>310.58600000000001</v>
          </cell>
        </row>
        <row r="10117">
          <cell r="CJ10117" t="str">
            <v xml:space="preserve">NFT-/XUTR/DEUTH02514329392X </v>
          </cell>
          <cell r="CK10117" t="str">
            <v>2025-05-23</v>
          </cell>
          <cell r="CL10117">
            <v>9940.1669999999995</v>
          </cell>
          <cell r="CM10117" t="str">
            <v xml:space="preserve">NFT-/XUTR/DEUTH02514367552X </v>
          </cell>
          <cell r="CN10117" t="str">
            <v>2025-05-23</v>
          </cell>
          <cell r="CO10117">
            <v>310.58600000000001</v>
          </cell>
        </row>
        <row r="10118">
          <cell r="CJ10118" t="str">
            <v xml:space="preserve">NFT-/XUTR/DEUTH02514329392X </v>
          </cell>
          <cell r="CK10118" t="str">
            <v>2025-05-23</v>
          </cell>
          <cell r="CL10118">
            <v>9932.3940000000002</v>
          </cell>
          <cell r="CM10118" t="str">
            <v xml:space="preserve">NFT-/XUTR/DEUTH02514367552X </v>
          </cell>
          <cell r="CN10118" t="str">
            <v>2025-05-23</v>
          </cell>
          <cell r="CO10118">
            <v>318.34899999999999</v>
          </cell>
        </row>
        <row r="10120">
          <cell r="CJ10120" t="str">
            <v xml:space="preserve">NFT-/XUTR/DEUTH02514329392X </v>
          </cell>
          <cell r="CK10120" t="str">
            <v>2025-05-23</v>
          </cell>
          <cell r="CL10120">
            <v>9940.1669999999995</v>
          </cell>
          <cell r="CM10120" t="str">
            <v xml:space="preserve">NFT-/XUTR/DEUTH02514367552X </v>
          </cell>
          <cell r="CN10120" t="str">
            <v>2025-05-23</v>
          </cell>
          <cell r="CO10120">
            <v>310.58600000000001</v>
          </cell>
        </row>
        <row r="10121">
          <cell r="CJ10121" t="str">
            <v xml:space="preserve">NFT-/XUTR/DEUTH02514329392X </v>
          </cell>
          <cell r="CK10121" t="str">
            <v>2025-05-23</v>
          </cell>
          <cell r="CL10121">
            <v>73431.722999999998</v>
          </cell>
          <cell r="CM10121" t="str">
            <v xml:space="preserve">NFT-/XUTR/DEUTH02514367552X </v>
          </cell>
          <cell r="CN10121" t="str">
            <v>2025-05-23</v>
          </cell>
          <cell r="CO10121">
            <v>2274.0509999999999</v>
          </cell>
        </row>
        <row r="10122">
          <cell r="CJ10122" t="str">
            <v xml:space="preserve">NFT-/XUTR/DEUTH02514329392X </v>
          </cell>
          <cell r="CK10122" t="str">
            <v>2025-05-23</v>
          </cell>
          <cell r="CL10122">
            <v>9959.0470000000005</v>
          </cell>
          <cell r="CM10122" t="str">
            <v xml:space="preserve">NFT-/XUTR/DEUTH02514367552X </v>
          </cell>
          <cell r="CN10122" t="str">
            <v>2025-05-23</v>
          </cell>
          <cell r="CO10122">
            <v>310.58600000000001</v>
          </cell>
        </row>
        <row r="10123">
          <cell r="CJ10123" t="str">
            <v xml:space="preserve">NFT-/XUTR/DEUTH02514329392X </v>
          </cell>
          <cell r="CK10123" t="str">
            <v>2025-05-23</v>
          </cell>
          <cell r="CL10123">
            <v>19294.562999999998</v>
          </cell>
          <cell r="CM10123" t="str">
            <v xml:space="preserve">NFT-/XUTR/DEUTH02514367552X </v>
          </cell>
          <cell r="CN10123" t="str">
            <v>2025-05-23</v>
          </cell>
          <cell r="CO10123">
            <v>741.52</v>
          </cell>
        </row>
        <row r="10124">
          <cell r="CJ10124" t="str">
            <v xml:space="preserve">NFT-/XUTR/DEUTH02514329392X </v>
          </cell>
          <cell r="CK10124" t="str">
            <v>2025-05-23</v>
          </cell>
          <cell r="CL10124">
            <v>48291.457999999999</v>
          </cell>
          <cell r="CM10124" t="str">
            <v xml:space="preserve">NFT-/XUTR/DEUTH02514367552X </v>
          </cell>
          <cell r="CN10124" t="str">
            <v>2025-05-23</v>
          </cell>
          <cell r="CO10124">
            <v>1496.6279999999999</v>
          </cell>
        </row>
        <row r="10125">
          <cell r="CJ10125" t="str">
            <v xml:space="preserve">NFT-/XUTR/DEUTH02514329392X </v>
          </cell>
          <cell r="CK10125" t="str">
            <v>2025-05-23</v>
          </cell>
          <cell r="CL10125">
            <v>9770.3160000000007</v>
          </cell>
          <cell r="CM10125" t="str">
            <v xml:space="preserve">NFT-/XUTR/DEUTH02514367552X </v>
          </cell>
          <cell r="CN10125" t="str">
            <v>2025-05-23</v>
          </cell>
          <cell r="CO10125">
            <v>305.73500000000001</v>
          </cell>
        </row>
        <row r="10126">
          <cell r="CJ10126" t="str">
            <v xml:space="preserve">NFT-/XUTR/DEUTH02514329392X </v>
          </cell>
          <cell r="CK10126" t="str">
            <v>2025-05-23</v>
          </cell>
          <cell r="CL10126">
            <v>48291.457999999999</v>
          </cell>
          <cell r="CM10126" t="str">
            <v xml:space="preserve">NFT-/XUTR/DEUTH02514367552X </v>
          </cell>
          <cell r="CN10126" t="str">
            <v>2025-05-23</v>
          </cell>
          <cell r="CO10126">
            <v>1496.6279999999999</v>
          </cell>
        </row>
        <row r="10127">
          <cell r="CJ10127" t="str">
            <v xml:space="preserve">NFT-/XUTR/DEUTH02514329392X </v>
          </cell>
          <cell r="CK10127" t="str">
            <v>2025-05-23</v>
          </cell>
          <cell r="CL10127">
            <v>48291.457999999999</v>
          </cell>
          <cell r="CM10127" t="str">
            <v xml:space="preserve">NFT-/XUTR/DEUTH02514367552X </v>
          </cell>
          <cell r="CN10127" t="str">
            <v>2025-05-23</v>
          </cell>
          <cell r="CO10127">
            <v>1496.6279999999999</v>
          </cell>
        </row>
        <row r="10128">
          <cell r="CJ10128" t="str">
            <v xml:space="preserve">NFT-/XUTR/DEUTH02514329392X </v>
          </cell>
          <cell r="CK10128" t="str">
            <v>2025-05-23</v>
          </cell>
          <cell r="CL10128">
            <v>19579.358</v>
          </cell>
          <cell r="CM10128" t="str">
            <v xml:space="preserve">NFT-/XUTR/DEUTH02514367552X </v>
          </cell>
          <cell r="CN10128" t="str">
            <v>2025-05-23</v>
          </cell>
          <cell r="CO10128">
            <v>611.46</v>
          </cell>
        </row>
        <row r="10129">
          <cell r="CJ10129" t="str">
            <v xml:space="preserve">NFT-/XUTR/DEUTH02514329392X </v>
          </cell>
          <cell r="CK10129" t="str">
            <v>2025-05-23</v>
          </cell>
          <cell r="CL10129">
            <v>48291.457999999999</v>
          </cell>
          <cell r="CM10129" t="str">
            <v xml:space="preserve">NFT-/XUTR/DEUTH02514367552X </v>
          </cell>
          <cell r="CN10129" t="str">
            <v>2025-05-23</v>
          </cell>
          <cell r="CO10129">
            <v>1496.6279999999999</v>
          </cell>
        </row>
        <row r="10130">
          <cell r="CJ10130" t="str">
            <v xml:space="preserve">NFT-/XUTR/DEUTH02514329392X </v>
          </cell>
          <cell r="CK10130" t="str">
            <v>2025-05-23</v>
          </cell>
          <cell r="CL10130">
            <v>9770.3160000000007</v>
          </cell>
          <cell r="CM10130" t="str">
            <v xml:space="preserve">NFT-/XUTR/DEUTH02514367552X </v>
          </cell>
          <cell r="CN10130" t="str">
            <v>2025-05-23</v>
          </cell>
          <cell r="CO10130">
            <v>305.73500000000001</v>
          </cell>
        </row>
        <row r="10131">
          <cell r="CJ10131" t="str">
            <v xml:space="preserve">NFT-/XUTR/DEUTH02514329392X </v>
          </cell>
          <cell r="CK10131" t="str">
            <v>2025-05-23</v>
          </cell>
          <cell r="CL10131">
            <v>98462.744999999995</v>
          </cell>
          <cell r="CM10131" t="str">
            <v xml:space="preserve">NFT-/XUTR/DEUTH02514367552X </v>
          </cell>
          <cell r="CN10131" t="str">
            <v>2025-05-23</v>
          </cell>
          <cell r="CO10131">
            <v>1814.9749999999999</v>
          </cell>
        </row>
        <row r="10133">
          <cell r="CJ10133" t="str">
            <v xml:space="preserve">NFT-/XUTR/DEUTH02514329392X </v>
          </cell>
          <cell r="CK10133" t="str">
            <v>2025-05-23</v>
          </cell>
          <cell r="CL10133">
            <v>19450.291000000001</v>
          </cell>
          <cell r="CM10133" t="str">
            <v xml:space="preserve">NFT-/XUTR/DEUTH02514367552X </v>
          </cell>
          <cell r="CN10133" t="str">
            <v>2025-05-23</v>
          </cell>
          <cell r="CO10133">
            <v>604.67100000000005</v>
          </cell>
        </row>
        <row r="10134">
          <cell r="CJ10134" t="str">
            <v xml:space="preserve">NFT-/XUTR/DEUTH02514329392X </v>
          </cell>
          <cell r="CK10134" t="str">
            <v>2025-05-23</v>
          </cell>
          <cell r="CL10134">
            <v>38882.68</v>
          </cell>
          <cell r="CM10134" t="str">
            <v xml:space="preserve">NFT-/XUTR/DEUTH02514367552X </v>
          </cell>
          <cell r="CN10134" t="str">
            <v>2025-05-23</v>
          </cell>
          <cell r="CO10134">
            <v>1209.3320000000001</v>
          </cell>
        </row>
        <row r="10135">
          <cell r="CJ10135" t="str">
            <v xml:space="preserve">NFT-/XUTR/DEUTH02514329392X </v>
          </cell>
          <cell r="CK10135" t="str">
            <v>2025-05-23</v>
          </cell>
          <cell r="CL10135">
            <v>49806.955000000002</v>
          </cell>
        </row>
        <row r="10136">
          <cell r="CJ10136" t="str">
            <v xml:space="preserve">NFT-/XUTR/DEUTH02514329392X </v>
          </cell>
          <cell r="CK10136" t="str">
            <v>2025-05-23</v>
          </cell>
          <cell r="CL10136">
            <v>19431.412</v>
          </cell>
          <cell r="CM10136" t="str">
            <v xml:space="preserve">NFT-/XUTR/DEUTH02514367552X </v>
          </cell>
          <cell r="CN10136" t="str">
            <v>2025-05-23</v>
          </cell>
          <cell r="CO10136">
            <v>604.67100000000005</v>
          </cell>
          <cell r="CP10136" t="str">
            <v xml:space="preserve">NFT-/XUTR/DEUTH02514620925X </v>
          </cell>
          <cell r="CQ10136" t="str">
            <v>2025-05-26</v>
          </cell>
          <cell r="CR10136">
            <v>-19431.412</v>
          </cell>
          <cell r="CS10136" t="str">
            <v xml:space="preserve">NFT-/XUTR/DEUTH02514667346X </v>
          </cell>
          <cell r="CT10136" t="str">
            <v>2025-05-26</v>
          </cell>
          <cell r="CU10136">
            <v>-604.67100000000005</v>
          </cell>
        </row>
        <row r="10137">
          <cell r="CJ10137" t="str">
            <v xml:space="preserve">NFT-/XUTR/DEUTH02514329392X </v>
          </cell>
          <cell r="CK10137" t="str">
            <v>2025-05-23</v>
          </cell>
          <cell r="CL10137">
            <v>19431.412</v>
          </cell>
          <cell r="CM10137" t="str">
            <v xml:space="preserve">NFT-/XUTR/DEUTH02514367552X </v>
          </cell>
          <cell r="CN10137" t="str">
            <v>2025-05-23</v>
          </cell>
          <cell r="CO10137">
            <v>604.67100000000005</v>
          </cell>
        </row>
        <row r="10138">
          <cell r="CJ10138" t="str">
            <v xml:space="preserve">NFT-/XUTR/DEUTH02514329392X </v>
          </cell>
          <cell r="CK10138" t="str">
            <v>2025-05-23</v>
          </cell>
          <cell r="CL10138">
            <v>48291.457999999999</v>
          </cell>
          <cell r="CM10138" t="str">
            <v xml:space="preserve">NFT-/XUTR/DEUTH02514367552X </v>
          </cell>
          <cell r="CN10138" t="str">
            <v>2025-05-23</v>
          </cell>
          <cell r="CO10138">
            <v>1496.6279999999999</v>
          </cell>
        </row>
        <row r="10139">
          <cell r="CJ10139" t="str">
            <v xml:space="preserve">NFT-/XUTR/DEUTH02514329392X </v>
          </cell>
          <cell r="CK10139" t="str">
            <v>2025-05-23</v>
          </cell>
          <cell r="CL10139">
            <v>48310.338000000003</v>
          </cell>
          <cell r="CM10139" t="str">
            <v xml:space="preserve">NFT-/XUTR/DEUTH02514367552X </v>
          </cell>
          <cell r="CN10139" t="str">
            <v>2025-05-23</v>
          </cell>
          <cell r="CO10139">
            <v>1496.627</v>
          </cell>
        </row>
        <row r="10140">
          <cell r="CJ10140" t="str">
            <v xml:space="preserve">NFT-/XUTR/DEUTH02514329392X </v>
          </cell>
          <cell r="CK10140" t="str">
            <v>2025-05-23</v>
          </cell>
          <cell r="CL10140">
            <v>19450.292000000001</v>
          </cell>
          <cell r="CM10140" t="str">
            <v xml:space="preserve">NFT-/XUTR/DEUTH02514367552X </v>
          </cell>
          <cell r="CN10140" t="str">
            <v>2025-05-23</v>
          </cell>
          <cell r="CO10140">
            <v>604.67100000000005</v>
          </cell>
        </row>
        <row r="10141">
          <cell r="CJ10141" t="str">
            <v xml:space="preserve">NFT-/XUTR/DEUTH02514329392X </v>
          </cell>
          <cell r="CK10141" t="str">
            <v>2025-05-23</v>
          </cell>
          <cell r="CL10141">
            <v>9770.3160000000007</v>
          </cell>
          <cell r="CM10141" t="str">
            <v xml:space="preserve">NFT-/XUTR/DEUTH02514367552X </v>
          </cell>
          <cell r="CN10141" t="str">
            <v>2025-05-23</v>
          </cell>
          <cell r="CO10141">
            <v>305.73500000000001</v>
          </cell>
        </row>
        <row r="10142">
          <cell r="CJ10142" t="str">
            <v xml:space="preserve">NFT-/XUTR/DEUTH02514329392X </v>
          </cell>
          <cell r="CK10142" t="str">
            <v>2025-05-23</v>
          </cell>
          <cell r="CL10142">
            <v>19450.291000000001</v>
          </cell>
          <cell r="CM10142" t="str">
            <v xml:space="preserve">NFT-/XUTR/DEUTH02514367552X </v>
          </cell>
          <cell r="CN10142" t="str">
            <v>2025-05-23</v>
          </cell>
          <cell r="CO10142">
            <v>604.67100000000005</v>
          </cell>
        </row>
        <row r="10143">
          <cell r="CJ10143" t="str">
            <v xml:space="preserve">NFT-/XUTR/DEUTH02514329392X </v>
          </cell>
          <cell r="CK10143" t="str">
            <v>2025-05-23</v>
          </cell>
          <cell r="CL10143">
            <v>10076.040999999999</v>
          </cell>
        </row>
        <row r="10144">
          <cell r="CJ10144" t="str">
            <v xml:space="preserve">NFT-/XUTR/DEUTH02514329392X </v>
          </cell>
          <cell r="CK10144" t="str">
            <v>2025-05-23</v>
          </cell>
          <cell r="CL10144">
            <v>100190.996</v>
          </cell>
        </row>
        <row r="10145">
          <cell r="CJ10145" t="str">
            <v xml:space="preserve">NFT-/XUTR/DEUTH02514620925X </v>
          </cell>
          <cell r="CK10145" t="str">
            <v>2025-05-26</v>
          </cell>
          <cell r="CL10145">
            <v>10241.040999999999</v>
          </cell>
        </row>
        <row r="10147">
          <cell r="CJ10147" t="str">
            <v xml:space="preserve">NFT-/XUTR/DEUTH02514620925X </v>
          </cell>
          <cell r="CK10147" t="str">
            <v>2025-05-26</v>
          </cell>
          <cell r="CL10147">
            <v>20375.25</v>
          </cell>
        </row>
        <row r="10149">
          <cell r="CJ10149" t="str">
            <v xml:space="preserve">NFT-/XUTR/DEUTH02514329392X </v>
          </cell>
          <cell r="CK10149" t="str">
            <v>2025-05-23</v>
          </cell>
          <cell r="CL10149">
            <v>19789.027999999998</v>
          </cell>
          <cell r="CM10149" t="str">
            <v xml:space="preserve">NFT-/XUTR/DEUTH02514367552X </v>
          </cell>
          <cell r="CN10149" t="str">
            <v>2025-05-23</v>
          </cell>
          <cell r="CO10149">
            <v>615.346</v>
          </cell>
        </row>
        <row r="10150">
          <cell r="CJ10150" t="str">
            <v xml:space="preserve">NFT-/XUTR/DEUTH02514329392X </v>
          </cell>
          <cell r="CK10150" t="str">
            <v>2025-05-23</v>
          </cell>
          <cell r="CL10150">
            <v>48310.338000000003</v>
          </cell>
          <cell r="CM10150" t="str">
            <v xml:space="preserve">NFT-/XUTR/DEUTH02514367552X </v>
          </cell>
          <cell r="CN10150" t="str">
            <v>2025-05-23</v>
          </cell>
          <cell r="CO10150">
            <v>1496.6279999999999</v>
          </cell>
        </row>
        <row r="10151">
          <cell r="CJ10151" t="str">
            <v xml:space="preserve">NFT-/XUTR/DEUTH02514329392X </v>
          </cell>
          <cell r="CK10151" t="str">
            <v>2025-05-23</v>
          </cell>
          <cell r="CL10151">
            <v>19450.292000000001</v>
          </cell>
          <cell r="CM10151" t="str">
            <v xml:space="preserve">NFT-/XUTR/DEUTH02514367552X </v>
          </cell>
          <cell r="CN10151" t="str">
            <v>2025-05-23</v>
          </cell>
          <cell r="CO10151">
            <v>604.67100000000005</v>
          </cell>
        </row>
        <row r="10152">
          <cell r="CJ10152" t="str">
            <v xml:space="preserve">NFT-/XUTR/DEUTH02514329392X </v>
          </cell>
          <cell r="CK10152" t="str">
            <v>2025-05-23</v>
          </cell>
          <cell r="CL10152">
            <v>19450.292000000001</v>
          </cell>
          <cell r="CM10152" t="str">
            <v xml:space="preserve">NFT-/XUTR/DEUTH02514367552X </v>
          </cell>
          <cell r="CN10152" t="str">
            <v>2025-05-23</v>
          </cell>
          <cell r="CO10152">
            <v>604.67100000000005</v>
          </cell>
        </row>
        <row r="10153">
          <cell r="CJ10153" t="str">
            <v xml:space="preserve">NFT-/XUTR/DEUTH02514329392X </v>
          </cell>
          <cell r="CK10153" t="str">
            <v>2025-05-23</v>
          </cell>
          <cell r="CL10153">
            <v>9651.8979999999992</v>
          </cell>
          <cell r="CM10153" t="str">
            <v xml:space="preserve">NFT-/XUTR/DEUTH02514367552X </v>
          </cell>
          <cell r="CN10153" t="str">
            <v>2025-05-23</v>
          </cell>
          <cell r="CO10153">
            <v>424.14499999999998</v>
          </cell>
        </row>
        <row r="10154">
          <cell r="CJ10154" t="str">
            <v xml:space="preserve">NFT-/XUTR/DEUTH02514329392X </v>
          </cell>
          <cell r="CK10154" t="str">
            <v>2025-05-23</v>
          </cell>
          <cell r="CL10154">
            <v>9770.3160000000007</v>
          </cell>
          <cell r="CM10154" t="str">
            <v xml:space="preserve">NFT-/XUTR/DEUTH02514367552X </v>
          </cell>
          <cell r="CN10154" t="str">
            <v>2025-05-23</v>
          </cell>
          <cell r="CO10154">
            <v>305.73500000000001</v>
          </cell>
        </row>
        <row r="10155">
          <cell r="CJ10155" t="str">
            <v xml:space="preserve">NFT-/XUTR/DEUTH02514329392X </v>
          </cell>
          <cell r="CK10155" t="str">
            <v>2025-05-23</v>
          </cell>
          <cell r="CL10155">
            <v>9770.3160000000007</v>
          </cell>
          <cell r="CM10155" t="str">
            <v xml:space="preserve">NFT-/XUTR/DEUTH02514367552X </v>
          </cell>
          <cell r="CN10155" t="str">
            <v>2025-05-23</v>
          </cell>
          <cell r="CO10155">
            <v>305.73500000000001</v>
          </cell>
        </row>
        <row r="10156">
          <cell r="CJ10156" t="str">
            <v xml:space="preserve">NFT-/XUTR/DEUTH02514329392X </v>
          </cell>
          <cell r="CK10156" t="str">
            <v>2025-05-23</v>
          </cell>
          <cell r="CL10156">
            <v>19450.291000000001</v>
          </cell>
          <cell r="CM10156" t="str">
            <v xml:space="preserve">NFT-/XUTR/DEUTH02514367552X </v>
          </cell>
          <cell r="CN10156" t="str">
            <v>2025-05-23</v>
          </cell>
          <cell r="CO10156">
            <v>604.67100000000005</v>
          </cell>
        </row>
        <row r="10157">
          <cell r="CJ10157" t="str">
            <v xml:space="preserve">NFT-/XUTR/DEUTH02514329392X </v>
          </cell>
          <cell r="CK10157" t="str">
            <v>2025-05-23</v>
          </cell>
          <cell r="CL10157">
            <v>9770.3160000000007</v>
          </cell>
          <cell r="CM10157" t="str">
            <v xml:space="preserve">NFT-/XUTR/DEUTH02514367552X </v>
          </cell>
          <cell r="CN10157" t="str">
            <v>2025-05-23</v>
          </cell>
          <cell r="CO10157">
            <v>305.73500000000001</v>
          </cell>
        </row>
        <row r="10158">
          <cell r="CJ10158" t="str">
            <v xml:space="preserve">NFT-/XUTR/DEUTH02514329392X </v>
          </cell>
          <cell r="CK10158" t="str">
            <v>2025-05-23</v>
          </cell>
          <cell r="CL10158">
            <v>19560.477999999999</v>
          </cell>
          <cell r="CM10158" t="str">
            <v xml:space="preserve">NFT-/XUTR/DEUTH02514367552X </v>
          </cell>
          <cell r="CN10158" t="str">
            <v>2025-05-23</v>
          </cell>
          <cell r="CO10158">
            <v>609.52200000000005</v>
          </cell>
        </row>
        <row r="10159">
          <cell r="CJ10159" t="str">
            <v xml:space="preserve">NFT-/XUTR/DEUTH02514329392X </v>
          </cell>
          <cell r="CK10159" t="str">
            <v>2025-05-23</v>
          </cell>
          <cell r="CL10159">
            <v>38882.68</v>
          </cell>
          <cell r="CM10159" t="str">
            <v xml:space="preserve">NFT-/XUTR/DEUTH02514367552X </v>
          </cell>
          <cell r="CN10159" t="str">
            <v>2025-05-23</v>
          </cell>
          <cell r="CO10159">
            <v>1207.394</v>
          </cell>
        </row>
        <row r="10160">
          <cell r="CJ10160" t="str">
            <v xml:space="preserve">NFT-/XUTR/DEUTH02514329392X </v>
          </cell>
          <cell r="CK10160" t="str">
            <v>2025-05-23</v>
          </cell>
          <cell r="CL10160">
            <v>20036.082999999999</v>
          </cell>
        </row>
        <row r="10161">
          <cell r="CJ10161" t="str">
            <v xml:space="preserve">NFT-/XUTR/DEUTH02514329392X </v>
          </cell>
          <cell r="CK10161" t="str">
            <v>2025-05-23</v>
          </cell>
          <cell r="CL10161">
            <v>19431.412</v>
          </cell>
          <cell r="CM10161" t="str">
            <v xml:space="preserve">NFT-/XUTR/DEUTH02514367552X </v>
          </cell>
          <cell r="CN10161" t="str">
            <v>2025-05-23</v>
          </cell>
          <cell r="CO10161">
            <v>604.67100000000005</v>
          </cell>
        </row>
        <row r="10162">
          <cell r="CJ10162" t="str">
            <v xml:space="preserve">NFT-/XUTR/DEUTH02514329392X </v>
          </cell>
          <cell r="CK10162" t="str">
            <v>2025-05-23</v>
          </cell>
          <cell r="CL10162">
            <v>48291.457999999999</v>
          </cell>
          <cell r="CM10162" t="str">
            <v xml:space="preserve">NFT-/XUTR/DEUTH02514367552X </v>
          </cell>
          <cell r="CN10162" t="str">
            <v>2025-05-23</v>
          </cell>
          <cell r="CO10162">
            <v>1496.6279999999999</v>
          </cell>
        </row>
        <row r="10163">
          <cell r="CJ10163" t="str">
            <v xml:space="preserve">NFT-/XUTR/DEUTH02514329392X </v>
          </cell>
          <cell r="CK10163" t="str">
            <v>2025-05-23</v>
          </cell>
          <cell r="CL10163">
            <v>19431.412</v>
          </cell>
          <cell r="CM10163" t="str">
            <v xml:space="preserve">NFT-/XUTR/DEUTH02514367552X </v>
          </cell>
          <cell r="CN10163" t="str">
            <v>2025-05-23</v>
          </cell>
          <cell r="CO10163">
            <v>604.67100000000005</v>
          </cell>
        </row>
        <row r="10164">
          <cell r="CJ10164" t="str">
            <v xml:space="preserve">NFT-/XUTR/DEUTH02514329392X </v>
          </cell>
          <cell r="CK10164" t="str">
            <v>2025-05-23</v>
          </cell>
          <cell r="CL10164">
            <v>19431.412</v>
          </cell>
          <cell r="CM10164" t="str">
            <v xml:space="preserve">NFT-/XUTR/DEUTH02514367552X </v>
          </cell>
          <cell r="CN10164" t="str">
            <v>2025-05-23</v>
          </cell>
          <cell r="CO10164">
            <v>604.67100000000005</v>
          </cell>
        </row>
        <row r="10165">
          <cell r="CJ10165" t="str">
            <v xml:space="preserve">NFT-/XUTR/DEUTH02514329392X </v>
          </cell>
          <cell r="CK10165" t="str">
            <v>2025-05-23</v>
          </cell>
          <cell r="CL10165">
            <v>48291.457999999999</v>
          </cell>
          <cell r="CM10165" t="str">
            <v xml:space="preserve">NFT-/XUTR/DEUTH02514367552X </v>
          </cell>
          <cell r="CN10165" t="str">
            <v>2025-05-23</v>
          </cell>
          <cell r="CO10165">
            <v>1496.6279999999999</v>
          </cell>
        </row>
        <row r="10166">
          <cell r="CJ10166" t="str">
            <v xml:space="preserve">NFT-/XUTR/DEUTH02514329392X </v>
          </cell>
          <cell r="CK10166" t="str">
            <v>2025-05-23</v>
          </cell>
          <cell r="CL10166">
            <v>48310.338000000003</v>
          </cell>
          <cell r="CM10166" t="str">
            <v xml:space="preserve">NFT-/XUTR/DEUTH02514367552X </v>
          </cell>
          <cell r="CN10166" t="str">
            <v>2025-05-23</v>
          </cell>
          <cell r="CO10166">
            <v>1496.6279999999999</v>
          </cell>
        </row>
        <row r="10168">
          <cell r="CJ10168" t="str">
            <v xml:space="preserve">NFT-/XUTR/DEUTH02514620925X </v>
          </cell>
          <cell r="CK10168" t="str">
            <v>2025-05-26</v>
          </cell>
          <cell r="CL10168">
            <v>96601.785999999993</v>
          </cell>
          <cell r="CM10168" t="str">
            <v xml:space="preserve">NFT-/XUTR/DEUTH02514667346X </v>
          </cell>
          <cell r="CN10168" t="str">
            <v>2025-05-26</v>
          </cell>
          <cell r="CO10168">
            <v>2993.2559999999999</v>
          </cell>
        </row>
        <row r="10170">
          <cell r="CJ10170" t="str">
            <v xml:space="preserve">NFT-/XUTR/DEUTH02514620925X </v>
          </cell>
          <cell r="CK10170" t="str">
            <v>2025-05-26</v>
          </cell>
          <cell r="CL10170">
            <v>75579.601999999999</v>
          </cell>
        </row>
        <row r="10172">
          <cell r="CJ10172" t="str">
            <v xml:space="preserve">NFT-/XUTR/DEUTH02514620925X </v>
          </cell>
          <cell r="CK10172" t="str">
            <v>2025-05-26</v>
          </cell>
          <cell r="CL10172">
            <v>10241.040999999999</v>
          </cell>
        </row>
        <row r="10173">
          <cell r="CJ10173" t="str">
            <v xml:space="preserve">NFT-/XUTR/DEUTH02514620925X </v>
          </cell>
          <cell r="CK10173" t="str">
            <v>2025-05-26</v>
          </cell>
          <cell r="CL10173">
            <v>1486.454</v>
          </cell>
        </row>
        <row r="10174">
          <cell r="CJ10174" t="str">
            <v xml:space="preserve">NFT-/XUTR/DEUTH02514620925X </v>
          </cell>
          <cell r="CK10174" t="str">
            <v>2025-05-26</v>
          </cell>
          <cell r="CL10174">
            <v>22497.43</v>
          </cell>
          <cell r="CM10174" t="str">
            <v xml:space="preserve">NFT-/XUTR/DEUTH02514667346X </v>
          </cell>
          <cell r="CN10174" t="str">
            <v>2025-05-26</v>
          </cell>
          <cell r="CO10174">
            <v>702.69399999999996</v>
          </cell>
        </row>
        <row r="10175">
          <cell r="CJ10175" t="str">
            <v xml:space="preserve">NFT-/XUTR/DEUTH02514620925X </v>
          </cell>
          <cell r="CK10175" t="str">
            <v>2025-05-26</v>
          </cell>
          <cell r="CL10175">
            <v>48836.913999999997</v>
          </cell>
          <cell r="CM10175" t="str">
            <v xml:space="preserve">NFT-/XUTR/DEUTH02514667346X </v>
          </cell>
          <cell r="CN10175" t="str">
            <v>2025-05-26</v>
          </cell>
          <cell r="CO10175">
            <v>1514.0920000000001</v>
          </cell>
        </row>
        <row r="10176">
          <cell r="CJ10176" t="str">
            <v xml:space="preserve">NFT-/XUTR/DEUTH02514620925X </v>
          </cell>
          <cell r="CK10176" t="str">
            <v>2025-05-26</v>
          </cell>
          <cell r="CL10176">
            <v>9883.8639999999996</v>
          </cell>
          <cell r="CM10176" t="str">
            <v xml:space="preserve">NFT-/XUTR/DEUTH02514667346X </v>
          </cell>
          <cell r="CN10176" t="str">
            <v>2025-05-26</v>
          </cell>
          <cell r="CO10176">
            <v>308.64699999999999</v>
          </cell>
        </row>
        <row r="10177">
          <cell r="CJ10177" t="str">
            <v xml:space="preserve">NFT-/XUTR/DEUTH02514620925X </v>
          </cell>
          <cell r="CK10177" t="str">
            <v>2025-05-26</v>
          </cell>
          <cell r="CL10177">
            <v>48836.913999999997</v>
          </cell>
          <cell r="CM10177" t="str">
            <v xml:space="preserve">NFT-/XUTR/DEUTH02514667346X </v>
          </cell>
          <cell r="CN10177" t="str">
            <v>2025-05-26</v>
          </cell>
          <cell r="CO10177">
            <v>1514.0920000000001</v>
          </cell>
        </row>
        <row r="10178">
          <cell r="CJ10178" t="str">
            <v xml:space="preserve">NFT-/XUTR/DEUTH02514620925X </v>
          </cell>
          <cell r="CK10178" t="str">
            <v>2025-05-26</v>
          </cell>
          <cell r="CL10178">
            <v>9883.8639999999996</v>
          </cell>
          <cell r="CM10178" t="str">
            <v xml:space="preserve">NFT-/XUTR/DEUTH02514667346X </v>
          </cell>
          <cell r="CN10178" t="str">
            <v>2025-05-26</v>
          </cell>
          <cell r="CO10178">
            <v>308.64699999999999</v>
          </cell>
        </row>
        <row r="10179">
          <cell r="CJ10179" t="str">
            <v xml:space="preserve">NFT-/XUTR/DEUTH02514620925X </v>
          </cell>
          <cell r="CK10179" t="str">
            <v>2025-05-26</v>
          </cell>
          <cell r="CL10179">
            <v>9883.8639999999996</v>
          </cell>
          <cell r="CM10179" t="str">
            <v xml:space="preserve">NFT-/XUTR/DEUTH02514667346X </v>
          </cell>
          <cell r="CN10179" t="str">
            <v>2025-05-26</v>
          </cell>
          <cell r="CO10179">
            <v>308.64699999999999</v>
          </cell>
        </row>
        <row r="10181">
          <cell r="CJ10181" t="str">
            <v xml:space="preserve">NFT-/XUTR/DEUTH02514620925X </v>
          </cell>
          <cell r="CK10181" t="str">
            <v>2025-05-26</v>
          </cell>
          <cell r="CL10181">
            <v>2767.0819999999999</v>
          </cell>
        </row>
        <row r="10182">
          <cell r="CJ10182" t="str">
            <v xml:space="preserve">NFT-/XUTR/DEUTH02514620925X </v>
          </cell>
          <cell r="CK10182" t="str">
            <v>2025-05-26</v>
          </cell>
          <cell r="CL10182">
            <v>79318.183999999994</v>
          </cell>
          <cell r="CM10182" t="str">
            <v xml:space="preserve">NFT-/XUTR/DEUTH02514667346X </v>
          </cell>
          <cell r="CN10182" t="str">
            <v>2025-05-26</v>
          </cell>
          <cell r="CO10182">
            <v>1836.33</v>
          </cell>
        </row>
        <row r="10183">
          <cell r="CJ10183" t="str">
            <v xml:space="preserve">NFT-/XUTR/DEUTH02514620925X </v>
          </cell>
          <cell r="CK10183" t="str">
            <v>2025-05-26</v>
          </cell>
          <cell r="CL10183">
            <v>1505.3340000000001</v>
          </cell>
        </row>
        <row r="10184">
          <cell r="CJ10184" t="str">
            <v xml:space="preserve">NFT-/XUTR/DEUTH02514620925X </v>
          </cell>
          <cell r="CK10184" t="str">
            <v>2025-05-26</v>
          </cell>
          <cell r="CL10184">
            <v>9678.11</v>
          </cell>
          <cell r="CM10184" t="str">
            <v xml:space="preserve">NFT-/XUTR/DEUTH02514667346X </v>
          </cell>
          <cell r="CN10184" t="str">
            <v>2025-05-26</v>
          </cell>
          <cell r="CO10184">
            <v>514.40200000000004</v>
          </cell>
        </row>
        <row r="10185">
          <cell r="CJ10185" t="str">
            <v xml:space="preserve">NFT-/XUTR/DEUTH02514620925X </v>
          </cell>
          <cell r="CK10185" t="str">
            <v>2025-05-26</v>
          </cell>
          <cell r="CL10185">
            <v>47828.487000000001</v>
          </cell>
          <cell r="CM10185" t="str">
            <v xml:space="preserve">NFT-/XUTR/DEUTH02514667346X </v>
          </cell>
          <cell r="CN10185" t="str">
            <v>2025-05-26</v>
          </cell>
          <cell r="CO10185">
            <v>2522.52</v>
          </cell>
        </row>
        <row r="10186">
          <cell r="CJ10186" t="str">
            <v xml:space="preserve">NFT-/XUTR/DEUTH02514620925X </v>
          </cell>
          <cell r="CK10186" t="str">
            <v>2025-05-26</v>
          </cell>
          <cell r="CL10186">
            <v>95384.691999999995</v>
          </cell>
          <cell r="CM10186" t="str">
            <v xml:space="preserve">NFT-/XUTR/DEUTH02514667346X </v>
          </cell>
          <cell r="CN10186" t="str">
            <v>2025-05-26</v>
          </cell>
          <cell r="CO10186">
            <v>5336.2219999999998</v>
          </cell>
        </row>
        <row r="10189">
          <cell r="CJ10189" t="str">
            <v xml:space="preserve">NFT-/XUTR/DEUTH02514620925X </v>
          </cell>
          <cell r="CK10189" t="str">
            <v>2025-05-26</v>
          </cell>
          <cell r="CL10189">
            <v>40556.92</v>
          </cell>
          <cell r="CM10189" t="str">
            <v xml:space="preserve">NFT-/XUTR/DEUTH02514823955X </v>
          </cell>
          <cell r="CN10189" t="str">
            <v>2025-05-28</v>
          </cell>
          <cell r="CO10189">
            <v>-40556.92</v>
          </cell>
        </row>
        <row r="10190">
          <cell r="CJ10190" t="str">
            <v xml:space="preserve">NFT-/XUTR/DEUTH02514620925X </v>
          </cell>
          <cell r="CK10190" t="str">
            <v>2025-05-26</v>
          </cell>
          <cell r="CL10190">
            <v>19676.435000000001</v>
          </cell>
          <cell r="CM10190" t="str">
            <v xml:space="preserve">NFT-/XUTR/DEUTH02514667346X </v>
          </cell>
          <cell r="CN10190" t="str">
            <v>2025-05-26</v>
          </cell>
          <cell r="CO10190">
            <v>611.46</v>
          </cell>
        </row>
        <row r="10191">
          <cell r="CJ10191" t="str">
            <v xml:space="preserve">NFT-/XUTR/DEUTH02514620925X </v>
          </cell>
          <cell r="CK10191" t="str">
            <v>2025-05-26</v>
          </cell>
          <cell r="CL10191">
            <v>9883.8639999999996</v>
          </cell>
          <cell r="CM10191" t="str">
            <v xml:space="preserve">NFT-/XUTR/DEUTH02514667346X </v>
          </cell>
          <cell r="CN10191" t="str">
            <v>2025-05-26</v>
          </cell>
          <cell r="CO10191">
            <v>308.64699999999999</v>
          </cell>
        </row>
        <row r="10192">
          <cell r="CJ10192" t="str">
            <v xml:space="preserve">NFT-/XUTR/DEUTH02514620925X </v>
          </cell>
          <cell r="CK10192" t="str">
            <v>2025-05-26</v>
          </cell>
          <cell r="CL10192">
            <v>48836.913999999997</v>
          </cell>
          <cell r="CM10192" t="str">
            <v xml:space="preserve">NFT-/XUTR/DEUTH02514667346X </v>
          </cell>
          <cell r="CN10192" t="str">
            <v>2025-05-26</v>
          </cell>
          <cell r="CO10192">
            <v>1514.0920000000001</v>
          </cell>
        </row>
        <row r="10193">
          <cell r="CJ10193" t="str">
            <v xml:space="preserve">NFT-/XUTR/DEUTH02514620925X </v>
          </cell>
          <cell r="CK10193" t="str">
            <v>2025-05-26</v>
          </cell>
          <cell r="CL10193">
            <v>48855.794000000002</v>
          </cell>
          <cell r="CM10193" t="str">
            <v xml:space="preserve">NFT-/XUTR/DEUTH02514667346X </v>
          </cell>
          <cell r="CN10193" t="str">
            <v>2025-05-26</v>
          </cell>
          <cell r="CO10193">
            <v>1514.0930000000001</v>
          </cell>
        </row>
        <row r="10194">
          <cell r="CJ10194" t="str">
            <v xml:space="preserve">NFT-/XUTR/DEUTH02514620925X </v>
          </cell>
          <cell r="CK10194" t="str">
            <v>2025-05-26</v>
          </cell>
          <cell r="CL10194">
            <v>48855.794000000002</v>
          </cell>
          <cell r="CM10194" t="str">
            <v xml:space="preserve">NFT-/XUTR/DEUTH02514667346X </v>
          </cell>
          <cell r="CN10194" t="str">
            <v>2025-05-26</v>
          </cell>
          <cell r="CO10194">
            <v>1514.0930000000001</v>
          </cell>
        </row>
        <row r="10195">
          <cell r="CJ10195" t="str">
            <v xml:space="preserve">NFT-/XUTR/DEUTH02514620925X </v>
          </cell>
          <cell r="CK10195" t="str">
            <v>2025-05-26</v>
          </cell>
          <cell r="CL10195">
            <v>19657.555</v>
          </cell>
          <cell r="CM10195" t="str">
            <v xml:space="preserve">NFT-/XUTR/DEUTH02514667346X </v>
          </cell>
          <cell r="CN10195" t="str">
            <v>2025-05-26</v>
          </cell>
          <cell r="CO10195">
            <v>611.46</v>
          </cell>
        </row>
        <row r="10196">
          <cell r="CJ10196" t="str">
            <v xml:space="preserve">NFT-/XUTR/DEUTH02514620925X </v>
          </cell>
          <cell r="CK10196" t="str">
            <v>2025-05-26</v>
          </cell>
          <cell r="CL10196">
            <v>12289.904</v>
          </cell>
        </row>
        <row r="10197">
          <cell r="CJ10197" t="str">
            <v xml:space="preserve">NFT-/XUTR/DEUTH02514620925X </v>
          </cell>
          <cell r="CK10197" t="str">
            <v>2025-05-26</v>
          </cell>
          <cell r="CL10197">
            <v>54606.375</v>
          </cell>
          <cell r="CM10197" t="str">
            <v xml:space="preserve">NFT-/XUTR/DEUTH02514667346X </v>
          </cell>
          <cell r="CN10197" t="str">
            <v>2025-05-26</v>
          </cell>
          <cell r="CO10197">
            <v>1691.7070000000001</v>
          </cell>
        </row>
        <row r="10198">
          <cell r="CJ10198" t="str">
            <v xml:space="preserve">NFT-/XUTR/DEUTH02514620925X </v>
          </cell>
          <cell r="CK10198" t="str">
            <v>2025-05-26</v>
          </cell>
          <cell r="CL10198">
            <v>48855.794000000002</v>
          </cell>
          <cell r="CM10198" t="str">
            <v xml:space="preserve">NFT-/XUTR/DEUTH02514667346X </v>
          </cell>
          <cell r="CN10198" t="str">
            <v>2025-05-26</v>
          </cell>
          <cell r="CO10198">
            <v>1514.0930000000001</v>
          </cell>
        </row>
        <row r="10199">
          <cell r="CJ10199" t="str">
            <v xml:space="preserve">NFT-/XUTR/DEUTH02514620925X </v>
          </cell>
          <cell r="CK10199" t="str">
            <v>2025-05-26</v>
          </cell>
          <cell r="CL10199">
            <v>97712.563999999998</v>
          </cell>
          <cell r="CM10199" t="str">
            <v xml:space="preserve">NFT-/XUTR/DEUTH02514667346X </v>
          </cell>
          <cell r="CN10199" t="str">
            <v>2025-05-26</v>
          </cell>
          <cell r="CO10199">
            <v>3028.1959999999999</v>
          </cell>
        </row>
        <row r="10200">
          <cell r="CJ10200" t="str">
            <v xml:space="preserve">NFT-/XUTR/DEUTH02514620925X </v>
          </cell>
          <cell r="CK10200" t="str">
            <v>2025-05-26</v>
          </cell>
          <cell r="CL10200">
            <v>48836.913999999997</v>
          </cell>
          <cell r="CM10200" t="str">
            <v xml:space="preserve">NFT-/XUTR/DEUTH02514667346X </v>
          </cell>
          <cell r="CN10200" t="str">
            <v>2025-05-26</v>
          </cell>
          <cell r="CO10200">
            <v>1514.0920000000001</v>
          </cell>
        </row>
        <row r="10201">
          <cell r="CJ10201" t="str">
            <v xml:space="preserve">NFT-/XUTR/DEUTH02514620925X </v>
          </cell>
          <cell r="CK10201" t="str">
            <v>2025-05-26</v>
          </cell>
          <cell r="CL10201">
            <v>47847.366999999998</v>
          </cell>
          <cell r="CM10201" t="str">
            <v xml:space="preserve">NFT-/XUTR/DEUTH02514667346X </v>
          </cell>
          <cell r="CN10201" t="str">
            <v>2025-05-26</v>
          </cell>
          <cell r="CO10201">
            <v>2522.52</v>
          </cell>
        </row>
        <row r="10202">
          <cell r="CJ10202" t="str">
            <v xml:space="preserve">NFT-/XUTR/DEUTH02514620925X </v>
          </cell>
          <cell r="CK10202" t="str">
            <v>2025-05-26</v>
          </cell>
          <cell r="CL10202">
            <v>47847.366999999998</v>
          </cell>
          <cell r="CM10202" t="str">
            <v xml:space="preserve">NFT-/XUTR/DEUTH02514667346X </v>
          </cell>
          <cell r="CN10202" t="str">
            <v>2025-05-26</v>
          </cell>
          <cell r="CO10202">
            <v>2522.52</v>
          </cell>
        </row>
        <row r="10203">
          <cell r="CJ10203" t="str">
            <v xml:space="preserve">NFT-/XUTR/DEUTH02514620925X </v>
          </cell>
          <cell r="CK10203" t="str">
            <v>2025-05-26</v>
          </cell>
          <cell r="CL10203">
            <v>47818.250999999997</v>
          </cell>
          <cell r="CM10203" t="str">
            <v xml:space="preserve">NFT-/XUTR/DEUTH02514667346X </v>
          </cell>
          <cell r="CN10203" t="str">
            <v>2025-05-26</v>
          </cell>
          <cell r="CO10203">
            <v>2551.645</v>
          </cell>
        </row>
        <row r="10204">
          <cell r="CJ10204" t="str">
            <v xml:space="preserve">NFT-/XUTR/DEUTH02514620925X </v>
          </cell>
          <cell r="CK10204" t="str">
            <v>2025-05-26</v>
          </cell>
          <cell r="CL10204">
            <v>47847.366999999998</v>
          </cell>
          <cell r="CM10204" t="str">
            <v xml:space="preserve">NFT-/XUTR/DEUTH02514667346X </v>
          </cell>
          <cell r="CN10204" t="str">
            <v>2025-05-26</v>
          </cell>
          <cell r="CO10204">
            <v>2522.52</v>
          </cell>
        </row>
        <row r="10205">
          <cell r="CJ10205" t="str">
            <v xml:space="preserve">NFT-/XUTR/DEUTH02514620925X </v>
          </cell>
          <cell r="CK10205" t="str">
            <v>2025-05-26</v>
          </cell>
          <cell r="CL10205">
            <v>11651.727999999999</v>
          </cell>
          <cell r="CM10205" t="str">
            <v xml:space="preserve">NFT-/XUTR/DEUTH02514667346X </v>
          </cell>
          <cell r="CN10205" t="str">
            <v>2025-05-26</v>
          </cell>
          <cell r="CO10205">
            <v>617.28499999999997</v>
          </cell>
        </row>
        <row r="10206">
          <cell r="CJ10206" t="str">
            <v xml:space="preserve">NFT-/XUTR/DEUTH02514620925X </v>
          </cell>
          <cell r="CK10206" t="str">
            <v>2025-05-26</v>
          </cell>
          <cell r="CL10206">
            <v>47847.366999999998</v>
          </cell>
          <cell r="CM10206" t="str">
            <v xml:space="preserve">NFT-/XUTR/DEUTH02514667346X </v>
          </cell>
          <cell r="CN10206" t="str">
            <v>2025-05-26</v>
          </cell>
          <cell r="CO10206">
            <v>2522.52</v>
          </cell>
        </row>
        <row r="10207">
          <cell r="CJ10207" t="str">
            <v xml:space="preserve">NFT-/XUTR/DEUTH02514620925X </v>
          </cell>
          <cell r="CK10207" t="str">
            <v>2025-05-26</v>
          </cell>
          <cell r="CL10207">
            <v>143523.231</v>
          </cell>
          <cell r="CM10207" t="str">
            <v xml:space="preserve">NFT-/XUTR/DEUTH02514667346X </v>
          </cell>
          <cell r="CN10207" t="str">
            <v>2025-05-26</v>
          </cell>
          <cell r="CO10207">
            <v>7567.57</v>
          </cell>
        </row>
        <row r="10208">
          <cell r="CJ10208" t="str">
            <v xml:space="preserve">NFT-/XUTR/DEUTH02514620925X </v>
          </cell>
          <cell r="CK10208" t="str">
            <v>2025-05-26</v>
          </cell>
          <cell r="CL10208">
            <v>9600.4660000000003</v>
          </cell>
          <cell r="CM10208" t="str">
            <v xml:space="preserve">NFT-/XUTR/DEUTH02514667346X </v>
          </cell>
          <cell r="CN10208" t="str">
            <v>2025-05-26</v>
          </cell>
          <cell r="CO10208">
            <v>592.04600000000005</v>
          </cell>
        </row>
        <row r="10209">
          <cell r="CJ10209" t="str">
            <v xml:space="preserve">NFT-/XUTR/DEUTH02514620925X </v>
          </cell>
          <cell r="CK10209" t="str">
            <v>2025-05-26</v>
          </cell>
          <cell r="CL10209">
            <v>47847.366999999998</v>
          </cell>
          <cell r="CM10209" t="str">
            <v xml:space="preserve">NFT-/XUTR/DEUTH02514667346X </v>
          </cell>
          <cell r="CN10209" t="str">
            <v>2025-05-26</v>
          </cell>
          <cell r="CO10209">
            <v>2522.52</v>
          </cell>
        </row>
        <row r="10213">
          <cell r="CJ10213" t="str">
            <v xml:space="preserve">NFT-/XUTR/DEUTH02514823955X </v>
          </cell>
          <cell r="CK10213" t="str">
            <v>2025-05-28</v>
          </cell>
          <cell r="CL10213">
            <v>19836.582999999999</v>
          </cell>
          <cell r="CM10213" t="str">
            <v xml:space="preserve">NFT-/XUTR/DEUTH02514868866X </v>
          </cell>
          <cell r="CN10213" t="str">
            <v>2025-05-28</v>
          </cell>
          <cell r="CO10213">
            <v>616.31100000000004</v>
          </cell>
        </row>
        <row r="10214">
          <cell r="CJ10214" t="str">
            <v xml:space="preserve">NFT-/XUTR/DEUTH02514823955X </v>
          </cell>
          <cell r="CK10214" t="str">
            <v>2025-05-28</v>
          </cell>
          <cell r="CL10214">
            <v>9981.3629999999994</v>
          </cell>
          <cell r="CM10214" t="str">
            <v xml:space="preserve">NFT-/XUTR/DEUTH02514868866X </v>
          </cell>
          <cell r="CN10214" t="str">
            <v>2025-05-28</v>
          </cell>
          <cell r="CO10214">
            <v>317.375</v>
          </cell>
        </row>
        <row r="10215">
          <cell r="CJ10215" t="str">
            <v xml:space="preserve">NFT-/XUTR/DEUTH02514823955X </v>
          </cell>
          <cell r="CK10215" t="str">
            <v>2025-05-28</v>
          </cell>
          <cell r="CL10215">
            <v>38852.053999999996</v>
          </cell>
          <cell r="CM10215" t="str">
            <v xml:space="preserve">NFT-/XUTR/DEUTH02514868866X </v>
          </cell>
          <cell r="CN10215" t="str">
            <v>2025-05-28</v>
          </cell>
          <cell r="CO10215">
            <v>2053.7339999999999</v>
          </cell>
        </row>
        <row r="10216">
          <cell r="CJ10216" t="str">
            <v xml:space="preserve">NFT-/XUTR/DEUTH02514823955X </v>
          </cell>
          <cell r="CK10216" t="str">
            <v>2025-05-28</v>
          </cell>
          <cell r="CL10216">
            <v>9779.4850000000006</v>
          </cell>
          <cell r="CM10216" t="str">
            <v xml:space="preserve">NFT-/XUTR/DEUTH02514868866X </v>
          </cell>
          <cell r="CN10216" t="str">
            <v>2025-05-28</v>
          </cell>
          <cell r="CO10216">
            <v>519.25400000000002</v>
          </cell>
        </row>
        <row r="10217">
          <cell r="CJ10217" t="str">
            <v xml:space="preserve">NFT-/XUTR/DEUTH02514823955X </v>
          </cell>
          <cell r="CK10217" t="str">
            <v>2025-05-28</v>
          </cell>
          <cell r="CL10217">
            <v>48242.93</v>
          </cell>
          <cell r="CM10217" t="str">
            <v xml:space="preserve">NFT-/XUTR/DEUTH02514868866X </v>
          </cell>
          <cell r="CN10217" t="str">
            <v>2025-05-28</v>
          </cell>
          <cell r="CO10217">
            <v>2544.846</v>
          </cell>
        </row>
        <row r="10218">
          <cell r="CJ10218" t="str">
            <v xml:space="preserve">NFT-/XUTR/DEUTH02514823955X </v>
          </cell>
          <cell r="CK10218" t="str">
            <v>2025-05-28</v>
          </cell>
          <cell r="CL10218">
            <v>9760.6049999999996</v>
          </cell>
          <cell r="CM10218" t="str">
            <v xml:space="preserve">NFT-/XUTR/DEUTH02514868866X </v>
          </cell>
          <cell r="CN10218" t="str">
            <v>2025-05-28</v>
          </cell>
          <cell r="CO10218">
            <v>519.25400000000002</v>
          </cell>
        </row>
        <row r="10219">
          <cell r="CJ10219" t="str">
            <v xml:space="preserve">NFT-/XUTR/DEUTH02514823955X </v>
          </cell>
          <cell r="CK10219" t="str">
            <v>2025-05-28</v>
          </cell>
          <cell r="CL10219">
            <v>19426.026999999998</v>
          </cell>
          <cell r="CM10219" t="str">
            <v xml:space="preserve">NFT-/XUTR/DEUTH02514868866X </v>
          </cell>
          <cell r="CN10219" t="str">
            <v>2025-05-28</v>
          </cell>
          <cell r="CO10219">
            <v>1026.867</v>
          </cell>
        </row>
        <row r="10220">
          <cell r="CJ10220" t="str">
            <v xml:space="preserve">NFT-/XUTR/DEUTH02514823955X </v>
          </cell>
          <cell r="CK10220" t="str">
            <v>2025-05-28</v>
          </cell>
          <cell r="CL10220">
            <v>19426.026999999998</v>
          </cell>
          <cell r="CM10220" t="str">
            <v xml:space="preserve">NFT-/XUTR/DEUTH02514868866X </v>
          </cell>
          <cell r="CN10220" t="str">
            <v>2025-05-28</v>
          </cell>
          <cell r="CO10220">
            <v>1026.867</v>
          </cell>
        </row>
        <row r="10221">
          <cell r="CJ10221" t="str">
            <v xml:space="preserve">NFT-/XUTR/DEUTH02514823955X </v>
          </cell>
          <cell r="CK10221" t="str">
            <v>2025-05-28</v>
          </cell>
          <cell r="CL10221">
            <v>19407.147000000001</v>
          </cell>
          <cell r="CM10221" t="str">
            <v xml:space="preserve">NFT-/XUTR/DEUTH02514868866X </v>
          </cell>
          <cell r="CN10221" t="str">
            <v>2025-05-28</v>
          </cell>
          <cell r="CO10221">
            <v>1026.867</v>
          </cell>
        </row>
        <row r="10222">
          <cell r="CJ10222" t="str">
            <v xml:space="preserve">NFT-/XUTR/DEUTH02514823955X </v>
          </cell>
          <cell r="CK10222" t="str">
            <v>2025-05-28</v>
          </cell>
          <cell r="CL10222">
            <v>29339.425999999999</v>
          </cell>
          <cell r="CM10222" t="str">
            <v xml:space="preserve">NFT-/XUTR/DEUTH02514868866X </v>
          </cell>
          <cell r="CN10222" t="str">
            <v>2025-05-28</v>
          </cell>
          <cell r="CO10222">
            <v>1557.7719999999999</v>
          </cell>
        </row>
        <row r="10223">
          <cell r="CJ10223" t="str">
            <v xml:space="preserve">NFT-/XUTR/DEUTH02514823955X </v>
          </cell>
          <cell r="CK10223" t="str">
            <v>2025-05-28</v>
          </cell>
          <cell r="CL10223">
            <v>9779.4850000000006</v>
          </cell>
          <cell r="CM10223" t="str">
            <v xml:space="preserve">NFT-/XUTR/DEUTH02514868866X </v>
          </cell>
          <cell r="CN10223" t="str">
            <v>2025-05-28</v>
          </cell>
          <cell r="CO10223">
            <v>519.25300000000004</v>
          </cell>
        </row>
        <row r="10224">
          <cell r="CJ10224" t="str">
            <v xml:space="preserve">NFT-/XUTR/DEUTH02514823955X </v>
          </cell>
          <cell r="CK10224" t="str">
            <v>2025-05-28</v>
          </cell>
          <cell r="CL10224">
            <v>19426.026999999998</v>
          </cell>
          <cell r="CM10224" t="str">
            <v xml:space="preserve">NFT-/XUTR/DEUTH02514868866X </v>
          </cell>
          <cell r="CN10224" t="str">
            <v>2025-05-28</v>
          </cell>
          <cell r="CO10224">
            <v>1026.867</v>
          </cell>
        </row>
        <row r="10225">
          <cell r="CJ10225" t="str">
            <v xml:space="preserve">NFT-/XUTR/DEUTH02514823955X </v>
          </cell>
          <cell r="CK10225" t="str">
            <v>2025-05-28</v>
          </cell>
          <cell r="CL10225">
            <v>48261.81</v>
          </cell>
          <cell r="CM10225" t="str">
            <v xml:space="preserve">NFT-/XUTR/DEUTH02514868866X </v>
          </cell>
          <cell r="CN10225" t="str">
            <v>2025-05-28</v>
          </cell>
          <cell r="CO10225">
            <v>2544.846</v>
          </cell>
        </row>
        <row r="10226">
          <cell r="CJ10226" t="str">
            <v xml:space="preserve">NFT-/XUTR/DEUTH02514823955X </v>
          </cell>
          <cell r="CK10226" t="str">
            <v>2025-05-28</v>
          </cell>
          <cell r="CL10226">
            <v>96524.581999999995</v>
          </cell>
          <cell r="CM10226" t="str">
            <v xml:space="preserve">NFT-/XUTR/DEUTH02514868866X </v>
          </cell>
          <cell r="CN10226" t="str">
            <v>2025-05-28</v>
          </cell>
          <cell r="CO10226">
            <v>5087.7520000000004</v>
          </cell>
        </row>
        <row r="10227">
          <cell r="CJ10227" t="str">
            <v xml:space="preserve">NFT-/XUTR/DEUTH02514823955X </v>
          </cell>
          <cell r="CK10227" t="str">
            <v>2025-05-28</v>
          </cell>
          <cell r="CL10227">
            <v>38852.053999999996</v>
          </cell>
          <cell r="CM10227" t="str">
            <v xml:space="preserve">NFT-/XUTR/DEUTH02514868866X </v>
          </cell>
          <cell r="CN10227" t="str">
            <v>2025-05-28</v>
          </cell>
          <cell r="CO10227">
            <v>2053.7339999999999</v>
          </cell>
        </row>
        <row r="10228">
          <cell r="CJ10228" t="str">
            <v xml:space="preserve">NFT-/XUTR/DEUTH02514823955X </v>
          </cell>
          <cell r="CK10228" t="str">
            <v>2025-05-28</v>
          </cell>
          <cell r="CL10228">
            <v>9760.6049999999996</v>
          </cell>
          <cell r="CM10228" t="str">
            <v xml:space="preserve">NFT-/XUTR/DEUTH02514868866X </v>
          </cell>
          <cell r="CN10228" t="str">
            <v>2025-05-28</v>
          </cell>
          <cell r="CO10228">
            <v>519.25400000000002</v>
          </cell>
        </row>
        <row r="10229">
          <cell r="CJ10229" t="str">
            <v xml:space="preserve">NFT-/XUTR/DEUTH02514823955X </v>
          </cell>
          <cell r="CK10229" t="str">
            <v>2025-05-28</v>
          </cell>
          <cell r="CL10229">
            <v>19407.147000000001</v>
          </cell>
          <cell r="CM10229" t="str">
            <v xml:space="preserve">NFT-/XUTR/DEUTH02514868866X </v>
          </cell>
          <cell r="CN10229" t="str">
            <v>2025-05-28</v>
          </cell>
          <cell r="CO10229">
            <v>1026.867</v>
          </cell>
        </row>
        <row r="10230">
          <cell r="CJ10230" t="str">
            <v xml:space="preserve">NFT-/XUTR/DEUTH02514823955X </v>
          </cell>
          <cell r="CK10230" t="str">
            <v>2025-05-28</v>
          </cell>
          <cell r="CL10230">
            <v>9779.4850000000006</v>
          </cell>
          <cell r="CM10230" t="str">
            <v xml:space="preserve">NFT-/XUTR/DEUTH02514868866X </v>
          </cell>
          <cell r="CN10230" t="str">
            <v>2025-05-28</v>
          </cell>
          <cell r="CO10230">
            <v>519.25300000000004</v>
          </cell>
        </row>
        <row r="10231">
          <cell r="CJ10231" t="str">
            <v xml:space="preserve">NFT-/XUTR/DEUTH02514823955X </v>
          </cell>
          <cell r="CK10231" t="str">
            <v>2025-05-28</v>
          </cell>
          <cell r="CL10231">
            <v>5970.5119999999997</v>
          </cell>
        </row>
        <row r="10232">
          <cell r="CJ10232" t="str">
            <v xml:space="preserve">NFT-/XUTR/DEUTH02514823955X </v>
          </cell>
          <cell r="CK10232" t="str">
            <v>2025-05-28</v>
          </cell>
          <cell r="CL10232">
            <v>49261.059000000001</v>
          </cell>
          <cell r="CM10232" t="str">
            <v xml:space="preserve">NFT-/XUTR/DEUTH02514868866X </v>
          </cell>
          <cell r="CN10232" t="str">
            <v>2025-05-28</v>
          </cell>
          <cell r="CO10232">
            <v>1526.7170000000001</v>
          </cell>
        </row>
        <row r="10234">
          <cell r="CJ10234" t="str">
            <v xml:space="preserve">NFT-/XUTR/DEUTH02514823955X </v>
          </cell>
          <cell r="CK10234" t="str">
            <v>2025-05-28</v>
          </cell>
          <cell r="CL10234">
            <v>48261.81</v>
          </cell>
          <cell r="CM10234" t="str">
            <v xml:space="preserve">NFT-/XUTR/DEUTH02514868866X </v>
          </cell>
          <cell r="CN10234" t="str">
            <v>2025-05-28</v>
          </cell>
          <cell r="CO10234">
            <v>2544.846</v>
          </cell>
        </row>
        <row r="10235">
          <cell r="CJ10235" t="str">
            <v xml:space="preserve">NFT-/XUTR/DEUTH02514823955X </v>
          </cell>
          <cell r="CK10235" t="str">
            <v>2025-05-28</v>
          </cell>
          <cell r="CL10235">
            <v>48242.93</v>
          </cell>
          <cell r="CM10235" t="str">
            <v xml:space="preserve">NFT-/XUTR/DEUTH02514868866X </v>
          </cell>
          <cell r="CN10235" t="str">
            <v>2025-05-28</v>
          </cell>
          <cell r="CO10235">
            <v>2544.846</v>
          </cell>
        </row>
        <row r="10236">
          <cell r="CJ10236" t="str">
            <v xml:space="preserve">NFT-/XUTR/DEUTH02514823955X </v>
          </cell>
          <cell r="CK10236" t="str">
            <v>2025-05-28</v>
          </cell>
          <cell r="CL10236">
            <v>48242.93</v>
          </cell>
          <cell r="CM10236" t="str">
            <v xml:space="preserve">NFT-/XUTR/DEUTH02514868866X </v>
          </cell>
          <cell r="CN10236" t="str">
            <v>2025-05-28</v>
          </cell>
          <cell r="CO10236">
            <v>2544.846</v>
          </cell>
        </row>
        <row r="10237">
          <cell r="CJ10237" t="str">
            <v xml:space="preserve">NFT-/XUTR/DEUTH02514823955X </v>
          </cell>
          <cell r="CK10237" t="str">
            <v>2025-05-28</v>
          </cell>
          <cell r="CL10237">
            <v>29339.425999999999</v>
          </cell>
          <cell r="CM10237" t="str">
            <v xml:space="preserve">NFT-/XUTR/DEUTH02514868866X </v>
          </cell>
          <cell r="CN10237" t="str">
            <v>2025-05-28</v>
          </cell>
          <cell r="CO10237">
            <v>1557.769</v>
          </cell>
        </row>
        <row r="10238">
          <cell r="CJ10238" t="str">
            <v xml:space="preserve">NFT-/XUTR/DEUTH02514823955X </v>
          </cell>
          <cell r="CK10238" t="str">
            <v>2025-05-28</v>
          </cell>
          <cell r="CL10238">
            <v>53970.874000000003</v>
          </cell>
          <cell r="CM10238" t="str">
            <v xml:space="preserve">NFT-/XUTR/DEUTH02514868866X </v>
          </cell>
          <cell r="CN10238" t="str">
            <v>2025-05-28</v>
          </cell>
          <cell r="CO10238">
            <v>2847.6680000000001</v>
          </cell>
        </row>
        <row r="10239">
          <cell r="CJ10239" t="str">
            <v xml:space="preserve">NFT-/XUTR/DEUTH02514823955X </v>
          </cell>
          <cell r="CK10239" t="str">
            <v>2025-05-28</v>
          </cell>
          <cell r="CL10239">
            <v>96505.703999999998</v>
          </cell>
          <cell r="CM10239" t="str">
            <v xml:space="preserve">NFT-/XUTR/DEUTH02514868866X </v>
          </cell>
          <cell r="CN10239" t="str">
            <v>2025-05-28</v>
          </cell>
          <cell r="CO10239">
            <v>5089.692</v>
          </cell>
        </row>
        <row r="10240">
          <cell r="CJ10240" t="str">
            <v xml:space="preserve">NFT-/XUTR/DEUTH02514823955X </v>
          </cell>
          <cell r="CK10240" t="str">
            <v>2025-05-28</v>
          </cell>
          <cell r="CL10240">
            <v>19778.752</v>
          </cell>
          <cell r="CM10240" t="str">
            <v xml:space="preserve">NFT-/XUTR/DEUTH02514868866X </v>
          </cell>
          <cell r="CN10240" t="str">
            <v>2025-05-28</v>
          </cell>
          <cell r="CO10240">
            <v>93.518000000000001</v>
          </cell>
        </row>
        <row r="10241">
          <cell r="CJ10241" t="str">
            <v xml:space="preserve">NFT-/XUTR/DEUTH02514823955X </v>
          </cell>
          <cell r="CK10241" t="str">
            <v>2025-05-28</v>
          </cell>
          <cell r="CL10241">
            <v>10221.628000000001</v>
          </cell>
        </row>
        <row r="10242">
          <cell r="CJ10242" t="str">
            <v xml:space="preserve">NFT-/XUTR/DEUTH02514823955X </v>
          </cell>
          <cell r="CK10242" t="str">
            <v>2025-05-28</v>
          </cell>
          <cell r="CL10242">
            <v>5911.7489999999998</v>
          </cell>
        </row>
        <row r="10243">
          <cell r="CJ10243" t="str">
            <v xml:space="preserve">NFT-/XUTR/DEUTH02514823955X </v>
          </cell>
          <cell r="CK10243" t="str">
            <v>2025-05-28</v>
          </cell>
          <cell r="CL10243">
            <v>10240.508</v>
          </cell>
        </row>
        <row r="10245">
          <cell r="CJ10245" t="str">
            <v xml:space="preserve">AXISCN0983783294 </v>
          </cell>
          <cell r="CK10245" t="str">
            <v>2025-05-30</v>
          </cell>
          <cell r="CL10245">
            <v>9981.8960000000006</v>
          </cell>
          <cell r="CM10245" t="str">
            <v xml:space="preserve">NFT-/XUTR/DEUTH02515071889X </v>
          </cell>
          <cell r="CN10245" t="str">
            <v>2025-05-30</v>
          </cell>
          <cell r="CO10245">
            <v>530.904</v>
          </cell>
        </row>
        <row r="10246">
          <cell r="CJ10246" t="str">
            <v xml:space="preserve">AXISCN0983783294 </v>
          </cell>
          <cell r="CK10246" t="str">
            <v>2025-05-30</v>
          </cell>
          <cell r="CL10246">
            <v>20899.887999999999</v>
          </cell>
        </row>
        <row r="10247">
          <cell r="CJ10247" t="str">
            <v xml:space="preserve">AXISCN0983783294 </v>
          </cell>
          <cell r="CK10247" t="str">
            <v>2025-05-30</v>
          </cell>
          <cell r="CL10247">
            <v>19849.732</v>
          </cell>
          <cell r="CM10247" t="str">
            <v xml:space="preserve">NFT-/XUTR/DEUTH02515071889X </v>
          </cell>
          <cell r="CN10247" t="str">
            <v>2025-05-30</v>
          </cell>
          <cell r="CO10247">
            <v>1050.1579999999999</v>
          </cell>
        </row>
        <row r="10248">
          <cell r="CJ10248" t="str">
            <v xml:space="preserve">AXISCN0983783294 </v>
          </cell>
          <cell r="CK10248" t="str">
            <v>2025-05-30</v>
          </cell>
          <cell r="CL10248">
            <v>49359.521999999997</v>
          </cell>
          <cell r="CM10248" t="str">
            <v xml:space="preserve">NFT-/XUTR/DEUTH02515071889X </v>
          </cell>
          <cell r="CN10248" t="str">
            <v>2025-05-30</v>
          </cell>
          <cell r="CO10248">
            <v>2602.1120000000001</v>
          </cell>
        </row>
        <row r="10249">
          <cell r="CJ10249" t="str">
            <v xml:space="preserve">AXISCN0983783294 </v>
          </cell>
          <cell r="CK10249" t="str">
            <v>2025-05-30</v>
          </cell>
          <cell r="CL10249">
            <v>20288.868999999999</v>
          </cell>
          <cell r="CM10249" t="str">
            <v xml:space="preserve">NFT-/XUTR/DEUTH02515071889X </v>
          </cell>
          <cell r="CN10249" t="str">
            <v>2025-05-30</v>
          </cell>
          <cell r="CO10249">
            <v>629.9</v>
          </cell>
        </row>
        <row r="10250">
          <cell r="CJ10250" t="str">
            <v xml:space="preserve">AXISCN0983783294 </v>
          </cell>
          <cell r="CK10250" t="str">
            <v>2025-05-30</v>
          </cell>
          <cell r="CL10250">
            <v>10531.68</v>
          </cell>
        </row>
        <row r="10251">
          <cell r="CJ10251" t="str">
            <v xml:space="preserve">AXISCN0983783294 </v>
          </cell>
          <cell r="CK10251" t="str">
            <v>2025-05-30</v>
          </cell>
          <cell r="CL10251">
            <v>20429.603999999999</v>
          </cell>
          <cell r="CM10251" t="str">
            <v xml:space="preserve">NFT-/XUTR/DEUTH02515071889X </v>
          </cell>
          <cell r="CN10251" t="str">
            <v>2025-05-30</v>
          </cell>
          <cell r="CO10251">
            <v>634.76</v>
          </cell>
        </row>
        <row r="10253">
          <cell r="CJ10253" t="str">
            <v xml:space="preserve">AXISCN0985181545 </v>
          </cell>
          <cell r="CK10253" t="str">
            <v>2025-06-02</v>
          </cell>
          <cell r="CL10253">
            <v>11549.82</v>
          </cell>
          <cell r="CM10253" t="str">
            <v xml:space="preserve">NFT-/XUTR/DEUTH02515349679X </v>
          </cell>
          <cell r="CN10253" t="str">
            <v>2025-06-02</v>
          </cell>
          <cell r="CO10253">
            <v>360.07900000000001</v>
          </cell>
        </row>
        <row r="10254">
          <cell r="CJ10254" t="str">
            <v xml:space="preserve">AXISCN0985181545 </v>
          </cell>
          <cell r="CK10254" t="str">
            <v>2025-06-02</v>
          </cell>
          <cell r="CL10254">
            <v>10212.89</v>
          </cell>
          <cell r="CM10254" t="str">
            <v xml:space="preserve">NFT-/XUTR/DEUTH02515349679X </v>
          </cell>
          <cell r="CN10254" t="str">
            <v>2025-06-02</v>
          </cell>
          <cell r="CO10254">
            <v>319.32400000000001</v>
          </cell>
        </row>
        <row r="10255">
          <cell r="CJ10255" t="str">
            <v xml:space="preserve">AXISCN0985181545 </v>
          </cell>
          <cell r="CK10255" t="str">
            <v>2025-06-02</v>
          </cell>
          <cell r="CL10255">
            <v>10344.364</v>
          </cell>
          <cell r="CM10255" t="str">
            <v xml:space="preserve">NFT-/XUTR/DEUTH02515349679X </v>
          </cell>
          <cell r="CN10255" t="str">
            <v>2025-06-02</v>
          </cell>
          <cell r="CO10255">
            <v>323.20100000000002</v>
          </cell>
        </row>
        <row r="10256">
          <cell r="CJ10256" t="str">
            <v xml:space="preserve">AXISCN0985181545 </v>
          </cell>
          <cell r="CK10256" t="str">
            <v>2025-06-02</v>
          </cell>
          <cell r="CL10256">
            <v>20551.901000000002</v>
          </cell>
          <cell r="CM10256" t="str">
            <v xml:space="preserve">NFT-/XUTR/DEUTH02515349679X </v>
          </cell>
          <cell r="CN10256" t="str">
            <v>2025-06-02</v>
          </cell>
          <cell r="CO10256">
            <v>638.63699999999994</v>
          </cell>
        </row>
        <row r="10259">
          <cell r="CJ10259" t="str">
            <v xml:space="preserve">AXISCN0983783294 </v>
          </cell>
          <cell r="CK10259" t="str">
            <v>2025-05-30</v>
          </cell>
          <cell r="CL10259">
            <v>6125.8</v>
          </cell>
        </row>
        <row r="10260">
          <cell r="CJ10260" t="str">
            <v xml:space="preserve">AXISCN0983783294 </v>
          </cell>
          <cell r="CK10260" t="str">
            <v>2025-05-30</v>
          </cell>
          <cell r="CL10260">
            <v>20410.723999999998</v>
          </cell>
          <cell r="CM10260" t="str">
            <v xml:space="preserve">NFT-/XUTR/DEUTH02515071889X </v>
          </cell>
          <cell r="CN10260" t="str">
            <v>2025-05-30</v>
          </cell>
          <cell r="CO10260">
            <v>634.76</v>
          </cell>
        </row>
        <row r="10261">
          <cell r="CJ10261" t="str">
            <v xml:space="preserve">AXISCN0985181545 </v>
          </cell>
          <cell r="CK10261" t="str">
            <v>2025-06-02</v>
          </cell>
          <cell r="CL10261">
            <v>104693.932</v>
          </cell>
        </row>
        <row r="10262">
          <cell r="CJ10262" t="str">
            <v xml:space="preserve">AXISCN0985181545 </v>
          </cell>
          <cell r="CK10262" t="str">
            <v>2025-06-02</v>
          </cell>
          <cell r="CL10262">
            <v>104742.462</v>
          </cell>
        </row>
        <row r="10263">
          <cell r="CJ10263" t="str">
            <v xml:space="preserve">AXISCN0985181545 </v>
          </cell>
          <cell r="CK10263" t="str">
            <v>2025-06-02</v>
          </cell>
          <cell r="CL10263">
            <v>104693.932</v>
          </cell>
        </row>
        <row r="10264">
          <cell r="CJ10264" t="str">
            <v xml:space="preserve">AXISCN0985181545 </v>
          </cell>
          <cell r="CK10264" t="str">
            <v>2025-06-02</v>
          </cell>
          <cell r="CL10264">
            <v>104693.932</v>
          </cell>
        </row>
        <row r="10265">
          <cell r="CJ10265" t="str">
            <v xml:space="preserve">AXISCN0985181545 </v>
          </cell>
          <cell r="CK10265" t="str">
            <v>2025-06-02</v>
          </cell>
          <cell r="CL10265">
            <v>6290.8</v>
          </cell>
        </row>
        <row r="10266">
          <cell r="CJ10266" t="str">
            <v xml:space="preserve">AXISCN0985181545 </v>
          </cell>
          <cell r="CK10266" t="str">
            <v>2025-06-02</v>
          </cell>
          <cell r="CL10266">
            <v>20533.02</v>
          </cell>
          <cell r="CM10266" t="str">
            <v xml:space="preserve">NFT-/XUTR/DEUTH02515349679X </v>
          </cell>
          <cell r="CN10266" t="str">
            <v>2025-06-02</v>
          </cell>
          <cell r="CO10266">
            <v>638.63699999999994</v>
          </cell>
        </row>
        <row r="10267">
          <cell r="CJ10267" t="str">
            <v xml:space="preserve">AXISCN0985181545 </v>
          </cell>
          <cell r="CK10267" t="str">
            <v>2025-06-02</v>
          </cell>
          <cell r="CL10267">
            <v>20533.02</v>
          </cell>
          <cell r="CM10267" t="str">
            <v xml:space="preserve">NFT-/XUTR/DEUTH02515349679X </v>
          </cell>
          <cell r="CN10267" t="str">
            <v>2025-06-02</v>
          </cell>
          <cell r="CO10267">
            <v>638.63699999999994</v>
          </cell>
        </row>
        <row r="10268">
          <cell r="CJ10268" t="str">
            <v xml:space="preserve">AXISCN0985181545 </v>
          </cell>
          <cell r="CK10268" t="str">
            <v>2025-06-02</v>
          </cell>
          <cell r="CL10268">
            <v>6290.8</v>
          </cell>
        </row>
        <row r="10269">
          <cell r="CJ10269" t="str">
            <v xml:space="preserve">AXISCN0985181545 </v>
          </cell>
          <cell r="CK10269" t="str">
            <v>2025-06-02</v>
          </cell>
          <cell r="CL10269">
            <v>105859.156</v>
          </cell>
        </row>
        <row r="10272">
          <cell r="CJ10272" t="str">
            <v xml:space="preserve">AXISCN0985181545 </v>
          </cell>
          <cell r="CK10272" t="str">
            <v>2025-06-02</v>
          </cell>
          <cell r="CL10272">
            <v>51021.148000000001</v>
          </cell>
          <cell r="CM10272" t="str">
            <v xml:space="preserve">NFT-/XUTR/DEUTH02515349679X </v>
          </cell>
          <cell r="CN10272" t="str">
            <v>2025-06-02</v>
          </cell>
          <cell r="CO10272">
            <v>1581.07</v>
          </cell>
        </row>
        <row r="10273">
          <cell r="CJ10273" t="str">
            <v xml:space="preserve">AXISCN0985181545 </v>
          </cell>
          <cell r="CK10273" t="str">
            <v>2025-06-02</v>
          </cell>
          <cell r="CL10273">
            <v>51021.148000000001</v>
          </cell>
          <cell r="CM10273" t="str">
            <v xml:space="preserve">NFT-/XUTR/DEUTH02515349679X </v>
          </cell>
          <cell r="CN10273" t="str">
            <v>2025-06-02</v>
          </cell>
          <cell r="CO10273">
            <v>1581.07</v>
          </cell>
        </row>
        <row r="10274">
          <cell r="CJ10274" t="str">
            <v xml:space="preserve">AXISCN0985181545 </v>
          </cell>
          <cell r="CK10274" t="str">
            <v>2025-06-02</v>
          </cell>
          <cell r="CL10274">
            <v>56349.298000000003</v>
          </cell>
          <cell r="CM10274" t="str">
            <v xml:space="preserve">NFT-/XUTR/DEUTH02515349679X </v>
          </cell>
          <cell r="CN10274" t="str">
            <v>2025-06-02</v>
          </cell>
          <cell r="CO10274">
            <v>1746.06</v>
          </cell>
        </row>
        <row r="10275">
          <cell r="CJ10275" t="str">
            <v xml:space="preserve">AXISCN0985181545 </v>
          </cell>
          <cell r="CK10275" t="str">
            <v>2025-06-02</v>
          </cell>
          <cell r="CL10275">
            <v>10316.745999999999</v>
          </cell>
          <cell r="CM10275" t="str">
            <v xml:space="preserve">NFT-/XUTR/DEUTH02515349679X </v>
          </cell>
          <cell r="CN10275" t="str">
            <v>2025-06-02</v>
          </cell>
          <cell r="CO10275">
            <v>322.226</v>
          </cell>
        </row>
        <row r="10276">
          <cell r="CJ10276" t="str">
            <v xml:space="preserve">AXISCN0985181545 </v>
          </cell>
          <cell r="CK10276" t="str">
            <v>2025-06-02</v>
          </cell>
          <cell r="CL10276">
            <v>9798.8979999999992</v>
          </cell>
          <cell r="CM10276" t="str">
            <v xml:space="preserve">NFT-/XUTR/DEUTH02515349679X </v>
          </cell>
          <cell r="CN10276" t="str">
            <v>2025-06-02</v>
          </cell>
          <cell r="CO10276">
            <v>858.95500000000004</v>
          </cell>
        </row>
        <row r="10277">
          <cell r="CJ10277" t="str">
            <v xml:space="preserve">AXISCN0985181545 </v>
          </cell>
          <cell r="CK10277" t="str">
            <v>2025-06-02</v>
          </cell>
          <cell r="CL10277">
            <v>6250.2960000000003</v>
          </cell>
        </row>
        <row r="10279">
          <cell r="CJ10279" t="str">
            <v xml:space="preserve">AXISCN0985181545 </v>
          </cell>
          <cell r="CK10279" t="str">
            <v>2025-06-02</v>
          </cell>
          <cell r="CL10279">
            <v>20514.57</v>
          </cell>
          <cell r="CM10279" t="str">
            <v xml:space="preserve">NFT-/XUTR/DEUTH02515349679X </v>
          </cell>
          <cell r="CN10279" t="str">
            <v>2025-06-02</v>
          </cell>
          <cell r="CO10279">
            <v>637.673</v>
          </cell>
        </row>
        <row r="10280">
          <cell r="CJ10280" t="str">
            <v xml:space="preserve">AXISCN0985181545 </v>
          </cell>
          <cell r="CK10280" t="str">
            <v>2025-06-02</v>
          </cell>
          <cell r="CL10280">
            <v>10316.745999999999</v>
          </cell>
          <cell r="CM10280" t="str">
            <v xml:space="preserve">NFT-/XUTR/DEUTH02515349679X </v>
          </cell>
          <cell r="CN10280" t="str">
            <v>2025-06-02</v>
          </cell>
          <cell r="CO10280">
            <v>322.226</v>
          </cell>
        </row>
        <row r="10281">
          <cell r="CJ10281" t="str">
            <v xml:space="preserve">NFT-/XUTR/DEUTH02515525687X </v>
          </cell>
          <cell r="CK10281" t="str">
            <v>2025-06-04</v>
          </cell>
          <cell r="CL10281">
            <v>10316.745999999999</v>
          </cell>
          <cell r="CM10281" t="str">
            <v xml:space="preserve">NFT-/XUTR/DEUTH02515569640X </v>
          </cell>
          <cell r="CN10281" t="str">
            <v>2025-06-04</v>
          </cell>
          <cell r="CO10281">
            <v>322.226</v>
          </cell>
        </row>
        <row r="10282">
          <cell r="CJ10282" t="str">
            <v xml:space="preserve">NFT-/XUTR/DEUTH02515525687X </v>
          </cell>
          <cell r="CK10282" t="str">
            <v>2025-06-04</v>
          </cell>
          <cell r="CL10282">
            <v>10316.745999999999</v>
          </cell>
          <cell r="CM10282" t="str">
            <v xml:space="preserve">NFT-/XUTR/DEUTH02515569640X </v>
          </cell>
          <cell r="CN10282" t="str">
            <v>2025-06-04</v>
          </cell>
          <cell r="CO10282">
            <v>322.226</v>
          </cell>
        </row>
        <row r="10283">
          <cell r="CJ10283" t="str">
            <v xml:space="preserve">NFT-/XUTR/DEUTH02515525687X </v>
          </cell>
          <cell r="CK10283" t="str">
            <v>2025-06-04</v>
          </cell>
          <cell r="CL10283">
            <v>10316.745999999999</v>
          </cell>
          <cell r="CM10283" t="str">
            <v xml:space="preserve">NFT-/XUTR/DEUTH02515569640X </v>
          </cell>
          <cell r="CN10283" t="str">
            <v>2025-06-04</v>
          </cell>
          <cell r="CO10283">
            <v>322.226</v>
          </cell>
        </row>
        <row r="10284">
          <cell r="CJ10284" t="str">
            <v xml:space="preserve">NFT-/XUTR/DEUTH02515525687X </v>
          </cell>
          <cell r="CK10284" t="str">
            <v>2025-06-04</v>
          </cell>
          <cell r="CL10284">
            <v>10316.745999999999</v>
          </cell>
          <cell r="CM10284" t="str">
            <v xml:space="preserve">NFT-/XUTR/DEUTH02515569640X </v>
          </cell>
          <cell r="CN10284" t="str">
            <v>2025-06-04</v>
          </cell>
          <cell r="CO10284">
            <v>322.226</v>
          </cell>
        </row>
        <row r="10285">
          <cell r="CJ10285" t="str">
            <v xml:space="preserve">NFT-/XUTR/DEUTH02515525687X </v>
          </cell>
          <cell r="CK10285" t="str">
            <v>2025-06-04</v>
          </cell>
          <cell r="CL10285">
            <v>51002.267999999996</v>
          </cell>
          <cell r="CM10285" t="str">
            <v xml:space="preserve">NFT-/XUTR/DEUTH02515569640X </v>
          </cell>
          <cell r="CN10285" t="str">
            <v>2025-06-04</v>
          </cell>
          <cell r="CO10285">
            <v>1581.07</v>
          </cell>
        </row>
        <row r="10286">
          <cell r="CJ10286" t="str">
            <v xml:space="preserve">NFT-/XUTR/DEUTH02515525687X </v>
          </cell>
          <cell r="CK10286" t="str">
            <v>2025-06-04</v>
          </cell>
          <cell r="CL10286">
            <v>51002.267999999996</v>
          </cell>
          <cell r="CM10286" t="str">
            <v xml:space="preserve">NFT-/XUTR/DEUTH02515569640X </v>
          </cell>
          <cell r="CN10286" t="str">
            <v>2025-06-04</v>
          </cell>
          <cell r="CO10286">
            <v>1581.07</v>
          </cell>
        </row>
        <row r="10287">
          <cell r="CJ10287" t="str">
            <v xml:space="preserve">NFT-/XUTR/DEUTH02515525687X </v>
          </cell>
          <cell r="CK10287" t="str">
            <v>2025-06-04</v>
          </cell>
          <cell r="CL10287">
            <v>51002.267999999996</v>
          </cell>
          <cell r="CM10287" t="str">
            <v xml:space="preserve">NFT-/XUTR/DEUTH02515569640X </v>
          </cell>
          <cell r="CN10287" t="str">
            <v>2025-06-04</v>
          </cell>
          <cell r="CO10287">
            <v>1581.07</v>
          </cell>
        </row>
        <row r="10288">
          <cell r="CJ10288" t="str">
            <v xml:space="preserve">NFT-/XUTR/DEUTH02515525687X </v>
          </cell>
          <cell r="CK10288" t="str">
            <v>2025-06-04</v>
          </cell>
          <cell r="CL10288">
            <v>11841.514999999999</v>
          </cell>
          <cell r="CM10288" t="str">
            <v xml:space="preserve">NFT-/XUTR/DEUTH02515569640X </v>
          </cell>
          <cell r="CN10288" t="str">
            <v>2025-06-04</v>
          </cell>
          <cell r="CO10288">
            <v>369.79</v>
          </cell>
        </row>
        <row r="10289">
          <cell r="CJ10289" t="str">
            <v xml:space="preserve">NFT-/XUTR/DEUTH02515525687X </v>
          </cell>
          <cell r="CK10289" t="str">
            <v>2025-06-04</v>
          </cell>
          <cell r="CL10289">
            <v>20977.542000000001</v>
          </cell>
        </row>
        <row r="10290">
          <cell r="CJ10290" t="str">
            <v xml:space="preserve">NFT-/XUTR/DEUTH02515525687X </v>
          </cell>
          <cell r="CK10290" t="str">
            <v>2025-06-04</v>
          </cell>
          <cell r="CL10290">
            <v>6086.45</v>
          </cell>
        </row>
        <row r="10291">
          <cell r="CJ10291" t="str">
            <v xml:space="preserve">NFT-/XUTR/DEUTH02515525687X </v>
          </cell>
          <cell r="CK10291" t="str">
            <v>2025-06-04</v>
          </cell>
          <cell r="CL10291">
            <v>12153.075999999999</v>
          </cell>
          <cell r="CM10291" t="str">
            <v xml:space="preserve">NFT-/XUTR/DEUTH02515569640X </v>
          </cell>
          <cell r="CN10291" t="str">
            <v>2025-06-04</v>
          </cell>
          <cell r="CO10291">
            <v>388.23</v>
          </cell>
        </row>
        <row r="10292">
          <cell r="CJ10292" t="str">
            <v xml:space="preserve">NFT-/XUTR/DEUTH02515525687X </v>
          </cell>
          <cell r="CK10292" t="str">
            <v>2025-06-04</v>
          </cell>
          <cell r="CL10292">
            <v>6178.7</v>
          </cell>
        </row>
        <row r="10293">
          <cell r="CJ10293" t="str">
            <v xml:space="preserve">NFT-/XUTR/DEUTH02515525687X </v>
          </cell>
          <cell r="CK10293" t="str">
            <v>2025-06-04</v>
          </cell>
          <cell r="CL10293">
            <v>50569.396000000001</v>
          </cell>
          <cell r="CM10293" t="str">
            <v xml:space="preserve">NFT-/XUTR/DEUTH02515569640X </v>
          </cell>
          <cell r="CN10293" t="str">
            <v>2025-06-04</v>
          </cell>
          <cell r="CO10293">
            <v>1567.482</v>
          </cell>
        </row>
        <row r="10294">
          <cell r="CJ10294" t="str">
            <v xml:space="preserve">NFT-/XUTR/DEUTH02515525687X </v>
          </cell>
          <cell r="CK10294" t="str">
            <v>2025-06-04</v>
          </cell>
          <cell r="CL10294">
            <v>5698.22</v>
          </cell>
          <cell r="CM10294" t="str">
            <v xml:space="preserve">NFT-/XUTR/DEUTH02515569640X </v>
          </cell>
          <cell r="CN10294" t="str">
            <v>2025-06-04</v>
          </cell>
          <cell r="CO10294">
            <v>388.23</v>
          </cell>
        </row>
        <row r="10295">
          <cell r="CJ10295" t="str">
            <v xml:space="preserve">NFT-/XUTR/DEUTH02515525687X </v>
          </cell>
          <cell r="CK10295" t="str">
            <v>2025-06-04</v>
          </cell>
          <cell r="CL10295">
            <v>2393.9490000000001</v>
          </cell>
          <cell r="CM10295" t="str">
            <v xml:space="preserve">NFT-/XUTR/DEUTH02515569640X </v>
          </cell>
          <cell r="CN10295" t="str">
            <v>2025-06-04</v>
          </cell>
          <cell r="CO10295">
            <v>276.61</v>
          </cell>
        </row>
        <row r="10296">
          <cell r="CJ10296" t="str">
            <v xml:space="preserve">NFT-/XUTR/DEUTH02515525687X </v>
          </cell>
          <cell r="CK10296" t="str">
            <v>2025-06-04</v>
          </cell>
          <cell r="CL10296">
            <v>104917.163</v>
          </cell>
        </row>
        <row r="10297">
          <cell r="CJ10297" t="str">
            <v xml:space="preserve">NFT-/XUTR/DEUTH02515525687X </v>
          </cell>
          <cell r="CK10297" t="str">
            <v>2025-06-04</v>
          </cell>
          <cell r="CL10297">
            <v>51714.673000000003</v>
          </cell>
          <cell r="CM10297" t="str">
            <v xml:space="preserve">NFT-/XUTR/DEUTH02515569640X </v>
          </cell>
          <cell r="CN10297" t="str">
            <v>2025-06-04</v>
          </cell>
          <cell r="CO10297">
            <v>422.19600000000003</v>
          </cell>
        </row>
        <row r="10298">
          <cell r="CJ10298" t="str">
            <v xml:space="preserve">NFT-/XUTR/DEUTH02515525687X </v>
          </cell>
          <cell r="CK10298" t="str">
            <v>2025-06-04</v>
          </cell>
          <cell r="CL10298">
            <v>10163.397000000001</v>
          </cell>
          <cell r="CM10298" t="str">
            <v xml:space="preserve">NFT-/XUTR/DEUTH02515569640X </v>
          </cell>
          <cell r="CN10298" t="str">
            <v>2025-06-04</v>
          </cell>
          <cell r="CO10298">
            <v>388.23</v>
          </cell>
        </row>
        <row r="10299">
          <cell r="CJ10299" t="str">
            <v xml:space="preserve">NFT-/XUTR/DEUTH02515525687X </v>
          </cell>
          <cell r="CK10299" t="str">
            <v>2025-06-04</v>
          </cell>
          <cell r="CL10299">
            <v>10241.482</v>
          </cell>
          <cell r="CM10299" t="str">
            <v xml:space="preserve">NFT-/XUTR/DEUTH02515569640X </v>
          </cell>
          <cell r="CN10299" t="str">
            <v>2025-06-04</v>
          </cell>
          <cell r="CO10299">
            <v>319.32400000000001</v>
          </cell>
        </row>
        <row r="10300">
          <cell r="CJ10300" t="str">
            <v xml:space="preserve">NFT-/XUTR/DEUTH02515525687X </v>
          </cell>
          <cell r="CK10300" t="str">
            <v>2025-06-04</v>
          </cell>
          <cell r="CL10300">
            <v>10541.915000000001</v>
          </cell>
        </row>
        <row r="10301">
          <cell r="CJ10301" t="str">
            <v xml:space="preserve">NFT-/XUTR/DEUTH02515525687X </v>
          </cell>
          <cell r="CK10301" t="str">
            <v>2025-06-04</v>
          </cell>
          <cell r="CL10301">
            <v>102118.976</v>
          </cell>
          <cell r="CM10301" t="str">
            <v xml:space="preserve">NFT-/XUTR/DEUTH02515569640X </v>
          </cell>
          <cell r="CN10301" t="str">
            <v>2025-06-04</v>
          </cell>
          <cell r="CO10301">
            <v>3162.13</v>
          </cell>
        </row>
        <row r="10302">
          <cell r="CJ10302" t="str">
            <v xml:space="preserve">NFT-/XUTR/DEUTH02515525687X </v>
          </cell>
          <cell r="CK10302" t="str">
            <v>2025-06-04</v>
          </cell>
          <cell r="CL10302">
            <v>-163.31</v>
          </cell>
        </row>
        <row r="10303">
          <cell r="CJ10303" t="str">
            <v xml:space="preserve">NFT-/XUTR/DEUTH02515525687X </v>
          </cell>
          <cell r="CK10303" t="str">
            <v>2025-06-04</v>
          </cell>
          <cell r="CL10303">
            <v>102043.272</v>
          </cell>
          <cell r="CM10303" t="str">
            <v xml:space="preserve">NFT-/XUTR/DEUTH02515569640X </v>
          </cell>
          <cell r="CN10303" t="str">
            <v>2025-06-04</v>
          </cell>
          <cell r="CO10303">
            <v>3160.194</v>
          </cell>
        </row>
        <row r="10304">
          <cell r="CJ10304" t="str">
            <v xml:space="preserve">NFT-/XUTR/DEUTH02515525687X </v>
          </cell>
          <cell r="CK10304" t="str">
            <v>2025-06-04</v>
          </cell>
          <cell r="CL10304">
            <v>10335.626</v>
          </cell>
          <cell r="CM10304" t="str">
            <v xml:space="preserve">NFT-/XUTR/DEUTH02515569640X </v>
          </cell>
          <cell r="CN10304" t="str">
            <v>2025-06-04</v>
          </cell>
          <cell r="CO10304">
            <v>322.226</v>
          </cell>
        </row>
        <row r="10305">
          <cell r="CJ10305" t="str">
            <v xml:space="preserve">NFT-/XUTR/DEUTH02515525687X </v>
          </cell>
          <cell r="CK10305" t="str">
            <v>2025-06-04</v>
          </cell>
          <cell r="CL10305">
            <v>10316.745999999999</v>
          </cell>
          <cell r="CM10305" t="str">
            <v xml:space="preserve">NFT-/XUTR/DEUTH02515569640X </v>
          </cell>
          <cell r="CN10305" t="str">
            <v>2025-06-04</v>
          </cell>
          <cell r="CO10305">
            <v>322.226</v>
          </cell>
        </row>
        <row r="10306">
          <cell r="CJ10306" t="str">
            <v xml:space="preserve">NFT-/XUTR/DEUTH02515525687X </v>
          </cell>
          <cell r="CK10306" t="str">
            <v>2025-06-04</v>
          </cell>
          <cell r="CL10306">
            <v>20533.45</v>
          </cell>
          <cell r="CM10306" t="str">
            <v xml:space="preserve">NFT-/XUTR/DEUTH02515569640X </v>
          </cell>
          <cell r="CN10306" t="str">
            <v>2025-06-04</v>
          </cell>
          <cell r="CO10306">
            <v>637.673</v>
          </cell>
        </row>
        <row r="10307">
          <cell r="CJ10307" t="str">
            <v xml:space="preserve">NFT-/XUTR/DEUTH02515525687X </v>
          </cell>
          <cell r="CK10307" t="str">
            <v>2025-06-04</v>
          </cell>
          <cell r="CL10307">
            <v>10316.745999999999</v>
          </cell>
          <cell r="CM10307" t="str">
            <v xml:space="preserve">NFT-/XUTR/DEUTH02515569640X </v>
          </cell>
          <cell r="CN10307" t="str">
            <v>2025-06-04</v>
          </cell>
          <cell r="CO10307">
            <v>322.226</v>
          </cell>
        </row>
        <row r="10308">
          <cell r="CJ10308" t="str">
            <v xml:space="preserve">NFT-/XUTR/DEUTH02515525687X </v>
          </cell>
          <cell r="CK10308" t="str">
            <v>2025-06-04</v>
          </cell>
          <cell r="CL10308">
            <v>20770.037</v>
          </cell>
        </row>
        <row r="10309">
          <cell r="CJ10309" t="str">
            <v xml:space="preserve">NFT-/XUTR/DEUTH02515525687X </v>
          </cell>
          <cell r="CK10309" t="str">
            <v>2025-06-04</v>
          </cell>
          <cell r="CL10309">
            <v>50588.277000000002</v>
          </cell>
          <cell r="CM10309" t="str">
            <v xml:space="preserve">NFT-/XUTR/DEUTH02515569640X </v>
          </cell>
          <cell r="CN10309" t="str">
            <v>2025-06-04</v>
          </cell>
          <cell r="CO10309">
            <v>1567.482</v>
          </cell>
        </row>
        <row r="10310">
          <cell r="CJ10310" t="str">
            <v xml:space="preserve">NFT-/XUTR/DEUTH02515525687X </v>
          </cell>
          <cell r="CK10310" t="str">
            <v>2025-06-04</v>
          </cell>
          <cell r="CL10310">
            <v>50588.275999999998</v>
          </cell>
          <cell r="CM10310" t="str">
            <v xml:space="preserve">NFT-/XUTR/DEUTH02515569640X </v>
          </cell>
          <cell r="CN10310" t="str">
            <v>2025-06-04</v>
          </cell>
          <cell r="CO10310">
            <v>1567.482</v>
          </cell>
        </row>
        <row r="10311">
          <cell r="CJ10311" t="str">
            <v xml:space="preserve">NFT-/XUTR/DEUTH02515525687X </v>
          </cell>
          <cell r="CK10311" t="str">
            <v>2025-06-04</v>
          </cell>
          <cell r="CL10311">
            <v>50588.277000000002</v>
          </cell>
          <cell r="CM10311" t="str">
            <v xml:space="preserve">NFT-/XUTR/DEUTH02515569640X </v>
          </cell>
          <cell r="CN10311" t="str">
            <v>2025-06-04</v>
          </cell>
          <cell r="CO10311">
            <v>1567.482</v>
          </cell>
        </row>
        <row r="10312">
          <cell r="CJ10312" t="str">
            <v xml:space="preserve">NFT-/XUTR/DEUTH02515525687X </v>
          </cell>
          <cell r="CK10312" t="str">
            <v>2025-06-04</v>
          </cell>
          <cell r="CL10312">
            <v>1525.2819999999999</v>
          </cell>
        </row>
        <row r="10313">
          <cell r="CJ10313" t="str">
            <v xml:space="preserve">NFT-/XUTR/DEUTH02515525687X </v>
          </cell>
          <cell r="CK10313" t="str">
            <v>2025-06-04</v>
          </cell>
          <cell r="CL10313">
            <v>104917.163</v>
          </cell>
        </row>
        <row r="10314">
          <cell r="CJ10314" t="str">
            <v xml:space="preserve">NFT-/XUTR/DEUTH02515525687X </v>
          </cell>
          <cell r="CK10314" t="str">
            <v>2025-06-04</v>
          </cell>
          <cell r="CL10314">
            <v>104917.163</v>
          </cell>
        </row>
        <row r="10315">
          <cell r="CJ10315" t="str">
            <v xml:space="preserve">NFT-/XUTR/DEUTH02515525687X </v>
          </cell>
          <cell r="CK10315" t="str">
            <v>2025-06-04</v>
          </cell>
          <cell r="CL10315">
            <v>104917.163</v>
          </cell>
        </row>
        <row r="10316">
          <cell r="CJ10316" t="str">
            <v xml:space="preserve">NFT-/XUTR/DEUTH02515525687X </v>
          </cell>
          <cell r="CK10316" t="str">
            <v>2025-06-04</v>
          </cell>
          <cell r="CL10316">
            <v>104917.163</v>
          </cell>
        </row>
        <row r="10317">
          <cell r="CJ10317" t="str">
            <v xml:space="preserve">NFT-/XUTR/DEUTH02515525687X </v>
          </cell>
          <cell r="CK10317" t="str">
            <v>2025-06-04</v>
          </cell>
          <cell r="CL10317">
            <v>104917.163</v>
          </cell>
        </row>
        <row r="10318">
          <cell r="CJ10318" t="str">
            <v xml:space="preserve">NFT-/XUTR/DEUTH02515525687X </v>
          </cell>
          <cell r="CK10318" t="str">
            <v>2025-06-04</v>
          </cell>
          <cell r="CL10318">
            <v>104917.163</v>
          </cell>
        </row>
        <row r="10319">
          <cell r="CJ10319" t="str">
            <v xml:space="preserve">NFT-/XUTR/DEUTH02515525687X </v>
          </cell>
          <cell r="CK10319" t="str">
            <v>2025-06-04</v>
          </cell>
          <cell r="CL10319">
            <v>101177.516</v>
          </cell>
          <cell r="CM10319" t="str">
            <v xml:space="preserve">NFT-/XUTR/DEUTH02515569640X </v>
          </cell>
          <cell r="CN10319" t="str">
            <v>2025-06-04</v>
          </cell>
          <cell r="CO10319">
            <v>3134.9540000000002</v>
          </cell>
        </row>
        <row r="10320">
          <cell r="CJ10320" t="str">
            <v xml:space="preserve">NFT-/XUTR/DEUTH02515525687X </v>
          </cell>
          <cell r="CK10320" t="str">
            <v>2025-06-04</v>
          </cell>
          <cell r="CL10320">
            <v>50569.396000000001</v>
          </cell>
          <cell r="CM10320" t="str">
            <v xml:space="preserve">NFT-/XUTR/DEUTH02515569640X </v>
          </cell>
          <cell r="CN10320" t="str">
            <v>2025-06-04</v>
          </cell>
          <cell r="CO10320">
            <v>1567.482</v>
          </cell>
        </row>
        <row r="10321">
          <cell r="CJ10321" t="str">
            <v xml:space="preserve">NFT-/XUTR/DEUTH02515525687X </v>
          </cell>
          <cell r="CK10321" t="str">
            <v>2025-06-04</v>
          </cell>
          <cell r="CL10321">
            <v>104917.163</v>
          </cell>
        </row>
        <row r="10322">
          <cell r="CJ10322" t="str">
            <v xml:space="preserve">NFT-/XUTR/DEUTH02515525687X </v>
          </cell>
          <cell r="CK10322" t="str">
            <v>2025-06-04</v>
          </cell>
          <cell r="CL10322">
            <v>104917.163</v>
          </cell>
        </row>
        <row r="10323">
          <cell r="CJ10323" t="str">
            <v xml:space="preserve">NFT-/XUTR/DEUTH02515525687X </v>
          </cell>
          <cell r="CK10323" t="str">
            <v>2025-06-04</v>
          </cell>
          <cell r="CL10323">
            <v>104917.163</v>
          </cell>
        </row>
        <row r="10324">
          <cell r="CJ10324" t="str">
            <v xml:space="preserve">NFT-/XUTR/DEUTH02515525687X </v>
          </cell>
          <cell r="CK10324" t="str">
            <v>2025-06-04</v>
          </cell>
          <cell r="CL10324">
            <v>104917.163</v>
          </cell>
        </row>
        <row r="10325">
          <cell r="CJ10325" t="str">
            <v xml:space="preserve">NFT-/XUTR/DEUTH02515525687X </v>
          </cell>
          <cell r="CK10325" t="str">
            <v>2025-06-04</v>
          </cell>
          <cell r="CL10325">
            <v>104917.163</v>
          </cell>
        </row>
        <row r="10326">
          <cell r="CJ10326" t="str">
            <v xml:space="preserve">NFT-/XUTR/DEUTH02515525687X </v>
          </cell>
          <cell r="CK10326" t="str">
            <v>2025-06-04</v>
          </cell>
          <cell r="CL10326">
            <v>104917.163</v>
          </cell>
        </row>
        <row r="10327">
          <cell r="CJ10327" t="str">
            <v xml:space="preserve">NFT-/XUTR/DEUTH02515525687X </v>
          </cell>
          <cell r="CK10327" t="str">
            <v>2025-06-04</v>
          </cell>
          <cell r="CL10327">
            <v>10153.686</v>
          </cell>
          <cell r="CM10327" t="str">
            <v xml:space="preserve">NFT-/XUTR/DEUTH02515569640X </v>
          </cell>
          <cell r="CN10327" t="str">
            <v>2025-06-04</v>
          </cell>
          <cell r="CO10327">
            <v>388.23</v>
          </cell>
        </row>
        <row r="10328">
          <cell r="CJ10328" t="str">
            <v xml:space="preserve">NFT-/XUTR/DEUTH02515525687X </v>
          </cell>
          <cell r="CK10328" t="str">
            <v>2025-06-04</v>
          </cell>
          <cell r="CL10328">
            <v>10172.566000000001</v>
          </cell>
          <cell r="CM10328" t="str">
            <v xml:space="preserve">NFT-/XUTR/DEUTH02515569640X </v>
          </cell>
          <cell r="CN10328" t="str">
            <v>2025-06-04</v>
          </cell>
          <cell r="CO10328">
            <v>388.23</v>
          </cell>
        </row>
        <row r="10329">
          <cell r="CJ10329" t="str">
            <v xml:space="preserve">NFT-/XUTR/DEUTH02515525687X </v>
          </cell>
          <cell r="CK10329" t="str">
            <v>2025-06-04</v>
          </cell>
          <cell r="CL10329">
            <v>10541.915000000001</v>
          </cell>
        </row>
        <row r="10330">
          <cell r="CJ10330" t="str">
            <v xml:space="preserve">NFT-/XUTR/DEUTH02515525687X </v>
          </cell>
          <cell r="CK10330" t="str">
            <v>2025-06-04</v>
          </cell>
          <cell r="CL10330">
            <v>84557.418999999994</v>
          </cell>
        </row>
        <row r="10332">
          <cell r="CJ10332" t="str">
            <v xml:space="preserve">NFT-/XUTR/DEUTH02515525687X </v>
          </cell>
          <cell r="CK10332" t="str">
            <v>2025-06-04</v>
          </cell>
          <cell r="CL10332">
            <v>10541.915000000001</v>
          </cell>
        </row>
        <row r="10333">
          <cell r="CJ10333" t="str">
            <v xml:space="preserve">NFT-/XUTR/DEUTH02515525687X </v>
          </cell>
          <cell r="CK10333" t="str">
            <v>2025-06-04</v>
          </cell>
          <cell r="CL10333">
            <v>20592.530999999999</v>
          </cell>
        </row>
      </sheetData>
      <sheetData sheetId="3" refreshError="1"/>
      <sheetData sheetId="4"/>
      <sheetData sheetId="5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ish Kumar" id="{0CD10208-E4E6-4BFE-B4F1-E907A62FB2D1}" userId="S::Manish.Kumar@mmtcpamp.com::83990bb7-ad72-4883-a95d-9e391d2a57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S2" dT="2024-09-24T12:26:05.30" personId="{0CD10208-E4E6-4BFE-B4F1-E907A62FB2D1}" id="{56B6EEBB-E82B-4B1D-B1C6-A23AF387DDC4}">
    <text>Gold fixed fee is 67 but FK charged 65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5-16T06:59:05.32" personId="{0CD10208-E4E6-4BFE-B4F1-E907A62FB2D1}" id="{1C99493C-3762-44CE-8C1C-733DB470E9C4}">
    <text>Status on Hold due to tech glitch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E529-20F6-4D82-8062-526E5FD1DAC7}">
  <dimension ref="A1:JV10"/>
  <sheetViews>
    <sheetView showGridLines="0" workbookViewId="0">
      <selection activeCell="JV1" sqref="A1:JV1"/>
    </sheetView>
  </sheetViews>
  <sheetFormatPr defaultRowHeight="14.45"/>
  <cols>
    <col min="1" max="1" width="4.5703125" bestFit="1" customWidth="1"/>
    <col min="2" max="2" width="13.140625" bestFit="1" customWidth="1"/>
    <col min="3" max="3" width="15.28515625" bestFit="1" customWidth="1"/>
    <col min="4" max="4" width="14.85546875" bestFit="1" customWidth="1"/>
    <col min="5" max="5" width="11.28515625" bestFit="1" customWidth="1"/>
    <col min="6" max="6" width="12.42578125" bestFit="1" customWidth="1"/>
    <col min="7" max="7" width="23.28515625" bestFit="1" customWidth="1"/>
    <col min="8" max="8" width="17.42578125" bestFit="1" customWidth="1"/>
    <col min="9" max="9" width="13.85546875" bestFit="1" customWidth="1"/>
    <col min="10" max="10" width="7.42578125" bestFit="1" customWidth="1"/>
    <col min="11" max="11" width="9.5703125" bestFit="1" customWidth="1"/>
    <col min="12" max="12" width="11.140625" bestFit="1" customWidth="1"/>
    <col min="13" max="13" width="13.42578125" bestFit="1" customWidth="1"/>
    <col min="14" max="14" width="15" bestFit="1" customWidth="1"/>
    <col min="15" max="15" width="6" bestFit="1" customWidth="1"/>
    <col min="16" max="16" width="8.28515625" bestFit="1" customWidth="1"/>
    <col min="17" max="17" width="14.42578125" bestFit="1" customWidth="1"/>
    <col min="18" max="18" width="15.5703125" bestFit="1" customWidth="1"/>
    <col min="19" max="19" width="21.85546875" bestFit="1" customWidth="1"/>
    <col min="20" max="20" width="18.140625" bestFit="1" customWidth="1"/>
    <col min="21" max="21" width="19.42578125" bestFit="1" customWidth="1"/>
    <col min="22" max="22" width="30.140625" bestFit="1" customWidth="1"/>
    <col min="23" max="23" width="26.85546875" bestFit="1" customWidth="1"/>
    <col min="24" max="24" width="22.42578125" bestFit="1" customWidth="1"/>
    <col min="25" max="25" width="20.5703125" bestFit="1" customWidth="1"/>
    <col min="26" max="26" width="24" bestFit="1" customWidth="1"/>
    <col min="27" max="27" width="23.5703125" bestFit="1" customWidth="1"/>
    <col min="28" max="28" width="20" bestFit="1" customWidth="1"/>
    <col min="29" max="29" width="21.28515625" bestFit="1" customWidth="1"/>
    <col min="30" max="30" width="21.42578125" bestFit="1" customWidth="1"/>
    <col min="31" max="31" width="22.5703125" bestFit="1" customWidth="1"/>
    <col min="32" max="32" width="7.42578125" bestFit="1" customWidth="1"/>
    <col min="33" max="33" width="5.7109375" bestFit="1" customWidth="1"/>
    <col min="34" max="34" width="5.85546875" bestFit="1" customWidth="1"/>
    <col min="36" max="36" width="15.42578125" bestFit="1" customWidth="1"/>
    <col min="37" max="37" width="12.85546875" bestFit="1" customWidth="1"/>
    <col min="38" max="38" width="23.5703125" bestFit="1" customWidth="1"/>
    <col min="39" max="39" width="15.42578125" bestFit="1" customWidth="1"/>
    <col min="40" max="40" width="8.140625" bestFit="1" customWidth="1"/>
    <col min="41" max="41" width="15.85546875" bestFit="1" customWidth="1"/>
    <col min="42" max="42" width="14.85546875" bestFit="1" customWidth="1"/>
    <col min="43" max="43" width="16.28515625" bestFit="1" customWidth="1"/>
    <col min="44" max="44" width="15.42578125" bestFit="1" customWidth="1"/>
    <col min="45" max="45" width="11.140625" bestFit="1" customWidth="1"/>
    <col min="46" max="46" width="7.85546875" bestFit="1" customWidth="1"/>
    <col min="47" max="47" width="8.140625" bestFit="1" customWidth="1"/>
    <col min="48" max="48" width="18.28515625" bestFit="1" customWidth="1"/>
    <col min="49" max="49" width="12.42578125" bestFit="1" customWidth="1"/>
    <col min="50" max="50" width="14.7109375" bestFit="1" customWidth="1"/>
    <col min="51" max="51" width="7.5703125" bestFit="1" customWidth="1"/>
    <col min="52" max="52" width="9.5703125" bestFit="1" customWidth="1"/>
    <col min="53" max="53" width="7.85546875" bestFit="1" customWidth="1"/>
    <col min="54" max="54" width="9.42578125" bestFit="1" customWidth="1"/>
    <col min="55" max="55" width="7.42578125" bestFit="1" customWidth="1"/>
    <col min="56" max="56" width="9" bestFit="1" customWidth="1"/>
    <col min="57" max="57" width="13.7109375" bestFit="1" customWidth="1"/>
    <col min="58" max="58" width="13.42578125" bestFit="1" customWidth="1"/>
    <col min="59" max="59" width="5.140625" bestFit="1" customWidth="1"/>
    <col min="60" max="60" width="13.7109375" bestFit="1" customWidth="1"/>
    <col min="61" max="61" width="18.7109375" bestFit="1" customWidth="1"/>
    <col min="62" max="62" width="16.140625" bestFit="1" customWidth="1"/>
    <col min="63" max="63" width="4.85546875" bestFit="1" customWidth="1"/>
    <col min="64" max="64" width="15.42578125" bestFit="1" customWidth="1"/>
    <col min="65" max="65" width="8.5703125" bestFit="1" customWidth="1"/>
    <col min="66" max="66" width="7.140625" bestFit="1" customWidth="1"/>
    <col min="67" max="67" width="6.28515625" bestFit="1" customWidth="1"/>
    <col min="68" max="68" width="11.140625" bestFit="1" customWidth="1"/>
    <col min="69" max="69" width="15.85546875" bestFit="1" customWidth="1"/>
    <col min="70" max="70" width="10.42578125" bestFit="1" customWidth="1"/>
    <col min="71" max="71" width="27.140625" bestFit="1" customWidth="1"/>
    <col min="72" max="72" width="13.7109375" bestFit="1" customWidth="1"/>
    <col min="73" max="73" width="11.42578125" bestFit="1" customWidth="1"/>
    <col min="74" max="74" width="12.42578125" bestFit="1" customWidth="1"/>
    <col min="75" max="75" width="7.5703125" bestFit="1" customWidth="1"/>
    <col min="76" max="76" width="18.42578125" bestFit="1" customWidth="1"/>
    <col min="77" max="77" width="19.7109375" bestFit="1" customWidth="1"/>
    <col min="78" max="78" width="17.5703125" bestFit="1" customWidth="1"/>
    <col min="79" max="79" width="6.140625" bestFit="1" customWidth="1"/>
    <col min="80" max="80" width="5.42578125" bestFit="1" customWidth="1"/>
    <col min="81" max="81" width="11.140625" bestFit="1" customWidth="1"/>
    <col min="82" max="82" width="6.42578125" bestFit="1" customWidth="1"/>
    <col min="83" max="83" width="8" bestFit="1" customWidth="1"/>
    <col min="84" max="85" width="9.85546875" bestFit="1" customWidth="1"/>
    <col min="86" max="86" width="17.42578125" bestFit="1" customWidth="1"/>
    <col min="87" max="87" width="8.140625" bestFit="1" customWidth="1"/>
    <col min="88" max="88" width="19.7109375" bestFit="1" customWidth="1"/>
    <col min="89" max="89" width="8.140625" bestFit="1" customWidth="1"/>
    <col min="90" max="90" width="11.28515625" bestFit="1" customWidth="1"/>
    <col min="91" max="91" width="19.7109375" bestFit="1" customWidth="1"/>
    <col min="92" max="93" width="23.7109375" bestFit="1" customWidth="1"/>
    <col min="94" max="94" width="28.85546875" bestFit="1" customWidth="1"/>
    <col min="95" max="95" width="15.140625" bestFit="1" customWidth="1"/>
    <col min="96" max="96" width="39.5703125" bestFit="1" customWidth="1"/>
    <col min="97" max="97" width="33.140625" bestFit="1" customWidth="1"/>
    <col min="98" max="98" width="9.85546875" bestFit="1" customWidth="1"/>
    <col min="99" max="99" width="21.28515625" bestFit="1" customWidth="1"/>
    <col min="100" max="100" width="19.42578125" bestFit="1" customWidth="1"/>
    <col min="101" max="101" width="19.7109375" bestFit="1" customWidth="1"/>
    <col min="102" max="102" width="10.7109375" bestFit="1" customWidth="1"/>
    <col min="103" max="103" width="16.140625" bestFit="1" customWidth="1"/>
    <col min="104" max="104" width="14.140625" bestFit="1" customWidth="1"/>
    <col min="105" max="105" width="47.140625" bestFit="1" customWidth="1"/>
    <col min="106" max="106" width="8.85546875" bestFit="1" customWidth="1"/>
    <col min="107" max="107" width="6.7109375" bestFit="1" customWidth="1"/>
    <col min="108" max="108" width="7.85546875" bestFit="1" customWidth="1"/>
    <col min="109" max="109" width="13.28515625" bestFit="1" customWidth="1"/>
    <col min="110" max="110" width="11.140625" bestFit="1" customWidth="1"/>
    <col min="111" max="111" width="12.28515625" bestFit="1" customWidth="1"/>
    <col min="112" max="112" width="12.5703125" bestFit="1" customWidth="1"/>
    <col min="113" max="113" width="26.42578125" bestFit="1" customWidth="1"/>
    <col min="114" max="114" width="27.7109375" bestFit="1" customWidth="1"/>
    <col min="115" max="115" width="10.28515625" bestFit="1" customWidth="1"/>
    <col min="116" max="116" width="12.85546875" bestFit="1" customWidth="1"/>
    <col min="117" max="117" width="15.5703125" bestFit="1" customWidth="1"/>
    <col min="118" max="118" width="18.85546875" bestFit="1" customWidth="1"/>
    <col min="119" max="119" width="9.5703125" bestFit="1" customWidth="1"/>
    <col min="120" max="120" width="17.5703125" bestFit="1" customWidth="1"/>
    <col min="121" max="121" width="10.42578125" bestFit="1" customWidth="1"/>
    <col min="122" max="122" width="10.7109375" bestFit="1" customWidth="1"/>
    <col min="123" max="123" width="28.85546875" bestFit="1" customWidth="1"/>
    <col min="124" max="124" width="10.140625" bestFit="1" customWidth="1"/>
    <col min="125" max="125" width="17.42578125" bestFit="1" customWidth="1"/>
    <col min="126" max="126" width="8.5703125" bestFit="1" customWidth="1"/>
    <col min="127" max="127" width="6.5703125" bestFit="1" customWidth="1"/>
    <col min="128" max="128" width="17.42578125" bestFit="1" customWidth="1"/>
    <col min="129" max="129" width="8.5703125" bestFit="1" customWidth="1"/>
    <col min="130" max="130" width="6.5703125" bestFit="1" customWidth="1"/>
    <col min="131" max="131" width="17.42578125" bestFit="1" customWidth="1"/>
    <col min="132" max="132" width="8.5703125" bestFit="1" customWidth="1"/>
    <col min="133" max="133" width="6.5703125" bestFit="1" customWidth="1"/>
    <col min="134" max="134" width="17.42578125" bestFit="1" customWidth="1"/>
    <col min="135" max="135" width="8.5703125" bestFit="1" customWidth="1"/>
    <col min="136" max="136" width="6.5703125" bestFit="1" customWidth="1"/>
    <col min="137" max="137" width="17.42578125" bestFit="1" customWidth="1"/>
    <col min="138" max="138" width="8.5703125" bestFit="1" customWidth="1"/>
    <col min="139" max="139" width="6.5703125" bestFit="1" customWidth="1"/>
    <col min="140" max="140" width="17.42578125" bestFit="1" customWidth="1"/>
    <col min="141" max="141" width="8.5703125" bestFit="1" customWidth="1"/>
    <col min="142" max="142" width="6.5703125" bestFit="1" customWidth="1"/>
    <col min="143" max="143" width="17.42578125" bestFit="1" customWidth="1"/>
    <col min="144" max="144" width="22.85546875" bestFit="1" customWidth="1"/>
    <col min="145" max="145" width="12" bestFit="1" customWidth="1"/>
    <col min="146" max="146" width="8.42578125" bestFit="1" customWidth="1"/>
    <col min="147" max="147" width="12.5703125" bestFit="1" customWidth="1"/>
    <col min="148" max="148" width="10.28515625" bestFit="1" customWidth="1"/>
    <col min="149" max="149" width="9.42578125" bestFit="1" customWidth="1"/>
    <col min="150" max="150" width="13.5703125" bestFit="1" customWidth="1"/>
    <col min="151" max="151" width="15.42578125" bestFit="1" customWidth="1"/>
    <col min="152" max="152" width="12" bestFit="1" customWidth="1"/>
    <col min="153" max="153" width="24.140625" bestFit="1" customWidth="1"/>
    <col min="154" max="154" width="19.42578125" bestFit="1" customWidth="1"/>
    <col min="155" max="155" width="9" bestFit="1" customWidth="1"/>
    <col min="156" max="156" width="4.140625" bestFit="1" customWidth="1"/>
    <col min="157" max="157" width="4.7109375" bestFit="1" customWidth="1"/>
    <col min="158" max="158" width="20.28515625" bestFit="1" customWidth="1"/>
    <col min="159" max="159" width="10.140625" bestFit="1" customWidth="1"/>
    <col min="160" max="160" width="9.85546875" bestFit="1" customWidth="1"/>
    <col min="161" max="161" width="9.42578125" bestFit="1" customWidth="1"/>
    <col min="162" max="162" width="17.7109375" bestFit="1" customWidth="1"/>
    <col min="163" max="163" width="11.42578125" bestFit="1" customWidth="1"/>
    <col min="164" max="164" width="9.42578125" bestFit="1" customWidth="1"/>
    <col min="165" max="165" width="28.5703125" bestFit="1" customWidth="1"/>
    <col min="166" max="166" width="13.28515625" bestFit="1" customWidth="1"/>
    <col min="167" max="168" width="10.5703125" bestFit="1" customWidth="1"/>
    <col min="169" max="169" width="6.28515625" bestFit="1" customWidth="1"/>
    <col min="170" max="170" width="11.42578125" bestFit="1" customWidth="1"/>
    <col min="171" max="171" width="9.28515625" bestFit="1" customWidth="1"/>
    <col min="172" max="172" width="7.85546875" bestFit="1" customWidth="1"/>
    <col min="173" max="173" width="8.5703125" bestFit="1" customWidth="1"/>
    <col min="174" max="174" width="7" bestFit="1" customWidth="1"/>
    <col min="175" max="175" width="13.5703125" bestFit="1" customWidth="1"/>
    <col min="176" max="176" width="14" bestFit="1" customWidth="1"/>
    <col min="177" max="177" width="12.5703125" bestFit="1" customWidth="1"/>
    <col min="178" max="178" width="14.85546875" bestFit="1" customWidth="1"/>
    <col min="179" max="179" width="9.42578125" bestFit="1" customWidth="1"/>
    <col min="180" max="180" width="24.42578125" bestFit="1" customWidth="1"/>
    <col min="181" max="181" width="16.42578125" bestFit="1" customWidth="1"/>
    <col min="182" max="182" width="11.5703125" bestFit="1" customWidth="1"/>
    <col min="183" max="183" width="15.5703125" bestFit="1" customWidth="1"/>
    <col min="184" max="184" width="14.140625" bestFit="1" customWidth="1"/>
    <col min="185" max="185" width="9.42578125" bestFit="1" customWidth="1"/>
    <col min="186" max="186" width="10.140625" bestFit="1" customWidth="1"/>
    <col min="187" max="187" width="11.5703125" bestFit="1" customWidth="1"/>
    <col min="188" max="188" width="12.28515625" bestFit="1" customWidth="1"/>
    <col min="189" max="189" width="15.5703125" bestFit="1" customWidth="1"/>
    <col min="190" max="190" width="34.7109375" bestFit="1" customWidth="1"/>
    <col min="191" max="191" width="8" bestFit="1" customWidth="1"/>
    <col min="192" max="192" width="7.85546875" bestFit="1" customWidth="1"/>
    <col min="193" max="193" width="7.42578125" bestFit="1" customWidth="1"/>
    <col min="194" max="194" width="8.7109375" bestFit="1" customWidth="1"/>
    <col min="195" max="195" width="6.5703125" bestFit="1" customWidth="1"/>
    <col min="196" max="196" width="16.42578125" bestFit="1" customWidth="1"/>
    <col min="197" max="197" width="4.5703125" bestFit="1" customWidth="1"/>
    <col min="198" max="198" width="7.85546875" bestFit="1" customWidth="1"/>
    <col min="199" max="199" width="11.140625" bestFit="1" customWidth="1"/>
    <col min="200" max="200" width="10.42578125" bestFit="1" customWidth="1"/>
    <col min="201" max="201" width="16.140625" bestFit="1" customWidth="1"/>
    <col min="202" max="202" width="15.5703125" bestFit="1" customWidth="1"/>
    <col min="203" max="203" width="10.140625" bestFit="1" customWidth="1"/>
    <col min="204" max="204" width="10.42578125" bestFit="1" customWidth="1"/>
    <col min="205" max="205" width="15.140625" bestFit="1" customWidth="1"/>
    <col min="206" max="206" width="6.42578125" bestFit="1" customWidth="1"/>
    <col min="207" max="207" width="31.5703125" bestFit="1" customWidth="1"/>
    <col min="208" max="208" width="9.5703125" bestFit="1" customWidth="1"/>
    <col min="209" max="209" width="13.7109375" bestFit="1" customWidth="1"/>
    <col min="210" max="210" width="37.85546875" bestFit="1" customWidth="1"/>
    <col min="211" max="211" width="23.5703125" bestFit="1" customWidth="1"/>
    <col min="212" max="212" width="20.5703125" bestFit="1" customWidth="1"/>
    <col min="213" max="213" width="17.140625" bestFit="1" customWidth="1"/>
    <col min="214" max="214" width="23.42578125" bestFit="1" customWidth="1"/>
    <col min="215" max="215" width="13.85546875" bestFit="1" customWidth="1"/>
    <col min="216" max="216" width="30.5703125" bestFit="1" customWidth="1"/>
    <col min="217" max="217" width="34.5703125" bestFit="1" customWidth="1"/>
    <col min="218" max="219" width="9.140625" bestFit="1" customWidth="1"/>
    <col min="220" max="220" width="10.42578125" bestFit="1" customWidth="1"/>
    <col min="221" max="221" width="20" bestFit="1" customWidth="1"/>
    <col min="222" max="222" width="11.85546875" bestFit="1" customWidth="1"/>
    <col min="223" max="223" width="10.85546875" bestFit="1" customWidth="1"/>
    <col min="224" max="224" width="13.5703125" bestFit="1" customWidth="1"/>
    <col min="225" max="225" width="15.5703125" bestFit="1" customWidth="1"/>
    <col min="226" max="226" width="14.7109375" bestFit="1" customWidth="1"/>
    <col min="227" max="227" width="8.7109375" bestFit="1" customWidth="1"/>
    <col min="228" max="228" width="20.5703125" bestFit="1" customWidth="1"/>
    <col min="229" max="229" width="22.140625" bestFit="1" customWidth="1"/>
    <col min="230" max="230" width="11.85546875" bestFit="1" customWidth="1"/>
    <col min="231" max="231" width="18" bestFit="1" customWidth="1"/>
    <col min="232" max="232" width="12.42578125" bestFit="1" customWidth="1"/>
    <col min="233" max="233" width="18.85546875" bestFit="1" customWidth="1"/>
    <col min="234" max="234" width="9.42578125" bestFit="1" customWidth="1"/>
    <col min="235" max="235" width="4.7109375" bestFit="1" customWidth="1"/>
    <col min="236" max="236" width="20.28515625" bestFit="1" customWidth="1"/>
    <col min="237" max="237" width="16.5703125" bestFit="1" customWidth="1"/>
    <col min="238" max="238" width="27.140625" bestFit="1" customWidth="1"/>
    <col min="239" max="239" width="18.140625" bestFit="1" customWidth="1"/>
    <col min="240" max="240" width="24.85546875" bestFit="1" customWidth="1"/>
    <col min="241" max="241" width="14.28515625" bestFit="1" customWidth="1"/>
    <col min="242" max="242" width="20.42578125" bestFit="1" customWidth="1"/>
    <col min="243" max="243" width="35.140625" bestFit="1" customWidth="1"/>
    <col min="244" max="244" width="19.42578125" bestFit="1" customWidth="1"/>
    <col min="245" max="245" width="22.140625" bestFit="1" customWidth="1"/>
    <col min="246" max="246" width="17.85546875" bestFit="1" customWidth="1"/>
    <col min="247" max="247" width="33.85546875" bestFit="1" customWidth="1"/>
    <col min="248" max="248" width="21.85546875" bestFit="1" customWidth="1"/>
    <col min="249" max="249" width="28.42578125" bestFit="1" customWidth="1"/>
    <col min="250" max="250" width="26.85546875" bestFit="1" customWidth="1"/>
    <col min="251" max="252" width="22.42578125" bestFit="1" customWidth="1"/>
    <col min="253" max="253" width="23.5703125" bestFit="1" customWidth="1"/>
    <col min="254" max="254" width="24.7109375" bestFit="1" customWidth="1"/>
    <col min="255" max="255" width="17.85546875" bestFit="1" customWidth="1"/>
    <col min="256" max="256" width="28.140625" bestFit="1" customWidth="1"/>
    <col min="257" max="257" width="27" bestFit="1" customWidth="1"/>
    <col min="258" max="258" width="17.140625" bestFit="1" customWidth="1"/>
    <col min="259" max="259" width="30.28515625" bestFit="1" customWidth="1"/>
    <col min="260" max="260" width="19.85546875" bestFit="1" customWidth="1"/>
    <col min="261" max="261" width="20.140625" bestFit="1" customWidth="1"/>
    <col min="262" max="262" width="17.42578125" bestFit="1" customWidth="1"/>
    <col min="263" max="263" width="22.5703125" bestFit="1" customWidth="1"/>
    <col min="264" max="264" width="22.85546875" bestFit="1" customWidth="1"/>
    <col min="265" max="265" width="23.140625" bestFit="1" customWidth="1"/>
    <col min="266" max="266" width="26.42578125" bestFit="1" customWidth="1"/>
    <col min="267" max="267" width="13.5703125" bestFit="1" customWidth="1"/>
    <col min="268" max="268" width="19.5703125" bestFit="1" customWidth="1"/>
    <col min="269" max="269" width="12" bestFit="1" customWidth="1"/>
    <col min="270" max="270" width="12" customWidth="1"/>
    <col min="271" max="271" width="13.7109375" bestFit="1" customWidth="1"/>
    <col min="272" max="272" width="14.7109375" bestFit="1" customWidth="1"/>
    <col min="273" max="281" width="8" bestFit="1" customWidth="1"/>
    <col min="282" max="282" width="8.85546875" bestFit="1" customWidth="1"/>
  </cols>
  <sheetData>
    <row r="1" spans="1:282" ht="15.95">
      <c r="A1" s="691" t="s">
        <v>0</v>
      </c>
      <c r="B1" s="691" t="s">
        <v>1</v>
      </c>
      <c r="C1" s="691" t="s">
        <v>2</v>
      </c>
      <c r="D1" s="691" t="s">
        <v>3</v>
      </c>
      <c r="E1" s="691" t="s">
        <v>4</v>
      </c>
      <c r="F1" s="691" t="s">
        <v>5</v>
      </c>
      <c r="G1" s="691" t="s">
        <v>6</v>
      </c>
      <c r="H1" s="691" t="s">
        <v>7</v>
      </c>
      <c r="I1" s="691" t="s">
        <v>8</v>
      </c>
      <c r="J1" s="691" t="s">
        <v>9</v>
      </c>
      <c r="K1" s="691" t="s">
        <v>10</v>
      </c>
      <c r="L1" s="691" t="s">
        <v>11</v>
      </c>
      <c r="M1" s="691" t="s">
        <v>12</v>
      </c>
      <c r="N1" s="691" t="s">
        <v>13</v>
      </c>
      <c r="O1" s="691" t="s">
        <v>14</v>
      </c>
      <c r="P1" s="691" t="s">
        <v>15</v>
      </c>
      <c r="Q1" s="691" t="s">
        <v>16</v>
      </c>
      <c r="R1" s="691" t="s">
        <v>17</v>
      </c>
      <c r="S1" s="691" t="s">
        <v>18</v>
      </c>
      <c r="T1" s="691" t="s">
        <v>19</v>
      </c>
      <c r="U1" s="691" t="s">
        <v>20</v>
      </c>
      <c r="V1" s="691" t="s">
        <v>21</v>
      </c>
      <c r="W1" s="691" t="s">
        <v>22</v>
      </c>
      <c r="X1" s="691" t="s">
        <v>23</v>
      </c>
      <c r="Y1" s="691" t="s">
        <v>24</v>
      </c>
      <c r="Z1" s="691" t="s">
        <v>25</v>
      </c>
      <c r="AA1" s="691" t="s">
        <v>26</v>
      </c>
      <c r="AB1" s="691" t="s">
        <v>27</v>
      </c>
      <c r="AC1" s="691" t="s">
        <v>28</v>
      </c>
      <c r="AD1" s="691" t="s">
        <v>29</v>
      </c>
      <c r="AE1" s="691" t="s">
        <v>30</v>
      </c>
      <c r="AF1" s="691" t="s">
        <v>31</v>
      </c>
      <c r="AG1" s="691" t="s">
        <v>32</v>
      </c>
      <c r="AH1" s="691" t="s">
        <v>33</v>
      </c>
      <c r="AI1" s="691" t="s">
        <v>34</v>
      </c>
      <c r="AJ1" s="691" t="s">
        <v>35</v>
      </c>
      <c r="AK1" s="691" t="s">
        <v>36</v>
      </c>
      <c r="AL1" s="691" t="s">
        <v>37</v>
      </c>
      <c r="AM1" s="691" t="s">
        <v>38</v>
      </c>
      <c r="AN1" s="691" t="s">
        <v>39</v>
      </c>
      <c r="AO1" s="691" t="s">
        <v>40</v>
      </c>
      <c r="AP1" s="691" t="s">
        <v>41</v>
      </c>
      <c r="AQ1" s="691" t="s">
        <v>42</v>
      </c>
      <c r="AR1" s="691" t="s">
        <v>43</v>
      </c>
      <c r="AS1" s="691" t="s">
        <v>44</v>
      </c>
      <c r="AT1" s="691" t="s">
        <v>45</v>
      </c>
      <c r="AU1" s="691" t="s">
        <v>46</v>
      </c>
      <c r="AV1" s="691" t="s">
        <v>47</v>
      </c>
      <c r="AW1" s="691" t="s">
        <v>48</v>
      </c>
      <c r="AX1" s="691" t="s">
        <v>49</v>
      </c>
      <c r="AY1" s="691" t="s">
        <v>50</v>
      </c>
      <c r="AZ1" s="691" t="s">
        <v>51</v>
      </c>
      <c r="BA1" s="691" t="s">
        <v>52</v>
      </c>
      <c r="BB1" s="691" t="s">
        <v>53</v>
      </c>
      <c r="BC1" s="691" t="s">
        <v>54</v>
      </c>
      <c r="BD1" s="691" t="s">
        <v>55</v>
      </c>
      <c r="BE1" s="691" t="s">
        <v>56</v>
      </c>
      <c r="BF1" s="691" t="s">
        <v>57</v>
      </c>
      <c r="BG1" s="691" t="s">
        <v>58</v>
      </c>
      <c r="BH1" s="691" t="s">
        <v>59</v>
      </c>
      <c r="BI1" s="691" t="s">
        <v>60</v>
      </c>
      <c r="BJ1" s="691" t="s">
        <v>61</v>
      </c>
      <c r="BK1" s="691" t="s">
        <v>62</v>
      </c>
      <c r="BL1" s="691" t="s">
        <v>63</v>
      </c>
      <c r="BM1" s="691" t="s">
        <v>64</v>
      </c>
      <c r="BN1" s="691" t="s">
        <v>65</v>
      </c>
      <c r="BO1" s="691" t="s">
        <v>66</v>
      </c>
      <c r="BP1" s="691" t="s">
        <v>67</v>
      </c>
      <c r="BQ1" s="691" t="s">
        <v>68</v>
      </c>
      <c r="BR1" s="691" t="s">
        <v>69</v>
      </c>
      <c r="BS1" s="691" t="s">
        <v>70</v>
      </c>
      <c r="BT1" s="691" t="s">
        <v>71</v>
      </c>
      <c r="BU1" s="691" t="s">
        <v>72</v>
      </c>
      <c r="BV1" s="691" t="s">
        <v>73</v>
      </c>
      <c r="BW1" s="691" t="s">
        <v>74</v>
      </c>
      <c r="BX1" s="691" t="s">
        <v>75</v>
      </c>
      <c r="BY1" s="691" t="s">
        <v>76</v>
      </c>
      <c r="BZ1" s="691" t="s">
        <v>77</v>
      </c>
      <c r="CA1" s="691" t="s">
        <v>78</v>
      </c>
      <c r="CB1" s="691" t="s">
        <v>79</v>
      </c>
      <c r="CC1" s="691" t="s">
        <v>80</v>
      </c>
      <c r="CD1" s="691" t="s">
        <v>81</v>
      </c>
      <c r="CE1" s="691" t="s">
        <v>82</v>
      </c>
      <c r="CF1" s="691" t="s">
        <v>83</v>
      </c>
      <c r="CG1" s="691" t="s">
        <v>84</v>
      </c>
      <c r="CH1" s="691" t="s">
        <v>85</v>
      </c>
      <c r="CI1" s="691" t="s">
        <v>86</v>
      </c>
      <c r="CJ1" s="2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1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12" t="s">
        <v>112</v>
      </c>
      <c r="DJ1" s="12" t="s">
        <v>113</v>
      </c>
      <c r="DK1" s="12" t="s">
        <v>114</v>
      </c>
      <c r="DL1" s="12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93</v>
      </c>
      <c r="DS1" s="14" t="s">
        <v>121</v>
      </c>
      <c r="DT1" s="14" t="s">
        <v>122</v>
      </c>
      <c r="DU1" s="14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  <c r="EB1" s="14" t="s">
        <v>130</v>
      </c>
      <c r="EC1" s="14" t="s">
        <v>131</v>
      </c>
      <c r="ED1" s="14" t="s">
        <v>132</v>
      </c>
      <c r="EE1" s="14" t="s">
        <v>133</v>
      </c>
      <c r="EF1" s="14" t="s">
        <v>134</v>
      </c>
      <c r="EG1" s="14" t="s">
        <v>135</v>
      </c>
      <c r="EH1" s="14" t="s">
        <v>133</v>
      </c>
      <c r="EI1" s="14" t="s">
        <v>134</v>
      </c>
      <c r="EJ1" s="14" t="s">
        <v>135</v>
      </c>
      <c r="EK1" s="14" t="s">
        <v>133</v>
      </c>
      <c r="EL1" s="14" t="s">
        <v>134</v>
      </c>
      <c r="EM1" s="14" t="s">
        <v>135</v>
      </c>
      <c r="EN1" s="692" t="s">
        <v>136</v>
      </c>
      <c r="EO1" s="692" t="s">
        <v>137</v>
      </c>
      <c r="EP1" s="692" t="s">
        <v>138</v>
      </c>
      <c r="EQ1" s="693" t="s">
        <v>139</v>
      </c>
      <c r="ER1" s="692" t="s">
        <v>140</v>
      </c>
      <c r="ES1" s="693" t="s">
        <v>141</v>
      </c>
      <c r="ET1" s="692" t="s">
        <v>142</v>
      </c>
      <c r="EU1" s="692" t="s">
        <v>143</v>
      </c>
      <c r="EV1" s="694" t="s">
        <v>144</v>
      </c>
      <c r="EW1" s="695" t="s">
        <v>145</v>
      </c>
      <c r="EX1" s="696" t="s">
        <v>146</v>
      </c>
      <c r="EY1" s="696" t="s">
        <v>147</v>
      </c>
      <c r="EZ1" s="697" t="s">
        <v>148</v>
      </c>
      <c r="FA1" s="696" t="s">
        <v>149</v>
      </c>
      <c r="FB1" s="693" t="s">
        <v>150</v>
      </c>
      <c r="FC1" s="693" t="s">
        <v>151</v>
      </c>
      <c r="FD1" s="693" t="s">
        <v>118</v>
      </c>
      <c r="FE1" s="698" t="s">
        <v>152</v>
      </c>
      <c r="FF1" s="699" t="s">
        <v>153</v>
      </c>
      <c r="FG1" s="699" t="s">
        <v>154</v>
      </c>
      <c r="FH1" s="698" t="s">
        <v>152</v>
      </c>
      <c r="FI1" s="698" t="s">
        <v>153</v>
      </c>
      <c r="FJ1" s="699" t="s">
        <v>155</v>
      </c>
      <c r="FK1" s="699" t="s">
        <v>156</v>
      </c>
      <c r="FL1" s="699" t="s">
        <v>157</v>
      </c>
      <c r="FM1" s="699" t="s">
        <v>158</v>
      </c>
      <c r="FN1" s="699" t="s">
        <v>154</v>
      </c>
      <c r="FO1" s="39" t="s">
        <v>118</v>
      </c>
      <c r="FP1" s="39" t="s">
        <v>86</v>
      </c>
      <c r="FQ1" s="39" t="s">
        <v>159</v>
      </c>
      <c r="FR1" s="39" t="s">
        <v>160</v>
      </c>
      <c r="FS1" s="27" t="s">
        <v>161</v>
      </c>
      <c r="FT1" s="27" t="s">
        <v>162</v>
      </c>
      <c r="FU1" s="28" t="s">
        <v>163</v>
      </c>
      <c r="FV1" s="29" t="s">
        <v>10</v>
      </c>
      <c r="FW1" s="30" t="s">
        <v>164</v>
      </c>
      <c r="FX1" s="30" t="s">
        <v>165</v>
      </c>
      <c r="FY1" s="30" t="s">
        <v>166</v>
      </c>
      <c r="FZ1" s="30" t="s">
        <v>167</v>
      </c>
      <c r="GA1" s="31" t="s">
        <v>168</v>
      </c>
      <c r="GB1" s="31" t="s">
        <v>169</v>
      </c>
      <c r="GC1" s="31" t="s">
        <v>170</v>
      </c>
      <c r="GD1" s="31" t="s">
        <v>171</v>
      </c>
      <c r="GE1" s="700" t="s">
        <v>172</v>
      </c>
      <c r="GF1" s="700" t="s">
        <v>173</v>
      </c>
      <c r="GG1" s="700" t="s">
        <v>174</v>
      </c>
      <c r="GH1" s="700" t="s">
        <v>175</v>
      </c>
      <c r="GI1" s="700" t="s">
        <v>176</v>
      </c>
      <c r="GJ1" s="700" t="s">
        <v>177</v>
      </c>
      <c r="GK1" s="700" t="s">
        <v>178</v>
      </c>
      <c r="GL1" s="700" t="s">
        <v>179</v>
      </c>
      <c r="GM1" s="700" t="s">
        <v>180</v>
      </c>
      <c r="GN1" s="700" t="s">
        <v>181</v>
      </c>
      <c r="GO1" s="700" t="s">
        <v>182</v>
      </c>
      <c r="GP1" s="700" t="s">
        <v>183</v>
      </c>
      <c r="GQ1" s="700" t="s">
        <v>184</v>
      </c>
      <c r="GR1" s="700" t="s">
        <v>185</v>
      </c>
      <c r="GS1" s="700" t="s">
        <v>186</v>
      </c>
      <c r="GT1" s="700" t="s">
        <v>187</v>
      </c>
      <c r="GU1" s="700" t="s">
        <v>188</v>
      </c>
      <c r="GV1" s="700" t="s">
        <v>189</v>
      </c>
      <c r="GW1" s="700" t="s">
        <v>190</v>
      </c>
      <c r="GX1" s="700" t="s">
        <v>191</v>
      </c>
      <c r="GY1" s="44" t="s">
        <v>153</v>
      </c>
      <c r="GZ1" s="44" t="s">
        <v>192</v>
      </c>
      <c r="HA1" s="701" t="s">
        <v>193</v>
      </c>
      <c r="HB1" s="701" t="s">
        <v>194</v>
      </c>
      <c r="HC1" s="702" t="s">
        <v>195</v>
      </c>
      <c r="HD1" s="702" t="s">
        <v>196</v>
      </c>
      <c r="HE1" s="702" t="s">
        <v>197</v>
      </c>
      <c r="HF1" s="702" t="s">
        <v>198</v>
      </c>
      <c r="HG1" s="702" t="s">
        <v>199</v>
      </c>
      <c r="HH1" s="702" t="s">
        <v>200</v>
      </c>
      <c r="HI1" s="702" t="s">
        <v>201</v>
      </c>
      <c r="HJ1" s="702" t="s">
        <v>202</v>
      </c>
      <c r="HK1" s="702" t="s">
        <v>203</v>
      </c>
      <c r="HL1" s="702" t="s">
        <v>204</v>
      </c>
      <c r="HM1" s="702" t="s">
        <v>205</v>
      </c>
      <c r="HN1" s="702" t="s">
        <v>206</v>
      </c>
      <c r="HO1" s="703" t="s">
        <v>207</v>
      </c>
      <c r="HP1" s="703" t="s">
        <v>208</v>
      </c>
      <c r="HQ1" s="703" t="s">
        <v>209</v>
      </c>
      <c r="HR1" s="703" t="s">
        <v>210</v>
      </c>
      <c r="HS1" s="703" t="s">
        <v>39</v>
      </c>
      <c r="HT1" s="703" t="s">
        <v>211</v>
      </c>
      <c r="HU1" s="703" t="s">
        <v>212</v>
      </c>
      <c r="HV1" s="703" t="s">
        <v>213</v>
      </c>
      <c r="HW1" s="703" t="s">
        <v>214</v>
      </c>
      <c r="HX1" s="45" t="s">
        <v>215</v>
      </c>
      <c r="HY1" s="45" t="s">
        <v>216</v>
      </c>
      <c r="HZ1" s="45" t="s">
        <v>217</v>
      </c>
      <c r="IA1" s="46" t="s">
        <v>136</v>
      </c>
      <c r="IB1" s="46" t="s">
        <v>218</v>
      </c>
      <c r="IC1" s="46" t="s">
        <v>219</v>
      </c>
      <c r="ID1" s="47" t="s">
        <v>220</v>
      </c>
      <c r="IE1" s="47" t="s">
        <v>221</v>
      </c>
      <c r="IF1" s="47" t="s">
        <v>222</v>
      </c>
      <c r="IG1" s="47" t="s">
        <v>223</v>
      </c>
      <c r="IH1" s="47" t="s">
        <v>224</v>
      </c>
      <c r="II1" s="47" t="s">
        <v>225</v>
      </c>
      <c r="IJ1" s="47" t="s">
        <v>226</v>
      </c>
      <c r="IK1" s="47" t="s">
        <v>227</v>
      </c>
      <c r="IL1" s="47" t="s">
        <v>228</v>
      </c>
      <c r="IM1" s="47" t="s">
        <v>229</v>
      </c>
      <c r="IN1" s="46" t="s">
        <v>230</v>
      </c>
      <c r="IO1" s="47" t="s">
        <v>231</v>
      </c>
      <c r="IP1" s="47" t="s">
        <v>232</v>
      </c>
      <c r="IQ1" s="47" t="s">
        <v>233</v>
      </c>
      <c r="IR1" s="47" t="s">
        <v>233</v>
      </c>
      <c r="IS1" s="47" t="s">
        <v>234</v>
      </c>
      <c r="IT1" s="46" t="s">
        <v>235</v>
      </c>
      <c r="IU1" s="46" t="s">
        <v>236</v>
      </c>
      <c r="IV1" s="48" t="s">
        <v>237</v>
      </c>
      <c r="IW1" s="46" t="s">
        <v>238</v>
      </c>
      <c r="IX1" s="46" t="s">
        <v>239</v>
      </c>
      <c r="IY1" s="46" t="s">
        <v>240</v>
      </c>
      <c r="IZ1" s="49" t="s">
        <v>241</v>
      </c>
      <c r="JA1" s="50" t="s">
        <v>242</v>
      </c>
      <c r="JB1" s="50" t="s">
        <v>243</v>
      </c>
      <c r="JC1" s="50" t="s">
        <v>244</v>
      </c>
      <c r="JD1" s="50" t="s">
        <v>245</v>
      </c>
      <c r="JE1" s="50" t="s">
        <v>246</v>
      </c>
      <c r="JF1" s="50" t="s">
        <v>247</v>
      </c>
      <c r="JG1" s="50" t="s">
        <v>248</v>
      </c>
      <c r="JH1" s="51" t="s">
        <v>249</v>
      </c>
      <c r="JI1" s="51" t="s">
        <v>11</v>
      </c>
      <c r="JJ1" s="51" t="s">
        <v>95</v>
      </c>
      <c r="JK1" s="51" t="s">
        <v>250</v>
      </c>
      <c r="JL1" s="51" t="s">
        <v>251</v>
      </c>
      <c r="JM1" s="700" t="s">
        <v>252</v>
      </c>
      <c r="JN1" s="700" t="s">
        <v>253</v>
      </c>
      <c r="JO1" s="700" t="s">
        <v>254</v>
      </c>
      <c r="JP1" s="700" t="s">
        <v>255</v>
      </c>
      <c r="JQ1" s="700" t="s">
        <v>256</v>
      </c>
      <c r="JR1" s="700" t="s">
        <v>257</v>
      </c>
      <c r="JS1" s="700" t="s">
        <v>258</v>
      </c>
      <c r="JT1" s="700" t="s">
        <v>259</v>
      </c>
      <c r="JU1" s="700" t="s">
        <v>260</v>
      </c>
      <c r="JV1" s="700" t="s">
        <v>261</v>
      </c>
    </row>
    <row r="2" spans="1:282" ht="15.95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 t="s">
        <v>262</v>
      </c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2"/>
      <c r="AX2" s="262"/>
      <c r="AY2" s="262"/>
      <c r="AZ2" s="262"/>
      <c r="BA2" s="262"/>
      <c r="BB2" s="262"/>
      <c r="BC2" s="262"/>
      <c r="BD2" s="262"/>
      <c r="BE2" s="262"/>
      <c r="BF2" s="262"/>
      <c r="BG2" s="262"/>
      <c r="BH2" s="262"/>
      <c r="BI2" s="262"/>
      <c r="BJ2" s="262"/>
      <c r="BK2" s="262"/>
      <c r="BL2" s="262"/>
      <c r="BM2" s="262"/>
      <c r="BN2" s="262"/>
      <c r="BO2" s="262"/>
      <c r="BP2" s="262"/>
      <c r="BQ2" s="262"/>
      <c r="BR2" s="262"/>
      <c r="BS2" s="262"/>
      <c r="BT2" s="262"/>
      <c r="BU2" s="262"/>
      <c r="BV2" s="262"/>
      <c r="BW2" s="262"/>
      <c r="BX2" s="262"/>
      <c r="BY2" s="10" t="s">
        <v>263</v>
      </c>
      <c r="BZ2" s="262"/>
      <c r="CA2" s="262"/>
      <c r="CB2" s="262"/>
      <c r="CC2" s="262"/>
      <c r="CD2" s="262"/>
      <c r="CE2" s="262"/>
      <c r="CF2" s="262"/>
      <c r="CG2" s="262"/>
      <c r="CH2" s="262"/>
      <c r="CI2" s="262"/>
      <c r="CJ2" s="8" t="str">
        <f>LEFT(BY2,20)&amp;AI2</f>
        <v>OD334008082895094100</v>
      </c>
      <c r="CK2" s="9" t="str">
        <f t="shared" ref="CK2" si="0">IF(COUNTIF(CJ:CJ,CJ2)=1,"New ID","Duplicate")</f>
        <v>New ID</v>
      </c>
      <c r="CL2" s="9">
        <f>COUNTIF($CM$2:$CM2,$CM2)</f>
        <v>1</v>
      </c>
      <c r="CM2" s="9" t="str">
        <f>LEFT($BY2,20)</f>
        <v>OD334008082895094100</v>
      </c>
      <c r="CN2" s="11" t="s">
        <v>264</v>
      </c>
      <c r="CO2" s="11" t="s">
        <v>264</v>
      </c>
      <c r="CP2" s="262" t="s">
        <v>265</v>
      </c>
      <c r="CQ2" s="262" t="s">
        <v>266</v>
      </c>
      <c r="CR2" s="262" t="s">
        <v>267</v>
      </c>
      <c r="CS2" s="6" t="str">
        <f>CW2&amp;CZ2</f>
        <v>OD433847789853150100AUYyRIG10.01207</v>
      </c>
      <c r="CT2" s="6" t="e">
        <f>COUNTIF(#REF!,CS2)</f>
        <v>#REF!</v>
      </c>
      <c r="CU2" s="6" t="str">
        <f>CW2&amp;"-"&amp;COUNTIF($D$2:$D2,$D2)</f>
        <v>OD433847789853150100-0</v>
      </c>
      <c r="CV2" s="7" t="s">
        <v>268</v>
      </c>
      <c r="CW2" s="7" t="s">
        <v>269</v>
      </c>
      <c r="CX2" s="262"/>
      <c r="CY2" s="262"/>
      <c r="CZ2" s="7" t="s">
        <v>262</v>
      </c>
      <c r="DA2" s="7" t="s">
        <v>270</v>
      </c>
      <c r="DB2" s="262">
        <v>1</v>
      </c>
      <c r="DC2" s="262" t="s">
        <v>271</v>
      </c>
      <c r="DD2" s="262">
        <v>10</v>
      </c>
      <c r="DE2" s="262">
        <v>0</v>
      </c>
      <c r="DF2" s="262"/>
      <c r="DG2" s="262">
        <v>1</v>
      </c>
      <c r="DH2" s="262"/>
      <c r="DI2" s="15"/>
      <c r="DJ2" s="15"/>
      <c r="DK2" s="16"/>
      <c r="DL2" s="15" t="s">
        <v>272</v>
      </c>
      <c r="DM2" s="17">
        <f t="shared" ref="DM2" si="1">DU2+DX2+EA2+ED2+EG2+EJ2+EM2</f>
        <v>45054.591999999997</v>
      </c>
      <c r="DN2" s="18"/>
      <c r="DO2" s="18">
        <f t="shared" ref="DO2" si="2">DI2-DM2</f>
        <v>-45054.591999999997</v>
      </c>
      <c r="DP2" s="19" t="s">
        <v>273</v>
      </c>
      <c r="DQ2" s="19"/>
      <c r="DR2" s="19"/>
      <c r="DS2" s="17" t="s">
        <v>274</v>
      </c>
      <c r="DT2" s="20" t="s">
        <v>275</v>
      </c>
      <c r="DU2" s="17">
        <v>45054.591999999997</v>
      </c>
      <c r="DV2" s="17"/>
      <c r="DW2" s="20"/>
      <c r="DX2" s="19"/>
      <c r="DY2" s="17"/>
      <c r="DZ2" s="20"/>
      <c r="EA2" s="17"/>
      <c r="EB2" s="17"/>
      <c r="EC2" s="20"/>
      <c r="ED2" s="17"/>
      <c r="EE2" s="17"/>
      <c r="EF2" s="20"/>
      <c r="EG2" s="17"/>
      <c r="EH2" s="17"/>
      <c r="EI2" s="20"/>
      <c r="EJ2" s="17"/>
      <c r="EK2" s="17"/>
      <c r="EL2" s="20"/>
      <c r="EM2" s="17"/>
      <c r="EN2" s="54" t="s">
        <v>276</v>
      </c>
      <c r="EO2" s="55" t="s">
        <v>277</v>
      </c>
      <c r="EP2" s="55" t="s">
        <v>278</v>
      </c>
      <c r="EQ2" s="55">
        <v>16</v>
      </c>
      <c r="ER2" s="19"/>
      <c r="ES2" s="19">
        <v>65</v>
      </c>
      <c r="ET2" s="19" t="str">
        <f>IF(10000&lt;750,"&lt;750","&gt;750")</f>
        <v>&gt;750</v>
      </c>
      <c r="EU2" s="56" t="s">
        <v>279</v>
      </c>
      <c r="EV2" s="21">
        <f>IF(ET2&amp;EU2="&lt;750postpaid",15,"10000"*2%)</f>
        <v>200</v>
      </c>
      <c r="EW2" s="21">
        <f>10000*5%</f>
        <v>500</v>
      </c>
      <c r="EX2" s="22">
        <f t="shared" ref="EX2" si="3">EQ2+ES2+EV2+EW2</f>
        <v>781</v>
      </c>
      <c r="EY2" s="23">
        <f t="shared" ref="EY2" si="4">EX2*18%</f>
        <v>140.57999999999998</v>
      </c>
      <c r="EZ2" s="24">
        <f>100*0.5%</f>
        <v>0.5</v>
      </c>
      <c r="FA2" s="24">
        <f>100*0.1%</f>
        <v>0.1</v>
      </c>
      <c r="FB2" s="25">
        <f>IFERROR(10000-(EX2+EY2+EZ2+FA2),0)</f>
        <v>9077.82</v>
      </c>
      <c r="FC2" s="26">
        <v>9077.82</v>
      </c>
      <c r="FD2" s="25">
        <f>IF(DL2="Match &amp; Found",FB2-FC2,"NA")</f>
        <v>0</v>
      </c>
      <c r="FE2" s="704">
        <v>45803.276018518518</v>
      </c>
      <c r="FF2" s="40" t="s">
        <v>280</v>
      </c>
      <c r="FG2" s="42">
        <v>54143.95</v>
      </c>
      <c r="FH2" s="704">
        <v>45803</v>
      </c>
      <c r="FI2" s="41" t="s">
        <v>281</v>
      </c>
      <c r="FJ2" s="42">
        <v>55017.95699999998</v>
      </c>
      <c r="FK2" s="42">
        <v>0</v>
      </c>
      <c r="FL2" s="42">
        <v>0</v>
      </c>
      <c r="FM2" s="42">
        <v>874.05</v>
      </c>
      <c r="FN2" s="42">
        <v>54143.906999999977</v>
      </c>
      <c r="FO2" s="705">
        <v>4.3000000019674189E-2</v>
      </c>
      <c r="FP2" s="705"/>
      <c r="FQ2" s="40">
        <v>7.2759576141834259E-12</v>
      </c>
      <c r="FR2" s="43" t="s">
        <v>282</v>
      </c>
      <c r="FS2" s="57" t="s">
        <v>283</v>
      </c>
      <c r="FT2" s="57">
        <v>5332.53</v>
      </c>
      <c r="FU2" s="262">
        <v>1791341.17</v>
      </c>
      <c r="FV2" s="262" t="s">
        <v>284</v>
      </c>
      <c r="FW2" s="32">
        <v>45796.673946759256</v>
      </c>
      <c r="FX2" s="33" t="s">
        <v>285</v>
      </c>
      <c r="FY2" s="34" t="s">
        <v>286</v>
      </c>
      <c r="FZ2" s="35">
        <v>606098.19999999995</v>
      </c>
      <c r="GA2" s="36">
        <v>606098.19999999995</v>
      </c>
      <c r="GB2" s="37">
        <v>4200101816</v>
      </c>
      <c r="GC2" s="32">
        <v>45796</v>
      </c>
      <c r="GD2" s="38">
        <v>0</v>
      </c>
      <c r="GE2" s="706">
        <v>32961.17</v>
      </c>
      <c r="GF2" s="700">
        <v>38.83</v>
      </c>
      <c r="GG2" s="700">
        <v>-38.83</v>
      </c>
      <c r="GH2" s="700">
        <v>988.83</v>
      </c>
      <c r="GI2" s="700">
        <v>0</v>
      </c>
      <c r="GJ2" s="700">
        <v>0</v>
      </c>
      <c r="GK2" s="700">
        <v>-329.61</v>
      </c>
      <c r="GL2" s="700">
        <v>-1001.53</v>
      </c>
      <c r="GM2" s="700">
        <v>-15.34</v>
      </c>
      <c r="GN2" s="700">
        <v>-66.08</v>
      </c>
      <c r="GO2" s="700">
        <v>0</v>
      </c>
      <c r="GP2" s="706">
        <v>32537.439999999999</v>
      </c>
      <c r="GQ2" s="707">
        <f>GH2+GE2</f>
        <v>33950</v>
      </c>
      <c r="GR2" s="707"/>
      <c r="GS2" s="707"/>
      <c r="GT2" s="707"/>
      <c r="GU2" s="707"/>
      <c r="GV2" s="707"/>
      <c r="GW2" s="707"/>
      <c r="GX2" s="707"/>
      <c r="GY2" s="708" t="s">
        <v>274</v>
      </c>
      <c r="GZ2" s="52" t="s">
        <v>287</v>
      </c>
      <c r="HA2" s="709" t="s">
        <v>275</v>
      </c>
      <c r="HB2" s="709">
        <v>15149.848</v>
      </c>
      <c r="HC2" s="709" t="s">
        <v>288</v>
      </c>
      <c r="HD2" s="709" t="s">
        <v>289</v>
      </c>
      <c r="HE2" s="709">
        <v>15911</v>
      </c>
      <c r="HF2" s="710">
        <v>0</v>
      </c>
      <c r="HG2" s="710">
        <v>0</v>
      </c>
      <c r="HH2" s="709">
        <v>0</v>
      </c>
      <c r="HI2" s="710">
        <v>-383.22</v>
      </c>
      <c r="HJ2" s="710">
        <v>-154.476</v>
      </c>
      <c r="HK2" s="710">
        <v>-154.476</v>
      </c>
      <c r="HL2" s="709">
        <v>-377.93200000000002</v>
      </c>
      <c r="HM2" s="710">
        <v>0</v>
      </c>
      <c r="HN2" s="709">
        <v>0</v>
      </c>
      <c r="HO2" s="709" t="s">
        <v>290</v>
      </c>
      <c r="HP2" s="709" t="s">
        <v>291</v>
      </c>
      <c r="HQ2" s="709" t="s">
        <v>292</v>
      </c>
      <c r="HR2" s="710" t="s">
        <v>293</v>
      </c>
      <c r="HS2" s="709">
        <v>1</v>
      </c>
      <c r="HT2" s="709" t="s">
        <v>294</v>
      </c>
      <c r="HU2" s="709" t="s">
        <v>295</v>
      </c>
      <c r="HV2" s="709" t="s">
        <v>295</v>
      </c>
      <c r="HW2" s="709" t="s">
        <v>295</v>
      </c>
      <c r="HX2" s="709">
        <v>15911</v>
      </c>
      <c r="HY2" s="709">
        <v>9</v>
      </c>
      <c r="HZ2" s="709">
        <v>0</v>
      </c>
      <c r="IA2" s="709" t="s">
        <v>271</v>
      </c>
      <c r="IB2" s="709">
        <v>2</v>
      </c>
      <c r="IC2" s="709">
        <v>-318.22000000000003</v>
      </c>
      <c r="ID2" s="711"/>
      <c r="IE2" s="712">
        <v>0</v>
      </c>
      <c r="IF2" s="711"/>
      <c r="IG2" s="712">
        <v>-65</v>
      </c>
      <c r="IH2" s="711"/>
      <c r="II2" s="708">
        <v>0</v>
      </c>
      <c r="IJ2" s="708">
        <v>0</v>
      </c>
      <c r="IK2" s="711"/>
      <c r="IL2" s="709">
        <v>0</v>
      </c>
      <c r="IM2" s="709">
        <v>0</v>
      </c>
      <c r="IN2" s="708">
        <v>0</v>
      </c>
      <c r="IO2" s="711"/>
      <c r="IP2" s="711"/>
      <c r="IQ2" s="711"/>
      <c r="IR2" s="711"/>
      <c r="IS2" s="711"/>
      <c r="IT2" s="708">
        <v>0</v>
      </c>
      <c r="IU2" s="709">
        <v>0</v>
      </c>
      <c r="IV2" s="709">
        <v>0</v>
      </c>
      <c r="IW2" s="711"/>
      <c r="IX2" s="711"/>
      <c r="IY2" s="711"/>
      <c r="IZ2" s="711"/>
      <c r="JA2" s="711"/>
      <c r="JB2" s="709" t="s">
        <v>295</v>
      </c>
      <c r="JC2" s="709" t="s">
        <v>295</v>
      </c>
      <c r="JD2" s="709" t="s">
        <v>295</v>
      </c>
      <c r="JE2" s="709" t="s">
        <v>295</v>
      </c>
      <c r="JF2" s="710" t="s">
        <v>295</v>
      </c>
      <c r="JG2" s="709" t="s">
        <v>295</v>
      </c>
      <c r="JH2" s="709" t="s">
        <v>296</v>
      </c>
      <c r="JI2" s="709" t="s">
        <v>290</v>
      </c>
      <c r="JJ2" s="690">
        <v>11</v>
      </c>
      <c r="JK2" s="709" t="s">
        <v>297</v>
      </c>
      <c r="JL2" s="709" t="s">
        <v>298</v>
      </c>
      <c r="JM2" s="262"/>
      <c r="JN2" s="262"/>
      <c r="JO2" s="262"/>
      <c r="JP2" s="262"/>
      <c r="JQ2" s="262"/>
      <c r="JR2" s="262"/>
      <c r="JS2" s="262"/>
      <c r="JT2" s="262"/>
      <c r="JU2" s="262"/>
      <c r="JV2" s="262"/>
    </row>
    <row r="3" spans="1:282" ht="15.6">
      <c r="JJ3" s="690">
        <v>31</v>
      </c>
      <c r="JK3" s="690" t="s">
        <v>299</v>
      </c>
      <c r="JL3" s="709" t="s">
        <v>300</v>
      </c>
    </row>
    <row r="4" spans="1:282" ht="15.6">
      <c r="JJ4" s="690">
        <v>62</v>
      </c>
      <c r="JK4" s="690" t="s">
        <v>301</v>
      </c>
    </row>
    <row r="5" spans="1:282" ht="15.6">
      <c r="JJ5" s="690"/>
      <c r="JK5" s="53" t="s">
        <v>302</v>
      </c>
    </row>
    <row r="6" spans="1:282" ht="15.6">
      <c r="JK6" s="53" t="s">
        <v>303</v>
      </c>
    </row>
    <row r="7" spans="1:282" ht="15.6">
      <c r="JK7" s="53" t="s">
        <v>304</v>
      </c>
    </row>
    <row r="8" spans="1:282" ht="15.6">
      <c r="JK8" s="53" t="s">
        <v>305</v>
      </c>
    </row>
    <row r="9" spans="1:282" ht="15.6">
      <c r="JK9" s="53" t="s">
        <v>306</v>
      </c>
    </row>
    <row r="10" spans="1:282" ht="15.6">
      <c r="JK10" s="53" t="s">
        <v>307</v>
      </c>
    </row>
  </sheetData>
  <conditionalFormatting sqref="CS1">
    <cfRule type="duplicateValues" dxfId="72" priority="13"/>
  </conditionalFormatting>
  <conditionalFormatting sqref="CS2">
    <cfRule type="duplicateValues" dxfId="71" priority="12"/>
  </conditionalFormatting>
  <conditionalFormatting sqref="CT1:DH1">
    <cfRule type="duplicateValues" dxfId="70" priority="14"/>
  </conditionalFormatting>
  <conditionalFormatting sqref="FF1:FF2">
    <cfRule type="duplicateValues" dxfId="69" priority="1"/>
  </conditionalFormatting>
  <conditionalFormatting sqref="FW2">
    <cfRule type="duplicateValues" dxfId="68" priority="5"/>
    <cfRule type="duplicateValues" dxfId="67" priority="6"/>
    <cfRule type="duplicateValues" dxfId="66" priority="7"/>
    <cfRule type="duplicateValues" dxfId="65" priority="8"/>
  </conditionalFormatting>
  <conditionalFormatting sqref="GA1:GA2">
    <cfRule type="containsText" dxfId="64" priority="2" operator="containsText" text="not Found">
      <formula>NOT(ISERROR(SEARCH("not Found",GA1)))</formula>
    </cfRule>
  </conditionalFormatting>
  <conditionalFormatting sqref="GB1">
    <cfRule type="duplicateValues" dxfId="63" priority="11"/>
  </conditionalFormatting>
  <conditionalFormatting sqref="GB1:GC1">
    <cfRule type="containsText" dxfId="62" priority="9" operator="containsText" text="Not Found">
      <formula>NOT(ISERROR(SEARCH("Not Found",GB1)))</formula>
    </cfRule>
  </conditionalFormatting>
  <conditionalFormatting sqref="GC2">
    <cfRule type="duplicateValues" dxfId="61" priority="3"/>
    <cfRule type="duplicateValues" dxfId="60" priority="4"/>
  </conditionalFormatting>
  <dataValidations disablePrompts="1" count="1">
    <dataValidation type="list" allowBlank="1" showInputMessage="1" showErrorMessage="1" sqref="CQ1" xr:uid="{D4710F87-46F2-46AE-A5D9-B610F613404B}">
      <formula1>"MMTC, Amazon"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CB01-5CBB-4FC5-A2AB-E1DFC6A988A7}">
  <sheetPr>
    <tabColor rgb="FFFFC000"/>
  </sheetPr>
  <dimension ref="B2:M36"/>
  <sheetViews>
    <sheetView showGridLines="0" topLeftCell="A24" zoomScale="112" zoomScaleNormal="100" workbookViewId="0">
      <selection activeCell="C9" sqref="C9"/>
    </sheetView>
  </sheetViews>
  <sheetFormatPr defaultColWidth="9.140625" defaultRowHeight="11.45"/>
  <cols>
    <col min="1" max="1" width="1.5703125" style="61" customWidth="1"/>
    <col min="2" max="2" width="20.5703125" style="61" bestFit="1" customWidth="1"/>
    <col min="3" max="3" width="10.28515625" style="61" bestFit="1" customWidth="1"/>
    <col min="4" max="4" width="8.28515625" style="61" bestFit="1" customWidth="1"/>
    <col min="5" max="5" width="10.28515625" style="61" bestFit="1" customWidth="1"/>
    <col min="6" max="6" width="10.7109375" style="61" customWidth="1"/>
    <col min="7" max="7" width="10.28515625" style="61" bestFit="1" customWidth="1"/>
    <col min="8" max="8" width="9.42578125" style="61" bestFit="1" customWidth="1"/>
    <col min="9" max="10" width="10.28515625" style="61" bestFit="1" customWidth="1"/>
    <col min="11" max="11" width="10.5703125" style="61" bestFit="1" customWidth="1"/>
    <col min="12" max="12" width="11" style="61" customWidth="1"/>
    <col min="13" max="13" width="10.5703125" style="61" bestFit="1" customWidth="1"/>
    <col min="14" max="16384" width="9.140625" style="61"/>
  </cols>
  <sheetData>
    <row r="2" spans="2:13" ht="12">
      <c r="B2" s="59" t="s">
        <v>308</v>
      </c>
      <c r="C2" s="60">
        <v>45813</v>
      </c>
      <c r="E2" s="62"/>
      <c r="F2" s="63"/>
      <c r="H2" s="64"/>
    </row>
    <row r="3" spans="2:13" ht="12" thickBot="1">
      <c r="C3" s="65"/>
    </row>
    <row r="4" spans="2:13" ht="12">
      <c r="B4" s="713" t="s">
        <v>309</v>
      </c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5"/>
    </row>
    <row r="5" spans="2:13" ht="12">
      <c r="B5" s="721" t="s">
        <v>310</v>
      </c>
      <c r="C5" s="723" t="s">
        <v>311</v>
      </c>
      <c r="D5" s="724"/>
      <c r="E5" s="723" t="s">
        <v>312</v>
      </c>
      <c r="F5" s="724"/>
      <c r="G5" s="723" t="s">
        <v>313</v>
      </c>
      <c r="H5" s="724"/>
      <c r="I5" s="723" t="s">
        <v>314</v>
      </c>
      <c r="J5" s="724"/>
      <c r="K5" s="725" t="s">
        <v>315</v>
      </c>
      <c r="L5" s="726"/>
      <c r="M5" s="727"/>
    </row>
    <row r="6" spans="2:13" ht="12">
      <c r="B6" s="722"/>
      <c r="C6" s="66" t="s">
        <v>316</v>
      </c>
      <c r="D6" s="66" t="s">
        <v>317</v>
      </c>
      <c r="E6" s="66" t="s">
        <v>316</v>
      </c>
      <c r="F6" s="66" t="s">
        <v>317</v>
      </c>
      <c r="G6" s="66" t="s">
        <v>316</v>
      </c>
      <c r="H6" s="66" t="s">
        <v>317</v>
      </c>
      <c r="I6" s="66" t="s">
        <v>316</v>
      </c>
      <c r="J6" s="66" t="s">
        <v>317</v>
      </c>
      <c r="K6" s="67" t="s">
        <v>316</v>
      </c>
      <c r="L6" s="67" t="s">
        <v>317</v>
      </c>
      <c r="M6" s="68" t="s">
        <v>58</v>
      </c>
    </row>
    <row r="7" spans="2:13" ht="12">
      <c r="B7" s="69" t="s">
        <v>318</v>
      </c>
      <c r="C7" s="70">
        <v>10</v>
      </c>
      <c r="D7" s="70">
        <v>1</v>
      </c>
      <c r="E7" s="70">
        <v>25</v>
      </c>
      <c r="F7" s="70">
        <v>14</v>
      </c>
      <c r="G7" s="70">
        <v>6</v>
      </c>
      <c r="H7" s="70">
        <v>18</v>
      </c>
      <c r="I7" s="70">
        <v>14</v>
      </c>
      <c r="J7" s="70">
        <v>19</v>
      </c>
      <c r="K7" s="71">
        <v>55</v>
      </c>
      <c r="L7" s="71">
        <v>52</v>
      </c>
      <c r="M7" s="72">
        <v>107</v>
      </c>
    </row>
    <row r="8" spans="2:13" ht="12">
      <c r="B8" s="69" t="s">
        <v>319</v>
      </c>
      <c r="C8" s="73">
        <v>41</v>
      </c>
      <c r="D8" s="73">
        <v>100</v>
      </c>
      <c r="E8" s="73">
        <v>148</v>
      </c>
      <c r="F8" s="73">
        <v>970</v>
      </c>
      <c r="G8" s="73">
        <v>11</v>
      </c>
      <c r="H8" s="73">
        <v>460</v>
      </c>
      <c r="I8" s="73">
        <v>78.976200000000006</v>
      </c>
      <c r="J8" s="73">
        <v>3230</v>
      </c>
      <c r="K8" s="71">
        <v>278.97620000000001</v>
      </c>
      <c r="L8" s="71">
        <v>4760</v>
      </c>
      <c r="M8" s="72">
        <v>5038.9762000000001</v>
      </c>
    </row>
    <row r="9" spans="2:13" ht="12">
      <c r="B9" s="69" t="s">
        <v>320</v>
      </c>
      <c r="C9" s="74">
        <v>455470.99</v>
      </c>
      <c r="D9" s="74">
        <v>13080</v>
      </c>
      <c r="E9" s="75">
        <v>1657330</v>
      </c>
      <c r="F9" s="75">
        <v>133020</v>
      </c>
      <c r="G9" s="74">
        <v>117039.16</v>
      </c>
      <c r="H9" s="74">
        <v>68154.979999999981</v>
      </c>
      <c r="I9" s="73">
        <v>865618.04</v>
      </c>
      <c r="J9" s="73">
        <v>407220</v>
      </c>
      <c r="K9" s="76">
        <v>3095458.1900000004</v>
      </c>
      <c r="L9" s="76">
        <v>621474.98</v>
      </c>
      <c r="M9" s="77">
        <v>3716933.1700000004</v>
      </c>
    </row>
    <row r="10" spans="2:13" ht="12.6" thickBot="1">
      <c r="B10" s="78" t="s">
        <v>321</v>
      </c>
      <c r="C10" s="79">
        <v>455470.99</v>
      </c>
      <c r="D10" s="79">
        <v>13080</v>
      </c>
      <c r="E10" s="79">
        <v>1657330</v>
      </c>
      <c r="F10" s="79">
        <v>133020</v>
      </c>
      <c r="G10" s="79">
        <v>117039.16</v>
      </c>
      <c r="H10" s="79">
        <v>68154.979999999981</v>
      </c>
      <c r="I10" s="79">
        <v>865618.04</v>
      </c>
      <c r="J10" s="79">
        <v>407220</v>
      </c>
      <c r="K10" s="79">
        <v>3095458.1900000004</v>
      </c>
      <c r="L10" s="79">
        <v>621474.98</v>
      </c>
      <c r="M10" s="79">
        <v>3716933.1700000004</v>
      </c>
    </row>
    <row r="11" spans="2:13" ht="12.6" thickBot="1">
      <c r="B11" s="80"/>
      <c r="C11" s="80"/>
      <c r="D11" s="80"/>
      <c r="E11" s="720"/>
      <c r="F11" s="720"/>
      <c r="G11" s="720"/>
      <c r="H11" s="720"/>
      <c r="I11" s="720"/>
      <c r="J11" s="720"/>
    </row>
    <row r="12" spans="2:13" ht="12">
      <c r="B12" s="713" t="s">
        <v>322</v>
      </c>
      <c r="C12" s="714"/>
      <c r="D12" s="714"/>
      <c r="E12" s="714"/>
      <c r="F12" s="714"/>
      <c r="G12" s="714"/>
      <c r="H12" s="714"/>
      <c r="I12" s="714"/>
      <c r="J12" s="714"/>
      <c r="K12" s="714"/>
      <c r="L12" s="714"/>
      <c r="M12" s="715"/>
    </row>
    <row r="13" spans="2:13" ht="12">
      <c r="B13" s="721" t="s">
        <v>310</v>
      </c>
      <c r="C13" s="723" t="s">
        <v>311</v>
      </c>
      <c r="D13" s="724"/>
      <c r="E13" s="723" t="s">
        <v>312</v>
      </c>
      <c r="F13" s="724"/>
      <c r="G13" s="723" t="s">
        <v>313</v>
      </c>
      <c r="H13" s="724"/>
      <c r="I13" s="723" t="s">
        <v>314</v>
      </c>
      <c r="J13" s="724"/>
      <c r="K13" s="725" t="s">
        <v>323</v>
      </c>
      <c r="L13" s="726"/>
      <c r="M13" s="727"/>
    </row>
    <row r="14" spans="2:13" ht="12">
      <c r="B14" s="722"/>
      <c r="C14" s="66" t="s">
        <v>316</v>
      </c>
      <c r="D14" s="66" t="s">
        <v>317</v>
      </c>
      <c r="E14" s="66" t="s">
        <v>316</v>
      </c>
      <c r="F14" s="66" t="s">
        <v>317</v>
      </c>
      <c r="G14" s="66" t="s">
        <v>316</v>
      </c>
      <c r="H14" s="66" t="s">
        <v>317</v>
      </c>
      <c r="I14" s="66" t="s">
        <v>316</v>
      </c>
      <c r="J14" s="66" t="s">
        <v>317</v>
      </c>
      <c r="K14" s="67" t="s">
        <v>316</v>
      </c>
      <c r="L14" s="67" t="s">
        <v>317</v>
      </c>
      <c r="M14" s="68" t="s">
        <v>58</v>
      </c>
    </row>
    <row r="15" spans="2:13" ht="12">
      <c r="B15" s="69" t="s">
        <v>318</v>
      </c>
      <c r="C15" s="70">
        <v>9</v>
      </c>
      <c r="D15" s="70">
        <v>2</v>
      </c>
      <c r="E15" s="70">
        <v>12</v>
      </c>
      <c r="F15" s="70">
        <v>0</v>
      </c>
      <c r="G15" s="70">
        <v>5</v>
      </c>
      <c r="H15" s="70">
        <v>2</v>
      </c>
      <c r="I15" s="70">
        <v>0</v>
      </c>
      <c r="J15" s="70">
        <v>0</v>
      </c>
      <c r="K15" s="81">
        <v>26</v>
      </c>
      <c r="L15" s="81">
        <v>4</v>
      </c>
      <c r="M15" s="72">
        <v>30</v>
      </c>
    </row>
    <row r="16" spans="2:13" ht="12">
      <c r="B16" s="69" t="s">
        <v>319</v>
      </c>
      <c r="C16" s="73">
        <v>37.499200000000002</v>
      </c>
      <c r="D16" s="73">
        <v>30</v>
      </c>
      <c r="E16" s="73">
        <v>13</v>
      </c>
      <c r="F16" s="73">
        <v>0</v>
      </c>
      <c r="G16" s="73">
        <v>9</v>
      </c>
      <c r="H16" s="73">
        <v>60</v>
      </c>
      <c r="I16" s="73">
        <v>0</v>
      </c>
      <c r="J16" s="73">
        <v>0</v>
      </c>
      <c r="K16" s="81">
        <v>59.499200000000002</v>
      </c>
      <c r="L16" s="81">
        <v>90</v>
      </c>
      <c r="M16" s="72">
        <v>149.4992</v>
      </c>
    </row>
    <row r="17" spans="2:13" ht="12">
      <c r="B17" s="69" t="s">
        <v>320</v>
      </c>
      <c r="C17" s="73">
        <v>154611</v>
      </c>
      <c r="D17" s="73">
        <v>4770</v>
      </c>
      <c r="E17" s="82">
        <v>139900</v>
      </c>
      <c r="F17" s="82">
        <v>0</v>
      </c>
      <c r="G17" s="82">
        <v>106260</v>
      </c>
      <c r="H17" s="82">
        <v>9492</v>
      </c>
      <c r="I17" s="82">
        <v>0</v>
      </c>
      <c r="J17" s="82">
        <v>0</v>
      </c>
      <c r="K17" s="71">
        <v>400771</v>
      </c>
      <c r="L17" s="71">
        <v>14262</v>
      </c>
      <c r="M17" s="72">
        <v>415033</v>
      </c>
    </row>
    <row r="18" spans="2:13" ht="12.6" thickBot="1">
      <c r="B18" s="78" t="s">
        <v>324</v>
      </c>
      <c r="C18" s="79">
        <v>154611</v>
      </c>
      <c r="D18" s="79">
        <v>4770</v>
      </c>
      <c r="E18" s="79">
        <v>139900</v>
      </c>
      <c r="F18" s="79">
        <v>0</v>
      </c>
      <c r="G18" s="79">
        <v>106260</v>
      </c>
      <c r="H18" s="79">
        <v>9492</v>
      </c>
      <c r="I18" s="79">
        <v>0</v>
      </c>
      <c r="J18" s="79">
        <v>0</v>
      </c>
      <c r="K18" s="79">
        <v>400771</v>
      </c>
      <c r="L18" s="79">
        <v>14262</v>
      </c>
      <c r="M18" s="79">
        <v>415033</v>
      </c>
    </row>
    <row r="19" spans="2:13" ht="12">
      <c r="B19" s="83"/>
      <c r="C19" s="83"/>
      <c r="D19" s="83"/>
      <c r="E19" s="83"/>
      <c r="F19" s="83"/>
      <c r="G19" s="83"/>
      <c r="H19" s="83"/>
    </row>
    <row r="20" spans="2:13" ht="12.6" thickBot="1">
      <c r="B20" s="84" t="s">
        <v>325</v>
      </c>
      <c r="C20" s="83"/>
      <c r="D20" s="83"/>
      <c r="E20" s="83"/>
      <c r="F20" s="83"/>
      <c r="G20" s="83"/>
      <c r="H20" s="83"/>
    </row>
    <row r="21" spans="2:13" ht="12.6" thickBot="1">
      <c r="B21" s="85" t="s">
        <v>326</v>
      </c>
      <c r="C21" s="86">
        <v>3</v>
      </c>
      <c r="D21" s="86">
        <v>2</v>
      </c>
      <c r="E21" s="86">
        <v>10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7">
        <v>13</v>
      </c>
      <c r="L21" s="87">
        <v>2</v>
      </c>
      <c r="M21" s="88">
        <v>15</v>
      </c>
    </row>
    <row r="22" spans="2:13" ht="12.6" thickBot="1">
      <c r="B22" s="89" t="s">
        <v>327</v>
      </c>
      <c r="C22" s="90">
        <v>6</v>
      </c>
      <c r="D22" s="90">
        <v>0</v>
      </c>
      <c r="E22" s="90">
        <v>2</v>
      </c>
      <c r="F22" s="90">
        <v>0</v>
      </c>
      <c r="G22" s="90">
        <v>5</v>
      </c>
      <c r="H22" s="90">
        <v>2</v>
      </c>
      <c r="I22" s="90">
        <v>0</v>
      </c>
      <c r="J22" s="90">
        <v>0</v>
      </c>
      <c r="K22" s="91">
        <v>13</v>
      </c>
      <c r="L22" s="91">
        <v>2</v>
      </c>
      <c r="M22" s="92">
        <v>15</v>
      </c>
    </row>
    <row r="23" spans="2:13" ht="12">
      <c r="B23" s="83"/>
      <c r="C23" s="83"/>
      <c r="D23" s="83"/>
      <c r="E23" s="83"/>
      <c r="F23" s="83"/>
      <c r="G23" s="83"/>
      <c r="H23" s="83"/>
    </row>
    <row r="24" spans="2:13" ht="12.6" thickBot="1">
      <c r="B24" s="84" t="s">
        <v>328</v>
      </c>
      <c r="C24" s="83"/>
      <c r="D24" s="83"/>
      <c r="E24" s="83"/>
      <c r="F24" s="83"/>
      <c r="G24" s="83"/>
      <c r="H24" s="83"/>
    </row>
    <row r="25" spans="2:13" ht="12.6" thickBot="1">
      <c r="B25" s="85" t="s">
        <v>329</v>
      </c>
      <c r="C25" s="93">
        <v>1</v>
      </c>
      <c r="D25" s="93">
        <v>2</v>
      </c>
      <c r="E25" s="93">
        <v>3</v>
      </c>
      <c r="F25" s="93">
        <v>0</v>
      </c>
      <c r="G25" s="93">
        <v>5</v>
      </c>
      <c r="H25" s="93">
        <v>2</v>
      </c>
      <c r="I25" s="93">
        <v>0</v>
      </c>
      <c r="J25" s="93">
        <v>0</v>
      </c>
      <c r="K25" s="87">
        <v>9</v>
      </c>
      <c r="L25" s="87">
        <v>4</v>
      </c>
      <c r="M25" s="88">
        <v>13</v>
      </c>
    </row>
    <row r="26" spans="2:13" ht="12.6" thickBot="1">
      <c r="B26" s="94" t="s">
        <v>330</v>
      </c>
      <c r="C26" s="93">
        <v>3</v>
      </c>
      <c r="D26" s="93">
        <v>0</v>
      </c>
      <c r="E26" s="93">
        <v>4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81">
        <v>7</v>
      </c>
      <c r="L26" s="81">
        <v>0</v>
      </c>
      <c r="M26" s="72">
        <v>7</v>
      </c>
    </row>
    <row r="27" spans="2:13" ht="12.6" thickBot="1">
      <c r="B27" s="94" t="s">
        <v>331</v>
      </c>
      <c r="C27" s="93">
        <v>2</v>
      </c>
      <c r="D27" s="93">
        <v>0</v>
      </c>
      <c r="E27" s="93">
        <v>5</v>
      </c>
      <c r="F27" s="93">
        <v>0</v>
      </c>
      <c r="G27" s="93">
        <v>0</v>
      </c>
      <c r="H27" s="93">
        <v>0</v>
      </c>
      <c r="I27" s="93">
        <v>0</v>
      </c>
      <c r="J27" s="93">
        <v>0</v>
      </c>
      <c r="K27" s="81">
        <v>7</v>
      </c>
      <c r="L27" s="81">
        <v>0</v>
      </c>
      <c r="M27" s="72">
        <v>7</v>
      </c>
    </row>
    <row r="28" spans="2:13" ht="12.6" thickBot="1">
      <c r="B28" s="89" t="s">
        <v>332</v>
      </c>
      <c r="C28" s="95">
        <v>3</v>
      </c>
      <c r="D28" s="95">
        <v>0</v>
      </c>
      <c r="E28" s="95">
        <v>0</v>
      </c>
      <c r="F28" s="95">
        <v>0</v>
      </c>
      <c r="G28" s="95">
        <v>0</v>
      </c>
      <c r="H28" s="95">
        <v>0</v>
      </c>
      <c r="I28" s="95">
        <v>0</v>
      </c>
      <c r="J28" s="95">
        <v>0</v>
      </c>
      <c r="K28" s="91">
        <v>3</v>
      </c>
      <c r="L28" s="91">
        <v>0</v>
      </c>
      <c r="M28" s="92">
        <v>3</v>
      </c>
    </row>
    <row r="29" spans="2:13" ht="12" thickBot="1"/>
    <row r="30" spans="2:13" ht="12">
      <c r="B30" s="713" t="s">
        <v>333</v>
      </c>
      <c r="C30" s="714"/>
      <c r="D30" s="714"/>
      <c r="E30" s="714"/>
      <c r="F30" s="714"/>
      <c r="G30" s="714"/>
      <c r="H30" s="714"/>
      <c r="I30" s="714"/>
      <c r="J30" s="714"/>
      <c r="K30" s="714"/>
      <c r="L30" s="714"/>
      <c r="M30" s="715"/>
    </row>
    <row r="31" spans="2:13" ht="12">
      <c r="B31" s="716" t="s">
        <v>310</v>
      </c>
      <c r="C31" s="717" t="s">
        <v>311</v>
      </c>
      <c r="D31" s="717"/>
      <c r="E31" s="717" t="s">
        <v>312</v>
      </c>
      <c r="F31" s="717"/>
      <c r="G31" s="717" t="s">
        <v>313</v>
      </c>
      <c r="H31" s="717"/>
      <c r="I31" s="717" t="s">
        <v>314</v>
      </c>
      <c r="J31" s="717"/>
      <c r="K31" s="718" t="s">
        <v>315</v>
      </c>
      <c r="L31" s="718"/>
      <c r="M31" s="719"/>
    </row>
    <row r="32" spans="2:13" ht="12">
      <c r="B32" s="716"/>
      <c r="C32" s="66" t="s">
        <v>316</v>
      </c>
      <c r="D32" s="66" t="s">
        <v>317</v>
      </c>
      <c r="E32" s="66" t="s">
        <v>316</v>
      </c>
      <c r="F32" s="66" t="s">
        <v>317</v>
      </c>
      <c r="G32" s="66" t="s">
        <v>316</v>
      </c>
      <c r="H32" s="66" t="s">
        <v>317</v>
      </c>
      <c r="I32" s="66" t="s">
        <v>316</v>
      </c>
      <c r="J32" s="66" t="s">
        <v>317</v>
      </c>
      <c r="K32" s="67" t="s">
        <v>316</v>
      </c>
      <c r="L32" s="67" t="s">
        <v>317</v>
      </c>
      <c r="M32" s="68" t="s">
        <v>58</v>
      </c>
    </row>
    <row r="33" spans="2:13" ht="12">
      <c r="B33" s="69" t="s">
        <v>318</v>
      </c>
      <c r="C33" s="70">
        <v>38</v>
      </c>
      <c r="D33" s="70">
        <v>5</v>
      </c>
      <c r="E33" s="70">
        <v>133</v>
      </c>
      <c r="F33" s="70">
        <v>103</v>
      </c>
      <c r="G33" s="70">
        <v>341</v>
      </c>
      <c r="H33" s="70">
        <v>47</v>
      </c>
      <c r="I33" s="70">
        <v>115</v>
      </c>
      <c r="J33" s="70">
        <v>144</v>
      </c>
      <c r="K33" s="71">
        <v>627</v>
      </c>
      <c r="L33" s="71">
        <v>299</v>
      </c>
      <c r="M33" s="72">
        <v>926</v>
      </c>
    </row>
    <row r="34" spans="2:13" ht="12">
      <c r="B34" s="69" t="s">
        <v>319</v>
      </c>
      <c r="C34" s="73">
        <v>144</v>
      </c>
      <c r="D34" s="73">
        <v>300</v>
      </c>
      <c r="E34" s="73">
        <v>434.5</v>
      </c>
      <c r="F34" s="73">
        <v>10225</v>
      </c>
      <c r="G34" s="73">
        <v>921</v>
      </c>
      <c r="H34" s="73">
        <v>2400</v>
      </c>
      <c r="I34" s="73">
        <v>752.22629999999992</v>
      </c>
      <c r="J34" s="73">
        <v>19595</v>
      </c>
      <c r="K34" s="71">
        <v>2251.7262999999998</v>
      </c>
      <c r="L34" s="71">
        <v>32520</v>
      </c>
      <c r="M34" s="72">
        <v>34771.726300000002</v>
      </c>
    </row>
    <row r="35" spans="2:13" ht="12">
      <c r="B35" s="69" t="s">
        <v>320</v>
      </c>
      <c r="C35" s="82">
        <v>1575141.99</v>
      </c>
      <c r="D35" s="82">
        <v>41930</v>
      </c>
      <c r="E35" s="82">
        <v>4875050</v>
      </c>
      <c r="F35" s="82">
        <v>1282260</v>
      </c>
      <c r="G35" s="74">
        <v>9453847.8999999836</v>
      </c>
      <c r="H35" s="74">
        <v>314015.83</v>
      </c>
      <c r="I35" s="82">
        <v>8082119.4699999988</v>
      </c>
      <c r="J35" s="82">
        <v>2476796.5700000003</v>
      </c>
      <c r="K35" s="71">
        <v>23986159.359999985</v>
      </c>
      <c r="L35" s="71">
        <v>4115002.4000000004</v>
      </c>
      <c r="M35" s="72">
        <v>28101161.759999983</v>
      </c>
    </row>
    <row r="36" spans="2:13" ht="12.6" thickBot="1">
      <c r="B36" s="78" t="s">
        <v>321</v>
      </c>
      <c r="C36" s="79">
        <v>1575141.99</v>
      </c>
      <c r="D36" s="79">
        <v>41930</v>
      </c>
      <c r="E36" s="79">
        <v>4875050</v>
      </c>
      <c r="F36" s="79">
        <v>1282260</v>
      </c>
      <c r="G36" s="79">
        <v>9453847.8999999836</v>
      </c>
      <c r="H36" s="79">
        <v>314015.83</v>
      </c>
      <c r="I36" s="79">
        <v>8082119.4699999988</v>
      </c>
      <c r="J36" s="79">
        <v>2476796.5700000003</v>
      </c>
      <c r="K36" s="79">
        <v>23986159.359999985</v>
      </c>
      <c r="L36" s="79">
        <v>4115002.4000000004</v>
      </c>
      <c r="M36" s="79">
        <v>28101161.759999983</v>
      </c>
    </row>
  </sheetData>
  <dataConsolidate/>
  <mergeCells count="22">
    <mergeCell ref="B4:M4"/>
    <mergeCell ref="B5:B6"/>
    <mergeCell ref="C5:D5"/>
    <mergeCell ref="E5:F5"/>
    <mergeCell ref="G5:H5"/>
    <mergeCell ref="I5:J5"/>
    <mergeCell ref="K5:M5"/>
    <mergeCell ref="E11:J11"/>
    <mergeCell ref="B12:M12"/>
    <mergeCell ref="B13:B14"/>
    <mergeCell ref="C13:D13"/>
    <mergeCell ref="E13:F13"/>
    <mergeCell ref="G13:H13"/>
    <mergeCell ref="I13:J13"/>
    <mergeCell ref="K13:M13"/>
    <mergeCell ref="B30:M30"/>
    <mergeCell ref="B31:B32"/>
    <mergeCell ref="C31:D31"/>
    <mergeCell ref="E31:F31"/>
    <mergeCell ref="G31:H31"/>
    <mergeCell ref="I31:J31"/>
    <mergeCell ref="K31:M31"/>
  </mergeCells>
  <dataValidations count="1">
    <dataValidation allowBlank="1" showInputMessage="1" showErrorMessage="1" prompt="Please enter the date" sqref="C2" xr:uid="{04DEA3A6-9DD9-400D-92EB-0CE3D583059D}"/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EDC7-EBEB-44D4-8952-5B432E536635}">
  <sheetPr>
    <tabColor theme="4" tint="0.79998168889431442"/>
    <outlinePr summaryBelow="0" summaryRight="0"/>
    <pageSetUpPr autoPageBreaks="0"/>
  </sheetPr>
  <dimension ref="A1:CT3"/>
  <sheetViews>
    <sheetView showGridLines="0" zoomScaleNormal="100" workbookViewId="0">
      <pane ySplit="1" topLeftCell="CH2" activePane="bottomLeft" state="frozen"/>
      <selection pane="bottomLeft" sqref="A1:CT1"/>
      <selection activeCell="E17" sqref="E17"/>
    </sheetView>
  </sheetViews>
  <sheetFormatPr defaultColWidth="10" defaultRowHeight="12.75" customHeight="1"/>
  <cols>
    <col min="1" max="1" width="8.85546875" style="124" bestFit="1" customWidth="1"/>
    <col min="2" max="2" width="23.140625" style="125" bestFit="1" customWidth="1"/>
    <col min="3" max="3" width="16.42578125" style="124" bestFit="1" customWidth="1"/>
    <col min="4" max="4" width="40.5703125" style="124" bestFit="1" customWidth="1"/>
    <col min="5" max="5" width="12.7109375" style="124" bestFit="1" customWidth="1"/>
    <col min="6" max="6" width="13.7109375" style="124" bestFit="1" customWidth="1"/>
    <col min="7" max="7" width="27.85546875" style="124" bestFit="1" customWidth="1"/>
    <col min="8" max="8" width="18.140625" style="124" bestFit="1" customWidth="1"/>
    <col min="9" max="9" width="15.42578125" style="124" bestFit="1" customWidth="1"/>
    <col min="10" max="10" width="9.140625" style="124" bestFit="1" customWidth="1"/>
    <col min="11" max="11" width="11.140625" style="124" bestFit="1" customWidth="1"/>
    <col min="12" max="12" width="14.85546875" style="124" bestFit="1" customWidth="1"/>
    <col min="13" max="13" width="17.85546875" style="124" bestFit="1" customWidth="1"/>
    <col min="14" max="14" width="19.5703125" style="124" bestFit="1" customWidth="1"/>
    <col min="15" max="15" width="10.5703125" style="124" bestFit="1" customWidth="1"/>
    <col min="16" max="16" width="16.5703125" style="124" bestFit="1" customWidth="1"/>
    <col min="17" max="17" width="40.28515625" style="124" bestFit="1" customWidth="1"/>
    <col min="18" max="18" width="16.85546875" style="124" bestFit="1" customWidth="1"/>
    <col min="19" max="19" width="164.5703125" style="124" bestFit="1" customWidth="1"/>
    <col min="20" max="20" width="24.28515625" style="124" bestFit="1" customWidth="1"/>
    <col min="21" max="21" width="20.140625" style="124" bestFit="1" customWidth="1"/>
    <col min="22" max="22" width="34.7109375" style="124" bestFit="1" customWidth="1"/>
    <col min="23" max="23" width="26.85546875" style="124" bestFit="1" customWidth="1"/>
    <col min="24" max="24" width="23" style="124" bestFit="1" customWidth="1"/>
    <col min="25" max="25" width="21.7109375" style="124" bestFit="1" customWidth="1"/>
    <col min="26" max="26" width="24.28515625" style="124" bestFit="1" customWidth="1"/>
    <col min="27" max="27" width="164" style="124" bestFit="1" customWidth="1"/>
    <col min="28" max="28" width="24.28515625" style="124" bestFit="1" customWidth="1"/>
    <col min="29" max="29" width="22.5703125" style="124" bestFit="1" customWidth="1"/>
    <col min="30" max="30" width="21.7109375" style="124" bestFit="1" customWidth="1"/>
    <col min="31" max="31" width="23.42578125" style="124" bestFit="1" customWidth="1"/>
    <col min="32" max="32" width="9.140625" style="124" bestFit="1" customWidth="1"/>
    <col min="33" max="33" width="9.85546875" style="124" bestFit="1" customWidth="1"/>
    <col min="34" max="34" width="7.5703125" style="124" bestFit="1" customWidth="1"/>
    <col min="35" max="35" width="10.5703125" style="124" bestFit="1" customWidth="1"/>
    <col min="36" max="36" width="15.28515625" style="124" bestFit="1" customWidth="1"/>
    <col min="37" max="37" width="67.140625" style="124" bestFit="1" customWidth="1"/>
    <col min="38" max="38" width="28.140625" style="124" bestFit="1" customWidth="1"/>
    <col min="39" max="39" width="69.85546875" style="124" bestFit="1" customWidth="1"/>
    <col min="40" max="40" width="12.140625" style="124" bestFit="1" customWidth="1"/>
    <col min="41" max="41" width="19.140625" style="124" bestFit="1" customWidth="1"/>
    <col min="42" max="42" width="16.42578125" style="124" bestFit="1" customWidth="1"/>
    <col min="43" max="43" width="17.28515625" style="124" bestFit="1" customWidth="1"/>
    <col min="44" max="44" width="16.85546875" style="124" bestFit="1" customWidth="1"/>
    <col min="45" max="45" width="12.42578125" style="124" bestFit="1" customWidth="1"/>
    <col min="46" max="46" width="10.140625" style="124" bestFit="1" customWidth="1"/>
    <col min="47" max="47" width="9.85546875" style="124" bestFit="1" customWidth="1"/>
    <col min="48" max="48" width="19" style="124" bestFit="1" customWidth="1"/>
    <col min="49" max="49" width="13.85546875" style="124" bestFit="1" customWidth="1"/>
    <col min="50" max="50" width="19.28515625" style="124" bestFit="1" customWidth="1"/>
    <col min="51" max="51" width="9.85546875" style="124" bestFit="1" customWidth="1"/>
    <col min="52" max="52" width="11.85546875" style="124" bestFit="1" customWidth="1"/>
    <col min="53" max="53" width="9.7109375" style="124" bestFit="1" customWidth="1"/>
    <col min="54" max="54" width="11.5703125" style="124" bestFit="1" customWidth="1"/>
    <col min="55" max="55" width="9.42578125" style="124" bestFit="1" customWidth="1"/>
    <col min="56" max="56" width="11.28515625" style="124" bestFit="1" customWidth="1"/>
    <col min="57" max="57" width="14.85546875" style="124" bestFit="1" customWidth="1"/>
    <col min="58" max="58" width="14.5703125" style="124" bestFit="1" customWidth="1"/>
    <col min="59" max="59" width="10" style="124" bestFit="1" customWidth="1"/>
    <col min="60" max="60" width="14.7109375" style="124" bestFit="1" customWidth="1"/>
    <col min="61" max="61" width="23.28515625" style="124" bestFit="1" customWidth="1"/>
    <col min="62" max="62" width="20.5703125" style="124" bestFit="1" customWidth="1"/>
    <col min="63" max="63" width="6.7109375" style="124" bestFit="1" customWidth="1"/>
    <col min="64" max="64" width="16.85546875" style="124" bestFit="1" customWidth="1"/>
    <col min="65" max="65" width="10.140625" style="124" bestFit="1" customWidth="1"/>
    <col min="66" max="66" width="8.85546875" style="124" bestFit="1" customWidth="1"/>
    <col min="67" max="67" width="9" style="124" bestFit="1" customWidth="1"/>
    <col min="68" max="68" width="12.5703125" style="124" bestFit="1" customWidth="1"/>
    <col min="69" max="69" width="16.85546875" style="124" bestFit="1" customWidth="1"/>
    <col min="70" max="70" width="11.85546875" style="124" bestFit="1" customWidth="1"/>
    <col min="71" max="71" width="27.140625" style="124" bestFit="1" customWidth="1"/>
    <col min="72" max="72" width="14.85546875" style="124" bestFit="1" customWidth="1"/>
    <col min="73" max="73" width="16" style="124" bestFit="1" customWidth="1"/>
    <col min="74" max="74" width="13.5703125" style="124" bestFit="1" customWidth="1"/>
    <col min="75" max="75" width="9.42578125" style="124" bestFit="1" customWidth="1"/>
    <col min="76" max="76" width="22.85546875" style="124" bestFit="1" customWidth="1"/>
    <col min="77" max="77" width="20.7109375" style="124" bestFit="1" customWidth="1"/>
    <col min="78" max="78" width="18.42578125" style="124" bestFit="1" customWidth="1"/>
    <col min="79" max="79" width="10.7109375" style="124" bestFit="1" customWidth="1"/>
    <col min="80" max="80" width="9.85546875" style="124" bestFit="1" customWidth="1"/>
    <col min="81" max="81" width="15.7109375" style="124" bestFit="1" customWidth="1"/>
    <col min="82" max="82" width="19.5703125" style="124" bestFit="1" customWidth="1"/>
    <col min="83" max="83" width="9.5703125" style="124" bestFit="1" customWidth="1"/>
    <col min="84" max="85" width="15.85546875" style="124" bestFit="1" customWidth="1"/>
    <col min="86" max="86" width="19.28515625" style="124" bestFit="1" customWidth="1"/>
    <col min="87" max="87" width="9.140625" style="124" bestFit="1" customWidth="1"/>
    <col min="88" max="88" width="10.5703125" style="124" bestFit="1" customWidth="1"/>
    <col min="89" max="89" width="34.42578125" style="124" bestFit="1" customWidth="1"/>
    <col min="90" max="90" width="10.42578125" style="124" bestFit="1" customWidth="1"/>
    <col min="91" max="91" width="13.7109375" style="124" bestFit="1" customWidth="1"/>
    <col min="92" max="92" width="19.5703125" style="124" bestFit="1" customWidth="1"/>
    <col min="93" max="93" width="7.140625" style="124" bestFit="1" customWidth="1"/>
    <col min="94" max="95" width="14" style="124" bestFit="1" customWidth="1"/>
    <col min="96" max="96" width="12.85546875" style="124" bestFit="1" customWidth="1"/>
    <col min="97" max="97" width="9.5703125" style="124" bestFit="1" customWidth="1"/>
    <col min="98" max="98" width="11.5703125" style="124" bestFit="1" customWidth="1"/>
    <col min="99" max="99" width="17" style="124" bestFit="1" customWidth="1"/>
    <col min="100" max="16384" width="10" style="124"/>
  </cols>
  <sheetData>
    <row r="1" spans="1:98" s="105" customFormat="1" ht="14.45">
      <c r="A1" s="96" t="s">
        <v>334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7" t="s">
        <v>6</v>
      </c>
      <c r="H1" s="96" t="s">
        <v>7</v>
      </c>
      <c r="I1" s="96" t="s">
        <v>335</v>
      </c>
      <c r="J1" s="96" t="s">
        <v>9</v>
      </c>
      <c r="K1" s="96" t="s">
        <v>10</v>
      </c>
      <c r="L1" s="98" t="s">
        <v>11</v>
      </c>
      <c r="M1" s="97" t="s">
        <v>12</v>
      </c>
      <c r="N1" s="97" t="s">
        <v>13</v>
      </c>
      <c r="O1" s="97" t="s">
        <v>14</v>
      </c>
      <c r="P1" s="96" t="s">
        <v>15</v>
      </c>
      <c r="Q1" s="96" t="s">
        <v>16</v>
      </c>
      <c r="R1" s="96" t="s">
        <v>336</v>
      </c>
      <c r="S1" s="96" t="s">
        <v>18</v>
      </c>
      <c r="T1" s="96" t="s">
        <v>19</v>
      </c>
      <c r="U1" s="96" t="s">
        <v>20</v>
      </c>
      <c r="V1" s="97" t="s">
        <v>21</v>
      </c>
      <c r="W1" s="96" t="s">
        <v>337</v>
      </c>
      <c r="X1" s="96" t="s">
        <v>23</v>
      </c>
      <c r="Y1" s="96" t="s">
        <v>338</v>
      </c>
      <c r="Z1" s="96" t="s">
        <v>25</v>
      </c>
      <c r="AA1" s="96" t="s">
        <v>26</v>
      </c>
      <c r="AB1" s="96" t="s">
        <v>27</v>
      </c>
      <c r="AC1" s="96" t="s">
        <v>339</v>
      </c>
      <c r="AD1" s="96" t="s">
        <v>340</v>
      </c>
      <c r="AE1" s="96" t="s">
        <v>341</v>
      </c>
      <c r="AF1" s="96" t="s">
        <v>31</v>
      </c>
      <c r="AG1" s="98" t="s">
        <v>32</v>
      </c>
      <c r="AH1" s="96" t="s">
        <v>33</v>
      </c>
      <c r="AI1" s="96" t="s">
        <v>342</v>
      </c>
      <c r="AJ1" s="98" t="s">
        <v>343</v>
      </c>
      <c r="AK1" s="96" t="s">
        <v>344</v>
      </c>
      <c r="AL1" s="97" t="s">
        <v>37</v>
      </c>
      <c r="AM1" s="96" t="s">
        <v>38</v>
      </c>
      <c r="AN1" s="98" t="s">
        <v>39</v>
      </c>
      <c r="AO1" s="98" t="s">
        <v>40</v>
      </c>
      <c r="AP1" s="96" t="s">
        <v>345</v>
      </c>
      <c r="AQ1" s="96" t="s">
        <v>346</v>
      </c>
      <c r="AR1" s="96" t="s">
        <v>347</v>
      </c>
      <c r="AS1" s="96" t="s">
        <v>44</v>
      </c>
      <c r="AT1" s="96" t="s">
        <v>348</v>
      </c>
      <c r="AU1" s="96" t="s">
        <v>46</v>
      </c>
      <c r="AV1" s="96" t="s">
        <v>47</v>
      </c>
      <c r="AW1" s="96" t="s">
        <v>48</v>
      </c>
      <c r="AX1" s="97" t="s">
        <v>49</v>
      </c>
      <c r="AY1" s="99" t="s">
        <v>349</v>
      </c>
      <c r="AZ1" s="96" t="s">
        <v>350</v>
      </c>
      <c r="BA1" s="96" t="s">
        <v>351</v>
      </c>
      <c r="BB1" s="96" t="s">
        <v>352</v>
      </c>
      <c r="BC1" s="96" t="s">
        <v>353</v>
      </c>
      <c r="BD1" s="96" t="s">
        <v>354</v>
      </c>
      <c r="BE1" s="96" t="s">
        <v>56</v>
      </c>
      <c r="BF1" s="96" t="s">
        <v>57</v>
      </c>
      <c r="BG1" s="98" t="s">
        <v>58</v>
      </c>
      <c r="BH1" s="96" t="s">
        <v>59</v>
      </c>
      <c r="BI1" s="97" t="s">
        <v>60</v>
      </c>
      <c r="BJ1" s="97" t="s">
        <v>61</v>
      </c>
      <c r="BK1" s="96" t="s">
        <v>62</v>
      </c>
      <c r="BL1" s="96" t="s">
        <v>355</v>
      </c>
      <c r="BM1" s="96" t="s">
        <v>64</v>
      </c>
      <c r="BN1" s="96" t="s">
        <v>65</v>
      </c>
      <c r="BO1" s="96" t="s">
        <v>66</v>
      </c>
      <c r="BP1" s="96" t="s">
        <v>67</v>
      </c>
      <c r="BQ1" s="96" t="s">
        <v>68</v>
      </c>
      <c r="BR1" s="96" t="s">
        <v>69</v>
      </c>
      <c r="BS1" s="96" t="s">
        <v>70</v>
      </c>
      <c r="BT1" s="96" t="s">
        <v>71</v>
      </c>
      <c r="BU1" s="97" t="s">
        <v>72</v>
      </c>
      <c r="BV1" s="96" t="s">
        <v>73</v>
      </c>
      <c r="BW1" s="96" t="s">
        <v>74</v>
      </c>
      <c r="BX1" s="97" t="s">
        <v>75</v>
      </c>
      <c r="BY1" s="98" t="s">
        <v>356</v>
      </c>
      <c r="BZ1" s="96" t="s">
        <v>77</v>
      </c>
      <c r="CA1" s="97" t="s">
        <v>78</v>
      </c>
      <c r="CB1" s="97" t="s">
        <v>79</v>
      </c>
      <c r="CC1" s="97" t="s">
        <v>80</v>
      </c>
      <c r="CD1" s="96" t="s">
        <v>82</v>
      </c>
      <c r="CE1" s="96" t="s">
        <v>82</v>
      </c>
      <c r="CF1" s="96" t="s">
        <v>83</v>
      </c>
      <c r="CG1" s="97" t="s">
        <v>84</v>
      </c>
      <c r="CH1" s="96" t="s">
        <v>357</v>
      </c>
      <c r="CI1" s="100" t="s">
        <v>308</v>
      </c>
      <c r="CJ1" s="100" t="s">
        <v>358</v>
      </c>
      <c r="CK1" s="101" t="s">
        <v>87</v>
      </c>
      <c r="CL1" s="102" t="s">
        <v>88</v>
      </c>
      <c r="CM1" s="102" t="s">
        <v>89</v>
      </c>
      <c r="CN1" s="102" t="s">
        <v>90</v>
      </c>
      <c r="CO1" s="102" t="s">
        <v>58</v>
      </c>
      <c r="CP1" s="103" t="s">
        <v>359</v>
      </c>
      <c r="CQ1" s="103" t="s">
        <v>360</v>
      </c>
      <c r="CR1" s="103" t="s">
        <v>93</v>
      </c>
      <c r="CS1" s="103" t="s">
        <v>94</v>
      </c>
      <c r="CT1" s="104" t="s">
        <v>95</v>
      </c>
    </row>
    <row r="2" spans="1:98" ht="12.75" customHeight="1">
      <c r="A2" s="106" t="s">
        <v>361</v>
      </c>
      <c r="B2" s="106" t="s">
        <v>362</v>
      </c>
      <c r="C2" s="106" t="s">
        <v>363</v>
      </c>
      <c r="D2" s="106" t="s">
        <v>364</v>
      </c>
      <c r="E2" s="106" t="s">
        <v>365</v>
      </c>
      <c r="F2" s="106" t="s">
        <v>365</v>
      </c>
      <c r="G2" s="106"/>
      <c r="H2" s="107" t="s">
        <v>366</v>
      </c>
      <c r="I2" s="106" t="s">
        <v>367</v>
      </c>
      <c r="J2" s="106" t="s">
        <v>368</v>
      </c>
      <c r="K2" s="108"/>
      <c r="L2" s="109">
        <v>45748.588138298612</v>
      </c>
      <c r="M2" s="109"/>
      <c r="N2" s="109"/>
      <c r="O2" s="109"/>
      <c r="P2" s="106" t="s">
        <v>369</v>
      </c>
      <c r="Q2" s="106" t="s">
        <v>370</v>
      </c>
      <c r="R2" s="106"/>
      <c r="S2" s="106" t="s">
        <v>371</v>
      </c>
      <c r="T2" s="106" t="s">
        <v>372</v>
      </c>
      <c r="U2" s="106" t="s">
        <v>365</v>
      </c>
      <c r="V2" s="106"/>
      <c r="W2" s="107" t="s">
        <v>366</v>
      </c>
      <c r="X2" s="106" t="s">
        <v>373</v>
      </c>
      <c r="Y2" s="106"/>
      <c r="Z2" s="106" t="s">
        <v>372</v>
      </c>
      <c r="AA2" s="106" t="s">
        <v>374</v>
      </c>
      <c r="AB2" s="106" t="s">
        <v>372</v>
      </c>
      <c r="AC2" s="106" t="s">
        <v>365</v>
      </c>
      <c r="AD2" s="107" t="s">
        <v>366</v>
      </c>
      <c r="AE2" s="106"/>
      <c r="AF2" s="107" t="s">
        <v>373</v>
      </c>
      <c r="AG2" s="107" t="s">
        <v>316</v>
      </c>
      <c r="AH2" s="107" t="s">
        <v>375</v>
      </c>
      <c r="AI2" s="107" t="s">
        <v>376</v>
      </c>
      <c r="AJ2" s="106" t="s">
        <v>262</v>
      </c>
      <c r="AK2" s="106" t="s">
        <v>377</v>
      </c>
      <c r="AL2" s="106"/>
      <c r="AM2" s="110" t="s">
        <v>378</v>
      </c>
      <c r="AN2" s="111">
        <v>1</v>
      </c>
      <c r="AO2" s="112">
        <v>10</v>
      </c>
      <c r="AP2" s="112">
        <v>0.01</v>
      </c>
      <c r="AQ2" s="113">
        <v>10</v>
      </c>
      <c r="AR2" s="112">
        <v>0.01</v>
      </c>
      <c r="AS2" s="114">
        <v>96676.7</v>
      </c>
      <c r="AT2" s="114">
        <v>96676.7</v>
      </c>
      <c r="AU2" s="114">
        <v>0</v>
      </c>
      <c r="AV2" s="114">
        <v>96676.7</v>
      </c>
      <c r="AW2" s="114">
        <v>96676.7</v>
      </c>
      <c r="AX2" s="114"/>
      <c r="AY2" s="114">
        <v>1.5</v>
      </c>
      <c r="AZ2" s="107">
        <v>1450.15</v>
      </c>
      <c r="BA2" s="107">
        <v>1.5</v>
      </c>
      <c r="BB2" s="107">
        <v>1450.15</v>
      </c>
      <c r="BC2" s="107"/>
      <c r="BD2" s="114"/>
      <c r="BE2" s="114">
        <v>2900.3</v>
      </c>
      <c r="BF2" s="115"/>
      <c r="BG2" s="114">
        <v>99577</v>
      </c>
      <c r="BH2" s="114" t="s">
        <v>379</v>
      </c>
      <c r="BI2" s="114"/>
      <c r="BJ2" s="114"/>
      <c r="BK2" s="106"/>
      <c r="BL2" s="107"/>
      <c r="BM2" s="107"/>
      <c r="BN2" s="107"/>
      <c r="BO2" s="107">
        <v>99577</v>
      </c>
      <c r="BP2" s="114">
        <v>99577</v>
      </c>
      <c r="BQ2" s="114"/>
      <c r="BR2" s="106"/>
      <c r="BS2" s="108" t="s">
        <v>380</v>
      </c>
      <c r="BT2" s="106" t="s">
        <v>381</v>
      </c>
      <c r="BU2" s="106"/>
      <c r="BV2" s="106" t="s">
        <v>382</v>
      </c>
      <c r="BW2" s="106" t="s">
        <v>311</v>
      </c>
      <c r="BX2" s="106"/>
      <c r="BY2" s="106" t="s">
        <v>263</v>
      </c>
      <c r="BZ2" s="116">
        <v>45745</v>
      </c>
      <c r="CA2" s="116"/>
      <c r="CB2" s="116"/>
      <c r="CC2" s="116"/>
      <c r="CD2" s="106"/>
      <c r="CE2" s="106"/>
      <c r="CF2" s="117" t="s">
        <v>383</v>
      </c>
      <c r="CG2" s="117"/>
      <c r="CH2" s="117" t="s">
        <v>363</v>
      </c>
      <c r="CI2" s="117">
        <v>45748</v>
      </c>
      <c r="CJ2" s="118">
        <v>45748</v>
      </c>
      <c r="CK2" s="119" t="s">
        <v>384</v>
      </c>
      <c r="CL2" s="120" t="s">
        <v>385</v>
      </c>
      <c r="CM2" s="120">
        <v>1</v>
      </c>
      <c r="CN2" s="120" t="s">
        <v>263</v>
      </c>
      <c r="CO2" s="120">
        <v>99577</v>
      </c>
      <c r="CP2" s="121" t="s">
        <v>386</v>
      </c>
      <c r="CQ2" s="122" t="s">
        <v>386</v>
      </c>
      <c r="CR2" s="123" t="s">
        <v>272</v>
      </c>
      <c r="CS2" s="121" t="s">
        <v>387</v>
      </c>
      <c r="CT2" s="123">
        <v>0</v>
      </c>
    </row>
    <row r="3" spans="1:98" ht="12.75" customHeight="1">
      <c r="A3" s="106" t="s">
        <v>388</v>
      </c>
      <c r="B3" s="106" t="s">
        <v>362</v>
      </c>
      <c r="C3" s="106" t="s">
        <v>363</v>
      </c>
      <c r="D3" s="106" t="s">
        <v>364</v>
      </c>
      <c r="E3" s="106" t="s">
        <v>365</v>
      </c>
      <c r="F3" s="106" t="s">
        <v>365</v>
      </c>
      <c r="G3" s="106"/>
      <c r="H3" s="107" t="s">
        <v>366</v>
      </c>
      <c r="I3" s="106" t="s">
        <v>367</v>
      </c>
      <c r="J3" s="106" t="s">
        <v>368</v>
      </c>
      <c r="K3" s="108"/>
      <c r="L3" s="109">
        <v>45748.588150138887</v>
      </c>
      <c r="M3" s="109"/>
      <c r="N3" s="109"/>
      <c r="O3" s="109"/>
      <c r="P3" s="106" t="s">
        <v>369</v>
      </c>
      <c r="Q3" s="106" t="s">
        <v>389</v>
      </c>
      <c r="R3" s="106"/>
      <c r="S3" s="106" t="s">
        <v>390</v>
      </c>
      <c r="T3" s="106" t="s">
        <v>391</v>
      </c>
      <c r="U3" s="106" t="s">
        <v>392</v>
      </c>
      <c r="V3" s="106"/>
      <c r="W3" s="107" t="s">
        <v>393</v>
      </c>
      <c r="X3" s="106" t="s">
        <v>394</v>
      </c>
      <c r="Y3" s="106"/>
      <c r="Z3" s="106" t="s">
        <v>391</v>
      </c>
      <c r="AA3" s="106" t="s">
        <v>395</v>
      </c>
      <c r="AB3" s="106" t="s">
        <v>391</v>
      </c>
      <c r="AC3" s="106" t="s">
        <v>392</v>
      </c>
      <c r="AD3" s="107" t="s">
        <v>393</v>
      </c>
      <c r="AE3" s="106"/>
      <c r="AF3" s="107" t="s">
        <v>394</v>
      </c>
      <c r="AG3" s="107" t="s">
        <v>316</v>
      </c>
      <c r="AH3" s="107" t="s">
        <v>375</v>
      </c>
      <c r="AI3" s="107" t="s">
        <v>396</v>
      </c>
      <c r="AJ3" s="106" t="s">
        <v>397</v>
      </c>
      <c r="AK3" s="106" t="s">
        <v>398</v>
      </c>
      <c r="AL3" s="106"/>
      <c r="AM3" s="110" t="s">
        <v>399</v>
      </c>
      <c r="AN3" s="111">
        <v>1</v>
      </c>
      <c r="AO3" s="112">
        <v>5</v>
      </c>
      <c r="AP3" s="112">
        <v>5.0000000000000001E-3</v>
      </c>
      <c r="AQ3" s="113">
        <v>5</v>
      </c>
      <c r="AR3" s="112">
        <v>5.0000000000000001E-3</v>
      </c>
      <c r="AS3" s="114">
        <v>48141.75</v>
      </c>
      <c r="AT3" s="114">
        <v>48141.75</v>
      </c>
      <c r="AU3" s="114">
        <v>0</v>
      </c>
      <c r="AV3" s="114">
        <v>48141.75</v>
      </c>
      <c r="AW3" s="114">
        <v>48141.75</v>
      </c>
      <c r="AX3" s="114"/>
      <c r="AY3" s="114"/>
      <c r="AZ3" s="107"/>
      <c r="BA3" s="107"/>
      <c r="BB3" s="107"/>
      <c r="BC3" s="107">
        <v>3</v>
      </c>
      <c r="BD3" s="114">
        <v>1444.25</v>
      </c>
      <c r="BE3" s="114">
        <v>1444.25</v>
      </c>
      <c r="BF3" s="115"/>
      <c r="BG3" s="114">
        <v>49586</v>
      </c>
      <c r="BH3" s="114" t="s">
        <v>379</v>
      </c>
      <c r="BI3" s="114"/>
      <c r="BJ3" s="114"/>
      <c r="BK3" s="106"/>
      <c r="BL3" s="107"/>
      <c r="BM3" s="107"/>
      <c r="BN3" s="107"/>
      <c r="BO3" s="107">
        <v>49586</v>
      </c>
      <c r="BP3" s="114">
        <v>49586</v>
      </c>
      <c r="BQ3" s="114"/>
      <c r="BR3" s="106"/>
      <c r="BS3" s="108" t="s">
        <v>380</v>
      </c>
      <c r="BT3" s="106" t="s">
        <v>400</v>
      </c>
      <c r="BU3" s="106"/>
      <c r="BV3" s="106" t="s">
        <v>382</v>
      </c>
      <c r="BW3" s="106" t="s">
        <v>311</v>
      </c>
      <c r="BX3" s="106"/>
      <c r="BY3" s="106" t="s">
        <v>401</v>
      </c>
      <c r="BZ3" s="116">
        <v>45745</v>
      </c>
      <c r="CA3" s="116"/>
      <c r="CB3" s="116"/>
      <c r="CC3" s="116"/>
      <c r="CD3" s="106"/>
      <c r="CE3" s="106"/>
      <c r="CF3" s="117" t="s">
        <v>383</v>
      </c>
      <c r="CG3" s="117"/>
      <c r="CH3" s="117" t="s">
        <v>363</v>
      </c>
      <c r="CI3" s="117">
        <v>45748</v>
      </c>
      <c r="CJ3" s="118">
        <v>45748</v>
      </c>
      <c r="CK3" s="119" t="s">
        <v>402</v>
      </c>
      <c r="CL3" s="120" t="s">
        <v>385</v>
      </c>
      <c r="CM3" s="120">
        <v>1</v>
      </c>
      <c r="CN3" s="120" t="s">
        <v>401</v>
      </c>
      <c r="CO3" s="120">
        <v>49586</v>
      </c>
      <c r="CP3" s="121" t="s">
        <v>386</v>
      </c>
      <c r="CQ3" s="122" t="s">
        <v>386</v>
      </c>
      <c r="CR3" s="123" t="s">
        <v>272</v>
      </c>
      <c r="CS3" s="121" t="s">
        <v>387</v>
      </c>
      <c r="CT3" s="123">
        <v>0</v>
      </c>
    </row>
  </sheetData>
  <autoFilter ref="A1:CU3" xr:uid="{00000000-0001-0000-0300-000000000000}"/>
  <conditionalFormatting sqref="BY1">
    <cfRule type="duplicateValues" dxfId="59" priority="1"/>
  </conditionalFormatting>
  <pageMargins left="0.5" right="0.5" top="0.5" bottom="0.5" header="0" footer="0"/>
  <pageSetup paperSize="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D891-EFE3-4897-B73D-5DE8971A6553}">
  <dimension ref="A1:AT3"/>
  <sheetViews>
    <sheetView showGridLines="0" workbookViewId="0">
      <pane ySplit="1" topLeftCell="A2" activePane="bottomLeft" state="frozen"/>
      <selection pane="bottomLeft"/>
      <selection activeCell="E17" sqref="E17"/>
    </sheetView>
  </sheetViews>
  <sheetFormatPr defaultColWidth="9.140625" defaultRowHeight="15" customHeight="1"/>
  <cols>
    <col min="1" max="1" width="34.42578125" style="132" bestFit="1" customWidth="1"/>
    <col min="2" max="2" width="8.140625" style="132" bestFit="1" customWidth="1"/>
    <col min="3" max="3" width="21.140625" style="132" bestFit="1" customWidth="1"/>
    <col min="4" max="4" width="19.42578125" style="132" bestFit="1" customWidth="1"/>
    <col min="5" max="5" width="21.85546875" style="132" bestFit="1" customWidth="1"/>
    <col min="6" max="6" width="14.28515625" style="132" bestFit="1" customWidth="1"/>
    <col min="7" max="7" width="12.5703125" style="132" bestFit="1" customWidth="1"/>
    <col min="8" max="8" width="16.140625" style="132" bestFit="1" customWidth="1"/>
    <col min="9" max="9" width="17.140625" style="132" bestFit="1" customWidth="1"/>
    <col min="10" max="10" width="17" style="132" bestFit="1" customWidth="1"/>
    <col min="11" max="11" width="17.5703125" style="132" bestFit="1" customWidth="1"/>
    <col min="12" max="12" width="20.42578125" style="132" bestFit="1" customWidth="1"/>
    <col min="13" max="13" width="72.7109375" style="132" bestFit="1" customWidth="1"/>
    <col min="14" max="14" width="7.28515625" style="132" bestFit="1" customWidth="1"/>
    <col min="15" max="15" width="12" style="132" bestFit="1" customWidth="1"/>
    <col min="16" max="16" width="20.5703125" style="132" bestFit="1" customWidth="1"/>
    <col min="17" max="17" width="19.5703125" style="132" bestFit="1" customWidth="1"/>
    <col min="18" max="18" width="16.28515625" style="132" bestFit="1" customWidth="1"/>
    <col min="19" max="19" width="18.5703125" style="132" bestFit="1" customWidth="1"/>
    <col min="20" max="20" width="21.5703125" style="132" bestFit="1" customWidth="1"/>
    <col min="21" max="21" width="19.5703125" style="132" bestFit="1" customWidth="1"/>
    <col min="22" max="22" width="16.140625" style="132" bestFit="1" customWidth="1"/>
    <col min="23" max="23" width="19.85546875" style="132" bestFit="1" customWidth="1"/>
    <col min="24" max="24" width="23" style="132" bestFit="1" customWidth="1"/>
    <col min="25" max="25" width="8" style="132" bestFit="1" customWidth="1"/>
    <col min="26" max="26" width="11.7109375" style="132" bestFit="1" customWidth="1"/>
    <col min="27" max="27" width="15.42578125" style="132" bestFit="1" customWidth="1"/>
    <col min="28" max="28" width="21.42578125" style="132" bestFit="1" customWidth="1"/>
    <col min="29" max="29" width="16.28515625" style="132" bestFit="1" customWidth="1"/>
    <col min="30" max="30" width="16.140625" style="132" bestFit="1" customWidth="1"/>
    <col min="31" max="31" width="28.28515625" style="132" bestFit="1" customWidth="1"/>
    <col min="32" max="32" width="13.5703125" style="132" bestFit="1" customWidth="1"/>
    <col min="33" max="33" width="18.42578125" style="132" bestFit="1" customWidth="1"/>
    <col min="34" max="34" width="20.42578125" style="132" bestFit="1" customWidth="1"/>
    <col min="35" max="35" width="9.85546875" style="132" bestFit="1" customWidth="1"/>
    <col min="36" max="36" width="13.140625" style="132" bestFit="1" customWidth="1"/>
    <col min="37" max="37" width="16.42578125" style="132" bestFit="1" customWidth="1"/>
    <col min="38" max="38" width="18" style="132" bestFit="1" customWidth="1"/>
    <col min="39" max="39" width="25.42578125" style="132" bestFit="1" customWidth="1"/>
    <col min="40" max="40" width="13.140625" style="132" bestFit="1" customWidth="1"/>
    <col min="41" max="41" width="19.42578125" style="132" bestFit="1" customWidth="1"/>
    <col min="42" max="42" width="18.42578125" style="132" bestFit="1" customWidth="1"/>
    <col min="43" max="43" width="5.28515625" style="132" bestFit="1" customWidth="1"/>
    <col min="44" max="44" width="6.42578125" style="132" bestFit="1" customWidth="1"/>
    <col min="45" max="45" width="34.42578125" style="132" bestFit="1" customWidth="1"/>
    <col min="46" max="46" width="10.42578125" style="132" bestFit="1" customWidth="1"/>
    <col min="47" max="16384" width="9.140625" style="132"/>
  </cols>
  <sheetData>
    <row r="1" spans="1:46" ht="15" customHeight="1">
      <c r="A1" s="126" t="s">
        <v>403</v>
      </c>
      <c r="B1" s="126" t="s">
        <v>88</v>
      </c>
      <c r="C1" s="126" t="s">
        <v>90</v>
      </c>
      <c r="D1" s="127" t="s">
        <v>404</v>
      </c>
      <c r="E1" s="127" t="s">
        <v>405</v>
      </c>
      <c r="F1" s="127" t="s">
        <v>406</v>
      </c>
      <c r="G1" s="127" t="s">
        <v>407</v>
      </c>
      <c r="H1" s="127" t="s">
        <v>408</v>
      </c>
      <c r="I1" s="127" t="s">
        <v>409</v>
      </c>
      <c r="J1" s="128" t="s">
        <v>410</v>
      </c>
      <c r="K1" s="127" t="s">
        <v>411</v>
      </c>
      <c r="L1" s="127" t="s">
        <v>412</v>
      </c>
      <c r="M1" s="127" t="s">
        <v>413</v>
      </c>
      <c r="N1" s="128" t="s">
        <v>414</v>
      </c>
      <c r="O1" s="127" t="s">
        <v>415</v>
      </c>
      <c r="P1" s="127" t="s">
        <v>416</v>
      </c>
      <c r="Q1" s="127" t="s">
        <v>417</v>
      </c>
      <c r="R1" s="127" t="s">
        <v>418</v>
      </c>
      <c r="S1" s="127" t="s">
        <v>419</v>
      </c>
      <c r="T1" s="127" t="s">
        <v>420</v>
      </c>
      <c r="U1" s="127" t="s">
        <v>421</v>
      </c>
      <c r="V1" s="127" t="s">
        <v>422</v>
      </c>
      <c r="W1" s="127" t="s">
        <v>423</v>
      </c>
      <c r="X1" s="127" t="s">
        <v>424</v>
      </c>
      <c r="Y1" s="127" t="s">
        <v>425</v>
      </c>
      <c r="Z1" s="127" t="s">
        <v>426</v>
      </c>
      <c r="AA1" s="127" t="s">
        <v>427</v>
      </c>
      <c r="AB1" s="127" t="s">
        <v>428</v>
      </c>
      <c r="AC1" s="127" t="s">
        <v>429</v>
      </c>
      <c r="AD1" s="127" t="s">
        <v>430</v>
      </c>
      <c r="AE1" s="127" t="s">
        <v>431</v>
      </c>
      <c r="AF1" s="127" t="s">
        <v>432</v>
      </c>
      <c r="AG1" s="127" t="s">
        <v>433</v>
      </c>
      <c r="AH1" s="127" t="s">
        <v>434</v>
      </c>
      <c r="AI1" s="127" t="s">
        <v>435</v>
      </c>
      <c r="AJ1" s="127" t="s">
        <v>436</v>
      </c>
      <c r="AK1" s="127" t="s">
        <v>437</v>
      </c>
      <c r="AL1" s="127" t="s">
        <v>438</v>
      </c>
      <c r="AM1" s="127" t="s">
        <v>439</v>
      </c>
      <c r="AN1" s="127" t="s">
        <v>440</v>
      </c>
      <c r="AO1" s="129" t="s">
        <v>441</v>
      </c>
      <c r="AP1" s="129" t="s">
        <v>442</v>
      </c>
      <c r="AQ1" s="130" t="s">
        <v>32</v>
      </c>
      <c r="AR1" s="130" t="s">
        <v>443</v>
      </c>
      <c r="AS1" s="130" t="s">
        <v>444</v>
      </c>
      <c r="AT1" s="131" t="s">
        <v>445</v>
      </c>
    </row>
    <row r="2" spans="1:46" ht="15" customHeight="1">
      <c r="A2" s="133" t="s">
        <v>446</v>
      </c>
      <c r="B2" s="133">
        <v>1</v>
      </c>
      <c r="C2" s="133" t="s">
        <v>447</v>
      </c>
      <c r="D2" s="134" t="s">
        <v>268</v>
      </c>
      <c r="E2" s="134" t="s">
        <v>269</v>
      </c>
      <c r="F2" s="134" t="s">
        <v>448</v>
      </c>
      <c r="G2" s="134" t="s">
        <v>449</v>
      </c>
      <c r="H2" s="135">
        <v>45726.897951388892</v>
      </c>
      <c r="I2" s="134" t="s">
        <v>450</v>
      </c>
      <c r="J2" s="134" t="s">
        <v>451</v>
      </c>
      <c r="K2" s="134" t="s">
        <v>262</v>
      </c>
      <c r="L2" s="134" t="s">
        <v>452</v>
      </c>
      <c r="M2" s="134" t="s">
        <v>270</v>
      </c>
      <c r="N2" s="134">
        <v>2</v>
      </c>
      <c r="O2" s="134" t="s">
        <v>450</v>
      </c>
      <c r="P2" s="134" t="s">
        <v>450</v>
      </c>
      <c r="Q2" s="134" t="s">
        <v>453</v>
      </c>
      <c r="R2" s="134" t="s">
        <v>450</v>
      </c>
      <c r="S2" s="134" t="s">
        <v>450</v>
      </c>
      <c r="T2" s="134" t="s">
        <v>450</v>
      </c>
      <c r="U2" s="134" t="s">
        <v>450</v>
      </c>
      <c r="V2" s="134" t="s">
        <v>450</v>
      </c>
      <c r="W2" s="134" t="s">
        <v>450</v>
      </c>
      <c r="X2" s="134" t="s">
        <v>450</v>
      </c>
      <c r="Y2" s="134" t="s">
        <v>450</v>
      </c>
      <c r="Z2" s="134" t="s">
        <v>450</v>
      </c>
      <c r="AA2" s="134" t="s">
        <v>450</v>
      </c>
      <c r="AB2" s="134" t="s">
        <v>454</v>
      </c>
      <c r="AC2" s="134" t="s">
        <v>450</v>
      </c>
      <c r="AD2" s="134" t="s">
        <v>450</v>
      </c>
      <c r="AE2" s="134" t="s">
        <v>450</v>
      </c>
      <c r="AF2" s="134" t="s">
        <v>450</v>
      </c>
      <c r="AG2" s="134" t="s">
        <v>380</v>
      </c>
      <c r="AH2" s="134" t="s">
        <v>380</v>
      </c>
      <c r="AI2" s="134" t="s">
        <v>454</v>
      </c>
      <c r="AJ2" s="134" t="s">
        <v>455</v>
      </c>
      <c r="AK2" s="134" t="s">
        <v>450</v>
      </c>
      <c r="AL2" s="134" t="s">
        <v>380</v>
      </c>
      <c r="AM2" s="134" t="s">
        <v>450</v>
      </c>
      <c r="AN2" s="134" t="s">
        <v>450</v>
      </c>
      <c r="AO2" s="134"/>
      <c r="AP2" s="134"/>
      <c r="AQ2" s="134" t="s">
        <v>271</v>
      </c>
      <c r="AR2" s="134">
        <v>10</v>
      </c>
      <c r="AS2" s="134" t="e">
        <v>#N/A</v>
      </c>
      <c r="AT2" s="134">
        <v>20</v>
      </c>
    </row>
    <row r="3" spans="1:46" ht="15" customHeight="1">
      <c r="A3" s="133" t="s">
        <v>456</v>
      </c>
      <c r="B3" s="133">
        <v>1</v>
      </c>
      <c r="C3" s="133" t="s">
        <v>457</v>
      </c>
      <c r="D3" s="134" t="s">
        <v>458</v>
      </c>
      <c r="E3" s="134" t="s">
        <v>459</v>
      </c>
      <c r="F3" s="134" t="s">
        <v>448</v>
      </c>
      <c r="G3" s="134" t="s">
        <v>449</v>
      </c>
      <c r="H3" s="135">
        <v>45746.4999537037</v>
      </c>
      <c r="I3" s="134" t="s">
        <v>460</v>
      </c>
      <c r="J3" s="134" t="s">
        <v>461</v>
      </c>
      <c r="K3" s="134" t="s">
        <v>462</v>
      </c>
      <c r="L3" s="134" t="s">
        <v>463</v>
      </c>
      <c r="M3" s="134" t="s">
        <v>464</v>
      </c>
      <c r="N3" s="134">
        <v>1</v>
      </c>
      <c r="O3" s="134" t="s">
        <v>450</v>
      </c>
      <c r="P3" s="134" t="s">
        <v>450</v>
      </c>
      <c r="Q3" s="134" t="s">
        <v>453</v>
      </c>
      <c r="R3" s="134" t="s">
        <v>450</v>
      </c>
      <c r="S3" s="134" t="s">
        <v>450</v>
      </c>
      <c r="T3" s="134" t="s">
        <v>450</v>
      </c>
      <c r="U3" s="134" t="s">
        <v>450</v>
      </c>
      <c r="V3" s="134" t="s">
        <v>450</v>
      </c>
      <c r="W3" s="134" t="s">
        <v>450</v>
      </c>
      <c r="X3" s="134" t="s">
        <v>450</v>
      </c>
      <c r="Y3" s="134" t="s">
        <v>450</v>
      </c>
      <c r="Z3" s="134" t="s">
        <v>450</v>
      </c>
      <c r="AA3" s="134" t="s">
        <v>450</v>
      </c>
      <c r="AB3" s="134" t="s">
        <v>465</v>
      </c>
      <c r="AC3" s="134" t="s">
        <v>450</v>
      </c>
      <c r="AD3" s="134" t="s">
        <v>450</v>
      </c>
      <c r="AE3" s="134" t="s">
        <v>450</v>
      </c>
      <c r="AF3" s="134" t="s">
        <v>450</v>
      </c>
      <c r="AG3" s="134" t="s">
        <v>380</v>
      </c>
      <c r="AH3" s="134" t="s">
        <v>380</v>
      </c>
      <c r="AI3" s="134" t="s">
        <v>465</v>
      </c>
      <c r="AJ3" s="134" t="s">
        <v>466</v>
      </c>
      <c r="AK3" s="134" t="s">
        <v>450</v>
      </c>
      <c r="AL3" s="134" t="s">
        <v>380</v>
      </c>
      <c r="AM3" s="134" t="s">
        <v>450</v>
      </c>
      <c r="AN3" s="134" t="s">
        <v>450</v>
      </c>
      <c r="AO3" s="134"/>
      <c r="AP3" s="134"/>
      <c r="AQ3" s="134" t="s">
        <v>316</v>
      </c>
      <c r="AR3" s="134">
        <v>2</v>
      </c>
      <c r="AS3" s="134" t="e">
        <v>#N/A</v>
      </c>
      <c r="AT3" s="134">
        <v>2</v>
      </c>
    </row>
  </sheetData>
  <conditionalFormatting sqref="A1:A1048576">
    <cfRule type="duplicateValues" dxfId="58" priority="1"/>
  </conditionalFormatting>
  <conditionalFormatting sqref="B1:C1">
    <cfRule type="duplicateValues" dxfId="57" priority="2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43A3-F604-490B-BE32-D8504531EC27}">
  <dimension ref="A1:AI3"/>
  <sheetViews>
    <sheetView showGridLines="0" zoomScale="115" zoomScaleNormal="115" workbookViewId="0">
      <pane ySplit="1" topLeftCell="A2" activePane="bottomLeft" state="frozen"/>
      <selection pane="bottomLeft"/>
      <selection activeCell="E17" sqref="E17"/>
    </sheetView>
  </sheetViews>
  <sheetFormatPr defaultColWidth="9.140625" defaultRowHeight="12.95"/>
  <cols>
    <col min="1" max="1" width="33.5703125" style="124" bestFit="1" customWidth="1"/>
    <col min="2" max="2" width="12.5703125" style="124" bestFit="1" customWidth="1"/>
    <col min="3" max="3" width="20.5703125" style="124" bestFit="1" customWidth="1"/>
    <col min="4" max="4" width="10.85546875" style="125" bestFit="1" customWidth="1"/>
    <col min="5" max="5" width="13.28515625" style="124" bestFit="1" customWidth="1"/>
    <col min="6" max="6" width="6.42578125" style="124" bestFit="1" customWidth="1"/>
    <col min="7" max="7" width="18.140625" style="124" bestFit="1" customWidth="1"/>
    <col min="8" max="8" width="16.140625" style="124" bestFit="1" customWidth="1"/>
    <col min="9" max="9" width="73.5703125" style="124" bestFit="1" customWidth="1"/>
    <col min="10" max="10" width="9.5703125" style="124" bestFit="1" customWidth="1"/>
    <col min="11" max="11" width="13.5703125" style="124" bestFit="1" customWidth="1"/>
    <col min="12" max="12" width="46.140625" style="124" bestFit="1" customWidth="1"/>
    <col min="13" max="13" width="11.7109375" style="124" bestFit="1" customWidth="1"/>
    <col min="14" max="14" width="33.42578125" style="124" bestFit="1" customWidth="1"/>
    <col min="15" max="15" width="19.85546875" style="124" bestFit="1" customWidth="1"/>
    <col min="16" max="16" width="13.5703125" style="124" bestFit="1" customWidth="1"/>
    <col min="17" max="17" width="14.28515625" style="124" bestFit="1" customWidth="1"/>
    <col min="18" max="18" width="16.28515625" style="124" bestFit="1" customWidth="1"/>
    <col min="19" max="19" width="16.7109375" style="124" bestFit="1" customWidth="1"/>
    <col min="20" max="20" width="20.5703125" style="124" bestFit="1" customWidth="1"/>
    <col min="21" max="21" width="42.5703125" style="124" bestFit="1" customWidth="1"/>
    <col min="22" max="22" width="11" style="124" bestFit="1" customWidth="1"/>
    <col min="23" max="23" width="10.85546875" style="124" bestFit="1" customWidth="1"/>
    <col min="24" max="24" width="10.42578125" style="124" bestFit="1" customWidth="1"/>
    <col min="25" max="25" width="19.7109375" style="124" bestFit="1" customWidth="1"/>
    <col min="26" max="26" width="12.140625" style="124" bestFit="1" customWidth="1"/>
    <col min="27" max="27" width="9.7109375" style="124" bestFit="1" customWidth="1"/>
    <col min="28" max="28" width="21.85546875" style="124" bestFit="1" customWidth="1"/>
    <col min="29" max="29" width="7.7109375" style="124" bestFit="1" customWidth="1"/>
    <col min="30" max="30" width="9.28515625" style="124" bestFit="1" customWidth="1"/>
    <col min="31" max="31" width="33.5703125" style="124" bestFit="1" customWidth="1"/>
    <col min="32" max="32" width="7.5703125" style="124" bestFit="1" customWidth="1"/>
    <col min="33" max="33" width="13.140625" style="124" bestFit="1" customWidth="1"/>
    <col min="34" max="34" width="9.28515625" style="124" bestFit="1" customWidth="1"/>
    <col min="35" max="35" width="11.42578125" style="124" bestFit="1" customWidth="1"/>
    <col min="36" max="16384" width="9.140625" style="124"/>
  </cols>
  <sheetData>
    <row r="1" spans="1:35" ht="15" customHeight="1">
      <c r="A1" s="101" t="s">
        <v>467</v>
      </c>
      <c r="B1" s="136" t="s">
        <v>88</v>
      </c>
      <c r="C1" s="136" t="s">
        <v>468</v>
      </c>
      <c r="D1" s="137" t="s">
        <v>469</v>
      </c>
      <c r="E1" s="138" t="s">
        <v>470</v>
      </c>
      <c r="F1" s="138" t="s">
        <v>471</v>
      </c>
      <c r="G1" s="138" t="s">
        <v>472</v>
      </c>
      <c r="H1" s="106" t="s">
        <v>473</v>
      </c>
      <c r="I1" s="138" t="s">
        <v>474</v>
      </c>
      <c r="J1" s="138" t="s">
        <v>414</v>
      </c>
      <c r="K1" s="139" t="s">
        <v>475</v>
      </c>
      <c r="L1" s="139" t="s">
        <v>476</v>
      </c>
      <c r="M1" s="139" t="s">
        <v>477</v>
      </c>
      <c r="N1" s="139" t="s">
        <v>478</v>
      </c>
      <c r="O1" s="139" t="s">
        <v>479</v>
      </c>
      <c r="P1" s="140" t="s">
        <v>480</v>
      </c>
      <c r="Q1" s="139" t="s">
        <v>481</v>
      </c>
      <c r="R1" s="139" t="s">
        <v>173</v>
      </c>
      <c r="S1" s="139" t="s">
        <v>482</v>
      </c>
      <c r="T1" s="139" t="s">
        <v>174</v>
      </c>
      <c r="U1" s="139" t="s">
        <v>175</v>
      </c>
      <c r="V1" s="139" t="s">
        <v>176</v>
      </c>
      <c r="W1" s="139" t="s">
        <v>177</v>
      </c>
      <c r="X1" s="139" t="s">
        <v>178</v>
      </c>
      <c r="Y1" s="139" t="s">
        <v>483</v>
      </c>
      <c r="Z1" s="139" t="s">
        <v>179</v>
      </c>
      <c r="AA1" s="139" t="s">
        <v>180</v>
      </c>
      <c r="AB1" s="139" t="s">
        <v>181</v>
      </c>
      <c r="AC1" s="139" t="s">
        <v>182</v>
      </c>
      <c r="AD1" s="139" t="s">
        <v>183</v>
      </c>
      <c r="AE1" s="141" t="s">
        <v>444</v>
      </c>
      <c r="AF1" s="142" t="s">
        <v>32</v>
      </c>
      <c r="AG1" s="142" t="s">
        <v>484</v>
      </c>
      <c r="AH1" s="142" t="s">
        <v>485</v>
      </c>
      <c r="AI1" s="142" t="s">
        <v>445</v>
      </c>
    </row>
    <row r="2" spans="1:35">
      <c r="A2" s="143" t="s">
        <v>486</v>
      </c>
      <c r="B2" s="143">
        <v>1</v>
      </c>
      <c r="C2" s="143" t="s">
        <v>487</v>
      </c>
      <c r="D2" s="144">
        <v>45749.442662037036</v>
      </c>
      <c r="E2" s="145">
        <v>24529481882</v>
      </c>
      <c r="F2" s="145" t="s">
        <v>488</v>
      </c>
      <c r="G2" s="145" t="s">
        <v>489</v>
      </c>
      <c r="H2" s="145" t="s">
        <v>490</v>
      </c>
      <c r="I2" s="145" t="s">
        <v>491</v>
      </c>
      <c r="J2" s="145">
        <v>1</v>
      </c>
      <c r="K2" s="145" t="s">
        <v>492</v>
      </c>
      <c r="L2" s="146" t="s">
        <v>493</v>
      </c>
      <c r="M2" s="146" t="s">
        <v>494</v>
      </c>
      <c r="N2" s="145" t="s">
        <v>372</v>
      </c>
      <c r="O2" s="145" t="s">
        <v>495</v>
      </c>
      <c r="P2" s="145">
        <v>110058</v>
      </c>
      <c r="Q2" s="145">
        <v>6310.68</v>
      </c>
      <c r="R2" s="145">
        <v>0</v>
      </c>
      <c r="S2" s="145">
        <v>0</v>
      </c>
      <c r="T2" s="147">
        <v>0</v>
      </c>
      <c r="U2" s="147">
        <v>189.32</v>
      </c>
      <c r="V2" s="147">
        <v>-15.78</v>
      </c>
      <c r="W2" s="147">
        <v>-15.78</v>
      </c>
      <c r="X2" s="147">
        <v>0</v>
      </c>
      <c r="Y2" s="147">
        <v>-6.32</v>
      </c>
      <c r="Z2" s="147">
        <v>-230.1</v>
      </c>
      <c r="AA2" s="147">
        <v>-50.74</v>
      </c>
      <c r="AB2" s="147">
        <v>-71.98</v>
      </c>
      <c r="AC2" s="147">
        <v>0</v>
      </c>
      <c r="AD2" s="147">
        <v>6109.3</v>
      </c>
      <c r="AE2" s="147" t="s">
        <v>486</v>
      </c>
      <c r="AF2" s="147" t="s">
        <v>317</v>
      </c>
      <c r="AG2" s="147">
        <v>50</v>
      </c>
      <c r="AH2" s="147">
        <v>6500</v>
      </c>
      <c r="AI2" s="147">
        <v>50</v>
      </c>
    </row>
    <row r="3" spans="1:35">
      <c r="A3" s="143" t="s">
        <v>496</v>
      </c>
      <c r="B3" s="143">
        <v>1</v>
      </c>
      <c r="C3" s="143" t="s">
        <v>497</v>
      </c>
      <c r="D3" s="144">
        <v>45749.442962962959</v>
      </c>
      <c r="E3" s="145">
        <v>24529481882</v>
      </c>
      <c r="F3" s="145" t="s">
        <v>488</v>
      </c>
      <c r="G3" s="145" t="s">
        <v>498</v>
      </c>
      <c r="H3" s="145" t="s">
        <v>490</v>
      </c>
      <c r="I3" s="145" t="s">
        <v>491</v>
      </c>
      <c r="J3" s="145">
        <v>1</v>
      </c>
      <c r="K3" s="145" t="s">
        <v>492</v>
      </c>
      <c r="L3" s="146" t="s">
        <v>493</v>
      </c>
      <c r="M3" s="146" t="s">
        <v>494</v>
      </c>
      <c r="N3" s="145" t="s">
        <v>372</v>
      </c>
      <c r="O3" s="145" t="s">
        <v>495</v>
      </c>
      <c r="P3" s="145">
        <v>110064</v>
      </c>
      <c r="Q3" s="145">
        <v>6281.56</v>
      </c>
      <c r="R3" s="145">
        <v>38.840000000000003</v>
      </c>
      <c r="S3" s="145">
        <v>0</v>
      </c>
      <c r="T3" s="147">
        <v>-38.840000000000003</v>
      </c>
      <c r="U3" s="147">
        <v>188.44</v>
      </c>
      <c r="V3" s="147">
        <v>-15.7</v>
      </c>
      <c r="W3" s="147">
        <v>-15.7</v>
      </c>
      <c r="X3" s="147">
        <v>0</v>
      </c>
      <c r="Y3" s="147">
        <v>-6.29</v>
      </c>
      <c r="Z3" s="147">
        <v>-229.04</v>
      </c>
      <c r="AA3" s="147">
        <v>-50.74</v>
      </c>
      <c r="AB3" s="147">
        <v>-71.98</v>
      </c>
      <c r="AC3" s="147">
        <v>0</v>
      </c>
      <c r="AD3" s="147">
        <v>6080.55</v>
      </c>
      <c r="AE3" s="147" t="s">
        <v>496</v>
      </c>
      <c r="AF3" s="147" t="s">
        <v>317</v>
      </c>
      <c r="AG3" s="147">
        <v>50</v>
      </c>
      <c r="AH3" s="147">
        <v>6470</v>
      </c>
      <c r="AI3" s="147">
        <v>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A9B0-C91E-4DEC-B922-9A501282C1E4}">
  <sheetPr>
    <tabColor theme="9" tint="-0.249977111117893"/>
  </sheetPr>
  <dimension ref="A1:O5"/>
  <sheetViews>
    <sheetView showGridLines="0" zoomScale="90" zoomScaleNormal="90" workbookViewId="0">
      <pane ySplit="2" topLeftCell="B3" activePane="bottomLeft" state="frozen"/>
      <selection pane="bottomLeft" activeCell="B3" sqref="B3"/>
      <selection activeCell="B3" sqref="B3"/>
    </sheetView>
  </sheetViews>
  <sheetFormatPr defaultColWidth="9.140625" defaultRowHeight="14.45"/>
  <cols>
    <col min="1" max="1" width="10.42578125" style="245" bestFit="1" customWidth="1"/>
    <col min="2" max="2" width="19.42578125" style="229" bestFit="1" customWidth="1"/>
    <col min="3" max="3" width="15.140625" style="229" bestFit="1" customWidth="1"/>
    <col min="4" max="4" width="9.85546875" style="247" bestFit="1" customWidth="1"/>
    <col min="5" max="5" width="30.5703125" style="229" bestFit="1" customWidth="1"/>
    <col min="6" max="6" width="16.5703125" style="229" bestFit="1" customWidth="1"/>
    <col min="7" max="8" width="13.85546875" style="229" bestFit="1" customWidth="1"/>
    <col min="9" max="9" width="9.140625" style="229" bestFit="1" customWidth="1"/>
    <col min="10" max="10" width="15.140625" style="229" bestFit="1" customWidth="1"/>
    <col min="11" max="11" width="12.7109375" style="248" bestFit="1" customWidth="1"/>
    <col min="12" max="12" width="4.7109375" style="248" customWidth="1"/>
    <col min="13" max="13" width="12.140625" style="229" bestFit="1" customWidth="1"/>
    <col min="14" max="14" width="9.85546875" style="229" bestFit="1" customWidth="1"/>
    <col min="15" max="15" width="30.5703125" style="229" bestFit="1" customWidth="1"/>
    <col min="16" max="16384" width="9.140625" style="229"/>
  </cols>
  <sheetData>
    <row r="1" spans="1:15">
      <c r="A1" s="728" t="s">
        <v>499</v>
      </c>
      <c r="B1" s="729"/>
      <c r="C1" s="729"/>
      <c r="D1" s="223" t="s">
        <v>500</v>
      </c>
      <c r="E1" s="224"/>
      <c r="F1" s="225"/>
      <c r="G1" s="224"/>
      <c r="H1" s="224"/>
      <c r="I1" s="224"/>
      <c r="J1" s="224"/>
      <c r="K1" s="226"/>
      <c r="L1" s="227"/>
      <c r="M1" s="227"/>
      <c r="N1" s="227"/>
      <c r="O1" s="228"/>
    </row>
    <row r="2" spans="1:15" ht="15" thickBot="1">
      <c r="A2" s="230" t="s">
        <v>152</v>
      </c>
      <c r="B2" s="231" t="s">
        <v>153</v>
      </c>
      <c r="C2" s="232" t="s">
        <v>154</v>
      </c>
      <c r="D2" s="230" t="s">
        <v>152</v>
      </c>
      <c r="E2" s="230" t="s">
        <v>153</v>
      </c>
      <c r="F2" s="231" t="s">
        <v>155</v>
      </c>
      <c r="G2" s="231" t="s">
        <v>156</v>
      </c>
      <c r="H2" s="231" t="s">
        <v>157</v>
      </c>
      <c r="I2" s="231" t="s">
        <v>158</v>
      </c>
      <c r="J2" s="231" t="s">
        <v>154</v>
      </c>
      <c r="K2" s="233" t="s">
        <v>118</v>
      </c>
      <c r="L2" s="234" t="s">
        <v>86</v>
      </c>
      <c r="M2" s="234" t="s">
        <v>159</v>
      </c>
      <c r="N2" s="235" t="s">
        <v>160</v>
      </c>
      <c r="O2" s="235" t="s">
        <v>501</v>
      </c>
    </row>
    <row r="3" spans="1:15">
      <c r="A3" s="236">
        <v>45481.253171296295</v>
      </c>
      <c r="B3" s="237" t="s">
        <v>502</v>
      </c>
      <c r="C3" s="238">
        <v>106111.3</v>
      </c>
      <c r="D3" s="236">
        <v>45481</v>
      </c>
      <c r="E3" s="239" t="s">
        <v>274</v>
      </c>
      <c r="F3" s="240">
        <v>106111.29</v>
      </c>
      <c r="G3" s="241">
        <v>0</v>
      </c>
      <c r="H3" s="241">
        <v>0</v>
      </c>
      <c r="I3" s="241">
        <v>0</v>
      </c>
      <c r="J3" s="241">
        <f>F3+G3-H3-I3</f>
        <v>106111.29</v>
      </c>
      <c r="K3" s="242">
        <f t="shared" ref="K3:K4" si="0">C3-J3</f>
        <v>1.0000000009313226E-2</v>
      </c>
      <c r="L3" s="243"/>
      <c r="M3" s="237">
        <f>SUMIFS('[2]MMTC Data'!$CL:$CL,'[2]MMTC Data'!$CK:$CK,'Flipkart PAYMENT Settl.'!$D3,'[2]MMTC Data'!$CJ:$CJ,'Flipkart PAYMENT Settl.'!$E3)+SUMIFS('[2]MMTC Data'!$CO:$CO,'[2]MMTC Data'!$CN:$CN,'Flipkart PAYMENT Settl.'!$D3,'[2]MMTC Data'!$CM:$CM,'Flipkart PAYMENT Settl.'!$E3)+SUMIFS('[2]MMTC Data'!$CR:$CR,'[2]MMTC Data'!$CQ:$CQ,'Flipkart PAYMENT Settl.'!$D3,'[2]MMTC Data'!$CP:$CP,'Flipkart PAYMENT Settl.'!$E3)+SUMIFS('[2]MMTC Data'!$CU:$CU,'[2]MMTC Data'!$CT:$CT,'Flipkart PAYMENT Settl.'!$D3,'[2]MMTC Data'!$CS:$CS,'Flipkart PAYMENT Settl.'!$E3)+SUMIFS('[2]MMTC Data'!$CX:$CX,'[2]MMTC Data'!$CW:$CW,'Flipkart PAYMENT Settl.'!$D3,'[2]MMTC Data'!$CV:$CV,'Flipkart PAYMENT Settl.'!$E3)+SUMIFS('[2]MMTC Data'!$DA:$DA,'[2]MMTC Data'!$CZ:$CZ,'Flipkart PAYMENT Settl.'!$D3,'[2]MMTC Data'!$CY:$CY,'Flipkart PAYMENT Settl.'!$E3)-F3+SUMIFS('[2]MMTC Data'!$DD:$DD,'[2]MMTC Data'!$DC:$DC,'Flipkart PAYMENT Settl.'!$D3,'[2]MMTC Data'!$DB:$DB,'Flipkart PAYMENT Settl.'!$E3)</f>
        <v>38900.210000000006</v>
      </c>
      <c r="N3" s="244" t="s">
        <v>282</v>
      </c>
      <c r="O3" s="244" t="str">
        <f>VLOOKUP($E3,'Settl._Flipkart Payment'!$E:$E,1,0)</f>
        <v xml:space="preserve">NFT-419000547GN00165XXXXXXX </v>
      </c>
    </row>
    <row r="4" spans="1:15">
      <c r="A4" s="236">
        <v>45481.419409722221</v>
      </c>
      <c r="B4" s="237" t="s">
        <v>503</v>
      </c>
      <c r="C4" s="238">
        <v>670.79</v>
      </c>
      <c r="D4" s="236">
        <v>45481</v>
      </c>
      <c r="E4" s="239" t="s">
        <v>504</v>
      </c>
      <c r="F4" s="240">
        <v>670.78</v>
      </c>
      <c r="G4" s="241">
        <v>0</v>
      </c>
      <c r="H4" s="241">
        <v>0</v>
      </c>
      <c r="I4" s="241">
        <v>0</v>
      </c>
      <c r="J4" s="241">
        <f>F4+G4-H4-I4</f>
        <v>670.78</v>
      </c>
      <c r="K4" s="242">
        <f t="shared" si="0"/>
        <v>9.9999999999909051E-3</v>
      </c>
      <c r="L4" s="243"/>
      <c r="M4" s="237">
        <f>SUMIFS('[2]MMTC Data'!$CL:$CL,'[2]MMTC Data'!$CK:$CK,'Flipkart PAYMENT Settl.'!$D4,'[2]MMTC Data'!$CJ:$CJ,'Flipkart PAYMENT Settl.'!$E4)+SUMIFS('[2]MMTC Data'!$CO:$CO,'[2]MMTC Data'!$CN:$CN,'Flipkart PAYMENT Settl.'!$D4,'[2]MMTC Data'!$CM:$CM,'Flipkart PAYMENT Settl.'!$E4)+SUMIFS('[2]MMTC Data'!$CR:$CR,'[2]MMTC Data'!$CQ:$CQ,'Flipkart PAYMENT Settl.'!$D4,'[2]MMTC Data'!$CP:$CP,'Flipkart PAYMENT Settl.'!$E4)+SUMIFS('[2]MMTC Data'!$CU:$CU,'[2]MMTC Data'!$CT:$CT,'Flipkart PAYMENT Settl.'!$D4,'[2]MMTC Data'!$CS:$CS,'Flipkart PAYMENT Settl.'!$E4)+SUMIFS('[2]MMTC Data'!$CX:$CX,'[2]MMTC Data'!$CW:$CW,'Flipkart PAYMENT Settl.'!$D4,'[2]MMTC Data'!$CV:$CV,'Flipkart PAYMENT Settl.'!$E4)+SUMIFS('[2]MMTC Data'!$DA:$DA,'[2]MMTC Data'!$CZ:$CZ,'Flipkart PAYMENT Settl.'!$D4,'[2]MMTC Data'!$CY:$CY,'Flipkart PAYMENT Settl.'!$E4)-F4+SUMIFS('[2]MMTC Data'!$DD:$DD,'[2]MMTC Data'!$DC:$DC,'Flipkart PAYMENT Settl.'!$D4,'[2]MMTC Data'!$DB:$DB,'Flipkart PAYMENT Settl.'!$E4)</f>
        <v>286.202</v>
      </c>
      <c r="N4" s="244" t="s">
        <v>282</v>
      </c>
      <c r="O4" s="244" t="e">
        <f>VLOOKUP($E4,'Settl._Flipkart Payment'!$E:$E,1,0)</f>
        <v>#N/A</v>
      </c>
    </row>
    <row r="5" spans="1:15" ht="15" thickBot="1">
      <c r="C5" s="246">
        <f>SUM(C3:C4)</f>
        <v>106782.09</v>
      </c>
      <c r="F5" s="246">
        <f>SUM(F3:F4)</f>
        <v>106782.06999999999</v>
      </c>
      <c r="J5" s="246">
        <f>SUM(J3:J4)</f>
        <v>106782.06999999999</v>
      </c>
      <c r="K5" s="246">
        <f>SUM(K3:K4)</f>
        <v>2.0000000009304131E-2</v>
      </c>
      <c r="M5" s="246">
        <f>SUM(M3:M4)</f>
        <v>39186.412000000004</v>
      </c>
    </row>
  </sheetData>
  <autoFilter ref="A2:O5" xr:uid="{00000000-0001-0000-0B00-000000000000}"/>
  <mergeCells count="1">
    <mergeCell ref="A1:C1"/>
  </mergeCells>
  <conditionalFormatting sqref="B2:B4">
    <cfRule type="duplicateValues" dxfId="56" priority="67"/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ACE5-74F1-4C49-BF0E-26C193791123}">
  <dimension ref="A1:AW3"/>
  <sheetViews>
    <sheetView topLeftCell="AK1" workbookViewId="0">
      <pane ySplit="1" topLeftCell="AI2" activePane="bottomLeft" state="frozen"/>
      <selection pane="bottomLeft" sqref="A1:AW1"/>
      <selection activeCell="E17" sqref="E17"/>
    </sheetView>
  </sheetViews>
  <sheetFormatPr defaultColWidth="9.140625" defaultRowHeight="12.95"/>
  <cols>
    <col min="1" max="1" width="28.28515625" style="124" bestFit="1" customWidth="1"/>
    <col min="2" max="2" width="12.5703125" style="124" bestFit="1" customWidth="1"/>
    <col min="3" max="3" width="28.28515625" style="124" bestFit="1" customWidth="1"/>
    <col min="4" max="4" width="14.140625" style="124" bestFit="1" customWidth="1"/>
    <col min="5" max="5" width="27" style="125" bestFit="1" customWidth="1"/>
    <col min="6" max="6" width="17.42578125" style="124" customWidth="1"/>
    <col min="7" max="7" width="27.85546875" style="124" bestFit="1" customWidth="1"/>
    <col min="8" max="8" width="26.7109375" style="124" bestFit="1" customWidth="1"/>
    <col min="9" max="9" width="21.140625" style="124" bestFit="1" customWidth="1"/>
    <col min="10" max="10" width="26.7109375" style="124" bestFit="1" customWidth="1"/>
    <col min="11" max="11" width="24.85546875" style="124" bestFit="1" customWidth="1"/>
    <col min="12" max="12" width="26.7109375" style="124" bestFit="1" customWidth="1"/>
    <col min="13" max="13" width="13" style="124" bestFit="1" customWidth="1"/>
    <col min="14" max="14" width="33.7109375" style="124" bestFit="1" customWidth="1"/>
    <col min="15" max="15" width="11.28515625" style="124" bestFit="1" customWidth="1"/>
    <col min="16" max="16" width="14.42578125" style="124" bestFit="1" customWidth="1"/>
    <col min="17" max="17" width="55.28515625" style="124" bestFit="1" customWidth="1"/>
    <col min="18" max="18" width="13.28515625" style="124" customWidth="1"/>
    <col min="19" max="19" width="23.140625" style="124" bestFit="1" customWidth="1"/>
    <col min="20" max="20" width="11.28515625" style="124" bestFit="1" customWidth="1"/>
    <col min="21" max="21" width="14.42578125" style="124" customWidth="1"/>
    <col min="22" max="22" width="20.42578125" style="124" bestFit="1" customWidth="1"/>
    <col min="23" max="23" width="17.42578125" style="124" customWidth="1"/>
    <col min="24" max="24" width="20.140625" style="124" customWidth="1"/>
    <col min="25" max="25" width="17.140625" style="124" customWidth="1"/>
    <col min="26" max="26" width="19.85546875" style="124" customWidth="1"/>
    <col min="27" max="27" width="16.85546875" style="124" customWidth="1"/>
    <col min="28" max="28" width="15.5703125" style="124" customWidth="1"/>
    <col min="29" max="29" width="16.140625" style="124" customWidth="1"/>
    <col min="30" max="30" width="27" style="124" bestFit="1" customWidth="1"/>
    <col min="31" max="31" width="14.5703125" style="124" bestFit="1" customWidth="1"/>
    <col min="32" max="32" width="20.85546875" style="124" customWidth="1"/>
    <col min="33" max="33" width="13.42578125" style="124" customWidth="1"/>
    <col min="34" max="34" width="18.7109375" style="124" customWidth="1"/>
    <col min="35" max="35" width="17.7109375" style="124" customWidth="1"/>
    <col min="36" max="36" width="15.5703125" style="124" customWidth="1"/>
    <col min="37" max="37" width="20.140625" style="124" bestFit="1" customWidth="1"/>
    <col min="38" max="38" width="10.140625" style="124" bestFit="1" customWidth="1"/>
    <col min="39" max="39" width="19.42578125" style="124" bestFit="1" customWidth="1"/>
    <col min="40" max="40" width="19.5703125" style="124" bestFit="1" customWidth="1"/>
    <col min="41" max="41" width="12.5703125" style="124" bestFit="1" customWidth="1"/>
    <col min="42" max="42" width="7.5703125" style="124" bestFit="1" customWidth="1"/>
    <col min="43" max="43" width="16.85546875" style="124" bestFit="1" customWidth="1"/>
    <col min="44" max="44" width="6.42578125" style="124" bestFit="1" customWidth="1"/>
    <col min="45" max="45" width="8.28515625" style="124" bestFit="1" customWidth="1"/>
    <col min="46" max="46" width="6.7109375" style="124" bestFit="1" customWidth="1"/>
    <col min="47" max="47" width="6.42578125" style="125" bestFit="1" customWidth="1"/>
    <col min="48" max="48" width="8.85546875" style="124" bestFit="1" customWidth="1"/>
    <col min="49" max="16384" width="9.140625" style="124"/>
  </cols>
  <sheetData>
    <row r="1" spans="1:49" ht="12.75" customHeight="1">
      <c r="A1" s="101" t="s">
        <v>467</v>
      </c>
      <c r="B1" s="136" t="s">
        <v>88</v>
      </c>
      <c r="C1" s="136" t="s">
        <v>444</v>
      </c>
      <c r="D1" s="148" t="s">
        <v>505</v>
      </c>
      <c r="E1" s="148" t="s">
        <v>506</v>
      </c>
      <c r="F1" s="148" t="s">
        <v>507</v>
      </c>
      <c r="G1" s="148" t="s">
        <v>508</v>
      </c>
      <c r="H1" s="148" t="s">
        <v>509</v>
      </c>
      <c r="I1" s="148" t="s">
        <v>161</v>
      </c>
      <c r="J1" s="148" t="s">
        <v>510</v>
      </c>
      <c r="K1" s="148" t="s">
        <v>511</v>
      </c>
      <c r="L1" s="148" t="s">
        <v>512</v>
      </c>
      <c r="M1" s="148" t="s">
        <v>513</v>
      </c>
      <c r="N1" s="148" t="s">
        <v>514</v>
      </c>
      <c r="O1" s="148" t="s">
        <v>513</v>
      </c>
      <c r="P1" s="148" t="s">
        <v>515</v>
      </c>
      <c r="Q1" s="148" t="s">
        <v>516</v>
      </c>
      <c r="R1" s="148" t="s">
        <v>517</v>
      </c>
      <c r="S1" s="148" t="s">
        <v>518</v>
      </c>
      <c r="T1" s="149" t="s">
        <v>519</v>
      </c>
      <c r="U1" s="148" t="s">
        <v>520</v>
      </c>
      <c r="V1" s="148" t="s">
        <v>521</v>
      </c>
      <c r="W1" s="148" t="s">
        <v>522</v>
      </c>
      <c r="X1" s="148" t="s">
        <v>523</v>
      </c>
      <c r="Y1" s="148" t="s">
        <v>524</v>
      </c>
      <c r="Z1" s="148" t="s">
        <v>525</v>
      </c>
      <c r="AA1" s="148" t="s">
        <v>526</v>
      </c>
      <c r="AB1" s="148" t="s">
        <v>527</v>
      </c>
      <c r="AC1" s="148" t="s">
        <v>528</v>
      </c>
      <c r="AD1" s="148" t="s">
        <v>529</v>
      </c>
      <c r="AE1" s="148" t="s">
        <v>530</v>
      </c>
      <c r="AF1" s="148" t="s">
        <v>531</v>
      </c>
      <c r="AG1" s="148" t="s">
        <v>532</v>
      </c>
      <c r="AH1" s="150" t="s">
        <v>533</v>
      </c>
      <c r="AI1" s="148" t="s">
        <v>534</v>
      </c>
      <c r="AJ1" s="148" t="s">
        <v>519</v>
      </c>
      <c r="AK1" s="148" t="s">
        <v>535</v>
      </c>
      <c r="AL1" s="150" t="s">
        <v>536</v>
      </c>
      <c r="AM1" s="148" t="s">
        <v>537</v>
      </c>
      <c r="AN1" s="151" t="s">
        <v>538</v>
      </c>
      <c r="AO1" s="151" t="s">
        <v>507</v>
      </c>
      <c r="AP1" s="152" t="s">
        <v>32</v>
      </c>
      <c r="AQ1" s="152" t="s">
        <v>40</v>
      </c>
      <c r="AR1" s="153" t="s">
        <v>539</v>
      </c>
      <c r="AS1" s="153" t="s">
        <v>358</v>
      </c>
      <c r="AT1" s="152" t="s">
        <v>308</v>
      </c>
      <c r="AU1" s="152" t="s">
        <v>539</v>
      </c>
      <c r="AV1" s="154" t="s">
        <v>308</v>
      </c>
      <c r="AW1" s="142" t="s">
        <v>445</v>
      </c>
    </row>
    <row r="2" spans="1:49">
      <c r="A2" s="155" t="s">
        <v>540</v>
      </c>
      <c r="B2" s="155" t="s">
        <v>385</v>
      </c>
      <c r="C2" s="155" t="e">
        <v>#N/A</v>
      </c>
      <c r="D2" s="156" t="s">
        <v>541</v>
      </c>
      <c r="E2" s="156" t="s">
        <v>542</v>
      </c>
      <c r="F2" s="157" t="s">
        <v>543</v>
      </c>
      <c r="G2" s="156" t="s">
        <v>450</v>
      </c>
      <c r="H2" s="156" t="s">
        <v>450</v>
      </c>
      <c r="I2" s="156"/>
      <c r="J2" s="156" t="s">
        <v>450</v>
      </c>
      <c r="K2" s="156" t="s">
        <v>450</v>
      </c>
      <c r="L2" s="156" t="s">
        <v>450</v>
      </c>
      <c r="M2" s="156" t="s">
        <v>544</v>
      </c>
      <c r="N2" s="156" t="s">
        <v>545</v>
      </c>
      <c r="O2" s="124" t="s">
        <v>544</v>
      </c>
      <c r="P2" s="156" t="s">
        <v>546</v>
      </c>
      <c r="Q2" s="156" t="s">
        <v>547</v>
      </c>
      <c r="R2" s="156">
        <v>1</v>
      </c>
      <c r="S2" s="124">
        <v>0</v>
      </c>
      <c r="T2" s="156">
        <v>17310</v>
      </c>
      <c r="V2" s="124" t="s">
        <v>548</v>
      </c>
      <c r="W2" s="124" t="s">
        <v>548</v>
      </c>
      <c r="X2" s="124" t="s">
        <v>548</v>
      </c>
      <c r="Y2" s="124" t="s">
        <v>548</v>
      </c>
      <c r="Z2" s="124" t="s">
        <v>548</v>
      </c>
      <c r="AA2" s="124" t="s">
        <v>548</v>
      </c>
      <c r="AC2" s="156"/>
      <c r="AD2" s="156" t="s">
        <v>549</v>
      </c>
      <c r="AE2" s="124" t="s">
        <v>550</v>
      </c>
      <c r="AF2" s="124">
        <v>0</v>
      </c>
      <c r="AG2" s="124" t="s">
        <v>551</v>
      </c>
      <c r="AI2" s="124">
        <v>0</v>
      </c>
      <c r="AJ2" s="156">
        <v>17310</v>
      </c>
      <c r="AK2" s="124" t="s">
        <v>552</v>
      </c>
      <c r="AM2" s="156" t="s">
        <v>553</v>
      </c>
      <c r="AN2" s="158" t="s">
        <v>554</v>
      </c>
      <c r="AO2" s="159" t="e">
        <v>#N/A</v>
      </c>
      <c r="AP2" s="159" t="s">
        <v>271</v>
      </c>
      <c r="AQ2" s="108">
        <v>2</v>
      </c>
      <c r="AR2" s="108" t="s">
        <v>555</v>
      </c>
      <c r="AS2" s="108">
        <v>12</v>
      </c>
      <c r="AT2" s="108" t="s">
        <v>556</v>
      </c>
      <c r="AU2" s="108" t="s">
        <v>557</v>
      </c>
      <c r="AV2" s="109">
        <v>45634</v>
      </c>
      <c r="AW2" s="108">
        <v>2</v>
      </c>
    </row>
    <row r="3" spans="1:49">
      <c r="A3" s="155" t="s">
        <v>558</v>
      </c>
      <c r="B3" s="155" t="s">
        <v>385</v>
      </c>
      <c r="C3" s="155" t="s">
        <v>558</v>
      </c>
      <c r="D3" s="156" t="s">
        <v>559</v>
      </c>
      <c r="E3" s="156" t="s">
        <v>560</v>
      </c>
      <c r="F3" s="157" t="s">
        <v>561</v>
      </c>
      <c r="G3" s="157" t="s">
        <v>562</v>
      </c>
      <c r="H3" s="157" t="s">
        <v>563</v>
      </c>
      <c r="I3" s="157" t="s">
        <v>564</v>
      </c>
      <c r="J3" s="157" t="s">
        <v>565</v>
      </c>
      <c r="K3" s="157" t="s">
        <v>566</v>
      </c>
      <c r="L3" s="157" t="s">
        <v>567</v>
      </c>
      <c r="M3" s="156" t="s">
        <v>544</v>
      </c>
      <c r="N3" s="156" t="s">
        <v>545</v>
      </c>
      <c r="O3" s="124" t="s">
        <v>544</v>
      </c>
      <c r="P3" s="156" t="s">
        <v>546</v>
      </c>
      <c r="Q3" s="156" t="s">
        <v>547</v>
      </c>
      <c r="R3" s="156">
        <v>1</v>
      </c>
      <c r="S3" s="124">
        <v>1</v>
      </c>
      <c r="T3" s="156">
        <v>20519.099999999999</v>
      </c>
      <c r="V3" s="124" t="s">
        <v>548</v>
      </c>
      <c r="W3" s="124" t="s">
        <v>548</v>
      </c>
      <c r="X3" s="124" t="s">
        <v>548</v>
      </c>
      <c r="Y3" s="124" t="s">
        <v>548</v>
      </c>
      <c r="Z3" s="124" t="s">
        <v>548</v>
      </c>
      <c r="AA3" s="124" t="s">
        <v>548</v>
      </c>
      <c r="AB3" s="157">
        <v>17755.66</v>
      </c>
      <c r="AC3" s="157">
        <v>18288.32</v>
      </c>
      <c r="AD3" s="156" t="s">
        <v>568</v>
      </c>
      <c r="AE3" s="157" t="s">
        <v>550</v>
      </c>
      <c r="AF3" s="157">
        <v>1</v>
      </c>
      <c r="AG3" s="124" t="s">
        <v>569</v>
      </c>
      <c r="AI3" s="157">
        <v>18288.330000000002</v>
      </c>
      <c r="AJ3" s="157">
        <v>20519.099999999999</v>
      </c>
      <c r="AK3" s="124" t="s">
        <v>552</v>
      </c>
      <c r="AM3" s="156" t="s">
        <v>553</v>
      </c>
      <c r="AN3" s="158" t="s">
        <v>554</v>
      </c>
      <c r="AO3" s="159" t="e">
        <v>#N/A</v>
      </c>
      <c r="AP3" s="159" t="s">
        <v>271</v>
      </c>
      <c r="AQ3" s="108">
        <v>2</v>
      </c>
      <c r="AR3" s="108" t="s">
        <v>570</v>
      </c>
      <c r="AS3" s="108">
        <v>3</v>
      </c>
      <c r="AT3" s="108" t="s">
        <v>571</v>
      </c>
      <c r="AU3" s="108" t="s">
        <v>572</v>
      </c>
      <c r="AV3" s="109">
        <v>45736</v>
      </c>
      <c r="AW3" s="108">
        <v>2</v>
      </c>
    </row>
  </sheetData>
  <conditionalFormatting sqref="B2:B3">
    <cfRule type="containsText" dxfId="55" priority="1" operator="containsText" text="Duplicate">
      <formula>NOT(ISERROR(SEARCH("Duplicate",B2)))</formula>
    </cfRule>
  </conditionalFormatting>
  <conditionalFormatting sqref="D1:D1048576">
    <cfRule type="duplicateValues" dxfId="54" priority="2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8B42-FE06-4202-9C42-CCC31946DBE6}">
  <dimension ref="A2:M6"/>
  <sheetViews>
    <sheetView showGridLines="0" zoomScale="90" zoomScaleNormal="90" workbookViewId="0">
      <pane xSplit="1" topLeftCell="B1" activePane="topRight" state="frozen"/>
      <selection pane="topRight" activeCell="B3" sqref="B3"/>
      <selection activeCell="B3" sqref="B3"/>
    </sheetView>
  </sheetViews>
  <sheetFormatPr defaultColWidth="8.7109375" defaultRowHeight="12.6" outlineLevelRow="1"/>
  <cols>
    <col min="1" max="1" width="21.28515625" style="160" customWidth="1"/>
    <col min="2" max="2" width="11.42578125" style="161" bestFit="1" customWidth="1"/>
    <col min="3" max="3" width="17" style="178" bestFit="1" customWidth="1"/>
    <col min="4" max="4" width="15.5703125" style="161" bestFit="1" customWidth="1"/>
    <col min="5" max="5" width="14.5703125" style="161" bestFit="1" customWidth="1"/>
    <col min="6" max="7" width="13.140625" style="161" customWidth="1"/>
    <col min="8" max="8" width="14.5703125" style="161" bestFit="1" customWidth="1"/>
    <col min="9" max="9" width="18.42578125" style="178" bestFit="1" customWidth="1"/>
    <col min="10" max="10" width="17.140625" style="177" bestFit="1" customWidth="1"/>
    <col min="11" max="11" width="15.7109375" style="161" bestFit="1" customWidth="1"/>
    <col min="12" max="12" width="20.7109375" style="161" bestFit="1" customWidth="1"/>
    <col min="13" max="13" width="16.5703125" style="161" bestFit="1" customWidth="1"/>
    <col min="14" max="14" width="16.85546875" style="161" bestFit="1" customWidth="1"/>
    <col min="15" max="15" width="15.7109375" style="161" bestFit="1" customWidth="1"/>
    <col min="16" max="16" width="11.140625" style="161" bestFit="1" customWidth="1"/>
    <col min="17" max="16384" width="8.7109375" style="161"/>
  </cols>
  <sheetData>
    <row r="2" spans="1:13" ht="12.95">
      <c r="A2" s="164" t="s">
        <v>573</v>
      </c>
      <c r="B2" s="164" t="s">
        <v>574</v>
      </c>
      <c r="C2" s="164" t="s">
        <v>575</v>
      </c>
      <c r="D2" s="164" t="s">
        <v>215</v>
      </c>
      <c r="E2" s="164" t="s">
        <v>114</v>
      </c>
      <c r="F2" s="164" t="s">
        <v>148</v>
      </c>
      <c r="G2" s="164" t="s">
        <v>149</v>
      </c>
      <c r="H2" s="165" t="s">
        <v>576</v>
      </c>
      <c r="I2" s="165" t="s">
        <v>577</v>
      </c>
      <c r="J2" s="165" t="s">
        <v>168</v>
      </c>
      <c r="K2" s="166" t="s">
        <v>578</v>
      </c>
      <c r="L2" s="166" t="s">
        <v>117</v>
      </c>
      <c r="M2" s="166" t="s">
        <v>579</v>
      </c>
    </row>
    <row r="3" spans="1:13" outlineLevel="1">
      <c r="A3" s="167">
        <v>45474</v>
      </c>
      <c r="B3" s="168">
        <v>811</v>
      </c>
      <c r="C3" s="169">
        <v>9418.3189999999995</v>
      </c>
      <c r="D3" s="170">
        <v>25662770.009999998</v>
      </c>
      <c r="E3" s="170">
        <v>4007291</v>
      </c>
      <c r="F3" s="171">
        <v>126032.28054999909</v>
      </c>
      <c r="G3" s="171">
        <v>249153.10479999814</v>
      </c>
      <c r="H3" s="171">
        <v>630742.07999999949</v>
      </c>
      <c r="I3" s="174">
        <v>20703099.934464067</v>
      </c>
      <c r="J3" s="172">
        <v>20701396.685999993</v>
      </c>
      <c r="K3" s="173">
        <v>1703.2484640739858</v>
      </c>
      <c r="L3" s="171">
        <v>75.391235999990386</v>
      </c>
      <c r="M3" s="173">
        <v>1778.6397000739762</v>
      </c>
    </row>
    <row r="4" spans="1:13" ht="14.1">
      <c r="A4" s="175" t="s">
        <v>315</v>
      </c>
      <c r="B4" s="176">
        <f>SUM(B3)</f>
        <v>811</v>
      </c>
      <c r="C4" s="176">
        <f t="shared" ref="C4:M4" si="0">SUM(C3)</f>
        <v>9418.3189999999995</v>
      </c>
      <c r="D4" s="176">
        <f t="shared" si="0"/>
        <v>25662770.009999998</v>
      </c>
      <c r="E4" s="176">
        <f t="shared" si="0"/>
        <v>4007291</v>
      </c>
      <c r="F4" s="176">
        <f t="shared" si="0"/>
        <v>126032.28054999909</v>
      </c>
      <c r="G4" s="176">
        <f t="shared" si="0"/>
        <v>249153.10479999814</v>
      </c>
      <c r="H4" s="176">
        <f t="shared" si="0"/>
        <v>630742.07999999949</v>
      </c>
      <c r="I4" s="176">
        <f t="shared" si="0"/>
        <v>20703099.934464067</v>
      </c>
      <c r="J4" s="176">
        <f t="shared" si="0"/>
        <v>20701396.685999993</v>
      </c>
      <c r="K4" s="176">
        <f t="shared" si="0"/>
        <v>1703.2484640739858</v>
      </c>
      <c r="L4" s="176">
        <f t="shared" si="0"/>
        <v>75.391235999990386</v>
      </c>
      <c r="M4" s="176">
        <f t="shared" si="0"/>
        <v>1778.6397000739762</v>
      </c>
    </row>
    <row r="5" spans="1:13">
      <c r="C5" s="161"/>
      <c r="E5" s="177"/>
    </row>
    <row r="6" spans="1:13" ht="12.95">
      <c r="A6" s="179" t="s">
        <v>580</v>
      </c>
      <c r="C6" s="162"/>
      <c r="D6" s="180"/>
      <c r="E6" s="163"/>
      <c r="F6" s="181"/>
      <c r="G6" s="181"/>
      <c r="H6" s="181"/>
      <c r="I6" s="182"/>
      <c r="K6" s="183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7484-E330-4C02-A58F-B7F4B50A029C}">
  <sheetPr>
    <tabColor theme="8" tint="0.79998168889431442"/>
  </sheetPr>
  <dimension ref="A1:BV3"/>
  <sheetViews>
    <sheetView zoomScale="85" zoomScaleNormal="85" workbookViewId="0">
      <pane ySplit="1" topLeftCell="A2" activePane="bottomLeft" state="frozen"/>
      <selection pane="bottomLeft" activeCell="B3" sqref="B3"/>
      <selection activeCell="B3" sqref="B3"/>
    </sheetView>
  </sheetViews>
  <sheetFormatPr defaultColWidth="9.140625" defaultRowHeight="15.6"/>
  <cols>
    <col min="1" max="1" width="8.85546875" style="58" bestFit="1" customWidth="1"/>
    <col min="2" max="2" width="39.7109375" style="58" bestFit="1" customWidth="1"/>
    <col min="3" max="3" width="11.140625" style="58" bestFit="1" customWidth="1"/>
    <col min="4" max="4" width="39.7109375" style="58" bestFit="1" customWidth="1"/>
    <col min="5" max="5" width="31.7109375" style="58" bestFit="1" customWidth="1"/>
    <col min="6" max="6" width="14.140625" style="58" bestFit="1" customWidth="1"/>
    <col min="7" max="7" width="10.85546875" style="58" bestFit="1" customWidth="1"/>
    <col min="8" max="8" width="37.85546875" style="58" bestFit="1" customWidth="1"/>
    <col min="9" max="10" width="10.140625" style="58" customWidth="1"/>
    <col min="11" max="11" width="23.5703125" style="58" bestFit="1" customWidth="1"/>
    <col min="12" max="12" width="20.5703125" style="211" bestFit="1" customWidth="1"/>
    <col min="13" max="13" width="17" style="58" bestFit="1" customWidth="1"/>
    <col min="14" max="14" width="23.42578125" style="58" bestFit="1" customWidth="1"/>
    <col min="15" max="15" width="13.85546875" style="58" bestFit="1" customWidth="1"/>
    <col min="16" max="16" width="30.85546875" style="58" bestFit="1" customWidth="1"/>
    <col min="17" max="17" width="25.140625" style="58" bestFit="1" customWidth="1"/>
    <col min="18" max="18" width="31.140625" style="58" bestFit="1" customWidth="1"/>
    <col min="19" max="19" width="13.28515625" style="58" bestFit="1" customWidth="1"/>
    <col min="20" max="20" width="15" style="58" bestFit="1" customWidth="1"/>
    <col min="21" max="21" width="24.5703125" style="58" bestFit="1" customWidth="1"/>
    <col min="22" max="22" width="16.42578125" style="58" bestFit="1" customWidth="1"/>
    <col min="23" max="23" width="6.42578125" style="58" bestFit="1" customWidth="1"/>
    <col min="24" max="24" width="15.42578125" style="58" bestFit="1" customWidth="1"/>
    <col min="25" max="25" width="18.140625" style="58" bestFit="1" customWidth="1"/>
    <col min="26" max="26" width="19.5703125" style="58" bestFit="1" customWidth="1"/>
    <col min="27" max="27" width="20.140625" style="58" bestFit="1" customWidth="1"/>
    <col min="28" max="28" width="13.28515625" style="58" bestFit="1" customWidth="1"/>
    <col min="29" max="29" width="25.140625" style="58" bestFit="1" customWidth="1"/>
    <col min="30" max="30" width="27.42578125" style="58" bestFit="1" customWidth="1"/>
    <col min="31" max="31" width="16.42578125" style="58" bestFit="1" customWidth="1"/>
    <col min="32" max="32" width="25.7109375" style="58" bestFit="1" customWidth="1"/>
    <col min="33" max="33" width="6.42578125" style="58" bestFit="1" customWidth="1"/>
    <col min="34" max="34" width="17" style="58" bestFit="1" customWidth="1"/>
    <col min="35" max="35" width="23.42578125" style="58" bestFit="1" customWidth="1"/>
    <col min="36" max="36" width="13.85546875" style="58" bestFit="1" customWidth="1"/>
    <col min="37" max="38" width="9" style="58" bestFit="1" customWidth="1"/>
    <col min="39" max="39" width="21.42578125" style="58" bestFit="1" customWidth="1"/>
    <col min="40" max="40" width="21.140625" style="58" bestFit="1" customWidth="1"/>
    <col min="41" max="41" width="31.5703125" style="58" bestFit="1" customWidth="1"/>
    <col min="42" max="42" width="22.7109375" style="58" bestFit="1" customWidth="1"/>
    <col min="43" max="43" width="29.42578125" style="58" bestFit="1" customWidth="1"/>
    <col min="44" max="44" width="18.85546875" style="58" bestFit="1" customWidth="1"/>
    <col min="45" max="45" width="25" style="58" bestFit="1" customWidth="1"/>
    <col min="46" max="46" width="39.7109375" style="58" bestFit="1" customWidth="1"/>
    <col min="47" max="47" width="23.85546875" style="58" bestFit="1" customWidth="1"/>
    <col min="48" max="48" width="26.5703125" style="58" bestFit="1" customWidth="1"/>
    <col min="49" max="49" width="22.42578125" style="58" bestFit="1" customWidth="1"/>
    <col min="50" max="50" width="38.42578125" style="58" bestFit="1" customWidth="1"/>
    <col min="51" max="51" width="21.85546875" style="58" bestFit="1" customWidth="1"/>
    <col min="52" max="52" width="33" style="58" bestFit="1" customWidth="1"/>
    <col min="53" max="53" width="31.42578125" style="58" bestFit="1" customWidth="1"/>
    <col min="54" max="55" width="26.85546875" style="58" bestFit="1" customWidth="1"/>
    <col min="56" max="56" width="28.140625" style="58" bestFit="1" customWidth="1"/>
    <col min="57" max="57" width="29.28515625" style="58" bestFit="1" customWidth="1"/>
    <col min="58" max="58" width="22.42578125" style="58" bestFit="1" customWidth="1"/>
    <col min="59" max="59" width="32.7109375" style="58" bestFit="1" customWidth="1"/>
    <col min="60" max="60" width="31.5703125" style="58" bestFit="1" customWidth="1"/>
    <col min="61" max="61" width="21.5703125" style="58" bestFit="1" customWidth="1"/>
    <col min="62" max="62" width="34.85546875" style="58" bestFit="1" customWidth="1"/>
    <col min="63" max="63" width="6.42578125" style="58" bestFit="1" customWidth="1"/>
    <col min="64" max="64" width="24.42578125" style="58" bestFit="1" customWidth="1"/>
    <col min="65" max="65" width="24.5703125" style="58" bestFit="1" customWidth="1"/>
    <col min="66" max="66" width="23.28515625" style="58" bestFit="1" customWidth="1"/>
    <col min="67" max="67" width="27.140625" style="58" bestFit="1" customWidth="1"/>
    <col min="68" max="68" width="29.28515625" style="58" bestFit="1" customWidth="1"/>
    <col min="69" max="69" width="27.7109375" style="58" bestFit="1" customWidth="1"/>
    <col min="70" max="70" width="31" style="58" bestFit="1" customWidth="1"/>
    <col min="71" max="71" width="18.140625" style="58" bestFit="1" customWidth="1"/>
    <col min="72" max="72" width="6.42578125" style="58" bestFit="1" customWidth="1"/>
    <col min="73" max="73" width="79.28515625" style="58" bestFit="1" customWidth="1"/>
    <col min="74" max="74" width="48.85546875" style="58" bestFit="1" customWidth="1"/>
    <col min="75" max="16384" width="9.140625" style="58"/>
  </cols>
  <sheetData>
    <row r="1" spans="1:74" ht="30.95">
      <c r="A1" s="184" t="s">
        <v>581</v>
      </c>
      <c r="B1" s="185" t="s">
        <v>582</v>
      </c>
      <c r="C1" s="186" t="s">
        <v>358</v>
      </c>
      <c r="D1" s="186" t="s">
        <v>583</v>
      </c>
      <c r="E1" s="187" t="s">
        <v>153</v>
      </c>
      <c r="F1" s="187" t="s">
        <v>192</v>
      </c>
      <c r="G1" s="188" t="s">
        <v>193</v>
      </c>
      <c r="H1" s="189" t="s">
        <v>194</v>
      </c>
      <c r="I1" s="187"/>
      <c r="J1" s="187"/>
      <c r="K1" s="190" t="s">
        <v>195</v>
      </c>
      <c r="L1" s="191" t="s">
        <v>196</v>
      </c>
      <c r="M1" s="192" t="s">
        <v>197</v>
      </c>
      <c r="N1" s="192" t="s">
        <v>198</v>
      </c>
      <c r="O1" s="192" t="s">
        <v>199</v>
      </c>
      <c r="P1" s="192" t="s">
        <v>200</v>
      </c>
      <c r="Q1" s="192" t="s">
        <v>201</v>
      </c>
      <c r="R1" s="190" t="s">
        <v>202</v>
      </c>
      <c r="S1" s="190" t="s">
        <v>203</v>
      </c>
      <c r="T1" s="192" t="s">
        <v>204</v>
      </c>
      <c r="U1" s="193" t="s">
        <v>205</v>
      </c>
      <c r="V1" s="193" t="s">
        <v>206</v>
      </c>
      <c r="W1" s="194" t="s">
        <v>584</v>
      </c>
      <c r="X1" s="195" t="s">
        <v>207</v>
      </c>
      <c r="Y1" s="195" t="s">
        <v>208</v>
      </c>
      <c r="Z1" s="195" t="s">
        <v>209</v>
      </c>
      <c r="AA1" s="195" t="s">
        <v>210</v>
      </c>
      <c r="AB1" s="195" t="s">
        <v>39</v>
      </c>
      <c r="AC1" s="195" t="s">
        <v>211</v>
      </c>
      <c r="AD1" s="195" t="s">
        <v>212</v>
      </c>
      <c r="AE1" s="195" t="s">
        <v>213</v>
      </c>
      <c r="AF1" s="195" t="s">
        <v>214</v>
      </c>
      <c r="AG1" s="194" t="s">
        <v>584</v>
      </c>
      <c r="AH1" s="196" t="s">
        <v>215</v>
      </c>
      <c r="AI1" s="196" t="s">
        <v>216</v>
      </c>
      <c r="AJ1" s="196" t="s">
        <v>217</v>
      </c>
      <c r="AK1" s="194" t="s">
        <v>584</v>
      </c>
      <c r="AL1" s="197" t="s">
        <v>136</v>
      </c>
      <c r="AM1" s="197" t="s">
        <v>218</v>
      </c>
      <c r="AN1" s="197" t="s">
        <v>219</v>
      </c>
      <c r="AO1" s="198" t="s">
        <v>220</v>
      </c>
      <c r="AP1" s="198" t="s">
        <v>221</v>
      </c>
      <c r="AQ1" s="198" t="s">
        <v>222</v>
      </c>
      <c r="AR1" s="198" t="s">
        <v>223</v>
      </c>
      <c r="AS1" s="198" t="s">
        <v>224</v>
      </c>
      <c r="AT1" s="198" t="s">
        <v>225</v>
      </c>
      <c r="AU1" s="198" t="s">
        <v>226</v>
      </c>
      <c r="AV1" s="198" t="s">
        <v>227</v>
      </c>
      <c r="AW1" s="198" t="s">
        <v>228</v>
      </c>
      <c r="AX1" s="198" t="s">
        <v>229</v>
      </c>
      <c r="AY1" s="197" t="s">
        <v>230</v>
      </c>
      <c r="AZ1" s="198" t="s">
        <v>231</v>
      </c>
      <c r="BA1" s="198" t="s">
        <v>232</v>
      </c>
      <c r="BB1" s="198" t="s">
        <v>233</v>
      </c>
      <c r="BC1" s="198" t="s">
        <v>233</v>
      </c>
      <c r="BD1" s="198" t="s">
        <v>234</v>
      </c>
      <c r="BE1" s="197" t="s">
        <v>235</v>
      </c>
      <c r="BF1" s="197" t="s">
        <v>236</v>
      </c>
      <c r="BG1" s="199" t="s">
        <v>237</v>
      </c>
      <c r="BH1" s="197" t="s">
        <v>238</v>
      </c>
      <c r="BI1" s="197" t="s">
        <v>239</v>
      </c>
      <c r="BJ1" s="197" t="s">
        <v>240</v>
      </c>
      <c r="BK1" s="194" t="s">
        <v>584</v>
      </c>
      <c r="BL1" s="200" t="s">
        <v>241</v>
      </c>
      <c r="BM1" s="201" t="s">
        <v>242</v>
      </c>
      <c r="BN1" s="201" t="s">
        <v>243</v>
      </c>
      <c r="BO1" s="201" t="s">
        <v>244</v>
      </c>
      <c r="BP1" s="201" t="s">
        <v>245</v>
      </c>
      <c r="BQ1" s="201" t="s">
        <v>246</v>
      </c>
      <c r="BR1" s="201" t="s">
        <v>247</v>
      </c>
      <c r="BS1" s="201" t="s">
        <v>248</v>
      </c>
      <c r="BT1" s="201" t="s">
        <v>584</v>
      </c>
      <c r="BU1" s="202" t="s">
        <v>249</v>
      </c>
      <c r="BV1" s="202" t="s">
        <v>11</v>
      </c>
    </row>
    <row r="2" spans="1:74">
      <c r="A2" s="184" t="s">
        <v>585</v>
      </c>
      <c r="B2" s="203" t="s">
        <v>586</v>
      </c>
      <c r="C2" s="204">
        <v>45474</v>
      </c>
      <c r="D2" s="204" t="s">
        <v>587</v>
      </c>
      <c r="E2" s="205" t="s">
        <v>274</v>
      </c>
      <c r="F2" s="206" t="s">
        <v>287</v>
      </c>
      <c r="G2" s="207" t="s">
        <v>275</v>
      </c>
      <c r="H2" s="207">
        <v>15149.848</v>
      </c>
      <c r="K2" s="207" t="s">
        <v>288</v>
      </c>
      <c r="L2" s="207" t="s">
        <v>289</v>
      </c>
      <c r="M2" s="207">
        <v>15911</v>
      </c>
      <c r="N2" s="208">
        <v>0</v>
      </c>
      <c r="O2" s="208">
        <v>0</v>
      </c>
      <c r="P2" s="207">
        <v>0</v>
      </c>
      <c r="Q2" s="208">
        <v>-383.22</v>
      </c>
      <c r="R2" s="208">
        <v>-154.476</v>
      </c>
      <c r="S2" s="208">
        <v>-154.476</v>
      </c>
      <c r="T2" s="207">
        <v>-377.93200000000002</v>
      </c>
      <c r="U2" s="208">
        <v>0</v>
      </c>
      <c r="V2" s="207">
        <v>0</v>
      </c>
      <c r="X2" s="207" t="s">
        <v>290</v>
      </c>
      <c r="Y2" s="207" t="s">
        <v>291</v>
      </c>
      <c r="Z2" s="207" t="s">
        <v>292</v>
      </c>
      <c r="AA2" s="208" t="s">
        <v>293</v>
      </c>
      <c r="AB2" s="207">
        <v>1</v>
      </c>
      <c r="AC2" s="207" t="s">
        <v>294</v>
      </c>
      <c r="AD2" s="207" t="s">
        <v>295</v>
      </c>
      <c r="AE2" s="207" t="s">
        <v>295</v>
      </c>
      <c r="AF2" s="207" t="s">
        <v>295</v>
      </c>
      <c r="AH2" s="207">
        <v>15911</v>
      </c>
      <c r="AI2" s="207">
        <v>9</v>
      </c>
      <c r="AJ2" s="207">
        <v>0</v>
      </c>
      <c r="AL2" s="207" t="s">
        <v>271</v>
      </c>
      <c r="AM2" s="207">
        <v>2</v>
      </c>
      <c r="AN2" s="207">
        <v>-318.22000000000003</v>
      </c>
      <c r="AP2" s="209">
        <v>0</v>
      </c>
      <c r="AR2" s="209">
        <v>-65</v>
      </c>
      <c r="AT2" s="210">
        <v>0</v>
      </c>
      <c r="AU2" s="210">
        <v>0</v>
      </c>
      <c r="AW2" s="207">
        <v>0</v>
      </c>
      <c r="AX2" s="207">
        <v>0</v>
      </c>
      <c r="AY2" s="210">
        <v>0</v>
      </c>
      <c r="BE2" s="210">
        <v>0</v>
      </c>
      <c r="BF2" s="207">
        <v>0</v>
      </c>
      <c r="BG2" s="207">
        <v>0</v>
      </c>
      <c r="BN2" s="207" t="s">
        <v>295</v>
      </c>
      <c r="BO2" s="207" t="s">
        <v>295</v>
      </c>
      <c r="BP2" s="207" t="s">
        <v>295</v>
      </c>
      <c r="BQ2" s="207" t="s">
        <v>295</v>
      </c>
      <c r="BR2" s="208" t="s">
        <v>295</v>
      </c>
      <c r="BS2" s="207" t="s">
        <v>295</v>
      </c>
      <c r="BU2" s="207" t="s">
        <v>296</v>
      </c>
      <c r="BV2" s="207" t="s">
        <v>290</v>
      </c>
    </row>
    <row r="3" spans="1:74">
      <c r="A3" s="184">
        <v>45474</v>
      </c>
      <c r="B3" s="203" t="s">
        <v>588</v>
      </c>
      <c r="C3" s="204">
        <v>45474</v>
      </c>
      <c r="D3" s="204" t="s">
        <v>588</v>
      </c>
      <c r="E3" s="205" t="s">
        <v>274</v>
      </c>
      <c r="F3" s="206" t="s">
        <v>287</v>
      </c>
      <c r="G3" s="207" t="s">
        <v>275</v>
      </c>
      <c r="H3" s="207">
        <v>45054.591999999997</v>
      </c>
      <c r="K3" s="207" t="s">
        <v>589</v>
      </c>
      <c r="L3" s="207" t="s">
        <v>590</v>
      </c>
      <c r="M3" s="207">
        <v>47160</v>
      </c>
      <c r="N3" s="208">
        <v>0</v>
      </c>
      <c r="O3" s="208">
        <v>0</v>
      </c>
      <c r="P3" s="207">
        <v>0</v>
      </c>
      <c r="Q3" s="208">
        <v>-1008.2</v>
      </c>
      <c r="R3" s="208">
        <v>-457.86399999999998</v>
      </c>
      <c r="S3" s="208">
        <v>-457.86399999999998</v>
      </c>
      <c r="T3" s="207">
        <v>-1097.2080000000001</v>
      </c>
      <c r="U3" s="208">
        <v>0</v>
      </c>
      <c r="V3" s="207">
        <v>0</v>
      </c>
      <c r="X3" s="207" t="s">
        <v>291</v>
      </c>
      <c r="Y3" s="207" t="s">
        <v>591</v>
      </c>
      <c r="Z3" s="207" t="s">
        <v>292</v>
      </c>
      <c r="AA3" s="208" t="s">
        <v>592</v>
      </c>
      <c r="AB3" s="207">
        <v>1</v>
      </c>
      <c r="AC3" s="207" t="s">
        <v>294</v>
      </c>
      <c r="AD3" s="207" t="s">
        <v>295</v>
      </c>
      <c r="AE3" s="207" t="s">
        <v>295</v>
      </c>
      <c r="AF3" s="207" t="s">
        <v>295</v>
      </c>
      <c r="AH3" s="207">
        <v>47160</v>
      </c>
      <c r="AI3" s="207">
        <v>0</v>
      </c>
      <c r="AJ3" s="207">
        <v>0</v>
      </c>
      <c r="AL3" s="207" t="s">
        <v>271</v>
      </c>
      <c r="AM3" s="207">
        <v>2</v>
      </c>
      <c r="AN3" s="207">
        <v>-943.2</v>
      </c>
      <c r="AP3" s="209">
        <v>0</v>
      </c>
      <c r="AR3" s="209">
        <v>-65</v>
      </c>
      <c r="AT3" s="210">
        <v>0</v>
      </c>
      <c r="AU3" s="210">
        <v>0</v>
      </c>
      <c r="AW3" s="207">
        <v>0</v>
      </c>
      <c r="AX3" s="207">
        <v>0</v>
      </c>
      <c r="AY3" s="210">
        <v>0</v>
      </c>
      <c r="BE3" s="210">
        <v>0</v>
      </c>
      <c r="BF3" s="207">
        <v>0</v>
      </c>
      <c r="BG3" s="207">
        <v>0</v>
      </c>
      <c r="BN3" s="207" t="s">
        <v>295</v>
      </c>
      <c r="BO3" s="207" t="s">
        <v>295</v>
      </c>
      <c r="BP3" s="207" t="s">
        <v>295</v>
      </c>
      <c r="BQ3" s="207" t="s">
        <v>295</v>
      </c>
      <c r="BR3" s="208" t="s">
        <v>295</v>
      </c>
      <c r="BS3" s="207" t="s">
        <v>295</v>
      </c>
      <c r="BU3" s="207" t="s">
        <v>593</v>
      </c>
      <c r="BV3" s="207" t="s">
        <v>594</v>
      </c>
    </row>
  </sheetData>
  <autoFilter ref="A1:BV3" xr:uid="{00000000-0001-0000-0900-000000000000}"/>
  <conditionalFormatting sqref="B1">
    <cfRule type="duplicateValues" dxfId="53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C058-A551-4ED3-86D0-B29DC221A957}">
  <sheetPr>
    <tabColor theme="8" tint="0.79998168889431442"/>
  </sheetPr>
  <dimension ref="A1:J3"/>
  <sheetViews>
    <sheetView workbookViewId="0">
      <pane ySplit="1" topLeftCell="A2" activePane="bottomLeft" state="frozen"/>
      <selection pane="bottomLeft" activeCell="B3" sqref="B3"/>
      <selection activeCell="B3" sqref="B3"/>
    </sheetView>
  </sheetViews>
  <sheetFormatPr defaultColWidth="9.140625" defaultRowHeight="12.95"/>
  <cols>
    <col min="1" max="1" width="36" style="124" bestFit="1" customWidth="1"/>
    <col min="2" max="2" width="12.5703125" style="124" bestFit="1" customWidth="1"/>
    <col min="3" max="3" width="16.5703125" style="124" bestFit="1" customWidth="1"/>
    <col min="4" max="4" width="17.5703125" style="124" bestFit="1" customWidth="1"/>
    <col min="5" max="5" width="17" style="124" bestFit="1" customWidth="1"/>
    <col min="6" max="6" width="26.140625" style="178" bestFit="1" customWidth="1"/>
    <col min="7" max="7" width="19.5703125" style="124" bestFit="1" customWidth="1"/>
    <col min="8" max="8" width="10.5703125" style="124" bestFit="1" customWidth="1"/>
    <col min="9" max="9" width="16" style="124" bestFit="1" customWidth="1"/>
    <col min="10" max="16384" width="9.140625" style="124"/>
  </cols>
  <sheetData>
    <row r="1" spans="1:10">
      <c r="A1" s="212" t="s">
        <v>467</v>
      </c>
      <c r="B1" s="213" t="s">
        <v>88</v>
      </c>
      <c r="C1" s="214" t="s">
        <v>595</v>
      </c>
      <c r="D1" s="215" t="s">
        <v>596</v>
      </c>
      <c r="E1" s="214" t="s">
        <v>597</v>
      </c>
      <c r="F1" s="216" t="s">
        <v>598</v>
      </c>
      <c r="G1" s="214" t="s">
        <v>599</v>
      </c>
      <c r="H1" s="212" t="s">
        <v>358</v>
      </c>
      <c r="I1" s="217" t="s">
        <v>600</v>
      </c>
      <c r="J1" s="124" t="s">
        <v>601</v>
      </c>
    </row>
    <row r="2" spans="1:10">
      <c r="A2" s="110" t="s">
        <v>602</v>
      </c>
      <c r="B2" s="218">
        <v>1</v>
      </c>
      <c r="C2" s="219" t="s">
        <v>603</v>
      </c>
      <c r="D2" s="220" t="s">
        <v>604</v>
      </c>
      <c r="E2" s="219" t="s">
        <v>293</v>
      </c>
      <c r="F2" s="221">
        <v>16030</v>
      </c>
      <c r="G2" s="219" t="s">
        <v>605</v>
      </c>
      <c r="H2" s="222">
        <v>45474</v>
      </c>
      <c r="I2" s="222" t="s">
        <v>585</v>
      </c>
      <c r="J2" s="124" t="s">
        <v>606</v>
      </c>
    </row>
    <row r="3" spans="1:10">
      <c r="A3" s="110" t="s">
        <v>607</v>
      </c>
      <c r="B3" s="218">
        <v>1</v>
      </c>
      <c r="C3" s="219" t="s">
        <v>603</v>
      </c>
      <c r="D3" s="220" t="s">
        <v>604</v>
      </c>
      <c r="E3" s="219" t="s">
        <v>608</v>
      </c>
      <c r="F3" s="221">
        <v>8320</v>
      </c>
      <c r="G3" s="219" t="s">
        <v>605</v>
      </c>
      <c r="H3" s="222">
        <v>45474</v>
      </c>
      <c r="I3" s="222" t="s">
        <v>585</v>
      </c>
      <c r="J3" s="124" t="s">
        <v>606</v>
      </c>
    </row>
  </sheetData>
  <autoFilter ref="A1:J3" xr:uid="{00000000-0001-0000-0A00-000000000000}"/>
  <conditionalFormatting sqref="A1">
    <cfRule type="duplicateValues" dxfId="52" priority="57"/>
  </conditionalFormatting>
  <conditionalFormatting sqref="A1:A1048576">
    <cfRule type="duplicateValues" dxfId="51" priority="10"/>
    <cfRule type="duplicateValues" dxfId="50" priority="14"/>
  </conditionalFormatting>
  <conditionalFormatting sqref="A2:A3">
    <cfRule type="duplicateValues" dxfId="49" priority="65"/>
  </conditionalFormatting>
  <conditionalFormatting sqref="C2:C3">
    <cfRule type="duplicateValues" dxfId="48" priority="66"/>
  </conditionalFormatting>
  <conditionalFormatting sqref="C4:C1048576 C1">
    <cfRule type="duplicateValues" dxfId="47" priority="56"/>
  </conditionalFormatting>
  <conditionalFormatting sqref="G1:G1048576">
    <cfRule type="duplicateValues" dxfId="46" priority="55"/>
  </conditionalFormatting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7BA2-CA96-4EBE-A0F7-711711807048}">
  <dimension ref="A1:L4"/>
  <sheetViews>
    <sheetView showGridLines="0" workbookViewId="0">
      <pane ySplit="1" topLeftCell="C3" activePane="bottomLeft" state="frozen"/>
      <selection pane="bottomLeft" activeCell="C3" sqref="C3"/>
      <selection activeCell="I47" sqref="I47"/>
    </sheetView>
  </sheetViews>
  <sheetFormatPr defaultRowHeight="14.45" outlineLevelRow="1"/>
  <cols>
    <col min="1" max="1" width="11.42578125" bestFit="1" customWidth="1"/>
    <col min="2" max="2" width="11.140625" bestFit="1" customWidth="1"/>
    <col min="3" max="3" width="11.5703125" bestFit="1" customWidth="1"/>
    <col min="4" max="4" width="12.7109375" bestFit="1" customWidth="1"/>
    <col min="5" max="5" width="4.7109375" bestFit="1" customWidth="1"/>
    <col min="6" max="6" width="9.140625" bestFit="1" customWidth="1"/>
    <col min="7" max="7" width="10.140625" bestFit="1" customWidth="1"/>
    <col min="8" max="8" width="11.7109375" bestFit="1" customWidth="1"/>
    <col min="9" max="9" width="17.42578125" bestFit="1" customWidth="1"/>
    <col min="10" max="10" width="15.85546875" bestFit="1" customWidth="1"/>
    <col min="11" max="11" width="20.85546875" bestFit="1" customWidth="1"/>
    <col min="12" max="12" width="23.85546875" bestFit="1" customWidth="1"/>
    <col min="13" max="13" width="27.5703125" bestFit="1" customWidth="1"/>
  </cols>
  <sheetData>
    <row r="1" spans="1:12">
      <c r="A1" s="249" t="s">
        <v>573</v>
      </c>
      <c r="B1" s="249" t="s">
        <v>574</v>
      </c>
      <c r="C1" s="249" t="s">
        <v>609</v>
      </c>
      <c r="D1" s="249" t="s">
        <v>215</v>
      </c>
      <c r="E1" s="249" t="s">
        <v>149</v>
      </c>
      <c r="F1" s="249" t="s">
        <v>148</v>
      </c>
      <c r="G1" s="249" t="s">
        <v>610</v>
      </c>
      <c r="H1" s="249" t="s">
        <v>611</v>
      </c>
      <c r="I1" s="249" t="s">
        <v>577</v>
      </c>
      <c r="J1" s="249" t="s">
        <v>168</v>
      </c>
      <c r="K1" s="250" t="s">
        <v>612</v>
      </c>
      <c r="L1" s="250" t="s">
        <v>613</v>
      </c>
    </row>
    <row r="2" spans="1:12" outlineLevel="1">
      <c r="A2" s="251">
        <v>45474</v>
      </c>
      <c r="B2" s="252">
        <v>437</v>
      </c>
      <c r="C2" s="252">
        <v>3612.8319000000001</v>
      </c>
      <c r="D2" s="252">
        <v>10445855.180000005</v>
      </c>
      <c r="E2" s="253"/>
      <c r="F2" s="253">
        <v>10445.855179999995</v>
      </c>
      <c r="G2" s="253">
        <v>304248.04000000021</v>
      </c>
      <c r="H2" s="253">
        <v>1265639.3099999996</v>
      </c>
      <c r="I2" s="254">
        <v>10435409.324820004</v>
      </c>
      <c r="J2" s="254">
        <v>10435711.499999976</v>
      </c>
      <c r="K2" s="254">
        <v>124.61588999982632</v>
      </c>
      <c r="L2" s="254">
        <v>-177.5592899715557</v>
      </c>
    </row>
    <row r="3" spans="1:12">
      <c r="A3" s="256" t="s">
        <v>315</v>
      </c>
      <c r="B3" s="257">
        <f>SUM(B2)</f>
        <v>437</v>
      </c>
      <c r="C3" s="257">
        <f t="shared" ref="C3:L3" si="0">SUM(C2)</f>
        <v>3612.8319000000001</v>
      </c>
      <c r="D3" s="257">
        <f t="shared" si="0"/>
        <v>10445855.180000005</v>
      </c>
      <c r="E3" s="257">
        <f t="shared" si="0"/>
        <v>0</v>
      </c>
      <c r="F3" s="257">
        <f t="shared" si="0"/>
        <v>10445.855179999995</v>
      </c>
      <c r="G3" s="257">
        <f t="shared" si="0"/>
        <v>304248.04000000021</v>
      </c>
      <c r="H3" s="257">
        <f t="shared" si="0"/>
        <v>1265639.3099999996</v>
      </c>
      <c r="I3" s="257">
        <f t="shared" si="0"/>
        <v>10435409.324820004</v>
      </c>
      <c r="J3" s="257">
        <f t="shared" si="0"/>
        <v>10435711.499999976</v>
      </c>
      <c r="K3" s="257">
        <f t="shared" si="0"/>
        <v>124.61588999982632</v>
      </c>
      <c r="L3" s="257">
        <f t="shared" si="0"/>
        <v>-177.5592899715557</v>
      </c>
    </row>
    <row r="4" spans="1:12">
      <c r="G4" s="255"/>
      <c r="H4" s="255"/>
      <c r="I4" s="255"/>
      <c r="J4" s="255"/>
      <c r="L4" s="255" t="e">
        <v>#REF!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368F-F909-4871-ADE0-058787AF0A2F}">
  <dimension ref="A1:AV3"/>
  <sheetViews>
    <sheetView workbookViewId="0">
      <pane ySplit="1" topLeftCell="A2" activePane="bottomLeft" state="frozen"/>
      <selection pane="bottomLeft"/>
      <selection activeCell="I47" sqref="I47"/>
    </sheetView>
  </sheetViews>
  <sheetFormatPr defaultRowHeight="14.45"/>
  <cols>
    <col min="1" max="2" width="31.140625" bestFit="1" customWidth="1"/>
    <col min="3" max="3" width="10.85546875" bestFit="1" customWidth="1"/>
    <col min="4" max="4" width="10.140625" bestFit="1" customWidth="1"/>
    <col min="5" max="5" width="8.7109375" bestFit="1" customWidth="1"/>
    <col min="6" max="6" width="16.28515625" bestFit="1" customWidth="1"/>
    <col min="7" max="7" width="24.140625" bestFit="1" customWidth="1"/>
    <col min="8" max="8" width="28" bestFit="1" customWidth="1"/>
    <col min="9" max="9" width="14.5703125" bestFit="1" customWidth="1"/>
    <col min="10" max="10" width="24.140625" bestFit="1" customWidth="1"/>
    <col min="11" max="11" width="18.140625" bestFit="1" customWidth="1"/>
    <col min="12" max="12" width="24.140625" bestFit="1" customWidth="1"/>
    <col min="13" max="13" width="23.42578125" bestFit="1" customWidth="1"/>
    <col min="14" max="14" width="24.140625" bestFit="1" customWidth="1"/>
    <col min="15" max="15" width="10.7109375" bestFit="1" customWidth="1"/>
    <col min="16" max="16" width="29.28515625" bestFit="1" customWidth="1"/>
    <col min="17" max="17" width="10.7109375" bestFit="1" customWidth="1"/>
    <col min="18" max="18" width="11.42578125" bestFit="1" customWidth="1"/>
    <col min="19" max="19" width="64.28515625" bestFit="1" customWidth="1"/>
    <col min="20" max="20" width="13" bestFit="1" customWidth="1"/>
    <col min="21" max="21" width="15.85546875" bestFit="1" customWidth="1"/>
    <col min="22" max="22" width="14.140625" bestFit="1" customWidth="1"/>
    <col min="23" max="23" width="13.140625" bestFit="1" customWidth="1"/>
    <col min="24" max="24" width="20.42578125" bestFit="1" customWidth="1"/>
    <col min="25" max="25" width="17.42578125" bestFit="1" customWidth="1"/>
    <col min="26" max="26" width="20.140625" bestFit="1" customWidth="1"/>
    <col min="27" max="27" width="17.140625" bestFit="1" customWidth="1"/>
    <col min="28" max="28" width="19.85546875" bestFit="1" customWidth="1"/>
    <col min="29" max="29" width="16.85546875" bestFit="1" customWidth="1"/>
    <col min="30" max="30" width="13.42578125" bestFit="1" customWidth="1"/>
    <col min="31" max="31" width="14.140625" bestFit="1" customWidth="1"/>
    <col min="32" max="32" width="24.42578125" bestFit="1" customWidth="1"/>
    <col min="33" max="33" width="13.140625" bestFit="1" customWidth="1"/>
    <col min="34" max="34" width="15.140625" bestFit="1" customWidth="1"/>
    <col min="35" max="35" width="12.140625" bestFit="1" customWidth="1"/>
    <col min="36" max="36" width="18.7109375" bestFit="1" customWidth="1"/>
    <col min="37" max="37" width="15.5703125" bestFit="1" customWidth="1"/>
    <col min="38" max="38" width="14.140625" bestFit="1" customWidth="1"/>
    <col min="39" max="39" width="17.7109375" bestFit="1" customWidth="1"/>
    <col min="40" max="40" width="10.140625" bestFit="1" customWidth="1"/>
    <col min="41" max="41" width="18.140625" bestFit="1" customWidth="1"/>
    <col min="42" max="42" width="18.7109375" bestFit="1" customWidth="1"/>
    <col min="43" max="44" width="10.5703125" bestFit="1" customWidth="1"/>
    <col min="45" max="45" width="9" bestFit="1" customWidth="1"/>
    <col min="46" max="46" width="8.7109375" bestFit="1" customWidth="1"/>
    <col min="47" max="47" width="20.85546875" bestFit="1" customWidth="1"/>
    <col min="48" max="48" width="18.85546875" bestFit="1" customWidth="1"/>
    <col min="49" max="49" width="50.85546875" bestFit="1" customWidth="1"/>
  </cols>
  <sheetData>
    <row r="1" spans="1:48">
      <c r="A1" s="258" t="s">
        <v>614</v>
      </c>
      <c r="B1" s="258" t="s">
        <v>615</v>
      </c>
      <c r="C1" s="258" t="s">
        <v>88</v>
      </c>
      <c r="D1" s="258" t="s">
        <v>308</v>
      </c>
      <c r="E1" s="258" t="s">
        <v>358</v>
      </c>
      <c r="F1" s="259" t="s">
        <v>505</v>
      </c>
      <c r="G1" s="260" t="s">
        <v>506</v>
      </c>
      <c r="H1" s="259" t="s">
        <v>507</v>
      </c>
      <c r="I1" s="259" t="s">
        <v>508</v>
      </c>
      <c r="J1" s="259" t="s">
        <v>509</v>
      </c>
      <c r="K1" s="27" t="s">
        <v>161</v>
      </c>
      <c r="L1" s="259" t="s">
        <v>510</v>
      </c>
      <c r="M1" s="259" t="s">
        <v>511</v>
      </c>
      <c r="N1" s="259" t="s">
        <v>512</v>
      </c>
      <c r="O1" s="259" t="s">
        <v>513</v>
      </c>
      <c r="P1" s="259" t="s">
        <v>514</v>
      </c>
      <c r="Q1" s="259" t="s">
        <v>513</v>
      </c>
      <c r="R1" s="259" t="s">
        <v>515</v>
      </c>
      <c r="S1" s="259" t="s">
        <v>516</v>
      </c>
      <c r="T1" s="259" t="s">
        <v>517</v>
      </c>
      <c r="U1" s="259" t="s">
        <v>518</v>
      </c>
      <c r="V1" s="259" t="s">
        <v>519</v>
      </c>
      <c r="W1" s="259" t="s">
        <v>520</v>
      </c>
      <c r="X1" s="259" t="s">
        <v>521</v>
      </c>
      <c r="Y1" s="259" t="s">
        <v>522</v>
      </c>
      <c r="Z1" s="259" t="s">
        <v>523</v>
      </c>
      <c r="AA1" s="259" t="s">
        <v>524</v>
      </c>
      <c r="AB1" s="259" t="s">
        <v>525</v>
      </c>
      <c r="AC1" s="259" t="s">
        <v>526</v>
      </c>
      <c r="AD1" s="259" t="s">
        <v>527</v>
      </c>
      <c r="AE1" s="261" t="s">
        <v>528</v>
      </c>
      <c r="AF1" s="259" t="s">
        <v>529</v>
      </c>
      <c r="AG1" s="259" t="s">
        <v>530</v>
      </c>
      <c r="AH1" s="259" t="s">
        <v>531</v>
      </c>
      <c r="AI1" s="259" t="s">
        <v>532</v>
      </c>
      <c r="AJ1" s="259" t="s">
        <v>533</v>
      </c>
      <c r="AK1" s="259" t="s">
        <v>534</v>
      </c>
      <c r="AL1" s="259" t="s">
        <v>519</v>
      </c>
      <c r="AM1" s="259" t="s">
        <v>535</v>
      </c>
      <c r="AN1" s="259" t="s">
        <v>536</v>
      </c>
      <c r="AO1" s="259" t="s">
        <v>537</v>
      </c>
      <c r="AP1" s="27" t="s">
        <v>616</v>
      </c>
      <c r="AQ1" s="27" t="s">
        <v>358</v>
      </c>
      <c r="AR1" s="27" t="s">
        <v>358</v>
      </c>
      <c r="AS1" s="27" t="s">
        <v>308</v>
      </c>
      <c r="AT1" s="27" t="s">
        <v>539</v>
      </c>
      <c r="AU1" s="27" t="s">
        <v>160</v>
      </c>
      <c r="AV1" s="27" t="s">
        <v>168</v>
      </c>
    </row>
    <row r="2" spans="1:48">
      <c r="A2" s="262" t="s">
        <v>617</v>
      </c>
      <c r="B2" s="262" t="s">
        <v>618</v>
      </c>
      <c r="C2" s="262" t="s">
        <v>619</v>
      </c>
      <c r="D2" s="263">
        <v>44441</v>
      </c>
      <c r="E2" s="264">
        <v>44440</v>
      </c>
      <c r="F2" s="57" t="s">
        <v>620</v>
      </c>
      <c r="G2" s="265" t="s">
        <v>621</v>
      </c>
      <c r="H2" s="57" t="s">
        <v>622</v>
      </c>
      <c r="I2" s="57">
        <v>4052468006</v>
      </c>
      <c r="J2" s="57" t="s">
        <v>623</v>
      </c>
      <c r="K2" s="57" t="s">
        <v>624</v>
      </c>
      <c r="L2" s="57" t="s">
        <v>625</v>
      </c>
      <c r="M2" s="57" t="s">
        <v>626</v>
      </c>
      <c r="N2" s="57" t="s">
        <v>627</v>
      </c>
      <c r="O2" s="57" t="s">
        <v>628</v>
      </c>
      <c r="P2" s="57" t="s">
        <v>545</v>
      </c>
      <c r="Q2" s="57" t="s">
        <v>628</v>
      </c>
      <c r="R2" s="57" t="s">
        <v>629</v>
      </c>
      <c r="S2" s="57" t="s">
        <v>630</v>
      </c>
      <c r="T2" s="57">
        <v>1</v>
      </c>
      <c r="U2" s="57" t="s">
        <v>551</v>
      </c>
      <c r="V2" s="57">
        <v>10770</v>
      </c>
      <c r="W2" s="57">
        <v>10240.91</v>
      </c>
      <c r="X2" s="57">
        <v>1.5</v>
      </c>
      <c r="Y2" s="57">
        <v>153.61000000000001</v>
      </c>
      <c r="Z2" s="57">
        <v>1.5</v>
      </c>
      <c r="AA2" s="57">
        <v>153.61000000000001</v>
      </c>
      <c r="AB2" s="57">
        <v>0</v>
      </c>
      <c r="AC2" s="57">
        <v>0</v>
      </c>
      <c r="AD2" s="57">
        <v>10240.91</v>
      </c>
      <c r="AE2" s="57">
        <v>10548.13</v>
      </c>
      <c r="AF2" s="57" t="s">
        <v>631</v>
      </c>
      <c r="AG2" s="57" t="s">
        <v>632</v>
      </c>
      <c r="AH2" s="57">
        <v>1</v>
      </c>
      <c r="AI2" s="57" t="s">
        <v>551</v>
      </c>
      <c r="AJ2" s="57" t="s">
        <v>633</v>
      </c>
      <c r="AK2" s="57">
        <v>10548.14</v>
      </c>
      <c r="AL2" s="57">
        <v>10770</v>
      </c>
      <c r="AM2" s="57" t="s">
        <v>552</v>
      </c>
      <c r="AN2" s="57" t="s">
        <v>295</v>
      </c>
      <c r="AO2" s="57" t="s">
        <v>634</v>
      </c>
      <c r="AP2" s="262" t="s">
        <v>634</v>
      </c>
      <c r="AQ2" s="262" t="s">
        <v>635</v>
      </c>
      <c r="AR2" s="262">
        <v>9</v>
      </c>
      <c r="AS2" s="262" t="s">
        <v>636</v>
      </c>
      <c r="AT2" s="262" t="s">
        <v>637</v>
      </c>
      <c r="AU2" s="262"/>
      <c r="AV2" s="262">
        <v>10537.88</v>
      </c>
    </row>
    <row r="3" spans="1:48">
      <c r="A3" s="262" t="s">
        <v>638</v>
      </c>
      <c r="B3" s="262" t="s">
        <v>618</v>
      </c>
      <c r="C3" s="262" t="s">
        <v>619</v>
      </c>
      <c r="D3" s="263">
        <v>44377</v>
      </c>
      <c r="E3" s="264">
        <v>44348</v>
      </c>
      <c r="F3" s="57" t="s">
        <v>639</v>
      </c>
      <c r="G3" s="265"/>
      <c r="H3" s="57"/>
      <c r="I3" s="57"/>
      <c r="J3" s="57"/>
      <c r="K3" s="57" t="s">
        <v>640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>
        <v>5327.93</v>
      </c>
      <c r="AF3" s="57"/>
      <c r="AG3" s="57"/>
      <c r="AH3" s="57"/>
      <c r="AI3" s="57"/>
      <c r="AJ3" s="57"/>
      <c r="AK3" s="57"/>
      <c r="AL3" s="57"/>
      <c r="AM3" s="57"/>
      <c r="AN3" s="57"/>
      <c r="AO3" s="57" t="s">
        <v>641</v>
      </c>
      <c r="AP3" s="262" t="s">
        <v>641</v>
      </c>
      <c r="AQ3" s="262" t="s">
        <v>642</v>
      </c>
      <c r="AR3" s="262">
        <v>8</v>
      </c>
      <c r="AS3" s="262">
        <v>26</v>
      </c>
      <c r="AT3" s="262"/>
      <c r="AU3" s="262" t="s">
        <v>643</v>
      </c>
      <c r="AV3" s="262">
        <v>5322.75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2912-1A41-4E0C-A0C1-5AB677D51BCB}">
  <dimension ref="A1:M3"/>
  <sheetViews>
    <sheetView zoomScaleNormal="100" workbookViewId="0">
      <pane ySplit="1" topLeftCell="M3" activePane="bottomLeft" state="frozen"/>
      <selection pane="bottomLeft" activeCell="M3" sqref="M3"/>
      <selection activeCell="I47" sqref="I47"/>
    </sheetView>
  </sheetViews>
  <sheetFormatPr defaultRowHeight="14.45"/>
  <cols>
    <col min="1" max="1" width="31.140625" bestFit="1" customWidth="1"/>
    <col min="2" max="2" width="18.42578125" bestFit="1" customWidth="1"/>
    <col min="3" max="3" width="16.5703125" bestFit="1" customWidth="1"/>
    <col min="4" max="4" width="27.7109375" bestFit="1" customWidth="1"/>
    <col min="5" max="5" width="14.140625" bestFit="1" customWidth="1"/>
    <col min="6" max="6" width="15.42578125" style="275" bestFit="1" customWidth="1"/>
    <col min="7" max="7" width="12.140625" bestFit="1" customWidth="1"/>
    <col min="8" max="8" width="13.85546875" bestFit="1" customWidth="1"/>
    <col min="9" max="9" width="13.85546875" style="276" customWidth="1"/>
    <col min="10" max="10" width="17.7109375" style="275" bestFit="1" customWidth="1"/>
    <col min="11" max="11" width="19.42578125" bestFit="1" customWidth="1"/>
    <col min="12" max="12" width="13.140625" bestFit="1" customWidth="1"/>
    <col min="13" max="13" width="18.7109375" bestFit="1" customWidth="1"/>
  </cols>
  <sheetData>
    <row r="1" spans="1:13">
      <c r="A1" s="266" t="s">
        <v>614</v>
      </c>
      <c r="B1" s="266" t="s">
        <v>644</v>
      </c>
      <c r="C1" s="266" t="s">
        <v>645</v>
      </c>
      <c r="D1" s="267" t="s">
        <v>646</v>
      </c>
      <c r="E1" s="268" t="s">
        <v>647</v>
      </c>
      <c r="F1" s="269" t="s">
        <v>162</v>
      </c>
      <c r="G1" s="268" t="s">
        <v>148</v>
      </c>
      <c r="H1" s="270" t="s">
        <v>648</v>
      </c>
      <c r="I1" s="270" t="s">
        <v>358</v>
      </c>
      <c r="J1" s="269" t="s">
        <v>649</v>
      </c>
      <c r="K1" s="29" t="s">
        <v>10</v>
      </c>
      <c r="L1" s="266" t="s">
        <v>650</v>
      </c>
      <c r="M1" s="266" t="s">
        <v>473</v>
      </c>
    </row>
    <row r="2" spans="1:13">
      <c r="A2" s="271" t="s">
        <v>651</v>
      </c>
      <c r="B2" s="271" t="s">
        <v>88</v>
      </c>
      <c r="C2" s="271" t="s">
        <v>619</v>
      </c>
      <c r="D2" s="272" t="s">
        <v>283</v>
      </c>
      <c r="E2" s="273">
        <v>5332.53</v>
      </c>
      <c r="F2" s="273">
        <v>5332.53</v>
      </c>
      <c r="G2" s="273"/>
      <c r="H2" s="32">
        <v>44413</v>
      </c>
      <c r="I2" s="32" t="s">
        <v>652</v>
      </c>
      <c r="J2" s="274">
        <v>1791341.17</v>
      </c>
      <c r="K2" s="37" t="s">
        <v>284</v>
      </c>
      <c r="L2" s="271" t="s">
        <v>618</v>
      </c>
      <c r="M2" s="271" t="s">
        <v>618</v>
      </c>
    </row>
    <row r="3" spans="1:13">
      <c r="A3" s="271" t="s">
        <v>651</v>
      </c>
      <c r="B3" s="271" t="s">
        <v>88</v>
      </c>
      <c r="C3" s="271" t="s">
        <v>619</v>
      </c>
      <c r="D3" s="272" t="s">
        <v>653</v>
      </c>
      <c r="E3" s="273">
        <v>15968.28</v>
      </c>
      <c r="F3" s="273">
        <v>15968.28</v>
      </c>
      <c r="G3" s="273"/>
      <c r="H3" s="32">
        <v>44414</v>
      </c>
      <c r="I3" s="32" t="s">
        <v>652</v>
      </c>
      <c r="J3" s="274">
        <v>1791341.17</v>
      </c>
      <c r="K3" s="37" t="s">
        <v>284</v>
      </c>
      <c r="L3" s="271" t="s">
        <v>618</v>
      </c>
      <c r="M3" s="271" t="s">
        <v>618</v>
      </c>
    </row>
  </sheetData>
  <autoFilter ref="A1:M3" xr:uid="{00000000-0001-0000-0200-000000000000}"/>
  <conditionalFormatting sqref="D1:D1033439">
    <cfRule type="duplicateValues" dxfId="45" priority="86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1DAB-1D35-4E3D-BAA1-B298AB26782B}">
  <dimension ref="A1:J5"/>
  <sheetViews>
    <sheetView workbookViewId="0">
      <pane ySplit="2" topLeftCell="A3" activePane="bottomLeft" state="frozen"/>
      <selection pane="bottomLeft" activeCell="A2" sqref="A2"/>
      <selection activeCell="I47" sqref="I47"/>
    </sheetView>
  </sheetViews>
  <sheetFormatPr defaultRowHeight="14.45"/>
  <cols>
    <col min="1" max="1" width="10.42578125" bestFit="1" customWidth="1"/>
    <col min="2" max="2" width="11" bestFit="1" customWidth="1"/>
    <col min="3" max="3" width="25" bestFit="1" customWidth="1"/>
    <col min="4" max="4" width="33.85546875" bestFit="1" customWidth="1"/>
    <col min="5" max="5" width="15.42578125" bestFit="1" customWidth="1"/>
    <col min="6" max="6" width="21.42578125" bestFit="1" customWidth="1"/>
    <col min="7" max="7" width="27.42578125" bestFit="1" customWidth="1"/>
    <col min="8" max="8" width="10.85546875" bestFit="1" customWidth="1"/>
    <col min="9" max="9" width="15.42578125" bestFit="1" customWidth="1"/>
    <col min="10" max="10" width="20.85546875" bestFit="1" customWidth="1"/>
  </cols>
  <sheetData>
    <row r="1" spans="1:10">
      <c r="B1" s="730" t="s">
        <v>654</v>
      </c>
      <c r="C1" s="730"/>
      <c r="D1" s="730"/>
      <c r="E1" s="730"/>
      <c r="F1" s="730" t="s">
        <v>308</v>
      </c>
      <c r="G1" s="730"/>
      <c r="H1" s="730"/>
      <c r="I1" s="730"/>
    </row>
    <row r="2" spans="1:10">
      <c r="A2" s="30" t="s">
        <v>655</v>
      </c>
      <c r="B2" s="30" t="s">
        <v>164</v>
      </c>
      <c r="C2" s="30" t="s">
        <v>165</v>
      </c>
      <c r="D2" s="30" t="s">
        <v>166</v>
      </c>
      <c r="E2" s="30" t="s">
        <v>167</v>
      </c>
      <c r="F2" s="31" t="s">
        <v>168</v>
      </c>
      <c r="G2" s="31" t="s">
        <v>169</v>
      </c>
      <c r="H2" s="31" t="s">
        <v>170</v>
      </c>
      <c r="I2" s="31" t="s">
        <v>171</v>
      </c>
      <c r="J2" s="31" t="s">
        <v>507</v>
      </c>
    </row>
    <row r="3" spans="1:10">
      <c r="A3" s="277">
        <v>1</v>
      </c>
      <c r="B3" s="32">
        <v>44429</v>
      </c>
      <c r="C3" s="33" t="s">
        <v>285</v>
      </c>
      <c r="D3" s="278" t="s">
        <v>656</v>
      </c>
      <c r="E3" s="279">
        <v>1124756</v>
      </c>
      <c r="F3" s="281">
        <v>1124756</v>
      </c>
      <c r="G3" s="37" t="s">
        <v>657</v>
      </c>
      <c r="H3" s="280">
        <v>44401</v>
      </c>
      <c r="I3" s="38">
        <v>0</v>
      </c>
      <c r="J3" s="262" t="s">
        <v>386</v>
      </c>
    </row>
    <row r="4" spans="1:10">
      <c r="A4" s="277">
        <v>2</v>
      </c>
      <c r="B4" s="32">
        <v>44457.445833333331</v>
      </c>
      <c r="C4" s="33" t="s">
        <v>285</v>
      </c>
      <c r="D4" s="278" t="s">
        <v>658</v>
      </c>
      <c r="E4" s="279">
        <v>1791341.17</v>
      </c>
      <c r="F4" s="281">
        <v>1791341.17</v>
      </c>
      <c r="G4" s="37" t="s">
        <v>284</v>
      </c>
      <c r="H4" s="280">
        <v>44413</v>
      </c>
      <c r="I4" s="38">
        <v>0</v>
      </c>
      <c r="J4" s="262" t="s">
        <v>386</v>
      </c>
    </row>
    <row r="5" spans="1:10" ht="15" thickBot="1">
      <c r="E5" s="282">
        <v>2916097.17</v>
      </c>
      <c r="F5" s="282">
        <v>2916097.17</v>
      </c>
      <c r="G5" s="283"/>
      <c r="H5" s="284"/>
      <c r="I5" s="282">
        <v>0</v>
      </c>
    </row>
  </sheetData>
  <autoFilter ref="A2:J5" xr:uid="{D7A63FB5-EE52-4896-91F6-79BC577A58B1}"/>
  <mergeCells count="2">
    <mergeCell ref="B1:E1"/>
    <mergeCell ref="F1:I1"/>
  </mergeCells>
  <conditionalFormatting sqref="B3">
    <cfRule type="duplicateValues" dxfId="44" priority="68"/>
  </conditionalFormatting>
  <conditionalFormatting sqref="B3:B4">
    <cfRule type="duplicateValues" dxfId="43" priority="91"/>
  </conditionalFormatting>
  <conditionalFormatting sqref="F2:F4">
    <cfRule type="containsText" dxfId="42" priority="23" operator="containsText" text="not Found">
      <formula>NOT(ISERROR(SEARCH("not Found",F2)))</formula>
    </cfRule>
  </conditionalFormatting>
  <conditionalFormatting sqref="G7:G1048576 G2:G4">
    <cfRule type="duplicateValues" dxfId="41" priority="79"/>
  </conditionalFormatting>
  <conditionalFormatting sqref="G2:H4">
    <cfRule type="containsText" dxfId="40" priority="76" operator="containsText" text="Not Found">
      <formula>NOT(ISERROR(SEARCH("Not Found",G2)))</formula>
    </cfRule>
  </conditionalFormatting>
  <conditionalFormatting sqref="H5">
    <cfRule type="duplicateValues" dxfId="39" priority="89"/>
    <cfRule type="duplicateValues" dxfId="38" priority="90"/>
  </conditionalFormatting>
  <conditionalFormatting sqref="J2">
    <cfRule type="containsText" dxfId="37" priority="77" operator="containsText" text="not Found">
      <formula>NOT(ISERROR(SEARCH("not Found",J2)))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EF82-522A-42D8-A0C6-BAD51417FB52}">
  <dimension ref="A1:AC3"/>
  <sheetViews>
    <sheetView workbookViewId="0">
      <pane ySplit="1" topLeftCell="A2" activePane="bottomLeft" state="frozen"/>
      <selection pane="bottomLeft"/>
      <selection activeCell="I47" sqref="I47"/>
    </sheetView>
  </sheetViews>
  <sheetFormatPr defaultRowHeight="14.45"/>
  <cols>
    <col min="1" max="1" width="26.7109375" bestFit="1" customWidth="1"/>
    <col min="2" max="2" width="28" bestFit="1" customWidth="1"/>
    <col min="3" max="3" width="11.5703125" bestFit="1" customWidth="1"/>
    <col min="4" max="4" width="11.140625" bestFit="1" customWidth="1"/>
    <col min="5" max="5" width="9.140625" bestFit="1" customWidth="1"/>
    <col min="6" max="6" width="7.5703125" bestFit="1" customWidth="1"/>
    <col min="7" max="7" width="11.7109375" bestFit="1" customWidth="1"/>
    <col min="8" max="8" width="13.140625" bestFit="1" customWidth="1"/>
    <col min="9" max="9" width="12.140625" bestFit="1" customWidth="1"/>
    <col min="10" max="10" width="13.28515625" bestFit="1" customWidth="1"/>
    <col min="11" max="11" width="19.140625" bestFit="1" customWidth="1"/>
    <col min="12" max="12" width="14.7109375" bestFit="1" customWidth="1"/>
    <col min="13" max="13" width="16.7109375" bestFit="1" customWidth="1"/>
    <col min="14" max="14" width="20.140625" bestFit="1" customWidth="1"/>
    <col min="15" max="15" width="17.7109375" bestFit="1" customWidth="1"/>
    <col min="16" max="16" width="18.42578125" bestFit="1" customWidth="1"/>
    <col min="17" max="17" width="22.28515625" bestFit="1" customWidth="1"/>
    <col min="18" max="18" width="17.7109375" bestFit="1" customWidth="1"/>
    <col min="19" max="19" width="3.7109375" bestFit="1" customWidth="1"/>
    <col min="20" max="20" width="21.42578125" bestFit="1" customWidth="1"/>
    <col min="21" max="21" width="21.140625" bestFit="1" customWidth="1"/>
    <col min="22" max="22" width="23" bestFit="1" customWidth="1"/>
    <col min="23" max="23" width="11.140625" bestFit="1" customWidth="1"/>
    <col min="24" max="24" width="17.140625" bestFit="1" customWidth="1"/>
    <col min="25" max="25" width="11.140625" bestFit="1" customWidth="1"/>
    <col min="26" max="26" width="14.140625" bestFit="1" customWidth="1"/>
    <col min="27" max="27" width="11.5703125" bestFit="1" customWidth="1"/>
    <col min="28" max="28" width="11.85546875" bestFit="1" customWidth="1"/>
    <col min="29" max="29" width="12.42578125" bestFit="1" customWidth="1"/>
    <col min="30" max="30" width="9.140625" bestFit="1" customWidth="1"/>
  </cols>
  <sheetData>
    <row r="1" spans="1:29">
      <c r="A1" t="s">
        <v>507</v>
      </c>
      <c r="B1" t="s">
        <v>659</v>
      </c>
      <c r="C1" t="s">
        <v>660</v>
      </c>
      <c r="D1" t="s">
        <v>661</v>
      </c>
      <c r="E1" t="s">
        <v>507</v>
      </c>
      <c r="F1" t="s">
        <v>662</v>
      </c>
      <c r="G1" t="s">
        <v>663</v>
      </c>
      <c r="H1" t="s">
        <v>76</v>
      </c>
      <c r="I1" t="s">
        <v>664</v>
      </c>
      <c r="J1" t="s">
        <v>665</v>
      </c>
      <c r="K1" t="s">
        <v>666</v>
      </c>
      <c r="L1" t="s">
        <v>667</v>
      </c>
      <c r="M1" t="s">
        <v>10</v>
      </c>
      <c r="N1" t="s">
        <v>668</v>
      </c>
      <c r="O1" t="s">
        <v>669</v>
      </c>
      <c r="P1" t="s">
        <v>670</v>
      </c>
      <c r="Q1" t="s">
        <v>671</v>
      </c>
      <c r="R1" t="s">
        <v>672</v>
      </c>
      <c r="S1" t="s">
        <v>610</v>
      </c>
      <c r="T1" t="s">
        <v>673</v>
      </c>
      <c r="U1" t="s">
        <v>674</v>
      </c>
      <c r="V1" t="s">
        <v>675</v>
      </c>
      <c r="W1" t="s">
        <v>676</v>
      </c>
      <c r="X1" t="s">
        <v>677</v>
      </c>
      <c r="Y1" t="s">
        <v>678</v>
      </c>
      <c r="Z1" t="s">
        <v>679</v>
      </c>
      <c r="AA1" t="s">
        <v>680</v>
      </c>
      <c r="AB1" t="s">
        <v>681</v>
      </c>
      <c r="AC1" t="s">
        <v>682</v>
      </c>
    </row>
    <row r="2" spans="1:29">
      <c r="A2" t="s">
        <v>683</v>
      </c>
      <c r="B2" s="285">
        <v>44501</v>
      </c>
      <c r="C2" t="s">
        <v>628</v>
      </c>
      <c r="D2" t="s">
        <v>628</v>
      </c>
      <c r="E2" t="s">
        <v>684</v>
      </c>
      <c r="F2" t="s">
        <v>685</v>
      </c>
      <c r="G2" t="s">
        <v>686</v>
      </c>
      <c r="H2" t="s">
        <v>687</v>
      </c>
      <c r="I2">
        <v>4057586263</v>
      </c>
      <c r="J2">
        <v>66503</v>
      </c>
      <c r="K2" t="s">
        <v>688</v>
      </c>
      <c r="L2" t="s">
        <v>689</v>
      </c>
      <c r="M2" t="s">
        <v>690</v>
      </c>
      <c r="N2">
        <v>1</v>
      </c>
      <c r="O2" s="286">
        <v>4945</v>
      </c>
      <c r="P2" s="286">
        <v>4945</v>
      </c>
      <c r="Q2">
        <v>0</v>
      </c>
      <c r="R2" s="286">
        <v>5337.72</v>
      </c>
      <c r="S2">
        <v>0</v>
      </c>
      <c r="T2">
        <v>155.46</v>
      </c>
      <c r="U2" s="286">
        <v>5182.26</v>
      </c>
      <c r="V2" s="287">
        <v>5338</v>
      </c>
      <c r="W2">
        <v>1</v>
      </c>
      <c r="X2">
        <v>1</v>
      </c>
      <c r="Y2">
        <v>0</v>
      </c>
      <c r="Z2">
        <v>155.46</v>
      </c>
      <c r="AA2" s="286">
        <v>5182.26</v>
      </c>
      <c r="AB2">
        <v>1</v>
      </c>
      <c r="AC2" s="286">
        <v>5337.72</v>
      </c>
    </row>
    <row r="3" spans="1:29">
      <c r="A3" t="s">
        <v>683</v>
      </c>
      <c r="B3" s="285">
        <v>44409</v>
      </c>
      <c r="C3" t="s">
        <v>628</v>
      </c>
      <c r="D3" t="s">
        <v>628</v>
      </c>
      <c r="E3" t="s">
        <v>684</v>
      </c>
      <c r="F3" t="s">
        <v>685</v>
      </c>
      <c r="G3" t="s">
        <v>686</v>
      </c>
      <c r="H3" t="s">
        <v>639</v>
      </c>
      <c r="I3">
        <v>4056679133</v>
      </c>
      <c r="J3">
        <v>25844</v>
      </c>
      <c r="K3" t="s">
        <v>688</v>
      </c>
      <c r="L3" t="s">
        <v>691</v>
      </c>
      <c r="M3" t="s">
        <v>640</v>
      </c>
      <c r="N3">
        <v>1</v>
      </c>
      <c r="O3" s="286">
        <v>4940</v>
      </c>
      <c r="P3" s="286">
        <v>4940</v>
      </c>
      <c r="Q3">
        <v>0</v>
      </c>
      <c r="R3" s="286">
        <v>5327.93</v>
      </c>
      <c r="S3">
        <v>0</v>
      </c>
      <c r="T3">
        <v>155.18</v>
      </c>
      <c r="U3" s="286">
        <v>5172.75</v>
      </c>
      <c r="V3" s="287">
        <v>5328</v>
      </c>
      <c r="W3">
        <v>1</v>
      </c>
      <c r="X3">
        <v>1</v>
      </c>
      <c r="Y3">
        <v>0</v>
      </c>
      <c r="Z3">
        <v>155.18</v>
      </c>
      <c r="AA3" s="286">
        <v>5172.75</v>
      </c>
      <c r="AB3">
        <v>1</v>
      </c>
      <c r="AC3" s="286">
        <v>5327.93</v>
      </c>
    </row>
  </sheetData>
  <autoFilter ref="A1:AC3" xr:uid="{62D5A616-CDB7-4232-BE1C-68EE0E3E265B}"/>
  <conditionalFormatting sqref="H1:H3">
    <cfRule type="duplicateValues" dxfId="36" priority="9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1CD0-059E-47A9-A696-78EC85B2A44E}">
  <dimension ref="A1:H3"/>
  <sheetViews>
    <sheetView workbookViewId="0">
      <pane ySplit="1" topLeftCell="B2" activePane="bottomLeft" state="frozen"/>
      <selection pane="bottomLeft" activeCell="B1" sqref="B1"/>
      <selection activeCell="A35" sqref="A35"/>
    </sheetView>
  </sheetViews>
  <sheetFormatPr defaultRowHeight="14.45" outlineLevelRow="1"/>
  <cols>
    <col min="1" max="1" width="14.42578125" bestFit="1" customWidth="1"/>
    <col min="2" max="2" width="11.140625" bestFit="1" customWidth="1"/>
    <col min="3" max="3" width="11.7109375" bestFit="1" customWidth="1"/>
    <col min="4" max="4" width="15.42578125" bestFit="1" customWidth="1"/>
    <col min="5" max="5" width="12.7109375" bestFit="1" customWidth="1"/>
    <col min="6" max="6" width="17.42578125" bestFit="1" customWidth="1"/>
    <col min="7" max="7" width="15.85546875" bestFit="1" customWidth="1"/>
    <col min="8" max="8" width="15.140625" bestFit="1" customWidth="1"/>
    <col min="9" max="9" width="13.7109375" bestFit="1" customWidth="1"/>
    <col min="10" max="10" width="14.28515625" bestFit="1" customWidth="1"/>
  </cols>
  <sheetData>
    <row r="1" spans="1:8">
      <c r="A1" s="288" t="s">
        <v>573</v>
      </c>
      <c r="B1" s="288" t="s">
        <v>574</v>
      </c>
      <c r="C1" s="288" t="s">
        <v>609</v>
      </c>
      <c r="D1" s="288" t="s">
        <v>215</v>
      </c>
      <c r="E1" s="288" t="s">
        <v>692</v>
      </c>
      <c r="F1" s="288" t="s">
        <v>577</v>
      </c>
      <c r="G1" s="288" t="s">
        <v>168</v>
      </c>
      <c r="H1" s="249" t="s">
        <v>578</v>
      </c>
    </row>
    <row r="2" spans="1:8" outlineLevel="1">
      <c r="A2" s="289">
        <v>45474</v>
      </c>
      <c r="B2" s="290">
        <v>1060</v>
      </c>
      <c r="C2" s="290">
        <v>57507.710999999988</v>
      </c>
      <c r="D2" s="291">
        <v>65488540</v>
      </c>
      <c r="E2" s="292">
        <v>2490230</v>
      </c>
      <c r="F2" s="292">
        <v>62998310</v>
      </c>
      <c r="G2" s="292">
        <v>65488540</v>
      </c>
      <c r="H2" s="292">
        <v>0</v>
      </c>
    </row>
    <row r="3" spans="1:8" ht="20.100000000000001" customHeight="1">
      <c r="A3" s="293" t="s">
        <v>315</v>
      </c>
      <c r="B3" s="293">
        <f>SUM(B2)</f>
        <v>1060</v>
      </c>
      <c r="C3" s="293">
        <f t="shared" ref="C3:H3" si="0">SUM(C2)</f>
        <v>57507.710999999988</v>
      </c>
      <c r="D3" s="293">
        <f t="shared" si="0"/>
        <v>65488540</v>
      </c>
      <c r="E3" s="293">
        <f t="shared" si="0"/>
        <v>2490230</v>
      </c>
      <c r="F3" s="293">
        <f t="shared" si="0"/>
        <v>62998310</v>
      </c>
      <c r="G3" s="293">
        <f t="shared" si="0"/>
        <v>65488540</v>
      </c>
      <c r="H3" s="293">
        <f t="shared" si="0"/>
        <v>0</v>
      </c>
    </row>
  </sheetData>
  <dataConsolidate/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024F-BA8B-49D1-9317-E192BAD09803}">
  <dimension ref="A1:BD3"/>
  <sheetViews>
    <sheetView topLeftCell="AU1" workbookViewId="0">
      <pane ySplit="1" topLeftCell="BA2" activePane="bottomLeft" state="frozen"/>
      <selection pane="bottomLeft" activeCell="BA1" sqref="BA1"/>
      <selection activeCell="A35" sqref="A35"/>
    </sheetView>
  </sheetViews>
  <sheetFormatPr defaultRowHeight="14.45"/>
  <cols>
    <col min="1" max="1" width="32.5703125" bestFit="1" customWidth="1"/>
    <col min="2" max="2" width="10.42578125" bestFit="1" customWidth="1"/>
    <col min="3" max="3" width="9.42578125" bestFit="1" customWidth="1"/>
    <col min="4" max="4" width="19.28515625" bestFit="1" customWidth="1"/>
    <col min="5" max="5" width="15.42578125" bestFit="1" customWidth="1"/>
    <col min="6" max="6" width="26.5703125" bestFit="1" customWidth="1"/>
    <col min="7" max="7" width="19.28515625" bestFit="1" customWidth="1"/>
    <col min="8" max="8" width="6.7109375" bestFit="1" customWidth="1"/>
    <col min="9" max="9" width="17.85546875" bestFit="1" customWidth="1"/>
    <col min="10" max="10" width="10.5703125" bestFit="1" customWidth="1"/>
    <col min="11" max="11" width="61.42578125" bestFit="1" customWidth="1"/>
    <col min="12" max="12" width="9.85546875" bestFit="1" customWidth="1"/>
    <col min="13" max="13" width="16.140625" bestFit="1" customWidth="1"/>
    <col min="14" max="14" width="11.7109375" bestFit="1" customWidth="1"/>
    <col min="15" max="15" width="18.42578125" bestFit="1" customWidth="1"/>
    <col min="16" max="16" width="18.85546875" bestFit="1" customWidth="1"/>
    <col min="17" max="17" width="20.5703125" bestFit="1" customWidth="1"/>
    <col min="18" max="18" width="10.28515625" bestFit="1" customWidth="1"/>
    <col min="19" max="19" width="11.5703125" bestFit="1" customWidth="1"/>
    <col min="20" max="20" width="11.42578125" bestFit="1" customWidth="1"/>
    <col min="21" max="21" width="11" bestFit="1" customWidth="1"/>
    <col min="22" max="22" width="18.5703125" bestFit="1" customWidth="1"/>
    <col min="23" max="23" width="15.85546875" bestFit="1" customWidth="1"/>
    <col min="24" max="24" width="13.28515625" bestFit="1" customWidth="1"/>
    <col min="25" max="25" width="43.85546875" bestFit="1" customWidth="1"/>
    <col min="26" max="26" width="81.85546875" bestFit="1" customWidth="1"/>
    <col min="27" max="27" width="85.85546875" customWidth="1"/>
    <col min="28" max="28" width="67.7109375" customWidth="1"/>
    <col min="29" max="29" width="27.28515625" customWidth="1"/>
    <col min="30" max="30" width="6.28515625" customWidth="1"/>
    <col min="31" max="31" width="9.140625" bestFit="1" customWidth="1"/>
    <col min="32" max="32" width="9.85546875" bestFit="1" customWidth="1"/>
    <col min="33" max="33" width="37.7109375" bestFit="1" customWidth="1"/>
    <col min="34" max="34" width="8.140625" bestFit="1" customWidth="1"/>
    <col min="35" max="35" width="43.85546875" bestFit="1" customWidth="1"/>
    <col min="36" max="36" width="81.85546875" bestFit="1" customWidth="1"/>
    <col min="37" max="37" width="85.85546875" customWidth="1"/>
    <col min="38" max="38" width="66.85546875" bestFit="1" customWidth="1"/>
    <col min="39" max="39" width="27.28515625" customWidth="1"/>
    <col min="40" max="40" width="12.42578125" bestFit="1" customWidth="1"/>
    <col min="41" max="41" width="16.28515625" bestFit="1" customWidth="1"/>
    <col min="42" max="42" width="9.85546875" bestFit="1" customWidth="1"/>
    <col min="43" max="43" width="37.7109375" bestFit="1" customWidth="1"/>
    <col min="44" max="44" width="12.5703125" bestFit="1" customWidth="1"/>
    <col min="45" max="45" width="21.28515625" customWidth="1"/>
    <col min="46" max="46" width="22.5703125" bestFit="1" customWidth="1"/>
    <col min="47" max="47" width="16.42578125" bestFit="1" customWidth="1"/>
    <col min="48" max="48" width="11.85546875" bestFit="1" customWidth="1"/>
    <col min="49" max="49" width="13.28515625" bestFit="1" customWidth="1"/>
    <col min="50" max="50" width="9.85546875" bestFit="1" customWidth="1"/>
    <col min="51" max="51" width="16.42578125" bestFit="1" customWidth="1"/>
    <col min="52" max="52" width="21.28515625" bestFit="1" customWidth="1"/>
    <col min="53" max="53" width="21.28515625" customWidth="1"/>
    <col min="54" max="54" width="16.5703125" bestFit="1" customWidth="1"/>
    <col min="55" max="55" width="17.5703125" bestFit="1" customWidth="1"/>
  </cols>
  <sheetData>
    <row r="1" spans="1:56">
      <c r="A1" s="294" t="s">
        <v>614</v>
      </c>
      <c r="B1" s="294" t="s">
        <v>88</v>
      </c>
      <c r="C1" s="294" t="s">
        <v>693</v>
      </c>
      <c r="D1" s="294" t="s">
        <v>308</v>
      </c>
      <c r="E1" s="295" t="s">
        <v>76</v>
      </c>
      <c r="F1" s="295" t="s">
        <v>72</v>
      </c>
      <c r="G1" s="295" t="s">
        <v>207</v>
      </c>
      <c r="H1" s="295" t="s">
        <v>143</v>
      </c>
      <c r="I1" s="295" t="s">
        <v>694</v>
      </c>
      <c r="J1" s="295" t="s">
        <v>342</v>
      </c>
      <c r="K1" s="295" t="s">
        <v>695</v>
      </c>
      <c r="L1" s="295" t="s">
        <v>39</v>
      </c>
      <c r="M1" s="295" t="s">
        <v>696</v>
      </c>
      <c r="N1" s="295" t="s">
        <v>697</v>
      </c>
      <c r="O1" s="295" t="s">
        <v>698</v>
      </c>
      <c r="P1" s="295" t="s">
        <v>699</v>
      </c>
      <c r="Q1" s="295" t="s">
        <v>700</v>
      </c>
      <c r="R1" s="295" t="s">
        <v>701</v>
      </c>
      <c r="S1" s="295" t="s">
        <v>702</v>
      </c>
      <c r="T1" s="295" t="s">
        <v>703</v>
      </c>
      <c r="U1" s="295" t="s">
        <v>704</v>
      </c>
      <c r="V1" s="295" t="s">
        <v>705</v>
      </c>
      <c r="W1" s="295" t="s">
        <v>49</v>
      </c>
      <c r="X1" s="295" t="s">
        <v>534</v>
      </c>
      <c r="Y1" s="295" t="s">
        <v>16</v>
      </c>
      <c r="Z1" s="295" t="s">
        <v>706</v>
      </c>
      <c r="AA1" s="295" t="s">
        <v>707</v>
      </c>
      <c r="AB1" s="295" t="s">
        <v>708</v>
      </c>
      <c r="AC1" s="295" t="s">
        <v>709</v>
      </c>
      <c r="AD1" s="295" t="s">
        <v>710</v>
      </c>
      <c r="AE1" s="295" t="s">
        <v>711</v>
      </c>
      <c r="AF1" s="295" t="s">
        <v>78</v>
      </c>
      <c r="AG1" s="295" t="s">
        <v>79</v>
      </c>
      <c r="AH1" s="295" t="s">
        <v>712</v>
      </c>
      <c r="AI1" s="295" t="s">
        <v>16</v>
      </c>
      <c r="AJ1" s="295" t="s">
        <v>713</v>
      </c>
      <c r="AK1" s="295" t="s">
        <v>714</v>
      </c>
      <c r="AL1" s="295" t="s">
        <v>715</v>
      </c>
      <c r="AM1" s="295" t="s">
        <v>716</v>
      </c>
      <c r="AN1" s="295" t="s">
        <v>717</v>
      </c>
      <c r="AO1" s="295" t="s">
        <v>718</v>
      </c>
      <c r="AP1" s="295" t="s">
        <v>78</v>
      </c>
      <c r="AQ1" s="295" t="s">
        <v>79</v>
      </c>
      <c r="AR1" s="295" t="s">
        <v>80</v>
      </c>
      <c r="AS1" s="295" t="s">
        <v>60</v>
      </c>
      <c r="AT1" s="295" t="s">
        <v>61</v>
      </c>
      <c r="AU1" s="295" t="s">
        <v>719</v>
      </c>
      <c r="AV1" s="295" t="s">
        <v>720</v>
      </c>
      <c r="AW1" s="295" t="s">
        <v>721</v>
      </c>
      <c r="AX1" s="295" t="s">
        <v>46</v>
      </c>
      <c r="AY1" s="295" t="s">
        <v>722</v>
      </c>
      <c r="AZ1" s="296" t="s">
        <v>308</v>
      </c>
      <c r="BA1" s="296" t="s">
        <v>723</v>
      </c>
      <c r="BB1" s="296" t="s">
        <v>168</v>
      </c>
      <c r="BC1" s="297" t="s">
        <v>724</v>
      </c>
      <c r="BD1" s="298" t="s">
        <v>725</v>
      </c>
    </row>
    <row r="2" spans="1:56">
      <c r="A2" s="299" t="s">
        <v>726</v>
      </c>
      <c r="B2" s="299" t="s">
        <v>619</v>
      </c>
      <c r="C2" s="300">
        <v>44805</v>
      </c>
      <c r="D2" s="301">
        <v>44805</v>
      </c>
      <c r="E2" s="299" t="s">
        <v>727</v>
      </c>
      <c r="F2" s="299" t="s">
        <v>728</v>
      </c>
      <c r="G2" s="299" t="s">
        <v>729</v>
      </c>
      <c r="H2" s="299" t="s">
        <v>730</v>
      </c>
      <c r="I2" s="299" t="s">
        <v>731</v>
      </c>
      <c r="J2" s="299">
        <v>711419</v>
      </c>
      <c r="K2" s="299" t="s">
        <v>732</v>
      </c>
      <c r="L2" s="299">
        <v>1</v>
      </c>
      <c r="M2" s="299">
        <v>1</v>
      </c>
      <c r="N2" s="299">
        <v>5699.03</v>
      </c>
      <c r="O2" s="299">
        <v>1</v>
      </c>
      <c r="P2" s="299">
        <v>5699.03</v>
      </c>
      <c r="Q2" s="299" t="s">
        <v>733</v>
      </c>
      <c r="R2" s="299">
        <v>170.97</v>
      </c>
      <c r="S2" s="299"/>
      <c r="T2" s="299"/>
      <c r="U2" s="299">
        <v>170.97</v>
      </c>
      <c r="V2" s="299">
        <v>5870</v>
      </c>
      <c r="W2" s="299">
        <v>0</v>
      </c>
      <c r="X2" s="299">
        <v>5870</v>
      </c>
      <c r="Y2" s="299" t="s">
        <v>734</v>
      </c>
      <c r="Z2" s="299" t="s">
        <v>735</v>
      </c>
      <c r="AA2" s="299" t="s">
        <v>736</v>
      </c>
      <c r="AB2" s="299" t="s">
        <v>737</v>
      </c>
      <c r="AC2" s="299" t="s">
        <v>738</v>
      </c>
      <c r="AD2" s="299">
        <v>440015</v>
      </c>
      <c r="AE2" s="299" t="s">
        <v>739</v>
      </c>
      <c r="AF2" s="299">
        <v>8407941279</v>
      </c>
      <c r="AG2" s="299" t="s">
        <v>740</v>
      </c>
      <c r="AH2" s="299"/>
      <c r="AI2" s="299" t="s">
        <v>734</v>
      </c>
      <c r="AJ2" s="299" t="s">
        <v>735</v>
      </c>
      <c r="AK2" s="299" t="s">
        <v>736</v>
      </c>
      <c r="AL2" s="299" t="s">
        <v>737</v>
      </c>
      <c r="AM2" s="299" t="s">
        <v>738</v>
      </c>
      <c r="AN2" s="299">
        <v>440015</v>
      </c>
      <c r="AO2" s="299" t="s">
        <v>741</v>
      </c>
      <c r="AP2" s="299">
        <v>8407941279</v>
      </c>
      <c r="AQ2" s="299" t="s">
        <v>740</v>
      </c>
      <c r="AR2" s="299"/>
      <c r="AS2" s="299" t="s">
        <v>742</v>
      </c>
      <c r="AT2" s="299" t="s">
        <v>743</v>
      </c>
      <c r="AU2" s="299" t="s">
        <v>744</v>
      </c>
      <c r="AV2" s="299" t="s">
        <v>745</v>
      </c>
      <c r="AW2" s="299" t="s">
        <v>746</v>
      </c>
      <c r="AX2" s="299">
        <v>0</v>
      </c>
      <c r="AY2" s="299"/>
      <c r="AZ2" s="302">
        <v>44805</v>
      </c>
      <c r="BA2" s="262">
        <v>1</v>
      </c>
      <c r="BB2" s="303" t="e">
        <v>#N/A</v>
      </c>
    </row>
    <row r="3" spans="1:56">
      <c r="A3" s="299" t="s">
        <v>747</v>
      </c>
      <c r="B3" s="299" t="s">
        <v>619</v>
      </c>
      <c r="C3" s="300">
        <v>44805</v>
      </c>
      <c r="D3" s="301">
        <v>44805</v>
      </c>
      <c r="E3" s="299" t="s">
        <v>748</v>
      </c>
      <c r="F3" s="299" t="s">
        <v>728</v>
      </c>
      <c r="G3" s="299" t="s">
        <v>749</v>
      </c>
      <c r="H3" s="299" t="s">
        <v>730</v>
      </c>
      <c r="I3" s="299" t="s">
        <v>750</v>
      </c>
      <c r="J3" s="299">
        <v>71141910</v>
      </c>
      <c r="K3" s="299" t="s">
        <v>751</v>
      </c>
      <c r="L3" s="299">
        <v>1</v>
      </c>
      <c r="M3" s="299">
        <v>8</v>
      </c>
      <c r="N3" s="299">
        <v>44281.55</v>
      </c>
      <c r="O3" s="299">
        <v>8</v>
      </c>
      <c r="P3" s="299">
        <v>44281.55</v>
      </c>
      <c r="Q3" s="299" t="s">
        <v>733</v>
      </c>
      <c r="R3" s="299">
        <v>1328.45</v>
      </c>
      <c r="S3" s="299"/>
      <c r="T3" s="299"/>
      <c r="U3" s="299" t="s">
        <v>752</v>
      </c>
      <c r="V3" s="299">
        <v>45610</v>
      </c>
      <c r="W3" s="299">
        <v>0</v>
      </c>
      <c r="X3" s="299">
        <v>91220</v>
      </c>
      <c r="Y3" s="299" t="s">
        <v>753</v>
      </c>
      <c r="Z3" s="299" t="s">
        <v>754</v>
      </c>
      <c r="AA3" s="299" t="s">
        <v>755</v>
      </c>
      <c r="AB3" s="299" t="s">
        <v>756</v>
      </c>
      <c r="AC3" s="299" t="s">
        <v>738</v>
      </c>
      <c r="AD3" s="299">
        <v>400604</v>
      </c>
      <c r="AE3" s="299" t="s">
        <v>739</v>
      </c>
      <c r="AF3" s="299">
        <v>9967815772</v>
      </c>
      <c r="AG3" s="299" t="s">
        <v>757</v>
      </c>
      <c r="AH3" s="299"/>
      <c r="AI3" s="299" t="s">
        <v>753</v>
      </c>
      <c r="AJ3" s="299" t="s">
        <v>754</v>
      </c>
      <c r="AK3" s="299" t="s">
        <v>755</v>
      </c>
      <c r="AL3" s="299" t="s">
        <v>756</v>
      </c>
      <c r="AM3" s="299" t="s">
        <v>738</v>
      </c>
      <c r="AN3" s="299">
        <v>400604</v>
      </c>
      <c r="AO3" s="299" t="s">
        <v>741</v>
      </c>
      <c r="AP3" s="299">
        <v>9967815772</v>
      </c>
      <c r="AQ3" s="299" t="s">
        <v>757</v>
      </c>
      <c r="AR3" s="299"/>
      <c r="AS3" s="299" t="s">
        <v>758</v>
      </c>
      <c r="AT3" s="299" t="s">
        <v>759</v>
      </c>
      <c r="AU3" s="299" t="s">
        <v>760</v>
      </c>
      <c r="AV3" s="299" t="s">
        <v>761</v>
      </c>
      <c r="AW3" s="299"/>
      <c r="AX3" s="299">
        <v>0</v>
      </c>
      <c r="AY3" s="299"/>
      <c r="AZ3" s="302">
        <v>44805</v>
      </c>
      <c r="BA3" s="262">
        <v>1</v>
      </c>
      <c r="BB3" s="303" t="e">
        <v>#N/A</v>
      </c>
    </row>
  </sheetData>
  <autoFilter ref="A1:BD3" xr:uid="{005C7FEF-8953-4AFD-B2D6-7249FA532885}"/>
  <conditionalFormatting sqref="AS1:AT1048576">
    <cfRule type="duplicateValues" dxfId="35" priority="2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8405-56FB-4A9B-82F0-BB97997EDBBF}">
  <dimension ref="A1:AD3"/>
  <sheetViews>
    <sheetView workbookViewId="0">
      <pane ySplit="1" topLeftCell="A2" activePane="bottomLeft" state="frozen"/>
      <selection pane="bottomLeft" activeCell="A3" sqref="A3"/>
      <selection activeCell="A35" sqref="A35"/>
    </sheetView>
  </sheetViews>
  <sheetFormatPr defaultRowHeight="14.45"/>
  <cols>
    <col min="1" max="1" width="29.140625" customWidth="1"/>
    <col min="2" max="2" width="25" customWidth="1"/>
    <col min="3" max="3" width="22.7109375" bestFit="1" customWidth="1"/>
    <col min="4" max="4" width="10.28515625" bestFit="1" customWidth="1"/>
    <col min="5" max="5" width="10.85546875" bestFit="1" customWidth="1"/>
    <col min="6" max="6" width="10.5703125" bestFit="1" customWidth="1"/>
    <col min="7" max="7" width="10.85546875" bestFit="1" customWidth="1"/>
    <col min="8" max="8" width="8" bestFit="1" customWidth="1"/>
    <col min="9" max="9" width="8.42578125" bestFit="1" customWidth="1"/>
    <col min="10" max="10" width="7.42578125" bestFit="1" customWidth="1"/>
    <col min="11" max="11" width="7.7109375" bestFit="1" customWidth="1"/>
    <col min="12" max="12" width="6.42578125" bestFit="1" customWidth="1"/>
    <col min="13" max="13" width="18.140625" bestFit="1" customWidth="1"/>
    <col min="14" max="14" width="10.140625" bestFit="1" customWidth="1"/>
    <col min="15" max="15" width="21.85546875" bestFit="1" customWidth="1"/>
    <col min="16" max="16" width="27.140625" bestFit="1" customWidth="1"/>
    <col min="17" max="17" width="13.85546875" bestFit="1" customWidth="1"/>
    <col min="18" max="18" width="20.7109375" bestFit="1" customWidth="1"/>
    <col min="19" max="19" width="24.140625" bestFit="1" customWidth="1"/>
    <col min="20" max="20" width="23.140625" bestFit="1" customWidth="1"/>
    <col min="21" max="21" width="24.140625" bestFit="1" customWidth="1"/>
    <col min="22" max="22" width="17.5703125" bestFit="1" customWidth="1"/>
    <col min="23" max="23" width="10.140625" bestFit="1" customWidth="1"/>
    <col min="24" max="24" width="12.42578125" bestFit="1" customWidth="1"/>
    <col min="25" max="25" width="10.42578125" bestFit="1" customWidth="1"/>
    <col min="26" max="26" width="9.140625" bestFit="1" customWidth="1"/>
    <col min="27" max="27" width="20.42578125" bestFit="1" customWidth="1"/>
    <col min="28" max="28" width="21.28515625" bestFit="1" customWidth="1"/>
    <col min="29" max="29" width="10.140625" bestFit="1" customWidth="1"/>
  </cols>
  <sheetData>
    <row r="1" spans="1:30">
      <c r="A1" s="262" t="s">
        <v>762</v>
      </c>
      <c r="B1" s="262" t="s">
        <v>88</v>
      </c>
      <c r="C1" s="262" t="s">
        <v>763</v>
      </c>
      <c r="D1" s="262" t="s">
        <v>471</v>
      </c>
      <c r="E1" s="262" t="s">
        <v>764</v>
      </c>
      <c r="F1" s="262" t="s">
        <v>765</v>
      </c>
      <c r="G1" s="262" t="s">
        <v>191</v>
      </c>
      <c r="H1" s="262" t="s">
        <v>766</v>
      </c>
      <c r="I1" s="262" t="s">
        <v>767</v>
      </c>
      <c r="J1" s="262" t="s">
        <v>768</v>
      </c>
      <c r="K1" s="262" t="s">
        <v>769</v>
      </c>
      <c r="L1" s="262" t="s">
        <v>770</v>
      </c>
      <c r="M1" s="262" t="s">
        <v>771</v>
      </c>
      <c r="N1" s="262" t="s">
        <v>772</v>
      </c>
      <c r="O1" s="262" t="s">
        <v>773</v>
      </c>
      <c r="P1" s="262" t="s">
        <v>474</v>
      </c>
      <c r="Q1" s="262" t="s">
        <v>774</v>
      </c>
      <c r="R1" s="262" t="s">
        <v>775</v>
      </c>
      <c r="S1" s="262" t="s">
        <v>776</v>
      </c>
      <c r="T1" s="262" t="s">
        <v>777</v>
      </c>
      <c r="U1" s="262" t="s">
        <v>405</v>
      </c>
      <c r="V1" s="262" t="s">
        <v>778</v>
      </c>
      <c r="W1" s="262" t="s">
        <v>779</v>
      </c>
      <c r="X1" s="262" t="s">
        <v>780</v>
      </c>
      <c r="Y1" s="262" t="s">
        <v>781</v>
      </c>
      <c r="Z1" s="262" t="s">
        <v>782</v>
      </c>
      <c r="AA1" s="262" t="s">
        <v>783</v>
      </c>
      <c r="AB1" s="304" t="s">
        <v>784</v>
      </c>
      <c r="AC1" s="262" t="s">
        <v>358</v>
      </c>
      <c r="AD1" s="305" t="s">
        <v>785</v>
      </c>
    </row>
    <row r="2" spans="1:30">
      <c r="A2" s="262" t="e">
        <v>#N/A</v>
      </c>
      <c r="B2" s="262" t="s">
        <v>88</v>
      </c>
      <c r="C2" s="262" t="s">
        <v>786</v>
      </c>
      <c r="D2" s="262" t="s">
        <v>787</v>
      </c>
      <c r="E2" s="262">
        <v>0</v>
      </c>
      <c r="F2" s="262">
        <v>3520</v>
      </c>
      <c r="G2" s="262">
        <v>3520</v>
      </c>
      <c r="H2" s="262" t="s">
        <v>788</v>
      </c>
      <c r="I2" s="262">
        <v>38.229999999999997</v>
      </c>
      <c r="J2" s="262">
        <v>5.84</v>
      </c>
      <c r="K2" s="262">
        <v>0</v>
      </c>
      <c r="L2" s="262">
        <v>0</v>
      </c>
      <c r="M2" s="306">
        <v>44835.365300925929</v>
      </c>
      <c r="N2" s="306">
        <v>44837</v>
      </c>
      <c r="O2" s="262"/>
      <c r="P2" s="262" t="s">
        <v>789</v>
      </c>
      <c r="Q2" s="262" t="s">
        <v>790</v>
      </c>
      <c r="R2" s="262"/>
      <c r="S2" s="262"/>
      <c r="T2" s="262"/>
      <c r="U2" s="262" t="s">
        <v>791</v>
      </c>
      <c r="V2" s="262" t="s">
        <v>450</v>
      </c>
      <c r="W2" s="262" t="s">
        <v>792</v>
      </c>
      <c r="X2" s="262" t="s">
        <v>793</v>
      </c>
      <c r="Y2" s="262" t="s">
        <v>794</v>
      </c>
      <c r="Z2" s="262" t="s">
        <v>765</v>
      </c>
      <c r="AA2" s="262"/>
      <c r="AB2" s="263" t="e">
        <v>#N/A</v>
      </c>
      <c r="AC2" s="263" t="e">
        <v>#N/A</v>
      </c>
    </row>
    <row r="3" spans="1:30">
      <c r="A3" s="262" t="e">
        <v>#N/A</v>
      </c>
      <c r="B3" s="262" t="s">
        <v>88</v>
      </c>
      <c r="C3" s="262" t="s">
        <v>795</v>
      </c>
      <c r="D3" s="262" t="s">
        <v>787</v>
      </c>
      <c r="E3" s="262">
        <v>0</v>
      </c>
      <c r="F3" s="262">
        <v>11520</v>
      </c>
      <c r="G3" s="262">
        <v>11520</v>
      </c>
      <c r="H3" s="262" t="s">
        <v>788</v>
      </c>
      <c r="I3" s="262">
        <v>115.54</v>
      </c>
      <c r="J3" s="262">
        <v>17.62</v>
      </c>
      <c r="K3" s="262">
        <v>0</v>
      </c>
      <c r="L3" s="262">
        <v>0</v>
      </c>
      <c r="M3" s="306">
        <v>44835.368043981478</v>
      </c>
      <c r="N3" s="306">
        <v>44837</v>
      </c>
      <c r="O3" s="262"/>
      <c r="P3" s="262" t="s">
        <v>789</v>
      </c>
      <c r="Q3" s="262" t="s">
        <v>790</v>
      </c>
      <c r="R3" s="262"/>
      <c r="S3" s="262"/>
      <c r="T3" s="262"/>
      <c r="U3" s="262" t="s">
        <v>796</v>
      </c>
      <c r="V3" s="262" t="s">
        <v>450</v>
      </c>
      <c r="W3" s="262" t="s">
        <v>797</v>
      </c>
      <c r="X3" s="262"/>
      <c r="Y3" s="262"/>
      <c r="Z3" s="262"/>
      <c r="AA3" s="262"/>
      <c r="AB3" s="263" t="e">
        <v>#N/A</v>
      </c>
      <c r="AC3" s="263" t="e">
        <v>#N/A</v>
      </c>
    </row>
  </sheetData>
  <autoFilter ref="A1:AD3" xr:uid="{CCD73264-6402-476F-9B3E-C7EC5DCE45DC}"/>
  <conditionalFormatting sqref="D4:D1048576 C1:C3">
    <cfRule type="duplicateValues" dxfId="34" priority="38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6660-1E6C-45E9-85C0-3F40469F1431}">
  <dimension ref="A1:H4"/>
  <sheetViews>
    <sheetView workbookViewId="0">
      <pane ySplit="1" topLeftCell="A2" activePane="bottomLeft" state="frozen"/>
      <selection pane="bottomLeft"/>
      <selection activeCell="A35" sqref="A35"/>
    </sheetView>
  </sheetViews>
  <sheetFormatPr defaultRowHeight="14.45"/>
  <cols>
    <col min="1" max="1" width="11.140625" style="312" bestFit="1" customWidth="1"/>
    <col min="2" max="2" width="24.42578125" bestFit="1" customWidth="1"/>
    <col min="3" max="3" width="21.140625" bestFit="1" customWidth="1"/>
    <col min="4" max="4" width="10.42578125" bestFit="1" customWidth="1"/>
    <col min="5" max="5" width="40.140625" bestFit="1" customWidth="1"/>
    <col min="6" max="6" width="17" bestFit="1" customWidth="1"/>
    <col min="7" max="7" width="13.42578125" bestFit="1" customWidth="1"/>
    <col min="8" max="8" width="16.42578125" bestFit="1" customWidth="1"/>
  </cols>
  <sheetData>
    <row r="1" spans="1:8">
      <c r="A1" s="307" t="s">
        <v>798</v>
      </c>
      <c r="B1" s="307" t="s">
        <v>799</v>
      </c>
      <c r="C1" s="307" t="s">
        <v>800</v>
      </c>
      <c r="D1" s="308" t="s">
        <v>170</v>
      </c>
      <c r="E1" s="308" t="s">
        <v>801</v>
      </c>
      <c r="F1" s="308" t="s">
        <v>485</v>
      </c>
      <c r="G1" s="308" t="s">
        <v>118</v>
      </c>
      <c r="H1" s="308" t="s">
        <v>119</v>
      </c>
    </row>
    <row r="2" spans="1:8">
      <c r="A2" s="309">
        <v>44928.50880787037</v>
      </c>
      <c r="B2" s="262" t="s">
        <v>802</v>
      </c>
      <c r="C2" s="310">
        <v>686294</v>
      </c>
      <c r="D2" s="306">
        <v>44928.50880787037</v>
      </c>
      <c r="E2" s="262" t="s">
        <v>803</v>
      </c>
      <c r="F2" s="310">
        <v>686294</v>
      </c>
      <c r="G2" s="311">
        <v>0</v>
      </c>
      <c r="H2" s="52" t="s">
        <v>804</v>
      </c>
    </row>
    <row r="3" spans="1:8">
      <c r="A3" s="309">
        <v>44929.522743055553</v>
      </c>
      <c r="B3" s="262" t="s">
        <v>805</v>
      </c>
      <c r="C3" s="310">
        <v>173940</v>
      </c>
      <c r="D3" s="306">
        <v>44929.522743055553</v>
      </c>
      <c r="E3" s="262" t="s">
        <v>806</v>
      </c>
      <c r="F3" s="310">
        <v>173940</v>
      </c>
      <c r="G3" s="311">
        <v>0</v>
      </c>
      <c r="H3" s="52" t="s">
        <v>804</v>
      </c>
    </row>
    <row r="4" spans="1:8" ht="15" thickBot="1">
      <c r="C4" s="313">
        <f>SUM(C2:C3)</f>
        <v>860234</v>
      </c>
      <c r="F4" s="313">
        <f>SUM(F2:F3)</f>
        <v>860234</v>
      </c>
      <c r="G4" s="313">
        <v>0</v>
      </c>
    </row>
  </sheetData>
  <autoFilter ref="A1:H3" xr:uid="{FD397508-71DD-4C86-9ABD-843861ECC82F}"/>
  <conditionalFormatting sqref="B1:B1048576">
    <cfRule type="duplicateValues" dxfId="33" priority="2"/>
  </conditionalFormatting>
  <conditionalFormatting sqref="E1:E1048576">
    <cfRule type="duplicateValues" dxfId="32" priority="1"/>
  </conditionalFormatting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3BE4-B9EA-4FB8-9DD0-6C59D6C2BCEE}">
  <dimension ref="A1:P36"/>
  <sheetViews>
    <sheetView showGridLines="0" zoomScaleNormal="100" workbookViewId="0">
      <pane xSplit="1" ySplit="1" topLeftCell="B24" activePane="bottomRight" state="frozen"/>
      <selection pane="bottomRight"/>
      <selection pane="bottomLeft" activeCell="O63" sqref="O63"/>
      <selection pane="topRight" activeCell="O63" sqref="O63"/>
    </sheetView>
  </sheetViews>
  <sheetFormatPr defaultColWidth="9.140625" defaultRowHeight="12.95"/>
  <cols>
    <col min="1" max="1" width="10.42578125" style="340" bestFit="1" customWidth="1"/>
    <col min="2" max="2" width="10.140625" style="315" bestFit="1" customWidth="1"/>
    <col min="3" max="3" width="11" style="345" bestFit="1" customWidth="1"/>
    <col min="4" max="10" width="15.140625" style="315" bestFit="1" customWidth="1"/>
    <col min="11" max="11" width="16.140625" style="315" bestFit="1" customWidth="1"/>
    <col min="12" max="12" width="15.140625" style="315" bestFit="1" customWidth="1"/>
    <col min="13" max="14" width="15.28515625" style="315" bestFit="1" customWidth="1"/>
    <col min="15" max="15" width="15.140625" style="315" bestFit="1" customWidth="1"/>
    <col min="16" max="16" width="1.7109375" style="315" bestFit="1" customWidth="1"/>
    <col min="17" max="16384" width="9.140625" style="315"/>
  </cols>
  <sheetData>
    <row r="1" spans="1:16" ht="14.1">
      <c r="A1" s="314" t="s">
        <v>573</v>
      </c>
      <c r="B1" s="314" t="s">
        <v>574</v>
      </c>
      <c r="C1" s="314" t="s">
        <v>609</v>
      </c>
      <c r="D1" s="314" t="s">
        <v>215</v>
      </c>
      <c r="E1" s="314" t="s">
        <v>114</v>
      </c>
      <c r="F1" s="314" t="s">
        <v>115</v>
      </c>
      <c r="G1" s="314" t="s">
        <v>807</v>
      </c>
      <c r="H1" s="314" t="s">
        <v>148</v>
      </c>
      <c r="I1" s="314" t="s">
        <v>149</v>
      </c>
      <c r="J1" s="314" t="s">
        <v>576</v>
      </c>
      <c r="K1" s="314" t="s">
        <v>577</v>
      </c>
      <c r="L1" s="314" t="s">
        <v>808</v>
      </c>
      <c r="M1" s="314" t="s">
        <v>168</v>
      </c>
      <c r="N1" s="314" t="s">
        <v>809</v>
      </c>
      <c r="O1" s="314" t="s">
        <v>578</v>
      </c>
    </row>
    <row r="2" spans="1:16" ht="14.1" hidden="1">
      <c r="A2" s="316" t="s">
        <v>810</v>
      </c>
      <c r="B2" s="317"/>
      <c r="C2" s="318"/>
      <c r="D2" s="319"/>
      <c r="E2" s="319"/>
      <c r="F2" s="319"/>
      <c r="G2" s="319"/>
      <c r="H2" s="319"/>
      <c r="I2" s="319"/>
      <c r="J2" s="319"/>
      <c r="K2" s="319"/>
      <c r="L2" s="319"/>
      <c r="M2" s="320">
        <v>-85452127.06000036</v>
      </c>
      <c r="N2" s="319"/>
      <c r="O2" s="319"/>
    </row>
    <row r="3" spans="1:16" ht="14.1" hidden="1">
      <c r="A3" s="321">
        <v>44743</v>
      </c>
      <c r="B3" s="317">
        <v>3316</v>
      </c>
      <c r="C3" s="318">
        <v>28997.393599999967</v>
      </c>
      <c r="D3" s="319">
        <v>71541494.590000629</v>
      </c>
      <c r="E3" s="319">
        <v>1620864.4699999997</v>
      </c>
      <c r="F3" s="319">
        <v>0</v>
      </c>
      <c r="G3" s="319">
        <v>2404761.5199999926</v>
      </c>
      <c r="H3" s="319">
        <v>669134.91000000795</v>
      </c>
      <c r="I3" s="319">
        <v>669134.91000000795</v>
      </c>
      <c r="J3" s="319">
        <v>2083778.7099998882</v>
      </c>
      <c r="K3" s="319">
        <v>69722034.940000445</v>
      </c>
      <c r="L3" s="322">
        <v>36502746.68</v>
      </c>
      <c r="M3" s="319">
        <v>53429886.439994939</v>
      </c>
      <c r="N3" s="319"/>
      <c r="O3" s="319">
        <v>16292148.500005506</v>
      </c>
      <c r="P3" s="315">
        <v>0</v>
      </c>
    </row>
    <row r="4" spans="1:16" ht="14.1" hidden="1">
      <c r="A4" s="321">
        <v>44774</v>
      </c>
      <c r="B4" s="317">
        <v>4084</v>
      </c>
      <c r="C4" s="318">
        <v>65563.918899999611</v>
      </c>
      <c r="D4" s="319">
        <v>68119343.019999996</v>
      </c>
      <c r="E4" s="319">
        <v>2357730</v>
      </c>
      <c r="F4" s="319">
        <v>0</v>
      </c>
      <c r="G4" s="319">
        <v>1853400.250000004</v>
      </c>
      <c r="H4" s="319">
        <v>620779.13999999478</v>
      </c>
      <c r="I4" s="319">
        <v>620779.13999999478</v>
      </c>
      <c r="J4" s="319">
        <v>1984058.5500000005</v>
      </c>
      <c r="K4" s="319">
        <v>63536433.740000159</v>
      </c>
      <c r="L4" s="322">
        <v>92355321.230000004</v>
      </c>
      <c r="M4" s="319">
        <v>92355321.229995072</v>
      </c>
      <c r="N4" s="319"/>
      <c r="O4" s="319">
        <v>-28818887.489994913</v>
      </c>
      <c r="P4" s="315">
        <v>0</v>
      </c>
    </row>
    <row r="5" spans="1:16" ht="14.1" hidden="1">
      <c r="A5" s="321">
        <v>44805</v>
      </c>
      <c r="B5" s="317">
        <v>5965</v>
      </c>
      <c r="C5" s="318">
        <v>59317.327899999887</v>
      </c>
      <c r="D5" s="319">
        <v>121433365.86000004</v>
      </c>
      <c r="E5" s="319">
        <v>2516670</v>
      </c>
      <c r="F5" s="319">
        <v>0</v>
      </c>
      <c r="G5" s="319">
        <v>5740962.8599998951</v>
      </c>
      <c r="H5" s="319">
        <v>1809338.7600001188</v>
      </c>
      <c r="I5" s="319">
        <v>1809338.7600001188</v>
      </c>
      <c r="J5" s="319">
        <v>3540110.8700001878</v>
      </c>
      <c r="K5" s="319">
        <v>115526377.14000462</v>
      </c>
      <c r="L5" s="322">
        <v>56369964.310000002</v>
      </c>
      <c r="M5" s="319">
        <v>56369964.310006462</v>
      </c>
      <c r="N5" s="319"/>
      <c r="O5" s="319">
        <v>59156412.829998158</v>
      </c>
      <c r="P5" s="315">
        <v>0</v>
      </c>
    </row>
    <row r="6" spans="1:16" ht="14.1" hidden="1">
      <c r="A6" s="321">
        <v>44835</v>
      </c>
      <c r="B6" s="317">
        <v>13835</v>
      </c>
      <c r="C6" s="318">
        <v>222544.81890000042</v>
      </c>
      <c r="D6" s="319">
        <v>218700605.6348002</v>
      </c>
      <c r="E6" s="319">
        <v>2841370</v>
      </c>
      <c r="F6" s="319">
        <v>0</v>
      </c>
      <c r="G6" s="319">
        <v>5940669.7300000712</v>
      </c>
      <c r="H6" s="319">
        <v>1464655.0000000482</v>
      </c>
      <c r="I6" s="319">
        <v>1464655.0000000482</v>
      </c>
      <c r="J6" s="319">
        <v>6373140.504799705</v>
      </c>
      <c r="K6" s="319">
        <v>206625647.30999783</v>
      </c>
      <c r="L6" s="322">
        <v>188792483.13999999</v>
      </c>
      <c r="M6" s="319">
        <v>188792483.14000753</v>
      </c>
      <c r="N6" s="319"/>
      <c r="O6" s="319">
        <v>17833164.169990301</v>
      </c>
      <c r="P6" s="315">
        <v>0</v>
      </c>
    </row>
    <row r="7" spans="1:16" ht="14.1" hidden="1">
      <c r="A7" s="324">
        <v>44866</v>
      </c>
      <c r="B7" s="317">
        <v>1400</v>
      </c>
      <c r="C7" s="318">
        <v>23527.746299999963</v>
      </c>
      <c r="D7" s="319">
        <v>30564837.540000018</v>
      </c>
      <c r="E7" s="319">
        <v>952180</v>
      </c>
      <c r="F7" s="319">
        <v>0</v>
      </c>
      <c r="G7" s="319">
        <v>981314.549999999</v>
      </c>
      <c r="H7" s="319">
        <v>224590.60999999914</v>
      </c>
      <c r="I7" s="319">
        <v>224590.60999999914</v>
      </c>
      <c r="J7" s="319">
        <v>890369.01000000071</v>
      </c>
      <c r="K7" s="319">
        <v>28710927.490000028</v>
      </c>
      <c r="L7" s="322">
        <v>97552771.750000015</v>
      </c>
      <c r="M7" s="319">
        <v>97552771.749997616</v>
      </c>
      <c r="N7" s="319"/>
      <c r="O7" s="319">
        <v>-68841844.259997591</v>
      </c>
      <c r="P7" s="315">
        <v>0</v>
      </c>
    </row>
    <row r="8" spans="1:16" ht="14.1" hidden="1">
      <c r="A8" s="324">
        <v>44896</v>
      </c>
      <c r="B8" s="317">
        <v>942</v>
      </c>
      <c r="C8" s="318">
        <v>18578.142899999999</v>
      </c>
      <c r="D8" s="319">
        <v>16784776.109999992</v>
      </c>
      <c r="E8" s="319">
        <v>334935</v>
      </c>
      <c r="F8" s="319">
        <v>0</v>
      </c>
      <c r="G8" s="319">
        <v>828628.81000000029</v>
      </c>
      <c r="H8" s="319">
        <v>199720.88999999964</v>
      </c>
      <c r="I8" s="319">
        <v>199720.88999999964</v>
      </c>
      <c r="J8" s="319">
        <v>602533.06000000157</v>
      </c>
      <c r="K8" s="319">
        <v>19381639.51000005</v>
      </c>
      <c r="L8" s="322">
        <v>19694025.359999999</v>
      </c>
      <c r="M8" s="319">
        <v>22971409.340000477</v>
      </c>
      <c r="N8" s="319"/>
      <c r="O8" s="319">
        <v>-3589769.8300004266</v>
      </c>
      <c r="P8" s="315">
        <v>0</v>
      </c>
    </row>
    <row r="9" spans="1:16" ht="14.1" hidden="1">
      <c r="A9" s="324">
        <v>44927</v>
      </c>
      <c r="B9" s="317">
        <v>2745</v>
      </c>
      <c r="C9" s="318">
        <v>26380.357899999992</v>
      </c>
      <c r="D9" s="319">
        <v>50285725.32</v>
      </c>
      <c r="E9" s="319">
        <v>633915</v>
      </c>
      <c r="F9" s="319">
        <v>0</v>
      </c>
      <c r="G9" s="319">
        <v>2800865.220000077</v>
      </c>
      <c r="H9" s="319">
        <v>551500.66000000958</v>
      </c>
      <c r="I9" s="319">
        <v>551500.66000000958</v>
      </c>
      <c r="J9" s="319">
        <v>1455984.0199999546</v>
      </c>
      <c r="K9" s="319">
        <v>47546497.499999307</v>
      </c>
      <c r="L9" s="322">
        <v>14629585.74</v>
      </c>
      <c r="M9" s="319">
        <v>11352201.760000246</v>
      </c>
      <c r="N9" s="319"/>
      <c r="O9" s="319">
        <v>36194295.739999063</v>
      </c>
      <c r="P9" s="315">
        <v>0</v>
      </c>
    </row>
    <row r="10" spans="1:16" ht="14.1" hidden="1">
      <c r="A10" s="324">
        <v>44958</v>
      </c>
      <c r="B10" s="317">
        <v>3169</v>
      </c>
      <c r="C10" s="318">
        <v>21557.24059999999</v>
      </c>
      <c r="D10" s="319">
        <v>52445356</v>
      </c>
      <c r="E10" s="319">
        <v>550620</v>
      </c>
      <c r="F10" s="319">
        <v>0</v>
      </c>
      <c r="G10" s="319">
        <v>2732101.5900000054</v>
      </c>
      <c r="H10" s="319">
        <v>436403.86999999598</v>
      </c>
      <c r="I10" s="319">
        <v>436403.86999999598</v>
      </c>
      <c r="J10" s="319">
        <v>1527533.1800000146</v>
      </c>
      <c r="K10" s="319">
        <v>48001795.820000574</v>
      </c>
      <c r="L10" s="322">
        <v>71660586.209999993</v>
      </c>
      <c r="M10" s="319">
        <v>71096853.359990582</v>
      </c>
      <c r="N10" s="319"/>
      <c r="O10" s="319">
        <v>-23095057.539990008</v>
      </c>
      <c r="P10" s="315">
        <v>0</v>
      </c>
    </row>
    <row r="11" spans="1:16" ht="14.1" hidden="1">
      <c r="A11" s="324">
        <v>44986</v>
      </c>
      <c r="B11" s="317">
        <v>1265</v>
      </c>
      <c r="C11" s="318">
        <v>51420.98639999998</v>
      </c>
      <c r="D11" s="319">
        <v>29971192</v>
      </c>
      <c r="E11" s="319">
        <v>704630</v>
      </c>
      <c r="F11" s="319">
        <v>0</v>
      </c>
      <c r="G11" s="319">
        <v>1197496.2199999979</v>
      </c>
      <c r="H11" s="319">
        <v>282580.0200000013</v>
      </c>
      <c r="I11" s="319">
        <v>282580.0200000013</v>
      </c>
      <c r="J11" s="319">
        <v>872947.38999999873</v>
      </c>
      <c r="K11" s="319">
        <v>27752662.760000069</v>
      </c>
      <c r="L11" s="322">
        <v>26973031.609999999</v>
      </c>
      <c r="M11" s="319">
        <v>26973031.609999605</v>
      </c>
      <c r="N11" s="319"/>
      <c r="O11" s="319">
        <v>779631.15000046417</v>
      </c>
      <c r="P11" s="315">
        <v>0</v>
      </c>
    </row>
    <row r="12" spans="1:16" ht="14.1" hidden="1">
      <c r="A12" s="324">
        <v>45017</v>
      </c>
      <c r="B12" s="317">
        <v>1994</v>
      </c>
      <c r="C12" s="318">
        <v>39955.504899999993</v>
      </c>
      <c r="D12" s="319">
        <v>49416275.140000015</v>
      </c>
      <c r="E12" s="319">
        <v>542570</v>
      </c>
      <c r="F12" s="319">
        <v>0</v>
      </c>
      <c r="G12" s="319">
        <v>1524155.2500000121</v>
      </c>
      <c r="H12" s="319">
        <v>468869.41000000131</v>
      </c>
      <c r="I12" s="319">
        <v>468869.41000000131</v>
      </c>
      <c r="J12" s="319">
        <v>1439309.3300000008</v>
      </c>
      <c r="K12" s="319">
        <v>46692067.340000071</v>
      </c>
      <c r="L12" s="322">
        <v>28182033.259999998</v>
      </c>
      <c r="M12" s="319">
        <v>28182033.259997517</v>
      </c>
      <c r="N12" s="319"/>
      <c r="O12" s="319">
        <v>18510034.080002554</v>
      </c>
      <c r="P12" s="315">
        <v>0</v>
      </c>
    </row>
    <row r="13" spans="1:16" ht="14.1" hidden="1">
      <c r="A13" s="324">
        <v>45047</v>
      </c>
      <c r="B13" s="317">
        <v>3263</v>
      </c>
      <c r="C13" s="318">
        <v>36578.650199999982</v>
      </c>
      <c r="D13" s="319">
        <v>67128267.900000051</v>
      </c>
      <c r="E13" s="319">
        <v>409380</v>
      </c>
      <c r="F13" s="319">
        <v>0</v>
      </c>
      <c r="G13" s="319">
        <v>2636634.9900000119</v>
      </c>
      <c r="H13" s="319">
        <v>640299.54999999865</v>
      </c>
      <c r="I13" s="319">
        <v>640299.54999999865</v>
      </c>
      <c r="J13" s="319">
        <v>1955192.8700000129</v>
      </c>
      <c r="K13" s="319">
        <v>63048591.359999858</v>
      </c>
      <c r="L13" s="322">
        <v>77023833.879999995</v>
      </c>
      <c r="M13" s="319">
        <v>87843071.570000052</v>
      </c>
      <c r="N13" s="319"/>
      <c r="O13" s="319">
        <v>-24794480.210000195</v>
      </c>
      <c r="P13" s="315">
        <v>0</v>
      </c>
    </row>
    <row r="14" spans="1:16" ht="14.1" hidden="1">
      <c r="A14" s="324">
        <v>45078</v>
      </c>
      <c r="B14" s="317">
        <v>1933</v>
      </c>
      <c r="C14" s="318">
        <v>31886.240499999996</v>
      </c>
      <c r="D14" s="319">
        <v>41567978.019999996</v>
      </c>
      <c r="E14" s="319">
        <v>608060</v>
      </c>
      <c r="F14" s="319">
        <v>0</v>
      </c>
      <c r="G14" s="319">
        <v>1554242.2099999941</v>
      </c>
      <c r="H14" s="319">
        <v>391781.80999999825</v>
      </c>
      <c r="I14" s="319">
        <v>391781.80999999825</v>
      </c>
      <c r="J14" s="319">
        <v>1210716.8700000027</v>
      </c>
      <c r="K14" s="319">
        <v>39274024.950000212</v>
      </c>
      <c r="L14" s="322">
        <v>39557944.439999998</v>
      </c>
      <c r="M14" s="319">
        <v>28738706.749999076</v>
      </c>
      <c r="N14" s="319"/>
      <c r="O14" s="319">
        <v>10535318.200001135</v>
      </c>
      <c r="P14" s="315">
        <v>0</v>
      </c>
    </row>
    <row r="15" spans="1:16" ht="14.1" hidden="1">
      <c r="A15" s="324">
        <v>45108</v>
      </c>
      <c r="B15" s="317">
        <v>5248</v>
      </c>
      <c r="C15" s="318">
        <v>59303.874999999978</v>
      </c>
      <c r="D15" s="319">
        <v>91506309.150000006</v>
      </c>
      <c r="E15" s="319">
        <v>2085648.25</v>
      </c>
      <c r="F15" s="319">
        <v>-13280</v>
      </c>
      <c r="G15" s="319">
        <v>3929122.6299999198</v>
      </c>
      <c r="H15" s="319">
        <v>865730.79000001005</v>
      </c>
      <c r="I15" s="319">
        <v>865730.79000001005</v>
      </c>
      <c r="J15" s="319">
        <v>2665230.3700000467</v>
      </c>
      <c r="K15" s="319">
        <v>83955588.279999822</v>
      </c>
      <c r="L15" s="322">
        <v>46869887.019999996</v>
      </c>
      <c r="M15" s="319">
        <v>46869887.019988053</v>
      </c>
      <c r="N15" s="319"/>
      <c r="O15" s="319">
        <v>37085701.26001177</v>
      </c>
      <c r="P15" s="315">
        <v>0</v>
      </c>
    </row>
    <row r="16" spans="1:16" ht="14.1" hidden="1">
      <c r="A16" s="324">
        <v>45139</v>
      </c>
      <c r="B16" s="317">
        <v>6735</v>
      </c>
      <c r="C16" s="318">
        <v>69897.940900000031</v>
      </c>
      <c r="D16" s="319">
        <v>112761382.37000015</v>
      </c>
      <c r="E16" s="319">
        <v>2904756.19</v>
      </c>
      <c r="F16" s="319">
        <v>0</v>
      </c>
      <c r="G16" s="319">
        <v>4303376.5199999642</v>
      </c>
      <c r="H16" s="319">
        <v>1055908.5300000361</v>
      </c>
      <c r="I16" s="319">
        <v>1055908.5300000361</v>
      </c>
      <c r="J16" s="319">
        <v>3284324.7999999062</v>
      </c>
      <c r="K16" s="319">
        <v>103685047.66000061</v>
      </c>
      <c r="L16" s="322">
        <v>132514114.45001025</v>
      </c>
      <c r="M16" s="319">
        <v>132514114.45001025</v>
      </c>
      <c r="N16" s="319"/>
      <c r="O16" s="319">
        <v>-28829066.790009648</v>
      </c>
      <c r="P16" s="315">
        <v>0</v>
      </c>
    </row>
    <row r="17" spans="1:16" ht="14.1" hidden="1">
      <c r="A17" s="324">
        <v>45170</v>
      </c>
      <c r="B17" s="317">
        <v>1704</v>
      </c>
      <c r="C17" s="318">
        <v>50614.868999999984</v>
      </c>
      <c r="D17" s="319">
        <v>39850797</v>
      </c>
      <c r="E17" s="319">
        <v>1577280</v>
      </c>
      <c r="F17" s="319">
        <v>0</v>
      </c>
      <c r="G17" s="319">
        <v>1489417.4400000002</v>
      </c>
      <c r="H17" s="319">
        <v>373926.340000002</v>
      </c>
      <c r="I17" s="319">
        <v>373926.340000002</v>
      </c>
      <c r="J17" s="319">
        <v>1160703.1100000003</v>
      </c>
      <c r="K17" s="319">
        <v>36078328.979999952</v>
      </c>
      <c r="L17" s="322">
        <v>36171410.8099977</v>
      </c>
      <c r="M17" s="319">
        <v>36171410.8099977</v>
      </c>
      <c r="N17" s="319"/>
      <c r="O17" s="319">
        <v>-93081.829997748137</v>
      </c>
      <c r="P17" s="315">
        <v>0</v>
      </c>
    </row>
    <row r="18" spans="1:16" ht="14.1" hidden="1">
      <c r="A18" s="324">
        <v>45200</v>
      </c>
      <c r="B18" s="317">
        <v>10571</v>
      </c>
      <c r="C18" s="318">
        <v>158832.02900000033</v>
      </c>
      <c r="D18" s="319">
        <v>210638590.72000009</v>
      </c>
      <c r="E18" s="319">
        <v>8355038.8099999968</v>
      </c>
      <c r="F18" s="319">
        <v>0</v>
      </c>
      <c r="G18" s="319">
        <v>11014207.279999742</v>
      </c>
      <c r="H18" s="319">
        <v>1971093.6100001677</v>
      </c>
      <c r="I18" s="319">
        <v>1971093.6100001677</v>
      </c>
      <c r="J18" s="319">
        <v>6135133.5099997008</v>
      </c>
      <c r="K18" s="319">
        <v>188680927.00999397</v>
      </c>
      <c r="L18" s="322">
        <v>161129452</v>
      </c>
      <c r="M18" s="319">
        <v>161129452.30998486</v>
      </c>
      <c r="N18" s="319"/>
      <c r="O18" s="319">
        <v>27551474.700009108</v>
      </c>
      <c r="P18" s="315">
        <v>0</v>
      </c>
    </row>
    <row r="19" spans="1:16" ht="14.1" hidden="1">
      <c r="A19" s="324">
        <v>45231</v>
      </c>
      <c r="B19" s="317">
        <v>6610</v>
      </c>
      <c r="C19" s="318">
        <v>140335.38060000009</v>
      </c>
      <c r="D19" s="319">
        <v>120645307.30000006</v>
      </c>
      <c r="E19" s="319">
        <v>1284843.45</v>
      </c>
      <c r="F19" s="319">
        <v>0</v>
      </c>
      <c r="G19" s="319">
        <v>5323411.7899999497</v>
      </c>
      <c r="H19" s="319">
        <v>1161583.240000014</v>
      </c>
      <c r="I19" s="319">
        <v>1161583.240000014</v>
      </c>
      <c r="J19" s="319">
        <v>3513941.7000000011</v>
      </c>
      <c r="K19" s="319">
        <v>113723673.27000061</v>
      </c>
      <c r="L19" s="322">
        <v>147847352</v>
      </c>
      <c r="M19" s="319">
        <v>147723996.49999776</v>
      </c>
      <c r="N19" s="319"/>
      <c r="O19" s="319">
        <v>-34000323.229997158</v>
      </c>
      <c r="P19" s="315">
        <v>0</v>
      </c>
    </row>
    <row r="20" spans="1:16" ht="14.1" hidden="1">
      <c r="A20" s="324">
        <v>45261</v>
      </c>
      <c r="B20" s="317">
        <v>1249</v>
      </c>
      <c r="C20" s="318">
        <v>31698.051099999957</v>
      </c>
      <c r="D20" s="319">
        <v>30446558.849999979</v>
      </c>
      <c r="E20" s="319">
        <v>749199.45</v>
      </c>
      <c r="F20" s="319">
        <v>0</v>
      </c>
      <c r="G20" s="319">
        <v>1116744.1300000015</v>
      </c>
      <c r="H20" s="319">
        <v>284587.91000000125</v>
      </c>
      <c r="I20" s="319">
        <v>284587.91000000125</v>
      </c>
      <c r="J20" s="319">
        <v>886792.80000000191</v>
      </c>
      <c r="K20" s="319">
        <v>30466787.259999935</v>
      </c>
      <c r="L20" s="322">
        <v>30665048.510000002</v>
      </c>
      <c r="M20" s="319">
        <v>30601680.280000791</v>
      </c>
      <c r="N20" s="319"/>
      <c r="O20" s="319">
        <v>-134893.02000085637</v>
      </c>
      <c r="P20" s="315">
        <v>0</v>
      </c>
    </row>
    <row r="21" spans="1:16" ht="14.1" hidden="1">
      <c r="A21" s="324">
        <v>45292</v>
      </c>
      <c r="B21" s="317">
        <v>1363</v>
      </c>
      <c r="C21" s="318">
        <v>30586.37639999999</v>
      </c>
      <c r="D21" s="319">
        <v>31143737.349999987</v>
      </c>
      <c r="E21" s="319">
        <v>2067980</v>
      </c>
      <c r="F21" s="319">
        <v>0</v>
      </c>
      <c r="G21" s="319">
        <v>1329594.3199999982</v>
      </c>
      <c r="H21" s="319">
        <v>294186.39000000223</v>
      </c>
      <c r="I21" s="319">
        <v>294186.39000000223</v>
      </c>
      <c r="J21" s="319">
        <v>907099.40000000095</v>
      </c>
      <c r="K21" s="319">
        <v>28344008.339999937</v>
      </c>
      <c r="L21" s="322">
        <v>30665048.510000002</v>
      </c>
      <c r="M21" s="319">
        <v>34431914.199999623</v>
      </c>
      <c r="N21" s="319"/>
      <c r="O21" s="319">
        <v>-6087905.8599996865</v>
      </c>
      <c r="P21" s="315">
        <v>0</v>
      </c>
    </row>
    <row r="22" spans="1:16" ht="14.1" hidden="1">
      <c r="A22" s="325" t="s">
        <v>58</v>
      </c>
      <c r="B22" s="326">
        <v>77391</v>
      </c>
      <c r="C22" s="326">
        <v>1167576.8510000003</v>
      </c>
      <c r="D22" s="327">
        <v>1454951899.8748009</v>
      </c>
      <c r="E22" s="327">
        <v>33097670.619999997</v>
      </c>
      <c r="F22" s="327">
        <v>-13280</v>
      </c>
      <c r="G22" s="327">
        <v>58701107.309999637</v>
      </c>
      <c r="H22" s="327">
        <v>13766671.440000407</v>
      </c>
      <c r="I22" s="327">
        <v>13766671.440000407</v>
      </c>
      <c r="J22" s="327">
        <v>42488900.05479943</v>
      </c>
      <c r="K22" s="327">
        <v>1360753060.6599982</v>
      </c>
      <c r="L22" s="327">
        <v>1335156640.910008</v>
      </c>
      <c r="M22" s="327">
        <v>1269648063.0299678</v>
      </c>
      <c r="N22" s="327">
        <v>0</v>
      </c>
      <c r="O22" s="327">
        <v>5652870.5700298287</v>
      </c>
    </row>
    <row r="23" spans="1:16" ht="14.1" hidden="1">
      <c r="A23" s="328"/>
      <c r="B23" s="329"/>
      <c r="C23" s="330"/>
      <c r="D23" s="331"/>
      <c r="E23" s="331"/>
      <c r="F23" s="331"/>
      <c r="G23" s="331"/>
      <c r="H23" s="331"/>
      <c r="I23" s="331"/>
      <c r="J23" s="331"/>
      <c r="K23" s="331"/>
      <c r="L23" s="331"/>
      <c r="M23" s="331"/>
      <c r="N23" s="331"/>
    </row>
    <row r="24" spans="1:16" ht="14.1">
      <c r="A24" s="324">
        <v>45778</v>
      </c>
      <c r="B24" s="317">
        <v>1982</v>
      </c>
      <c r="C24" s="318">
        <v>53720.495199999998</v>
      </c>
      <c r="D24" s="319">
        <v>54868876</v>
      </c>
      <c r="E24" s="319">
        <v>493203</v>
      </c>
      <c r="F24" s="319">
        <v>-184440</v>
      </c>
      <c r="G24" s="319">
        <v>3468835.359999998</v>
      </c>
      <c r="H24" s="319">
        <v>259475.56999999948</v>
      </c>
      <c r="I24" s="319">
        <v>259475.56999999948</v>
      </c>
      <c r="J24" s="319">
        <v>917015.15999999992</v>
      </c>
      <c r="K24" s="319">
        <v>50811212.259999923</v>
      </c>
      <c r="L24" s="332">
        <v>50378567.029999919</v>
      </c>
      <c r="M24" s="333">
        <v>-432645.23000000417</v>
      </c>
      <c r="N24" s="333">
        <v>-432645.23000000417</v>
      </c>
      <c r="O24" s="332">
        <v>-2011.6299999999985</v>
      </c>
    </row>
    <row r="25" spans="1:16" ht="14.1">
      <c r="A25" s="335" t="s">
        <v>315</v>
      </c>
      <c r="B25" s="336">
        <f>SUM(B24)</f>
        <v>1982</v>
      </c>
      <c r="C25" s="336">
        <f t="shared" ref="C25:O25" si="0">SUM(C24)</f>
        <v>53720.495199999998</v>
      </c>
      <c r="D25" s="336">
        <f t="shared" si="0"/>
        <v>54868876</v>
      </c>
      <c r="E25" s="336">
        <f t="shared" si="0"/>
        <v>493203</v>
      </c>
      <c r="F25" s="336">
        <f t="shared" si="0"/>
        <v>-184440</v>
      </c>
      <c r="G25" s="336">
        <f t="shared" si="0"/>
        <v>3468835.359999998</v>
      </c>
      <c r="H25" s="336">
        <f t="shared" si="0"/>
        <v>259475.56999999948</v>
      </c>
      <c r="I25" s="336">
        <f t="shared" si="0"/>
        <v>259475.56999999948</v>
      </c>
      <c r="J25" s="336">
        <f t="shared" si="0"/>
        <v>917015.15999999992</v>
      </c>
      <c r="K25" s="336">
        <f t="shared" si="0"/>
        <v>50811212.259999923</v>
      </c>
      <c r="L25" s="336">
        <f t="shared" si="0"/>
        <v>50378567.029999919</v>
      </c>
      <c r="M25" s="336">
        <f t="shared" si="0"/>
        <v>-432645.23000000417</v>
      </c>
      <c r="N25" s="336">
        <f t="shared" si="0"/>
        <v>-432645.23000000417</v>
      </c>
      <c r="O25" s="336">
        <f t="shared" si="0"/>
        <v>-2011.6299999999985</v>
      </c>
    </row>
    <row r="26" spans="1:16" ht="14.1">
      <c r="A26" s="337"/>
      <c r="B26" s="338"/>
      <c r="C26" s="338"/>
      <c r="D26" s="338"/>
      <c r="E26" s="338"/>
      <c r="F26" s="338"/>
      <c r="G26" s="338"/>
      <c r="H26" s="338"/>
      <c r="I26" s="338"/>
      <c r="J26" s="338"/>
      <c r="K26" s="338"/>
      <c r="L26" s="339">
        <v>6592513.7100000381</v>
      </c>
      <c r="M26" s="338"/>
      <c r="N26" s="338"/>
    </row>
    <row r="27" spans="1:16" ht="14.1">
      <c r="C27" s="315"/>
      <c r="D27" s="338"/>
      <c r="G27" s="323"/>
    </row>
    <row r="28" spans="1:16" ht="14.1">
      <c r="A28" s="342"/>
      <c r="C28" s="341"/>
      <c r="D28" s="338"/>
      <c r="E28" s="178"/>
      <c r="F28" s="334"/>
      <c r="H28" s="343"/>
      <c r="I28" s="343"/>
      <c r="J28" s="343"/>
      <c r="K28" s="344"/>
      <c r="L28" s="323"/>
      <c r="N28" s="334"/>
    </row>
    <row r="29" spans="1:16" ht="14.1">
      <c r="D29" s="338"/>
      <c r="E29" s="323"/>
    </row>
    <row r="30" spans="1:16" ht="14.1">
      <c r="D30" s="338"/>
    </row>
    <row r="31" spans="1:16" ht="14.1">
      <c r="D31" s="338"/>
    </row>
    <row r="32" spans="1:16" ht="14.1">
      <c r="D32" s="338"/>
    </row>
    <row r="33" spans="4:4" ht="14.1">
      <c r="D33" s="338"/>
    </row>
    <row r="34" spans="4:4" ht="14.1">
      <c r="D34" s="338"/>
    </row>
    <row r="35" spans="4:4" ht="14.1">
      <c r="D35" s="338"/>
    </row>
    <row r="36" spans="4:4" ht="14.1">
      <c r="D36" s="338"/>
    </row>
  </sheetData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E20F-98E3-457F-A589-AF006D63E73C}">
  <sheetPr>
    <tabColor theme="8" tint="0.79998168889431442"/>
  </sheetPr>
  <dimension ref="A1:AD3"/>
  <sheetViews>
    <sheetView showGridLines="0" workbookViewId="0">
      <pane ySplit="1" topLeftCell="A2" activePane="bottomLeft" state="frozen"/>
      <selection pane="bottomLeft"/>
      <selection activeCell="O63" sqref="O63"/>
    </sheetView>
  </sheetViews>
  <sheetFormatPr defaultColWidth="9.140625" defaultRowHeight="15" customHeight="1"/>
  <cols>
    <col min="1" max="1" width="33.85546875" style="356" bestFit="1" customWidth="1"/>
    <col min="2" max="2" width="23.7109375" style="356" bestFit="1" customWidth="1"/>
    <col min="3" max="3" width="13.5703125" style="356" bestFit="1" customWidth="1"/>
    <col min="4" max="4" width="6.28515625" style="356" bestFit="1" customWidth="1"/>
    <col min="5" max="5" width="18.85546875" style="356" bestFit="1" customWidth="1"/>
    <col min="6" max="6" width="16.7109375" style="356" bestFit="1" customWidth="1"/>
    <col min="7" max="7" width="82.5703125" style="356" bestFit="1" customWidth="1"/>
    <col min="8" max="8" width="9" style="356" customWidth="1"/>
    <col min="9" max="9" width="12.85546875" style="356" customWidth="1"/>
    <col min="10" max="10" width="43.5703125" style="356" customWidth="1"/>
    <col min="11" max="11" width="10.28515625" style="356" customWidth="1"/>
    <col min="12" max="12" width="40.85546875" style="356" customWidth="1"/>
    <col min="13" max="13" width="40" style="356" customWidth="1"/>
    <col min="14" max="14" width="13" style="356" customWidth="1"/>
    <col min="15" max="15" width="13.85546875" style="356" customWidth="1"/>
    <col min="16" max="16" width="14.5703125" style="356" customWidth="1"/>
    <col min="17" max="17" width="17.85546875" style="356" customWidth="1"/>
    <col min="18" max="18" width="37" style="356" customWidth="1"/>
    <col min="19" max="19" width="10.28515625" style="356" customWidth="1"/>
    <col min="20" max="20" width="10.140625" style="356" customWidth="1"/>
    <col min="21" max="21" width="9.7109375" style="356" customWidth="1"/>
    <col min="22" max="22" width="11" style="356" customWidth="1"/>
    <col min="23" max="23" width="8.85546875" style="356" customWidth="1"/>
    <col min="24" max="24" width="18.7109375" style="356" customWidth="1"/>
    <col min="25" max="25" width="6.85546875" style="356" customWidth="1"/>
    <col min="26" max="26" width="10.42578125" style="356" bestFit="1" customWidth="1"/>
    <col min="27" max="27" width="13.42578125" style="356" bestFit="1" customWidth="1"/>
    <col min="28" max="28" width="10.140625" style="356" bestFit="1" customWidth="1"/>
    <col min="29" max="29" width="11.42578125" style="356" bestFit="1" customWidth="1"/>
    <col min="30" max="30" width="9.42578125" style="356" bestFit="1" customWidth="1"/>
    <col min="31" max="16384" width="9.140625" style="356"/>
  </cols>
  <sheetData>
    <row r="1" spans="1:30" s="349" customFormat="1" ht="15" customHeight="1">
      <c r="A1" s="346" t="s">
        <v>467</v>
      </c>
      <c r="B1" s="347" t="s">
        <v>469</v>
      </c>
      <c r="C1" s="347" t="s">
        <v>811</v>
      </c>
      <c r="D1" s="347" t="s">
        <v>471</v>
      </c>
      <c r="E1" s="347" t="s">
        <v>472</v>
      </c>
      <c r="F1" s="347" t="s">
        <v>473</v>
      </c>
      <c r="G1" s="347" t="s">
        <v>812</v>
      </c>
      <c r="H1" s="347" t="s">
        <v>414</v>
      </c>
      <c r="I1" s="347" t="s">
        <v>813</v>
      </c>
      <c r="J1" s="347" t="s">
        <v>476</v>
      </c>
      <c r="K1" s="347" t="s">
        <v>477</v>
      </c>
      <c r="L1" s="347" t="s">
        <v>814</v>
      </c>
      <c r="M1" s="347" t="s">
        <v>815</v>
      </c>
      <c r="N1" s="347" t="s">
        <v>816</v>
      </c>
      <c r="O1" s="347" t="s">
        <v>172</v>
      </c>
      <c r="P1" s="347" t="s">
        <v>173</v>
      </c>
      <c r="Q1" s="347" t="s">
        <v>174</v>
      </c>
      <c r="R1" s="347" t="s">
        <v>175</v>
      </c>
      <c r="S1" s="347" t="s">
        <v>176</v>
      </c>
      <c r="T1" s="347" t="s">
        <v>177</v>
      </c>
      <c r="U1" s="347" t="s">
        <v>178</v>
      </c>
      <c r="V1" s="347" t="s">
        <v>179</v>
      </c>
      <c r="W1" s="347" t="s">
        <v>180</v>
      </c>
      <c r="X1" s="347" t="s">
        <v>181</v>
      </c>
      <c r="Y1" s="347" t="s">
        <v>182</v>
      </c>
      <c r="Z1" s="347" t="s">
        <v>183</v>
      </c>
      <c r="AA1" s="347" t="s">
        <v>184</v>
      </c>
      <c r="AB1" s="348" t="s">
        <v>469</v>
      </c>
      <c r="AC1" s="348" t="s">
        <v>817</v>
      </c>
      <c r="AD1" s="347" t="s">
        <v>818</v>
      </c>
    </row>
    <row r="2" spans="1:30" ht="15" customHeight="1">
      <c r="A2" s="350" t="s">
        <v>819</v>
      </c>
      <c r="B2" s="351">
        <v>45807.795671296299</v>
      </c>
      <c r="C2" s="352">
        <v>24881540842</v>
      </c>
      <c r="D2" s="352" t="s">
        <v>488</v>
      </c>
      <c r="E2" s="352" t="s">
        <v>820</v>
      </c>
      <c r="F2" s="352" t="s">
        <v>462</v>
      </c>
      <c r="G2" s="352" t="s">
        <v>821</v>
      </c>
      <c r="H2" s="352">
        <v>1</v>
      </c>
      <c r="I2" s="352" t="s">
        <v>492</v>
      </c>
      <c r="J2" s="352" t="s">
        <v>822</v>
      </c>
      <c r="K2" s="352" t="s">
        <v>494</v>
      </c>
      <c r="L2" s="352" t="s">
        <v>823</v>
      </c>
      <c r="M2" s="352" t="s">
        <v>824</v>
      </c>
      <c r="N2" s="352">
        <v>600102</v>
      </c>
      <c r="O2" s="353">
        <v>21388.35</v>
      </c>
      <c r="P2" s="352">
        <v>0</v>
      </c>
      <c r="Q2" s="352">
        <v>-395.15</v>
      </c>
      <c r="R2" s="352">
        <v>629.79999999999995</v>
      </c>
      <c r="S2" s="352">
        <v>0</v>
      </c>
      <c r="T2" s="352">
        <v>0</v>
      </c>
      <c r="U2" s="352">
        <v>-104.97</v>
      </c>
      <c r="V2" s="352">
        <v>-1275.76</v>
      </c>
      <c r="W2" s="352">
        <v>-97.94</v>
      </c>
      <c r="X2" s="352">
        <v>-75.52</v>
      </c>
      <c r="Y2" s="352">
        <v>0</v>
      </c>
      <c r="Z2" s="353">
        <v>20047.810000000001</v>
      </c>
      <c r="AA2" s="354">
        <v>22018.149999999998</v>
      </c>
      <c r="AB2" s="355">
        <v>45748</v>
      </c>
      <c r="AC2" s="355">
        <v>45778</v>
      </c>
      <c r="AD2" s="329">
        <v>-104.97</v>
      </c>
    </row>
    <row r="3" spans="1:30" ht="15" customHeight="1">
      <c r="A3" s="350" t="s">
        <v>825</v>
      </c>
      <c r="B3" s="351">
        <v>45808.733356481483</v>
      </c>
      <c r="C3" s="352">
        <v>24881540842</v>
      </c>
      <c r="D3" s="352" t="s">
        <v>692</v>
      </c>
      <c r="E3" s="352" t="s">
        <v>826</v>
      </c>
      <c r="F3" s="352" t="s">
        <v>827</v>
      </c>
      <c r="G3" s="352" t="s">
        <v>828</v>
      </c>
      <c r="H3" s="352">
        <v>1</v>
      </c>
      <c r="I3" s="352" t="s">
        <v>492</v>
      </c>
      <c r="J3" s="352" t="s">
        <v>822</v>
      </c>
      <c r="K3" s="352" t="s">
        <v>494</v>
      </c>
      <c r="L3" s="352" t="s">
        <v>829</v>
      </c>
      <c r="M3" s="352" t="s">
        <v>830</v>
      </c>
      <c r="N3" s="352">
        <v>500009</v>
      </c>
      <c r="O3" s="353">
        <v>-6077.67</v>
      </c>
      <c r="P3" s="352">
        <v>0</v>
      </c>
      <c r="Q3" s="352">
        <v>0</v>
      </c>
      <c r="R3" s="352">
        <v>-182.33</v>
      </c>
      <c r="S3" s="352">
        <v>0</v>
      </c>
      <c r="T3" s="352">
        <v>0</v>
      </c>
      <c r="U3" s="352">
        <v>30.39</v>
      </c>
      <c r="V3" s="352">
        <v>369.34</v>
      </c>
      <c r="W3" s="352">
        <v>0</v>
      </c>
      <c r="X3" s="352">
        <v>75.52</v>
      </c>
      <c r="Y3" s="352">
        <v>0</v>
      </c>
      <c r="Z3" s="353">
        <v>-5784.75</v>
      </c>
      <c r="AA3" s="354">
        <v>-6260</v>
      </c>
      <c r="AB3" s="355">
        <v>45748</v>
      </c>
      <c r="AC3" s="355">
        <v>45778</v>
      </c>
      <c r="AD3" s="329">
        <v>30.39</v>
      </c>
    </row>
  </sheetData>
  <autoFilter ref="A1:AD3" xr:uid="{00000000-0001-0000-0400-000000000000}"/>
  <conditionalFormatting sqref="A1:A1048576">
    <cfRule type="duplicateValues" dxfId="31" priority="1"/>
  </conditionalFormatting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0EDC-C3EB-4015-B417-FE8FD1D44CFF}">
  <sheetPr>
    <tabColor theme="7" tint="0.59999389629810485"/>
  </sheetPr>
  <dimension ref="A1:AD3"/>
  <sheetViews>
    <sheetView showGridLines="0" zoomScale="90" zoomScaleNormal="90" workbookViewId="0">
      <pane ySplit="1" topLeftCell="A2" activePane="bottomLeft" state="frozen"/>
      <selection pane="bottomLeft"/>
      <selection activeCell="O63" sqref="O63"/>
    </sheetView>
  </sheetViews>
  <sheetFormatPr defaultColWidth="9.140625" defaultRowHeight="15.6"/>
  <cols>
    <col min="1" max="1" width="22.28515625" style="363" bestFit="1" customWidth="1"/>
    <col min="2" max="2" width="16.85546875" style="364" bestFit="1" customWidth="1"/>
    <col min="3" max="3" width="9.140625" style="364" bestFit="1" customWidth="1"/>
    <col min="4" max="4" width="37.28515625" style="364" bestFit="1" customWidth="1"/>
    <col min="5" max="5" width="13.5703125" style="365" bestFit="1" customWidth="1"/>
    <col min="6" max="6" width="16.85546875" style="366" bestFit="1" customWidth="1"/>
    <col min="7" max="7" width="16.7109375" style="367" bestFit="1" customWidth="1"/>
    <col min="8" max="8" width="8.85546875" style="367" bestFit="1" customWidth="1"/>
    <col min="9" max="9" width="21.5703125" style="367" bestFit="1" customWidth="1"/>
    <col min="10" max="10" width="20.5703125" style="367" bestFit="1" customWidth="1"/>
    <col min="11" max="11" width="93.42578125" style="367" bestFit="1" customWidth="1"/>
    <col min="12" max="12" width="10.5703125" style="367" bestFit="1" customWidth="1"/>
    <col min="13" max="13" width="15.85546875" style="367" bestFit="1" customWidth="1"/>
    <col min="14" max="14" width="54.85546875" style="367" bestFit="1" customWidth="1"/>
    <col min="15" max="15" width="12.5703125" style="367" bestFit="1" customWidth="1"/>
    <col min="16" max="16" width="49.140625" style="367" bestFit="1" customWidth="1"/>
    <col min="17" max="17" width="47.140625" style="367" bestFit="1" customWidth="1"/>
    <col min="18" max="18" width="15.7109375" style="367" bestFit="1" customWidth="1"/>
    <col min="19" max="19" width="17.140625" style="368" bestFit="1" customWidth="1"/>
    <col min="20" max="20" width="19.28515625" style="367" bestFit="1" customWidth="1"/>
    <col min="21" max="21" width="23.140625" style="367" bestFit="1" customWidth="1"/>
    <col min="22" max="22" width="46" style="367" bestFit="1" customWidth="1"/>
    <col min="23" max="23" width="12.5703125" style="367" bestFit="1" customWidth="1"/>
    <col min="24" max="24" width="12.42578125" style="367" bestFit="1" customWidth="1"/>
    <col min="25" max="25" width="11.7109375" style="367" bestFit="1" customWidth="1"/>
    <col min="26" max="26" width="15.28515625" style="367" bestFit="1" customWidth="1"/>
    <col min="27" max="27" width="12" style="367" bestFit="1" customWidth="1"/>
    <col min="28" max="28" width="24.7109375" style="367" bestFit="1" customWidth="1"/>
    <col min="29" max="29" width="9.7109375" style="368" bestFit="1" customWidth="1"/>
    <col min="30" max="30" width="11.42578125" style="363" bestFit="1" customWidth="1"/>
    <col min="31" max="16384" width="9.140625" style="363"/>
  </cols>
  <sheetData>
    <row r="1" spans="1:30">
      <c r="A1" s="363" t="s">
        <v>831</v>
      </c>
      <c r="B1" s="364" t="s">
        <v>832</v>
      </c>
      <c r="C1" s="364" t="s">
        <v>358</v>
      </c>
      <c r="D1" s="364" t="s">
        <v>833</v>
      </c>
      <c r="E1" s="365" t="s">
        <v>834</v>
      </c>
      <c r="F1" s="366" t="s">
        <v>469</v>
      </c>
      <c r="G1" s="367" t="s">
        <v>811</v>
      </c>
      <c r="H1" s="367" t="s">
        <v>835</v>
      </c>
      <c r="I1" s="367" t="s">
        <v>472</v>
      </c>
      <c r="J1" s="367" t="s">
        <v>473</v>
      </c>
      <c r="K1" s="367" t="s">
        <v>812</v>
      </c>
      <c r="L1" s="367" t="s">
        <v>414</v>
      </c>
      <c r="M1" s="367" t="s">
        <v>813</v>
      </c>
      <c r="N1" s="367" t="s">
        <v>476</v>
      </c>
      <c r="O1" s="367" t="s">
        <v>477</v>
      </c>
      <c r="P1" s="367" t="s">
        <v>814</v>
      </c>
      <c r="Q1" s="367" t="s">
        <v>815</v>
      </c>
      <c r="R1" s="367" t="s">
        <v>816</v>
      </c>
      <c r="S1" s="368" t="s">
        <v>172</v>
      </c>
      <c r="T1" s="367" t="s">
        <v>836</v>
      </c>
      <c r="U1" s="367" t="s">
        <v>837</v>
      </c>
      <c r="V1" s="367" t="s">
        <v>175</v>
      </c>
      <c r="W1" s="367" t="s">
        <v>176</v>
      </c>
      <c r="X1" s="367" t="s">
        <v>177</v>
      </c>
      <c r="Y1" s="367" t="s">
        <v>178</v>
      </c>
      <c r="Z1" s="367" t="s">
        <v>838</v>
      </c>
      <c r="AA1" s="367" t="s">
        <v>839</v>
      </c>
      <c r="AB1" s="367" t="s">
        <v>840</v>
      </c>
      <c r="AC1" s="368" t="s">
        <v>841</v>
      </c>
      <c r="AD1" s="363" t="s">
        <v>842</v>
      </c>
    </row>
    <row r="2" spans="1:30">
      <c r="A2" s="363" t="s">
        <v>820</v>
      </c>
      <c r="B2" s="364">
        <v>45778</v>
      </c>
      <c r="C2" s="364">
        <v>45778</v>
      </c>
      <c r="D2" s="364" t="s">
        <v>819</v>
      </c>
      <c r="E2" s="365">
        <v>1449.22</v>
      </c>
      <c r="F2" s="366">
        <v>45807.795671296299</v>
      </c>
      <c r="G2" s="367">
        <v>24881540842</v>
      </c>
      <c r="H2" s="367" t="s">
        <v>488</v>
      </c>
      <c r="I2" s="367" t="s">
        <v>820</v>
      </c>
      <c r="J2" s="367" t="s">
        <v>462</v>
      </c>
      <c r="K2" s="367" t="s">
        <v>821</v>
      </c>
      <c r="L2" s="367">
        <v>1</v>
      </c>
      <c r="M2" s="367" t="s">
        <v>492</v>
      </c>
      <c r="N2" s="367" t="s">
        <v>822</v>
      </c>
      <c r="O2" s="367" t="s">
        <v>494</v>
      </c>
      <c r="P2" s="367" t="s">
        <v>823</v>
      </c>
      <c r="Q2" s="367" t="s">
        <v>824</v>
      </c>
      <c r="R2" s="367">
        <v>600102</v>
      </c>
      <c r="S2" s="368">
        <v>21388.35</v>
      </c>
      <c r="T2" s="367">
        <v>0</v>
      </c>
      <c r="U2" s="367">
        <v>-395.15</v>
      </c>
      <c r="V2" s="367">
        <v>629.79999999999995</v>
      </c>
      <c r="W2" s="367">
        <v>0</v>
      </c>
      <c r="X2" s="367">
        <v>0</v>
      </c>
      <c r="Y2" s="367">
        <v>-104.97</v>
      </c>
      <c r="Z2" s="367">
        <v>-1275.76</v>
      </c>
      <c r="AA2" s="367">
        <v>-97.94</v>
      </c>
      <c r="AB2" s="367">
        <v>-75.52</v>
      </c>
      <c r="AC2" s="368">
        <v>0</v>
      </c>
      <c r="AD2" s="363">
        <v>20047.810000000001</v>
      </c>
    </row>
    <row r="3" spans="1:30">
      <c r="A3" s="363" t="s">
        <v>826</v>
      </c>
      <c r="B3" s="364">
        <v>45778</v>
      </c>
      <c r="C3" s="364">
        <v>45778</v>
      </c>
      <c r="D3" s="364" t="s">
        <v>825</v>
      </c>
      <c r="E3" s="365">
        <v>-444.85999999999996</v>
      </c>
      <c r="F3" s="366">
        <v>45808.733356481483</v>
      </c>
      <c r="G3" s="367">
        <v>24881540842</v>
      </c>
      <c r="H3" s="367" t="s">
        <v>692</v>
      </c>
      <c r="I3" s="367" t="s">
        <v>826</v>
      </c>
      <c r="J3" s="367" t="s">
        <v>827</v>
      </c>
      <c r="K3" s="367" t="s">
        <v>828</v>
      </c>
      <c r="L3" s="367">
        <v>1</v>
      </c>
      <c r="M3" s="367" t="s">
        <v>492</v>
      </c>
      <c r="N3" s="367" t="s">
        <v>822</v>
      </c>
      <c r="O3" s="367" t="s">
        <v>494</v>
      </c>
      <c r="P3" s="367" t="s">
        <v>829</v>
      </c>
      <c r="Q3" s="367" t="s">
        <v>830</v>
      </c>
      <c r="R3" s="367">
        <v>500009</v>
      </c>
      <c r="S3" s="368">
        <v>-6077.67</v>
      </c>
      <c r="T3" s="367">
        <v>0</v>
      </c>
      <c r="U3" s="367">
        <v>0</v>
      </c>
      <c r="V3" s="367">
        <v>-182.33</v>
      </c>
      <c r="W3" s="367">
        <v>0</v>
      </c>
      <c r="X3" s="367">
        <v>0</v>
      </c>
      <c r="Y3" s="367">
        <v>30.39</v>
      </c>
      <c r="Z3" s="367">
        <v>369.34</v>
      </c>
      <c r="AA3" s="367">
        <v>0</v>
      </c>
      <c r="AB3" s="367">
        <v>75.52</v>
      </c>
      <c r="AC3" s="368">
        <v>0</v>
      </c>
      <c r="AD3" s="363">
        <v>-5784.75</v>
      </c>
    </row>
  </sheetData>
  <autoFilter ref="A1:AD1" xr:uid="{748D5BDA-1ACB-4044-939E-08AB239D9D25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70DC-2C83-490C-9058-9949E443CDF7}">
  <sheetPr>
    <tabColor theme="8" tint="0.79998168889431442"/>
  </sheetPr>
  <dimension ref="A1:AA3"/>
  <sheetViews>
    <sheetView workbookViewId="0">
      <pane ySplit="1" topLeftCell="A2" activePane="bottomLeft" state="frozen"/>
      <selection pane="bottomLeft"/>
      <selection activeCell="O63" sqref="O63"/>
    </sheetView>
  </sheetViews>
  <sheetFormatPr defaultColWidth="8.7109375" defaultRowHeight="12.6"/>
  <cols>
    <col min="1" max="1" width="15.42578125" style="359" bestFit="1" customWidth="1"/>
    <col min="2" max="2" width="33.85546875" style="359" bestFit="1" customWidth="1"/>
    <col min="3" max="3" width="10.5703125" style="359" bestFit="1" customWidth="1"/>
    <col min="4" max="4" width="12.5703125" style="359" bestFit="1" customWidth="1"/>
    <col min="5" max="5" width="18.42578125" style="359" bestFit="1" customWidth="1"/>
    <col min="6" max="6" width="17.85546875" style="359" bestFit="1" customWidth="1"/>
    <col min="7" max="7" width="15.5703125" style="359" bestFit="1" customWidth="1"/>
    <col min="8" max="8" width="12.5703125" style="359" bestFit="1" customWidth="1"/>
    <col min="9" max="9" width="9.140625" style="359" bestFit="1" customWidth="1"/>
    <col min="10" max="10" width="17" style="359" bestFit="1" customWidth="1"/>
    <col min="11" max="12" width="17.7109375" style="359" bestFit="1" customWidth="1"/>
    <col min="13" max="13" width="34.140625" style="359" bestFit="1" customWidth="1"/>
    <col min="14" max="14" width="11.85546875" style="359" bestFit="1" customWidth="1"/>
    <col min="15" max="15" width="16.5703125" style="359" bestFit="1" customWidth="1"/>
    <col min="16" max="16" width="23" style="359" bestFit="1" customWidth="1"/>
    <col min="17" max="17" width="64.28515625" style="359" bestFit="1" customWidth="1"/>
    <col min="18" max="18" width="11.42578125" style="359" bestFit="1" customWidth="1"/>
    <col min="19" max="19" width="12.28515625" style="359" bestFit="1" customWidth="1"/>
    <col min="20" max="20" width="12" style="359" bestFit="1" customWidth="1"/>
    <col min="21" max="21" width="15.85546875" style="359" bestFit="1" customWidth="1"/>
    <col min="22" max="22" width="15" style="359" bestFit="1" customWidth="1"/>
    <col min="23" max="23" width="20.42578125" style="359" bestFit="1" customWidth="1"/>
    <col min="24" max="24" width="24.5703125" style="359" bestFit="1" customWidth="1"/>
    <col min="25" max="25" width="16.7109375" style="359" bestFit="1" customWidth="1"/>
    <col min="26" max="26" width="17.140625" style="359" bestFit="1" customWidth="1"/>
    <col min="27" max="27" width="35.85546875" style="359" bestFit="1" customWidth="1"/>
    <col min="28" max="16384" width="8.7109375" style="359"/>
  </cols>
  <sheetData>
    <row r="1" spans="1:27" ht="14.1">
      <c r="A1" s="357" t="s">
        <v>600</v>
      </c>
      <c r="B1" s="346" t="s">
        <v>467</v>
      </c>
      <c r="C1" s="358" t="s">
        <v>358</v>
      </c>
      <c r="D1" s="347" t="s">
        <v>185</v>
      </c>
      <c r="E1" s="347" t="s">
        <v>186</v>
      </c>
      <c r="F1" s="347" t="s">
        <v>187</v>
      </c>
      <c r="G1" s="347" t="s">
        <v>188</v>
      </c>
      <c r="H1" s="347" t="s">
        <v>189</v>
      </c>
      <c r="I1" s="347" t="s">
        <v>766</v>
      </c>
      <c r="J1" s="347" t="s">
        <v>843</v>
      </c>
      <c r="K1" s="347" t="s">
        <v>844</v>
      </c>
      <c r="L1" s="347" t="s">
        <v>845</v>
      </c>
      <c r="M1" s="347" t="s">
        <v>846</v>
      </c>
      <c r="N1" s="347" t="s">
        <v>847</v>
      </c>
      <c r="O1" s="347" t="s">
        <v>848</v>
      </c>
      <c r="P1" s="347" t="s">
        <v>849</v>
      </c>
      <c r="Q1" s="347" t="s">
        <v>190</v>
      </c>
      <c r="R1" s="347" t="s">
        <v>191</v>
      </c>
      <c r="S1" s="347" t="s">
        <v>850</v>
      </c>
      <c r="T1" s="347" t="s">
        <v>851</v>
      </c>
      <c r="U1" s="347" t="s">
        <v>852</v>
      </c>
      <c r="V1" s="347" t="s">
        <v>853</v>
      </c>
      <c r="W1" s="347" t="s">
        <v>854</v>
      </c>
      <c r="X1" s="347" t="s">
        <v>855</v>
      </c>
      <c r="Y1" s="347" t="s">
        <v>411</v>
      </c>
      <c r="Z1" s="347" t="s">
        <v>856</v>
      </c>
      <c r="AA1" s="347" t="s">
        <v>857</v>
      </c>
    </row>
    <row r="2" spans="1:27" ht="14.1">
      <c r="A2" s="360">
        <v>45778</v>
      </c>
      <c r="B2" s="361" t="s">
        <v>858</v>
      </c>
      <c r="C2" s="362">
        <v>45778</v>
      </c>
      <c r="D2" s="352">
        <v>24881519202</v>
      </c>
      <c r="E2" s="352" t="s">
        <v>859</v>
      </c>
      <c r="F2" s="352" t="s">
        <v>860</v>
      </c>
      <c r="G2" s="352" t="s">
        <v>861</v>
      </c>
      <c r="H2" s="352">
        <v>59516.5</v>
      </c>
      <c r="I2" s="352" t="s">
        <v>862</v>
      </c>
      <c r="J2" s="352" t="s">
        <v>488</v>
      </c>
      <c r="K2" s="352" t="s">
        <v>863</v>
      </c>
      <c r="L2" s="352" t="s">
        <v>863</v>
      </c>
      <c r="M2" s="352"/>
      <c r="N2" s="352" t="s">
        <v>864</v>
      </c>
      <c r="O2" s="352" t="s">
        <v>865</v>
      </c>
      <c r="P2" s="352" t="s">
        <v>866</v>
      </c>
      <c r="Q2" s="352" t="s">
        <v>867</v>
      </c>
      <c r="R2" s="352">
        <v>184.37</v>
      </c>
      <c r="S2" s="352" t="s">
        <v>868</v>
      </c>
      <c r="T2" s="352" t="s">
        <v>869</v>
      </c>
      <c r="U2" s="352" t="s">
        <v>870</v>
      </c>
      <c r="V2" s="352">
        <v>49943511730882</v>
      </c>
      <c r="W2" s="352"/>
      <c r="X2" s="352"/>
      <c r="Y2" s="352" t="s">
        <v>827</v>
      </c>
      <c r="Z2" s="352">
        <v>1</v>
      </c>
      <c r="AA2" s="352"/>
    </row>
    <row r="3" spans="1:27" ht="14.1">
      <c r="A3" s="360">
        <v>45778</v>
      </c>
      <c r="B3" s="361" t="s">
        <v>858</v>
      </c>
      <c r="C3" s="362">
        <v>45778</v>
      </c>
      <c r="D3" s="352">
        <v>24881519202</v>
      </c>
      <c r="E3" s="352" t="s">
        <v>859</v>
      </c>
      <c r="F3" s="352" t="s">
        <v>860</v>
      </c>
      <c r="G3" s="352" t="s">
        <v>861</v>
      </c>
      <c r="H3" s="352">
        <v>59516.5</v>
      </c>
      <c r="I3" s="352" t="s">
        <v>862</v>
      </c>
      <c r="J3" s="352" t="s">
        <v>488</v>
      </c>
      <c r="K3" s="352" t="s">
        <v>863</v>
      </c>
      <c r="L3" s="352" t="s">
        <v>863</v>
      </c>
      <c r="M3" s="352"/>
      <c r="N3" s="352" t="s">
        <v>864</v>
      </c>
      <c r="O3" s="352" t="s">
        <v>865</v>
      </c>
      <c r="P3" s="352" t="s">
        <v>866</v>
      </c>
      <c r="Q3" s="352" t="s">
        <v>871</v>
      </c>
      <c r="R3" s="352">
        <v>38.83</v>
      </c>
      <c r="S3" s="352" t="s">
        <v>868</v>
      </c>
      <c r="T3" s="352" t="s">
        <v>869</v>
      </c>
      <c r="U3" s="352" t="s">
        <v>870</v>
      </c>
      <c r="V3" s="352">
        <v>49943511730882</v>
      </c>
      <c r="W3" s="352"/>
      <c r="X3" s="352"/>
      <c r="Y3" s="352" t="s">
        <v>827</v>
      </c>
      <c r="Z3" s="352">
        <v>1</v>
      </c>
      <c r="AA3" s="352"/>
    </row>
  </sheetData>
  <autoFilter ref="A1:AA1" xr:uid="{01CF6DCD-30BB-4929-88B2-05C02DC30C4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CB13-EEDF-45EC-9B59-054F698C12C7}">
  <sheetPr>
    <tabColor theme="8" tint="0.79998168889431442"/>
  </sheetPr>
  <dimension ref="A1:L3"/>
  <sheetViews>
    <sheetView showGridLines="0" workbookViewId="0">
      <pane ySplit="1" topLeftCell="A2" activePane="bottomLeft" state="frozen"/>
      <selection pane="bottomLeft" activeCell="A2" sqref="A2"/>
      <selection activeCell="O63" sqref="O63"/>
    </sheetView>
  </sheetViews>
  <sheetFormatPr defaultColWidth="9.140625" defaultRowHeight="12.95"/>
  <cols>
    <col min="1" max="1" width="34.42578125" style="315" bestFit="1" customWidth="1"/>
    <col min="2" max="2" width="8.28515625" style="315" bestFit="1" customWidth="1"/>
    <col min="3" max="3" width="12.28515625" style="315" bestFit="1" customWidth="1"/>
    <col min="4" max="4" width="15.28515625" style="315" bestFit="1" customWidth="1"/>
    <col min="5" max="5" width="18.5703125" style="315" bestFit="1" customWidth="1"/>
    <col min="6" max="6" width="21.140625" style="178" bestFit="1" customWidth="1"/>
    <col min="7" max="7" width="15.42578125" style="315" bestFit="1" customWidth="1"/>
    <col min="8" max="8" width="15.28515625" style="315" bestFit="1" customWidth="1"/>
    <col min="9" max="9" width="19.28515625" style="315" bestFit="1" customWidth="1"/>
    <col min="10" max="10" width="9.140625" style="315" bestFit="1" customWidth="1"/>
    <col min="11" max="11" width="10.42578125" style="315" bestFit="1" customWidth="1"/>
    <col min="12" max="12" width="11.28515625" style="315" bestFit="1" customWidth="1"/>
    <col min="13" max="16384" width="9.140625" style="315"/>
  </cols>
  <sheetData>
    <row r="1" spans="1:12">
      <c r="A1" s="369" t="s">
        <v>872</v>
      </c>
      <c r="B1" s="370" t="s">
        <v>88</v>
      </c>
      <c r="C1" s="371" t="s">
        <v>595</v>
      </c>
      <c r="D1" s="372" t="s">
        <v>596</v>
      </c>
      <c r="E1" s="371" t="s">
        <v>597</v>
      </c>
      <c r="F1" s="373" t="s">
        <v>598</v>
      </c>
      <c r="G1" s="371" t="s">
        <v>873</v>
      </c>
      <c r="H1" s="372" t="s">
        <v>874</v>
      </c>
      <c r="I1" s="371" t="s">
        <v>875</v>
      </c>
      <c r="J1" s="374" t="s">
        <v>358</v>
      </c>
      <c r="K1" s="375" t="s">
        <v>876</v>
      </c>
      <c r="L1" s="315" t="s">
        <v>877</v>
      </c>
    </row>
    <row r="2" spans="1:12">
      <c r="A2" s="376" t="s">
        <v>878</v>
      </c>
      <c r="B2" s="376">
        <v>1</v>
      </c>
      <c r="C2" s="377" t="s">
        <v>879</v>
      </c>
      <c r="D2" s="378">
        <v>45799.674305555556</v>
      </c>
      <c r="E2" s="377" t="s">
        <v>397</v>
      </c>
      <c r="F2" s="377">
        <v>53700</v>
      </c>
      <c r="G2" s="377" t="s">
        <v>880</v>
      </c>
      <c r="H2" s="379">
        <v>45782.107638888891</v>
      </c>
      <c r="I2" s="377" t="s">
        <v>881</v>
      </c>
      <c r="J2" s="380">
        <v>45782.107638888891</v>
      </c>
      <c r="K2" s="381">
        <v>45778</v>
      </c>
      <c r="L2" s="315">
        <v>53700</v>
      </c>
    </row>
    <row r="3" spans="1:12">
      <c r="A3" s="376" t="s">
        <v>882</v>
      </c>
      <c r="B3" s="376">
        <v>1</v>
      </c>
      <c r="C3" s="377" t="s">
        <v>883</v>
      </c>
      <c r="D3" s="378">
        <v>45799.740972222222</v>
      </c>
      <c r="E3" s="377" t="s">
        <v>884</v>
      </c>
      <c r="F3" s="377">
        <v>21770</v>
      </c>
      <c r="G3" s="377" t="s">
        <v>885</v>
      </c>
      <c r="H3" s="379">
        <v>45777.950694444444</v>
      </c>
      <c r="I3" s="377" t="s">
        <v>886</v>
      </c>
      <c r="J3" s="380">
        <v>45777.950694444444</v>
      </c>
      <c r="K3" s="381">
        <v>45778</v>
      </c>
      <c r="L3" s="315">
        <v>21770</v>
      </c>
    </row>
  </sheetData>
  <autoFilter ref="A1:L3" xr:uid="{00000000-0001-0000-0500-000000000000}"/>
  <conditionalFormatting sqref="C1:C1048576">
    <cfRule type="duplicateValues" dxfId="30" priority="2"/>
  </conditionalFormatting>
  <conditionalFormatting sqref="I1:I1048576">
    <cfRule type="duplicateValues" dxfId="29" priority="1"/>
  </conditionalFormatting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6EB6-82A5-4D47-8079-34DC16A585AC}">
  <dimension ref="B2:D12"/>
  <sheetViews>
    <sheetView showGridLines="0" workbookViewId="0">
      <selection activeCell="F1" sqref="F1"/>
    </sheetView>
  </sheetViews>
  <sheetFormatPr defaultRowHeight="14.45"/>
  <cols>
    <col min="1" max="1" width="1.42578125" customWidth="1"/>
    <col min="2" max="2" width="53.28515625" bestFit="1" customWidth="1"/>
    <col min="3" max="3" width="4.7109375" bestFit="1" customWidth="1"/>
    <col min="4" max="4" width="17.5703125" style="394" bestFit="1" customWidth="1"/>
    <col min="16384" max="16384" width="9.85546875" bestFit="1" customWidth="1"/>
  </cols>
  <sheetData>
    <row r="2" spans="2:4">
      <c r="B2" s="393" t="s">
        <v>887</v>
      </c>
    </row>
    <row r="3" spans="2:4">
      <c r="B3" s="731" t="s">
        <v>888</v>
      </c>
      <c r="C3" s="731"/>
      <c r="D3" s="731"/>
    </row>
    <row r="4" spans="2:4">
      <c r="B4" s="395" t="s">
        <v>344</v>
      </c>
      <c r="C4" s="395" t="s">
        <v>889</v>
      </c>
      <c r="D4" s="396" t="s">
        <v>890</v>
      </c>
    </row>
    <row r="5" spans="2:4">
      <c r="B5" s="397" t="s">
        <v>891</v>
      </c>
      <c r="C5" s="398">
        <v>61</v>
      </c>
      <c r="D5" s="399">
        <v>122</v>
      </c>
    </row>
    <row r="6" spans="2:4">
      <c r="B6" s="400" t="s">
        <v>892</v>
      </c>
      <c r="C6" s="398">
        <v>29</v>
      </c>
      <c r="D6" s="399">
        <v>29</v>
      </c>
    </row>
    <row r="7" spans="2:4">
      <c r="B7" s="400" t="s">
        <v>893</v>
      </c>
      <c r="C7" s="398">
        <v>26</v>
      </c>
      <c r="D7" s="399">
        <v>52</v>
      </c>
    </row>
    <row r="8" spans="2:4">
      <c r="B8" s="732" t="s">
        <v>894</v>
      </c>
      <c r="C8" s="732"/>
      <c r="D8" s="732"/>
    </row>
    <row r="9" spans="2:4">
      <c r="B9" s="395" t="s">
        <v>344</v>
      </c>
      <c r="C9" s="395" t="s">
        <v>889</v>
      </c>
      <c r="D9" s="396" t="s">
        <v>890</v>
      </c>
    </row>
    <row r="10" spans="2:4">
      <c r="B10" s="397" t="s">
        <v>895</v>
      </c>
      <c r="C10" s="398">
        <v>109</v>
      </c>
      <c r="D10" s="399">
        <v>1090</v>
      </c>
    </row>
    <row r="11" spans="2:4">
      <c r="B11" s="400" t="s">
        <v>896</v>
      </c>
      <c r="C11" s="398">
        <v>35</v>
      </c>
      <c r="D11" s="399">
        <v>1750</v>
      </c>
    </row>
    <row r="12" spans="2:4">
      <c r="B12" s="400" t="s">
        <v>897</v>
      </c>
      <c r="C12" s="398">
        <v>14</v>
      </c>
      <c r="D12" s="399">
        <v>280</v>
      </c>
    </row>
  </sheetData>
  <mergeCells count="2">
    <mergeCell ref="B3:D3"/>
    <mergeCell ref="B8:D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9BDE-2D8C-47E7-BAE0-8CAC44056376}">
  <sheetPr>
    <tabColor theme="8" tint="0.79998168889431442"/>
  </sheetPr>
  <dimension ref="A1:K5"/>
  <sheetViews>
    <sheetView workbookViewId="0">
      <pane ySplit="2" topLeftCell="A5" activePane="bottomLeft" state="frozen"/>
      <selection pane="bottomLeft" activeCell="E16" sqref="E16"/>
      <selection activeCell="O63" sqref="O63"/>
    </sheetView>
  </sheetViews>
  <sheetFormatPr defaultColWidth="8.7109375" defaultRowHeight="12.6"/>
  <cols>
    <col min="1" max="1" width="9.85546875" style="359" bestFit="1" customWidth="1"/>
    <col min="2" max="2" width="11.140625" style="359" bestFit="1" customWidth="1"/>
    <col min="3" max="3" width="10.7109375" style="359" bestFit="1" customWidth="1"/>
    <col min="4" max="4" width="37" style="359" bestFit="1" customWidth="1"/>
    <col min="5" max="5" width="21.42578125" style="359" bestFit="1" customWidth="1"/>
    <col min="6" max="6" width="15.5703125" style="359" bestFit="1" customWidth="1"/>
    <col min="7" max="7" width="20.140625" style="359" bestFit="1" customWidth="1"/>
    <col min="8" max="8" width="18.5703125" style="359" bestFit="1" customWidth="1"/>
    <col min="9" max="9" width="18.28515625" style="359" bestFit="1" customWidth="1"/>
    <col min="10" max="10" width="15.5703125" style="359" bestFit="1" customWidth="1"/>
    <col min="11" max="11" width="10.5703125" style="359" bestFit="1" customWidth="1"/>
    <col min="12" max="16384" width="8.7109375" style="359"/>
  </cols>
  <sheetData>
    <row r="1" spans="1:11" ht="14.45">
      <c r="A1" s="733" t="s">
        <v>654</v>
      </c>
      <c r="B1" s="734"/>
      <c r="C1" s="734"/>
      <c r="D1" s="734"/>
      <c r="E1" s="734"/>
      <c r="F1" s="735"/>
      <c r="G1" s="733" t="s">
        <v>898</v>
      </c>
      <c r="H1" s="734"/>
      <c r="I1" s="734"/>
      <c r="J1" s="734"/>
      <c r="K1" s="735"/>
    </row>
    <row r="2" spans="1:11" ht="14.45">
      <c r="A2" s="382" t="s">
        <v>655</v>
      </c>
      <c r="B2" s="382" t="s">
        <v>358</v>
      </c>
      <c r="C2" s="382" t="s">
        <v>164</v>
      </c>
      <c r="D2" s="382" t="s">
        <v>165</v>
      </c>
      <c r="E2" s="382" t="s">
        <v>166</v>
      </c>
      <c r="F2" s="382" t="s">
        <v>167</v>
      </c>
      <c r="G2" s="383" t="s">
        <v>168</v>
      </c>
      <c r="H2" s="383" t="s">
        <v>169</v>
      </c>
      <c r="I2" s="383" t="s">
        <v>170</v>
      </c>
      <c r="J2" s="383" t="s">
        <v>171</v>
      </c>
      <c r="K2" s="383" t="s">
        <v>507</v>
      </c>
    </row>
    <row r="3" spans="1:11" ht="14.1">
      <c r="A3" s="384">
        <v>1</v>
      </c>
      <c r="B3" s="321">
        <v>44749</v>
      </c>
      <c r="C3" s="385">
        <v>44749</v>
      </c>
      <c r="D3" s="386" t="s">
        <v>899</v>
      </c>
      <c r="E3" s="387"/>
      <c r="F3" s="388">
        <v>7830028.2000000002</v>
      </c>
      <c r="G3" s="388">
        <v>7830028.2000000002</v>
      </c>
      <c r="H3" s="387">
        <v>17943854762</v>
      </c>
      <c r="I3" s="389" t="s">
        <v>900</v>
      </c>
      <c r="J3" s="390">
        <v>0</v>
      </c>
      <c r="K3" s="391" t="s">
        <v>386</v>
      </c>
    </row>
    <row r="4" spans="1:11" ht="14.1">
      <c r="A4" s="384">
        <v>2</v>
      </c>
      <c r="B4" s="321">
        <v>44749</v>
      </c>
      <c r="C4" s="385">
        <v>44749</v>
      </c>
      <c r="D4" s="386" t="s">
        <v>899</v>
      </c>
      <c r="E4" s="387"/>
      <c r="F4" s="388">
        <v>20006.240000000002</v>
      </c>
      <c r="G4" s="388">
        <v>20006.240000000002</v>
      </c>
      <c r="H4" s="387">
        <v>17943584712</v>
      </c>
      <c r="I4" s="389" t="s">
        <v>901</v>
      </c>
      <c r="J4" s="390">
        <v>0</v>
      </c>
      <c r="K4" s="391" t="s">
        <v>386</v>
      </c>
    </row>
    <row r="5" spans="1:11" ht="12.95">
      <c r="F5" s="392">
        <f>SUM(F3:F4)</f>
        <v>7850034.4400000004</v>
      </c>
      <c r="G5" s="392">
        <f>SUM(G3:G4)</f>
        <v>7850034.4400000004</v>
      </c>
      <c r="H5" s="367"/>
      <c r="I5" s="367"/>
      <c r="J5" s="392">
        <f>SUM(J3:J4)</f>
        <v>0</v>
      </c>
      <c r="K5" s="367"/>
    </row>
  </sheetData>
  <autoFilter ref="A2:K4" xr:uid="{00000000-0001-0000-0700-000000000000}"/>
  <mergeCells count="2">
    <mergeCell ref="A1:F1"/>
    <mergeCell ref="G1:K1"/>
  </mergeCells>
  <conditionalFormatting sqref="G2:G5 F3:F5">
    <cfRule type="containsText" dxfId="28" priority="5" operator="containsText" text="not Found">
      <formula>NOT(ISERROR(SEARCH("not Found",F2)))</formula>
    </cfRule>
  </conditionalFormatting>
  <conditionalFormatting sqref="H2:H4">
    <cfRule type="duplicateValues" dxfId="27" priority="98"/>
    <cfRule type="duplicateValues" dxfId="26" priority="99"/>
  </conditionalFormatting>
  <conditionalFormatting sqref="H2:I4">
    <cfRule type="containsText" dxfId="25" priority="4" operator="containsText" text="Not Found">
      <formula>NOT(ISERROR(SEARCH("Not Found",H2)))</formula>
    </cfRule>
  </conditionalFormatting>
  <conditionalFormatting sqref="J5">
    <cfRule type="containsText" dxfId="24" priority="1" operator="containsText" text="not Found">
      <formula>NOT(ISERROR(SEARCH("not Found",J5)))</formula>
    </cfRule>
  </conditionalFormatting>
  <conditionalFormatting sqref="K2">
    <cfRule type="containsText" dxfId="23" priority="6" operator="containsText" text="not Found">
      <formula>NOT(ISERROR(SEARCH("not Found",K2)))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21D7-15A1-4AFA-9D1F-EEE26A6EBD42}">
  <dimension ref="A1:Q65"/>
  <sheetViews>
    <sheetView zoomScaleNormal="100" workbookViewId="0">
      <selection activeCell="C2" sqref="C2:F2"/>
    </sheetView>
  </sheetViews>
  <sheetFormatPr defaultColWidth="8.7109375" defaultRowHeight="14.45"/>
  <cols>
    <col min="1" max="1" width="7.5703125" style="401" bestFit="1" customWidth="1"/>
    <col min="2" max="2" width="9.5703125" style="402" bestFit="1" customWidth="1"/>
    <col min="3" max="4" width="8.28515625" style="402" bestFit="1" customWidth="1"/>
    <col min="5" max="5" width="13.7109375" style="402" bestFit="1" customWidth="1"/>
    <col min="6" max="6" width="6.28515625" style="403" bestFit="1" customWidth="1"/>
    <col min="7" max="7" width="0.140625" style="402" customWidth="1"/>
    <col min="8" max="8" width="12.7109375" style="404" bestFit="1" customWidth="1"/>
    <col min="9" max="9" width="12.5703125" style="404" bestFit="1" customWidth="1"/>
    <col min="10" max="10" width="7.28515625" style="404" bestFit="1" customWidth="1"/>
    <col min="11" max="11" width="12.140625" style="404" bestFit="1" customWidth="1"/>
    <col min="12" max="12" width="0.42578125" style="402" hidden="1" customWidth="1"/>
    <col min="13" max="13" width="12.7109375" style="402" bestFit="1" customWidth="1"/>
    <col min="14" max="14" width="12.5703125" style="402" bestFit="1" customWidth="1"/>
    <col min="15" max="15" width="8.28515625" style="402" bestFit="1" customWidth="1"/>
    <col min="16" max="16" width="12.140625" style="402" bestFit="1" customWidth="1"/>
    <col min="17" max="17" width="4.85546875" style="405" customWidth="1"/>
    <col min="18" max="16384" width="8.7109375" style="402"/>
  </cols>
  <sheetData>
    <row r="1" spans="1:16" ht="15" thickBot="1">
      <c r="F1" s="740" t="s">
        <v>316</v>
      </c>
      <c r="G1" s="740"/>
      <c r="H1" s="740"/>
      <c r="I1" s="740"/>
      <c r="J1" s="740"/>
      <c r="K1" s="740"/>
      <c r="L1" s="740"/>
      <c r="M1" s="740"/>
      <c r="N1" s="740"/>
      <c r="O1" s="740"/>
      <c r="P1" s="740"/>
    </row>
    <row r="2" spans="1:16" ht="15" thickBot="1">
      <c r="B2" s="406" t="s">
        <v>902</v>
      </c>
      <c r="C2" s="736" t="s">
        <v>903</v>
      </c>
      <c r="D2" s="736"/>
      <c r="E2" s="736"/>
      <c r="F2" s="736"/>
      <c r="G2" s="407"/>
      <c r="H2" s="742" t="s">
        <v>904</v>
      </c>
      <c r="I2" s="743"/>
      <c r="J2" s="743"/>
      <c r="K2" s="744"/>
      <c r="L2" s="408"/>
      <c r="M2" s="742" t="s">
        <v>905</v>
      </c>
      <c r="N2" s="743"/>
      <c r="O2" s="743"/>
      <c r="P2" s="744"/>
    </row>
    <row r="3" spans="1:16" ht="15" thickBot="1">
      <c r="B3" s="409" t="s">
        <v>906</v>
      </c>
      <c r="C3" s="410" t="s">
        <v>907</v>
      </c>
      <c r="D3" s="410" t="s">
        <v>908</v>
      </c>
      <c r="E3" s="411" t="s">
        <v>909</v>
      </c>
      <c r="F3" s="411" t="s">
        <v>910</v>
      </c>
      <c r="G3" s="407"/>
      <c r="H3" s="412" t="s">
        <v>911</v>
      </c>
      <c r="I3" s="413" t="s">
        <v>912</v>
      </c>
      <c r="J3" s="413" t="s">
        <v>311</v>
      </c>
      <c r="K3" s="414" t="s">
        <v>913</v>
      </c>
      <c r="L3" s="415"/>
      <c r="M3" s="416" t="s">
        <v>911</v>
      </c>
      <c r="N3" s="413" t="s">
        <v>912</v>
      </c>
      <c r="O3" s="413" t="s">
        <v>311</v>
      </c>
      <c r="P3" s="414" t="s">
        <v>913</v>
      </c>
    </row>
    <row r="4" spans="1:16">
      <c r="A4" s="401" t="s">
        <v>914</v>
      </c>
      <c r="B4" s="417">
        <v>0.5</v>
      </c>
      <c r="C4" s="418">
        <v>5.6000000000000036E-2</v>
      </c>
      <c r="D4" s="418">
        <v>4.5000000000000005E-3</v>
      </c>
      <c r="E4" s="419">
        <v>8.0357142857142821E-2</v>
      </c>
      <c r="F4" s="420">
        <v>4.5000000000000005E-3</v>
      </c>
      <c r="G4" s="421"/>
      <c r="H4" s="422">
        <v>1.7000000000000008E-2</v>
      </c>
      <c r="I4" s="418">
        <v>3.8000000000000027E-2</v>
      </c>
      <c r="J4" s="418">
        <v>0</v>
      </c>
      <c r="K4" s="423">
        <v>1E-3</v>
      </c>
      <c r="L4" s="424"/>
      <c r="M4" s="425">
        <v>4.5000000000000005E-3</v>
      </c>
      <c r="N4" s="418">
        <v>0</v>
      </c>
      <c r="O4" s="418">
        <v>0</v>
      </c>
      <c r="P4" s="423">
        <v>0</v>
      </c>
    </row>
    <row r="5" spans="1:16">
      <c r="A5" s="401" t="s">
        <v>915</v>
      </c>
      <c r="B5" s="417">
        <v>1</v>
      </c>
      <c r="C5" s="418">
        <v>0.18300000000000013</v>
      </c>
      <c r="D5" s="418">
        <v>2.9000000000000005E-2</v>
      </c>
      <c r="E5" s="419">
        <v>0.15846994535519116</v>
      </c>
      <c r="F5" s="420">
        <v>2.9000000000000019E-2</v>
      </c>
      <c r="G5" s="421"/>
      <c r="H5" s="422">
        <v>5.8000000000000045E-2</v>
      </c>
      <c r="I5" s="418">
        <v>9.6000000000000071E-2</v>
      </c>
      <c r="J5" s="418">
        <v>0</v>
      </c>
      <c r="K5" s="423">
        <v>2.9000000000000019E-2</v>
      </c>
      <c r="L5" s="424"/>
      <c r="M5" s="425">
        <v>6.0000000000000001E-3</v>
      </c>
      <c r="N5" s="418">
        <v>9.0000000000000011E-3</v>
      </c>
      <c r="O5" s="418">
        <v>3.0000000000000001E-3</v>
      </c>
      <c r="P5" s="423">
        <v>1.1000000000000003E-2</v>
      </c>
    </row>
    <row r="6" spans="1:16">
      <c r="A6" s="401" t="s">
        <v>916</v>
      </c>
      <c r="B6" s="417">
        <v>2</v>
      </c>
      <c r="C6" s="418">
        <v>0.43400000000000027</v>
      </c>
      <c r="D6" s="418">
        <v>0.24000000000000016</v>
      </c>
      <c r="E6" s="419">
        <v>0.55299539170506917</v>
      </c>
      <c r="F6" s="420">
        <v>0.24000000000000019</v>
      </c>
      <c r="G6" s="421"/>
      <c r="H6" s="422">
        <v>0.11000000000000008</v>
      </c>
      <c r="I6" s="418">
        <v>0.17800000000000013</v>
      </c>
      <c r="J6" s="418">
        <v>0</v>
      </c>
      <c r="K6" s="423">
        <v>0.1460000000000001</v>
      </c>
      <c r="L6" s="424"/>
      <c r="M6" s="425">
        <v>8.0000000000000057E-2</v>
      </c>
      <c r="N6" s="418">
        <v>5.8000000000000038E-2</v>
      </c>
      <c r="O6" s="418">
        <v>8.0000000000000002E-3</v>
      </c>
      <c r="P6" s="423">
        <v>9.400000000000007E-2</v>
      </c>
    </row>
    <row r="7" spans="1:16">
      <c r="A7" s="401" t="s">
        <v>917</v>
      </c>
      <c r="B7" s="417">
        <v>2.5</v>
      </c>
      <c r="C7" s="418">
        <v>0</v>
      </c>
      <c r="D7" s="418">
        <v>0</v>
      </c>
      <c r="E7" s="419" t="s">
        <v>450</v>
      </c>
      <c r="F7" s="420">
        <v>0</v>
      </c>
      <c r="G7" s="421"/>
      <c r="H7" s="422">
        <v>0</v>
      </c>
      <c r="I7" s="418">
        <v>0</v>
      </c>
      <c r="J7" s="418">
        <v>0</v>
      </c>
      <c r="K7" s="423">
        <v>0</v>
      </c>
      <c r="L7" s="424"/>
      <c r="M7" s="425">
        <v>0</v>
      </c>
      <c r="N7" s="418">
        <v>0</v>
      </c>
      <c r="O7" s="418">
        <v>0</v>
      </c>
      <c r="P7" s="423">
        <v>0</v>
      </c>
    </row>
    <row r="8" spans="1:16">
      <c r="A8" s="401" t="s">
        <v>918</v>
      </c>
      <c r="B8" s="417">
        <v>2.9</v>
      </c>
      <c r="C8" s="418">
        <v>0</v>
      </c>
      <c r="D8" s="418">
        <v>0</v>
      </c>
      <c r="E8" s="419" t="s">
        <v>450</v>
      </c>
      <c r="F8" s="420">
        <v>0</v>
      </c>
      <c r="G8" s="421"/>
      <c r="H8" s="422">
        <v>0</v>
      </c>
      <c r="I8" s="418">
        <v>0</v>
      </c>
      <c r="J8" s="418">
        <v>0</v>
      </c>
      <c r="K8" s="423">
        <v>0</v>
      </c>
      <c r="L8" s="424"/>
      <c r="M8" s="425">
        <v>0</v>
      </c>
      <c r="N8" s="418">
        <v>0</v>
      </c>
      <c r="O8" s="418">
        <v>0</v>
      </c>
      <c r="P8" s="423">
        <v>0</v>
      </c>
    </row>
    <row r="9" spans="1:16">
      <c r="A9" s="401" t="s">
        <v>919</v>
      </c>
      <c r="B9" s="417">
        <v>3</v>
      </c>
      <c r="C9" s="418">
        <v>0</v>
      </c>
      <c r="D9" s="418">
        <v>0</v>
      </c>
      <c r="E9" s="419" t="s">
        <v>450</v>
      </c>
      <c r="F9" s="420">
        <v>0</v>
      </c>
      <c r="G9" s="421"/>
      <c r="H9" s="427">
        <v>0</v>
      </c>
      <c r="I9" s="418">
        <v>0</v>
      </c>
      <c r="J9" s="418">
        <v>0</v>
      </c>
      <c r="K9" s="423">
        <v>0</v>
      </c>
      <c r="L9" s="424"/>
      <c r="M9" s="425">
        <v>0</v>
      </c>
      <c r="N9" s="418">
        <v>0</v>
      </c>
      <c r="O9" s="418">
        <v>0</v>
      </c>
      <c r="P9" s="423">
        <v>0</v>
      </c>
    </row>
    <row r="10" spans="1:16">
      <c r="A10" s="401" t="s">
        <v>920</v>
      </c>
      <c r="B10" s="417">
        <v>4</v>
      </c>
      <c r="C10" s="418">
        <v>6.4000000000000015E-2</v>
      </c>
      <c r="D10" s="418">
        <v>1.2E-2</v>
      </c>
      <c r="E10" s="419">
        <v>0.18749999999999997</v>
      </c>
      <c r="F10" s="420">
        <v>1.2E-2</v>
      </c>
      <c r="G10" s="421"/>
      <c r="H10" s="422">
        <v>1.2E-2</v>
      </c>
      <c r="I10" s="418">
        <v>5.2000000000000011E-2</v>
      </c>
      <c r="J10" s="418">
        <v>0</v>
      </c>
      <c r="K10" s="423">
        <v>0</v>
      </c>
      <c r="L10" s="424"/>
      <c r="M10" s="425">
        <v>1.2E-2</v>
      </c>
      <c r="N10" s="418">
        <v>0</v>
      </c>
      <c r="O10" s="418">
        <v>0</v>
      </c>
      <c r="P10" s="423">
        <v>0</v>
      </c>
    </row>
    <row r="11" spans="1:16">
      <c r="A11" s="401" t="s">
        <v>921</v>
      </c>
      <c r="B11" s="417">
        <v>5</v>
      </c>
      <c r="C11" s="418">
        <v>0.35000000000000009</v>
      </c>
      <c r="D11" s="418">
        <v>0.125</v>
      </c>
      <c r="E11" s="419">
        <v>0.35714285714285704</v>
      </c>
      <c r="F11" s="420">
        <v>0.12500000000000003</v>
      </c>
      <c r="G11" s="421"/>
      <c r="H11" s="422">
        <v>6.4999999999999988E-2</v>
      </c>
      <c r="I11" s="418">
        <v>0.17500000000000007</v>
      </c>
      <c r="J11" s="418">
        <v>0</v>
      </c>
      <c r="K11" s="423">
        <v>0.11000000000000003</v>
      </c>
      <c r="L11" s="424"/>
      <c r="M11" s="425">
        <v>2.5000000000000001E-2</v>
      </c>
      <c r="N11" s="418">
        <v>4.9999999999999996E-2</v>
      </c>
      <c r="O11" s="418">
        <v>1.4999999999999999E-2</v>
      </c>
      <c r="P11" s="423">
        <v>3.5000000000000003E-2</v>
      </c>
    </row>
    <row r="12" spans="1:16">
      <c r="A12" s="401" t="s">
        <v>922</v>
      </c>
      <c r="B12" s="417">
        <v>5.8</v>
      </c>
      <c r="C12" s="418">
        <v>0</v>
      </c>
      <c r="D12" s="418">
        <v>0</v>
      </c>
      <c r="E12" s="419" t="s">
        <v>450</v>
      </c>
      <c r="F12" s="420">
        <v>0</v>
      </c>
      <c r="G12" s="421"/>
      <c r="H12" s="422">
        <v>0</v>
      </c>
      <c r="I12" s="418">
        <v>0</v>
      </c>
      <c r="J12" s="418">
        <v>0</v>
      </c>
      <c r="K12" s="423">
        <v>0</v>
      </c>
      <c r="L12" s="424"/>
      <c r="M12" s="425">
        <v>0</v>
      </c>
      <c r="N12" s="418">
        <v>0</v>
      </c>
      <c r="O12" s="418">
        <v>0</v>
      </c>
      <c r="P12" s="423">
        <v>0</v>
      </c>
    </row>
    <row r="13" spans="1:16">
      <c r="A13" s="401" t="s">
        <v>923</v>
      </c>
      <c r="B13" s="417">
        <v>6</v>
      </c>
      <c r="C13" s="418">
        <v>0</v>
      </c>
      <c r="D13" s="418">
        <v>0</v>
      </c>
      <c r="E13" s="419" t="s">
        <v>450</v>
      </c>
      <c r="F13" s="420">
        <v>0</v>
      </c>
      <c r="G13" s="421"/>
      <c r="H13" s="422">
        <v>0</v>
      </c>
      <c r="I13" s="418">
        <v>0</v>
      </c>
      <c r="J13" s="418">
        <v>0</v>
      </c>
      <c r="K13" s="423">
        <v>0</v>
      </c>
      <c r="L13" s="424"/>
      <c r="M13" s="425">
        <v>0</v>
      </c>
      <c r="N13" s="418">
        <v>0</v>
      </c>
      <c r="O13" s="418">
        <v>0</v>
      </c>
      <c r="P13" s="423">
        <v>0</v>
      </c>
    </row>
    <row r="14" spans="1:16">
      <c r="A14" s="401" t="s">
        <v>924</v>
      </c>
      <c r="B14" s="417">
        <v>8</v>
      </c>
      <c r="C14" s="418">
        <v>0.26400000000000012</v>
      </c>
      <c r="D14" s="418">
        <v>0.1438334</v>
      </c>
      <c r="E14" s="419">
        <v>0.54482348484848464</v>
      </c>
      <c r="F14" s="420">
        <v>0.1438334</v>
      </c>
      <c r="G14" s="421"/>
      <c r="H14" s="422">
        <v>2.4E-2</v>
      </c>
      <c r="I14" s="418">
        <v>0.20000000000000012</v>
      </c>
      <c r="J14" s="418">
        <v>8.0000000000000002E-3</v>
      </c>
      <c r="K14" s="423">
        <v>3.2000000000000001E-2</v>
      </c>
      <c r="L14" s="424"/>
      <c r="M14" s="425">
        <v>1.6E-2</v>
      </c>
      <c r="N14" s="418">
        <v>0.12783339999999999</v>
      </c>
      <c r="O14" s="418">
        <v>0</v>
      </c>
      <c r="P14" s="423">
        <v>0</v>
      </c>
    </row>
    <row r="15" spans="1:16">
      <c r="A15" s="401" t="s">
        <v>925</v>
      </c>
      <c r="B15" s="417">
        <v>10</v>
      </c>
      <c r="C15" s="418">
        <v>1.0000000000000004</v>
      </c>
      <c r="D15" s="418">
        <v>0.24</v>
      </c>
      <c r="E15" s="419">
        <v>0.23999999999999988</v>
      </c>
      <c r="F15" s="420">
        <v>0.24000000000000007</v>
      </c>
      <c r="G15" s="421"/>
      <c r="H15" s="422">
        <v>0.12999999999999998</v>
      </c>
      <c r="I15" s="418">
        <v>0.53000000000000025</v>
      </c>
      <c r="J15" s="418">
        <v>0.01</v>
      </c>
      <c r="K15" s="423">
        <v>0.33000000000000013</v>
      </c>
      <c r="L15" s="424"/>
      <c r="M15" s="425">
        <v>0.04</v>
      </c>
      <c r="N15" s="418">
        <v>0.11999999999999998</v>
      </c>
      <c r="O15" s="418">
        <v>0.01</v>
      </c>
      <c r="P15" s="423">
        <v>7.0000000000000007E-2</v>
      </c>
    </row>
    <row r="16" spans="1:16">
      <c r="A16" s="401" t="s">
        <v>926</v>
      </c>
      <c r="B16" s="417">
        <v>11.6</v>
      </c>
      <c r="C16" s="418">
        <v>0</v>
      </c>
      <c r="D16" s="418">
        <v>0</v>
      </c>
      <c r="E16" s="419" t="s">
        <v>450</v>
      </c>
      <c r="F16" s="420">
        <v>0</v>
      </c>
      <c r="G16" s="421"/>
      <c r="H16" s="422">
        <v>0</v>
      </c>
      <c r="I16" s="418">
        <v>0</v>
      </c>
      <c r="J16" s="418">
        <v>0</v>
      </c>
      <c r="K16" s="423">
        <v>0</v>
      </c>
      <c r="L16" s="424"/>
      <c r="M16" s="425">
        <v>0</v>
      </c>
      <c r="N16" s="418">
        <v>0</v>
      </c>
      <c r="O16" s="418">
        <v>0</v>
      </c>
      <c r="P16" s="423">
        <v>0</v>
      </c>
    </row>
    <row r="17" spans="1:16">
      <c r="A17" s="401" t="s">
        <v>927</v>
      </c>
      <c r="B17" s="417">
        <v>12</v>
      </c>
      <c r="C17" s="418">
        <v>0</v>
      </c>
      <c r="D17" s="418">
        <v>0</v>
      </c>
      <c r="E17" s="419" t="s">
        <v>450</v>
      </c>
      <c r="F17" s="420">
        <v>0</v>
      </c>
      <c r="G17" s="421"/>
      <c r="H17" s="422">
        <v>0</v>
      </c>
      <c r="I17" s="418">
        <v>0</v>
      </c>
      <c r="J17" s="418">
        <v>0</v>
      </c>
      <c r="K17" s="423">
        <v>0</v>
      </c>
      <c r="L17" s="424"/>
      <c r="M17" s="425">
        <v>0</v>
      </c>
      <c r="N17" s="418">
        <v>0</v>
      </c>
      <c r="O17" s="418">
        <v>0</v>
      </c>
      <c r="P17" s="423">
        <v>0</v>
      </c>
    </row>
    <row r="18" spans="1:16">
      <c r="A18" s="401" t="s">
        <v>928</v>
      </c>
      <c r="B18" s="417">
        <v>14</v>
      </c>
      <c r="C18" s="418">
        <v>0</v>
      </c>
      <c r="D18" s="418">
        <v>0</v>
      </c>
      <c r="E18" s="419" t="s">
        <v>450</v>
      </c>
      <c r="F18" s="420">
        <v>0</v>
      </c>
      <c r="G18" s="421"/>
      <c r="H18" s="422">
        <v>0</v>
      </c>
      <c r="I18" s="418">
        <v>0</v>
      </c>
      <c r="J18" s="418">
        <v>0</v>
      </c>
      <c r="K18" s="423">
        <v>0</v>
      </c>
      <c r="L18" s="424"/>
      <c r="M18" s="425">
        <v>0</v>
      </c>
      <c r="N18" s="418">
        <v>0</v>
      </c>
      <c r="O18" s="418">
        <v>0</v>
      </c>
      <c r="P18" s="423">
        <v>0</v>
      </c>
    </row>
    <row r="19" spans="1:16">
      <c r="A19" s="401" t="s">
        <v>929</v>
      </c>
      <c r="B19" s="417">
        <v>16</v>
      </c>
      <c r="C19" s="418">
        <v>0</v>
      </c>
      <c r="D19" s="418">
        <v>0</v>
      </c>
      <c r="E19" s="419" t="s">
        <v>450</v>
      </c>
      <c r="F19" s="420">
        <v>0</v>
      </c>
      <c r="G19" s="421"/>
      <c r="H19" s="422">
        <v>0</v>
      </c>
      <c r="I19" s="418">
        <v>0</v>
      </c>
      <c r="J19" s="418">
        <v>0</v>
      </c>
      <c r="K19" s="423">
        <v>0</v>
      </c>
      <c r="L19" s="424"/>
      <c r="M19" s="425">
        <v>0</v>
      </c>
      <c r="N19" s="418">
        <v>0</v>
      </c>
      <c r="O19" s="418">
        <v>0</v>
      </c>
      <c r="P19" s="423">
        <v>0</v>
      </c>
    </row>
    <row r="20" spans="1:16">
      <c r="A20" s="401" t="s">
        <v>930</v>
      </c>
      <c r="B20" s="417">
        <v>20</v>
      </c>
      <c r="C20" s="418">
        <v>0.08</v>
      </c>
      <c r="D20" s="418">
        <v>0.02</v>
      </c>
      <c r="E20" s="419">
        <v>0.25</v>
      </c>
      <c r="F20" s="420">
        <v>0.02</v>
      </c>
      <c r="G20" s="421"/>
      <c r="H20" s="422">
        <v>0</v>
      </c>
      <c r="I20" s="418">
        <v>0.08</v>
      </c>
      <c r="J20" s="418">
        <v>0</v>
      </c>
      <c r="K20" s="423">
        <v>0</v>
      </c>
      <c r="L20" s="424"/>
      <c r="M20" s="425">
        <v>0</v>
      </c>
      <c r="N20" s="418">
        <v>0.02</v>
      </c>
      <c r="O20" s="418">
        <v>0</v>
      </c>
      <c r="P20" s="423">
        <v>0</v>
      </c>
    </row>
    <row r="21" spans="1:16">
      <c r="A21" s="401" t="s">
        <v>931</v>
      </c>
      <c r="B21" s="417">
        <v>31.1</v>
      </c>
      <c r="C21" s="418">
        <v>0</v>
      </c>
      <c r="D21" s="418">
        <v>0</v>
      </c>
      <c r="E21" s="419" t="s">
        <v>450</v>
      </c>
      <c r="F21" s="420">
        <v>0</v>
      </c>
      <c r="G21" s="421"/>
      <c r="H21" s="422">
        <v>0</v>
      </c>
      <c r="I21" s="418">
        <v>0</v>
      </c>
      <c r="J21" s="418">
        <v>0</v>
      </c>
      <c r="K21" s="423">
        <v>0</v>
      </c>
      <c r="L21" s="424"/>
      <c r="M21" s="425">
        <v>0</v>
      </c>
      <c r="N21" s="418">
        <v>0</v>
      </c>
      <c r="O21" s="418">
        <v>0</v>
      </c>
      <c r="P21" s="423">
        <v>0</v>
      </c>
    </row>
    <row r="22" spans="1:16">
      <c r="A22" s="401" t="s">
        <v>932</v>
      </c>
      <c r="B22" s="417">
        <v>50</v>
      </c>
      <c r="C22" s="418">
        <v>0.1</v>
      </c>
      <c r="D22" s="418">
        <v>0.1</v>
      </c>
      <c r="E22" s="419">
        <v>1</v>
      </c>
      <c r="F22" s="420">
        <v>0.1</v>
      </c>
      <c r="G22" s="421"/>
      <c r="H22" s="422">
        <v>0</v>
      </c>
      <c r="I22" s="418">
        <v>0.1</v>
      </c>
      <c r="J22" s="418">
        <v>0</v>
      </c>
      <c r="K22" s="423">
        <v>0</v>
      </c>
      <c r="L22" s="424"/>
      <c r="M22" s="425">
        <v>0</v>
      </c>
      <c r="N22" s="418">
        <v>0.1</v>
      </c>
      <c r="O22" s="418">
        <v>0</v>
      </c>
      <c r="P22" s="423">
        <v>0</v>
      </c>
    </row>
    <row r="23" spans="1:16">
      <c r="A23" s="401" t="s">
        <v>933</v>
      </c>
      <c r="B23" s="417">
        <v>58.3</v>
      </c>
      <c r="C23" s="418">
        <v>0</v>
      </c>
      <c r="D23" s="418">
        <v>0</v>
      </c>
      <c r="E23" s="419" t="s">
        <v>450</v>
      </c>
      <c r="F23" s="420">
        <v>0</v>
      </c>
      <c r="G23" s="421"/>
      <c r="H23" s="422">
        <v>0</v>
      </c>
      <c r="I23" s="418">
        <v>0</v>
      </c>
      <c r="J23" s="418">
        <v>0</v>
      </c>
      <c r="K23" s="423">
        <v>0</v>
      </c>
      <c r="L23" s="424"/>
      <c r="M23" s="425">
        <v>0</v>
      </c>
      <c r="N23" s="418">
        <v>0</v>
      </c>
      <c r="O23" s="418">
        <v>0</v>
      </c>
      <c r="P23" s="423">
        <v>0</v>
      </c>
    </row>
    <row r="24" spans="1:16">
      <c r="A24" s="401" t="s">
        <v>934</v>
      </c>
      <c r="B24" s="417">
        <v>100</v>
      </c>
      <c r="C24" s="418">
        <v>0.1</v>
      </c>
      <c r="D24" s="418">
        <v>0</v>
      </c>
      <c r="E24" s="419">
        <v>0</v>
      </c>
      <c r="F24" s="420">
        <v>0</v>
      </c>
      <c r="G24" s="421"/>
      <c r="H24" s="422">
        <v>0</v>
      </c>
      <c r="I24" s="418">
        <v>0.1</v>
      </c>
      <c r="J24" s="418">
        <v>0</v>
      </c>
      <c r="K24" s="423">
        <v>0</v>
      </c>
      <c r="L24" s="424"/>
      <c r="M24" s="425">
        <v>0</v>
      </c>
      <c r="N24" s="418">
        <v>0</v>
      </c>
      <c r="O24" s="418">
        <v>0</v>
      </c>
      <c r="P24" s="423">
        <v>0</v>
      </c>
    </row>
    <row r="25" spans="1:16">
      <c r="A25" s="401" t="s">
        <v>935</v>
      </c>
      <c r="B25" s="417">
        <v>250</v>
      </c>
      <c r="C25" s="418">
        <v>0</v>
      </c>
      <c r="D25" s="418">
        <v>0</v>
      </c>
      <c r="E25" s="419" t="s">
        <v>450</v>
      </c>
      <c r="F25" s="420">
        <v>0</v>
      </c>
      <c r="G25" s="421"/>
      <c r="H25" s="422">
        <v>0</v>
      </c>
      <c r="I25" s="418">
        <v>0</v>
      </c>
      <c r="J25" s="418">
        <v>0</v>
      </c>
      <c r="K25" s="423">
        <v>0</v>
      </c>
      <c r="L25" s="424"/>
      <c r="M25" s="425">
        <v>0</v>
      </c>
      <c r="N25" s="418">
        <v>0</v>
      </c>
      <c r="O25" s="418">
        <v>0</v>
      </c>
      <c r="P25" s="423">
        <v>0</v>
      </c>
    </row>
    <row r="26" spans="1:16">
      <c r="A26" s="401" t="s">
        <v>936</v>
      </c>
      <c r="B26" s="417">
        <v>500</v>
      </c>
      <c r="C26" s="418">
        <v>0</v>
      </c>
      <c r="D26" s="418">
        <v>0</v>
      </c>
      <c r="E26" s="419" t="s">
        <v>450</v>
      </c>
      <c r="F26" s="420">
        <v>0</v>
      </c>
      <c r="G26" s="421"/>
      <c r="H26" s="422">
        <v>0</v>
      </c>
      <c r="I26" s="418">
        <v>0</v>
      </c>
      <c r="J26" s="418">
        <v>0</v>
      </c>
      <c r="K26" s="423">
        <v>0</v>
      </c>
      <c r="L26" s="424"/>
      <c r="M26" s="425">
        <v>0</v>
      </c>
      <c r="N26" s="418">
        <v>0</v>
      </c>
      <c r="O26" s="418">
        <v>0</v>
      </c>
      <c r="P26" s="423">
        <v>0</v>
      </c>
    </row>
    <row r="27" spans="1:16">
      <c r="A27" s="401" t="s">
        <v>937</v>
      </c>
      <c r="B27" s="417">
        <v>1000</v>
      </c>
      <c r="C27" s="418">
        <v>0</v>
      </c>
      <c r="D27" s="418">
        <v>0</v>
      </c>
      <c r="E27" s="419" t="s">
        <v>450</v>
      </c>
      <c r="F27" s="420">
        <v>0</v>
      </c>
      <c r="G27" s="421"/>
      <c r="H27" s="422">
        <v>0</v>
      </c>
      <c r="I27" s="418">
        <v>0</v>
      </c>
      <c r="J27" s="418">
        <v>0</v>
      </c>
      <c r="K27" s="423">
        <v>0</v>
      </c>
      <c r="L27" s="424"/>
      <c r="M27" s="425">
        <v>0</v>
      </c>
      <c r="N27" s="418">
        <v>0</v>
      </c>
      <c r="O27" s="418">
        <v>0</v>
      </c>
      <c r="P27" s="423">
        <v>0</v>
      </c>
    </row>
    <row r="28" spans="1:16" ht="15" thickBot="1">
      <c r="B28" s="428" t="s">
        <v>58</v>
      </c>
      <c r="C28" s="429">
        <v>2.6310000000000016</v>
      </c>
      <c r="D28" s="429">
        <v>0.91433340000000018</v>
      </c>
      <c r="E28" s="430">
        <v>0.34752314709236021</v>
      </c>
      <c r="F28" s="429">
        <v>0.9143334000000003</v>
      </c>
      <c r="G28" s="431"/>
      <c r="H28" s="432">
        <v>0.41600000000000015</v>
      </c>
      <c r="I28" s="429">
        <v>1.5490000000000008</v>
      </c>
      <c r="J28" s="429">
        <v>1.8000000000000002E-2</v>
      </c>
      <c r="K28" s="433">
        <v>0.64800000000000035</v>
      </c>
      <c r="L28" s="429"/>
      <c r="M28" s="434">
        <v>0.18350000000000008</v>
      </c>
      <c r="N28" s="434">
        <v>0.48483339999999997</v>
      </c>
      <c r="O28" s="434">
        <v>3.5999999999999997E-2</v>
      </c>
      <c r="P28" s="435">
        <v>0.21000000000000008</v>
      </c>
    </row>
    <row r="29" spans="1:16" ht="15" thickBot="1">
      <c r="D29" s="436"/>
      <c r="E29" s="436"/>
      <c r="F29" s="741" t="s">
        <v>317</v>
      </c>
      <c r="G29" s="741"/>
      <c r="H29" s="741"/>
      <c r="I29" s="741"/>
      <c r="J29" s="741"/>
      <c r="K29" s="741"/>
      <c r="L29" s="741"/>
      <c r="M29" s="741"/>
      <c r="N29" s="741"/>
      <c r="O29" s="741"/>
      <c r="P29" s="741"/>
    </row>
    <row r="30" spans="1:16" ht="15" thickBot="1">
      <c r="B30" s="406" t="s">
        <v>902</v>
      </c>
      <c r="C30" s="736" t="s">
        <v>903</v>
      </c>
      <c r="D30" s="736"/>
      <c r="E30" s="736"/>
      <c r="F30" s="736"/>
      <c r="G30" s="407"/>
      <c r="H30" s="737" t="s">
        <v>904</v>
      </c>
      <c r="I30" s="738"/>
      <c r="J30" s="738"/>
      <c r="K30" s="739"/>
      <c r="L30" s="437"/>
      <c r="M30" s="737" t="s">
        <v>905</v>
      </c>
      <c r="N30" s="738"/>
      <c r="O30" s="738"/>
      <c r="P30" s="739"/>
    </row>
    <row r="31" spans="1:16" ht="15" thickBot="1">
      <c r="B31" s="438" t="s">
        <v>906</v>
      </c>
      <c r="C31" s="439" t="s">
        <v>907</v>
      </c>
      <c r="D31" s="439" t="s">
        <v>908</v>
      </c>
      <c r="E31" s="440" t="s">
        <v>938</v>
      </c>
      <c r="F31" s="440" t="s">
        <v>910</v>
      </c>
      <c r="G31" s="441"/>
      <c r="H31" s="442" t="s">
        <v>911</v>
      </c>
      <c r="I31" s="443" t="s">
        <v>912</v>
      </c>
      <c r="J31" s="443" t="s">
        <v>311</v>
      </c>
      <c r="K31" s="444" t="s">
        <v>913</v>
      </c>
      <c r="L31" s="445"/>
      <c r="M31" s="446" t="s">
        <v>911</v>
      </c>
      <c r="N31" s="443" t="s">
        <v>912</v>
      </c>
      <c r="O31" s="443" t="s">
        <v>311</v>
      </c>
      <c r="P31" s="444" t="s">
        <v>913</v>
      </c>
    </row>
    <row r="32" spans="1:16">
      <c r="A32" s="401" t="s">
        <v>914</v>
      </c>
      <c r="B32" s="417">
        <v>0.5</v>
      </c>
      <c r="C32" s="418">
        <v>0</v>
      </c>
      <c r="D32" s="418">
        <v>0</v>
      </c>
      <c r="E32" s="447" t="s">
        <v>450</v>
      </c>
      <c r="F32" s="420">
        <v>0</v>
      </c>
      <c r="G32" s="421"/>
      <c r="H32" s="422">
        <v>0</v>
      </c>
      <c r="I32" s="418">
        <v>0</v>
      </c>
      <c r="J32" s="418">
        <v>0</v>
      </c>
      <c r="K32" s="423">
        <v>0</v>
      </c>
      <c r="L32" s="424"/>
      <c r="M32" s="425">
        <v>0</v>
      </c>
      <c r="N32" s="418">
        <v>0</v>
      </c>
      <c r="O32" s="418">
        <v>0</v>
      </c>
      <c r="P32" s="423">
        <v>0</v>
      </c>
    </row>
    <row r="33" spans="1:16">
      <c r="A33" s="401" t="s">
        <v>915</v>
      </c>
      <c r="B33" s="417">
        <v>1</v>
      </c>
      <c r="C33" s="418">
        <v>0</v>
      </c>
      <c r="D33" s="418">
        <v>0</v>
      </c>
      <c r="E33" s="447" t="s">
        <v>450</v>
      </c>
      <c r="F33" s="420">
        <v>0</v>
      </c>
      <c r="G33" s="421"/>
      <c r="H33" s="422">
        <v>0</v>
      </c>
      <c r="I33" s="418">
        <v>0</v>
      </c>
      <c r="J33" s="418">
        <v>0</v>
      </c>
      <c r="K33" s="423">
        <v>0</v>
      </c>
      <c r="L33" s="424"/>
      <c r="M33" s="425">
        <v>0</v>
      </c>
      <c r="N33" s="418">
        <v>0</v>
      </c>
      <c r="O33" s="418">
        <v>0</v>
      </c>
      <c r="P33" s="423">
        <v>0</v>
      </c>
    </row>
    <row r="34" spans="1:16">
      <c r="A34" s="401" t="s">
        <v>916</v>
      </c>
      <c r="B34" s="417">
        <v>2</v>
      </c>
      <c r="C34" s="418">
        <v>0</v>
      </c>
      <c r="D34" s="418">
        <v>0</v>
      </c>
      <c r="E34" s="447" t="s">
        <v>450</v>
      </c>
      <c r="F34" s="420">
        <v>0</v>
      </c>
      <c r="G34" s="421"/>
      <c r="H34" s="422">
        <v>0</v>
      </c>
      <c r="I34" s="418">
        <v>0</v>
      </c>
      <c r="J34" s="418">
        <v>0</v>
      </c>
      <c r="K34" s="423">
        <v>0</v>
      </c>
      <c r="L34" s="424"/>
      <c r="M34" s="425">
        <v>0</v>
      </c>
      <c r="N34" s="418">
        <v>0</v>
      </c>
      <c r="O34" s="418">
        <v>0</v>
      </c>
      <c r="P34" s="423">
        <v>0</v>
      </c>
    </row>
    <row r="35" spans="1:16">
      <c r="A35" s="401" t="s">
        <v>917</v>
      </c>
      <c r="B35" s="417">
        <v>2.5</v>
      </c>
      <c r="C35" s="418">
        <v>0</v>
      </c>
      <c r="D35" s="418">
        <v>0</v>
      </c>
      <c r="E35" s="447" t="s">
        <v>450</v>
      </c>
      <c r="F35" s="420">
        <v>0</v>
      </c>
      <c r="G35" s="421"/>
      <c r="H35" s="422">
        <v>0</v>
      </c>
      <c r="I35" s="418">
        <v>0</v>
      </c>
      <c r="J35" s="418">
        <v>0</v>
      </c>
      <c r="K35" s="423">
        <v>0</v>
      </c>
      <c r="L35" s="424"/>
      <c r="M35" s="425">
        <v>0</v>
      </c>
      <c r="N35" s="418">
        <v>0</v>
      </c>
      <c r="O35" s="418">
        <v>0</v>
      </c>
      <c r="P35" s="423">
        <v>0</v>
      </c>
    </row>
    <row r="36" spans="1:16">
      <c r="A36" s="401" t="s">
        <v>918</v>
      </c>
      <c r="B36" s="417">
        <v>2.9</v>
      </c>
      <c r="C36" s="418">
        <v>0</v>
      </c>
      <c r="D36" s="418">
        <v>0</v>
      </c>
      <c r="E36" s="447" t="s">
        <v>450</v>
      </c>
      <c r="F36" s="420">
        <v>0</v>
      </c>
      <c r="G36" s="421"/>
      <c r="H36" s="422">
        <v>0</v>
      </c>
      <c r="I36" s="418">
        <v>0</v>
      </c>
      <c r="J36" s="418">
        <v>0</v>
      </c>
      <c r="K36" s="423">
        <v>0</v>
      </c>
      <c r="L36" s="424"/>
      <c r="M36" s="425">
        <v>0</v>
      </c>
      <c r="N36" s="418">
        <v>0</v>
      </c>
      <c r="O36" s="418">
        <v>0</v>
      </c>
      <c r="P36" s="423">
        <v>0</v>
      </c>
    </row>
    <row r="37" spans="1:16">
      <c r="A37" s="401" t="s">
        <v>919</v>
      </c>
      <c r="B37" s="417">
        <v>3</v>
      </c>
      <c r="C37" s="418">
        <v>0</v>
      </c>
      <c r="D37" s="418">
        <v>0</v>
      </c>
      <c r="E37" s="447" t="s">
        <v>450</v>
      </c>
      <c r="F37" s="420">
        <v>0</v>
      </c>
      <c r="G37" s="421"/>
      <c r="H37" s="427">
        <v>0</v>
      </c>
      <c r="I37" s="418">
        <v>0</v>
      </c>
      <c r="J37" s="418">
        <v>0</v>
      </c>
      <c r="K37" s="423">
        <v>0</v>
      </c>
      <c r="L37" s="424"/>
      <c r="M37" s="425">
        <v>0</v>
      </c>
      <c r="N37" s="418">
        <v>0</v>
      </c>
      <c r="O37" s="418">
        <v>0</v>
      </c>
      <c r="P37" s="423">
        <v>0</v>
      </c>
    </row>
    <row r="38" spans="1:16">
      <c r="A38" s="401" t="s">
        <v>920</v>
      </c>
      <c r="B38" s="417">
        <v>4</v>
      </c>
      <c r="C38" s="418">
        <v>0</v>
      </c>
      <c r="D38" s="418">
        <v>0</v>
      </c>
      <c r="E38" s="447" t="s">
        <v>450</v>
      </c>
      <c r="F38" s="420">
        <v>0</v>
      </c>
      <c r="G38" s="421"/>
      <c r="H38" s="422">
        <v>0</v>
      </c>
      <c r="I38" s="418">
        <v>0</v>
      </c>
      <c r="J38" s="418">
        <v>0</v>
      </c>
      <c r="K38" s="423">
        <v>0</v>
      </c>
      <c r="L38" s="424"/>
      <c r="M38" s="425">
        <v>0</v>
      </c>
      <c r="N38" s="418">
        <v>0</v>
      </c>
      <c r="O38" s="418">
        <v>0</v>
      </c>
      <c r="P38" s="423">
        <v>0</v>
      </c>
    </row>
    <row r="39" spans="1:16">
      <c r="A39" s="401" t="s">
        <v>921</v>
      </c>
      <c r="B39" s="417">
        <v>5</v>
      </c>
      <c r="C39" s="418">
        <v>0.14000000000000004</v>
      </c>
      <c r="D39" s="418">
        <v>2.5000000000000001E-2</v>
      </c>
      <c r="E39" s="419">
        <v>0.17857142857142852</v>
      </c>
      <c r="F39" s="420">
        <v>2.5000000000000001E-2</v>
      </c>
      <c r="G39" s="421"/>
      <c r="H39" s="422">
        <v>0</v>
      </c>
      <c r="I39" s="418">
        <v>0.14000000000000004</v>
      </c>
      <c r="J39" s="418">
        <v>0</v>
      </c>
      <c r="K39" s="423">
        <v>0</v>
      </c>
      <c r="L39" s="424"/>
      <c r="M39" s="425">
        <v>1.4999999999999999E-2</v>
      </c>
      <c r="N39" s="418">
        <v>0.01</v>
      </c>
      <c r="O39" s="418">
        <v>0</v>
      </c>
      <c r="P39" s="423">
        <v>0</v>
      </c>
    </row>
    <row r="40" spans="1:16">
      <c r="A40" s="401" t="s">
        <v>922</v>
      </c>
      <c r="B40" s="417">
        <v>5.8</v>
      </c>
      <c r="C40" s="418">
        <v>0</v>
      </c>
      <c r="D40" s="418">
        <v>0</v>
      </c>
      <c r="E40" s="419" t="s">
        <v>450</v>
      </c>
      <c r="F40" s="420">
        <v>0</v>
      </c>
      <c r="G40" s="421"/>
      <c r="H40" s="422">
        <v>0</v>
      </c>
      <c r="I40" s="418">
        <v>0</v>
      </c>
      <c r="J40" s="418">
        <v>0</v>
      </c>
      <c r="K40" s="423">
        <v>0</v>
      </c>
      <c r="L40" s="424"/>
      <c r="M40" s="425">
        <v>0</v>
      </c>
      <c r="N40" s="418">
        <v>0</v>
      </c>
      <c r="O40" s="418">
        <v>0</v>
      </c>
      <c r="P40" s="423">
        <v>0</v>
      </c>
    </row>
    <row r="41" spans="1:16">
      <c r="A41" s="401" t="s">
        <v>923</v>
      </c>
      <c r="B41" s="417">
        <v>6</v>
      </c>
      <c r="C41" s="418">
        <v>0</v>
      </c>
      <c r="D41" s="418">
        <v>0</v>
      </c>
      <c r="E41" s="419" t="s">
        <v>450</v>
      </c>
      <c r="F41" s="420">
        <v>0</v>
      </c>
      <c r="G41" s="421"/>
      <c r="H41" s="422">
        <v>0</v>
      </c>
      <c r="I41" s="418">
        <v>0</v>
      </c>
      <c r="J41" s="418">
        <v>0</v>
      </c>
      <c r="K41" s="423">
        <v>0</v>
      </c>
      <c r="L41" s="424"/>
      <c r="M41" s="425">
        <v>0</v>
      </c>
      <c r="N41" s="418">
        <v>0</v>
      </c>
      <c r="O41" s="418">
        <v>0</v>
      </c>
      <c r="P41" s="423">
        <v>0</v>
      </c>
    </row>
    <row r="42" spans="1:16">
      <c r="A42" s="401" t="s">
        <v>924</v>
      </c>
      <c r="B42" s="417">
        <v>8</v>
      </c>
      <c r="C42" s="418">
        <v>0</v>
      </c>
      <c r="D42" s="418">
        <v>0</v>
      </c>
      <c r="E42" s="419" t="s">
        <v>450</v>
      </c>
      <c r="F42" s="420">
        <v>0</v>
      </c>
      <c r="G42" s="421"/>
      <c r="H42" s="422">
        <v>0</v>
      </c>
      <c r="I42" s="418">
        <v>0</v>
      </c>
      <c r="J42" s="418">
        <v>0</v>
      </c>
      <c r="K42" s="423">
        <v>0</v>
      </c>
      <c r="L42" s="424"/>
      <c r="M42" s="425">
        <v>0</v>
      </c>
      <c r="N42" s="418">
        <v>0</v>
      </c>
      <c r="O42" s="418">
        <v>0</v>
      </c>
      <c r="P42" s="423">
        <v>0</v>
      </c>
    </row>
    <row r="43" spans="1:16">
      <c r="A43" s="401" t="s">
        <v>925</v>
      </c>
      <c r="B43" s="417">
        <v>10</v>
      </c>
      <c r="C43" s="418">
        <v>0.90000000000000036</v>
      </c>
      <c r="D43" s="418">
        <v>1.2100000000000002</v>
      </c>
      <c r="E43" s="419">
        <v>1.3444444444444441</v>
      </c>
      <c r="F43" s="420">
        <v>1.21</v>
      </c>
      <c r="G43" s="421"/>
      <c r="H43" s="422">
        <v>0.05</v>
      </c>
      <c r="I43" s="418">
        <v>0.64000000000000024</v>
      </c>
      <c r="J43" s="418">
        <v>0.15999999999999998</v>
      </c>
      <c r="K43" s="423">
        <v>0.05</v>
      </c>
      <c r="L43" s="424"/>
      <c r="M43" s="425">
        <v>0.03</v>
      </c>
      <c r="N43" s="418">
        <v>1.0900000000000001</v>
      </c>
      <c r="O43" s="418">
        <v>0.09</v>
      </c>
      <c r="P43" s="423">
        <v>0</v>
      </c>
    </row>
    <row r="44" spans="1:16">
      <c r="A44" s="401" t="s">
        <v>926</v>
      </c>
      <c r="B44" s="417">
        <v>11.6</v>
      </c>
      <c r="C44" s="418">
        <v>0</v>
      </c>
      <c r="D44" s="418">
        <v>0</v>
      </c>
      <c r="E44" s="419" t="s">
        <v>450</v>
      </c>
      <c r="F44" s="420">
        <v>0</v>
      </c>
      <c r="G44" s="421"/>
      <c r="H44" s="422">
        <v>0</v>
      </c>
      <c r="I44" s="418">
        <v>0</v>
      </c>
      <c r="J44" s="418">
        <v>0</v>
      </c>
      <c r="K44" s="423">
        <v>0</v>
      </c>
      <c r="L44" s="424"/>
      <c r="M44" s="425">
        <v>0</v>
      </c>
      <c r="N44" s="418">
        <v>0</v>
      </c>
      <c r="O44" s="418">
        <v>0</v>
      </c>
      <c r="P44" s="423">
        <v>0</v>
      </c>
    </row>
    <row r="45" spans="1:16">
      <c r="A45" s="401" t="s">
        <v>927</v>
      </c>
      <c r="B45" s="417">
        <v>12</v>
      </c>
      <c r="C45" s="418">
        <v>0</v>
      </c>
      <c r="D45" s="418">
        <v>0</v>
      </c>
      <c r="E45" s="419" t="s">
        <v>450</v>
      </c>
      <c r="F45" s="420">
        <v>0</v>
      </c>
      <c r="G45" s="421"/>
      <c r="H45" s="422">
        <v>0</v>
      </c>
      <c r="I45" s="418">
        <v>0</v>
      </c>
      <c r="J45" s="418">
        <v>0</v>
      </c>
      <c r="K45" s="423">
        <v>0</v>
      </c>
      <c r="L45" s="424"/>
      <c r="M45" s="425">
        <v>0</v>
      </c>
      <c r="N45" s="418">
        <v>0</v>
      </c>
      <c r="O45" s="418">
        <v>0</v>
      </c>
      <c r="P45" s="423">
        <v>0</v>
      </c>
    </row>
    <row r="46" spans="1:16">
      <c r="A46" s="401" t="s">
        <v>928</v>
      </c>
      <c r="B46" s="417">
        <v>14</v>
      </c>
      <c r="C46" s="418">
        <v>0</v>
      </c>
      <c r="D46" s="418">
        <v>0</v>
      </c>
      <c r="E46" s="419" t="s">
        <v>450</v>
      </c>
      <c r="F46" s="420">
        <v>0</v>
      </c>
      <c r="G46" s="421"/>
      <c r="H46" s="422">
        <v>0</v>
      </c>
      <c r="I46" s="418">
        <v>0</v>
      </c>
      <c r="J46" s="418">
        <v>0</v>
      </c>
      <c r="K46" s="423">
        <v>0</v>
      </c>
      <c r="L46" s="424"/>
      <c r="M46" s="425">
        <v>0</v>
      </c>
      <c r="N46" s="418">
        <v>0</v>
      </c>
      <c r="O46" s="418">
        <v>0</v>
      </c>
      <c r="P46" s="423">
        <v>0</v>
      </c>
    </row>
    <row r="47" spans="1:16">
      <c r="A47" s="401" t="s">
        <v>929</v>
      </c>
      <c r="B47" s="417">
        <v>16</v>
      </c>
      <c r="C47" s="418">
        <v>0</v>
      </c>
      <c r="D47" s="418">
        <v>0</v>
      </c>
      <c r="E47" s="419" t="s">
        <v>450</v>
      </c>
      <c r="F47" s="420">
        <v>0</v>
      </c>
      <c r="G47" s="421"/>
      <c r="H47" s="422">
        <v>0</v>
      </c>
      <c r="I47" s="418">
        <v>0</v>
      </c>
      <c r="J47" s="418">
        <v>0</v>
      </c>
      <c r="K47" s="423">
        <v>0</v>
      </c>
      <c r="L47" s="424"/>
      <c r="M47" s="425">
        <v>0</v>
      </c>
      <c r="N47" s="418">
        <v>0</v>
      </c>
      <c r="O47" s="418">
        <v>0</v>
      </c>
      <c r="P47" s="423">
        <v>0</v>
      </c>
    </row>
    <row r="48" spans="1:16">
      <c r="A48" s="401" t="s">
        <v>930</v>
      </c>
      <c r="B48" s="417">
        <v>20</v>
      </c>
      <c r="C48" s="418">
        <v>1.8600000000000008</v>
      </c>
      <c r="D48" s="418">
        <v>0.60000000000000009</v>
      </c>
      <c r="E48" s="419">
        <v>0.32258064516129026</v>
      </c>
      <c r="F48" s="420">
        <v>0.6000000000000002</v>
      </c>
      <c r="G48" s="421"/>
      <c r="H48" s="422">
        <v>0.62000000000000022</v>
      </c>
      <c r="I48" s="418">
        <v>1.1800000000000006</v>
      </c>
      <c r="J48" s="418">
        <v>0.02</v>
      </c>
      <c r="K48" s="423">
        <v>0.04</v>
      </c>
      <c r="L48" s="424"/>
      <c r="M48" s="425">
        <v>0.18</v>
      </c>
      <c r="N48" s="418">
        <v>0.42000000000000004</v>
      </c>
      <c r="O48" s="418">
        <v>0</v>
      </c>
      <c r="P48" s="423">
        <v>0</v>
      </c>
    </row>
    <row r="49" spans="1:16">
      <c r="A49" s="401" t="s">
        <v>931</v>
      </c>
      <c r="B49" s="417">
        <v>31.1</v>
      </c>
      <c r="C49" s="418">
        <v>0</v>
      </c>
      <c r="D49" s="418">
        <v>0</v>
      </c>
      <c r="E49" s="419" t="s">
        <v>450</v>
      </c>
      <c r="F49" s="420">
        <v>0</v>
      </c>
      <c r="G49" s="421"/>
      <c r="H49" s="422">
        <v>0</v>
      </c>
      <c r="I49" s="418">
        <v>0</v>
      </c>
      <c r="J49" s="418">
        <v>0</v>
      </c>
      <c r="K49" s="423">
        <v>0</v>
      </c>
      <c r="L49" s="424"/>
      <c r="M49" s="425">
        <v>0</v>
      </c>
      <c r="N49" s="418">
        <v>0</v>
      </c>
      <c r="O49" s="418">
        <v>0</v>
      </c>
      <c r="P49" s="423">
        <v>0</v>
      </c>
    </row>
    <row r="50" spans="1:16">
      <c r="A50" s="401" t="s">
        <v>932</v>
      </c>
      <c r="B50" s="417">
        <v>50</v>
      </c>
      <c r="C50" s="418">
        <v>15.950000000000033</v>
      </c>
      <c r="D50" s="418">
        <v>3.4000000000000012</v>
      </c>
      <c r="E50" s="419">
        <v>0.2131661442006266</v>
      </c>
      <c r="F50" s="420">
        <v>3.3999999999999964</v>
      </c>
      <c r="G50" s="421"/>
      <c r="H50" s="422">
        <v>2.4</v>
      </c>
      <c r="I50" s="418">
        <v>12.850000000000033</v>
      </c>
      <c r="J50" s="418">
        <v>0.6</v>
      </c>
      <c r="K50" s="423">
        <v>0.1</v>
      </c>
      <c r="L50" s="424"/>
      <c r="M50" s="425">
        <v>1.7000000000000008</v>
      </c>
      <c r="N50" s="418">
        <v>1.6500000000000008</v>
      </c>
      <c r="O50" s="418">
        <v>0</v>
      </c>
      <c r="P50" s="423">
        <v>0.05</v>
      </c>
    </row>
    <row r="51" spans="1:16">
      <c r="A51" s="401" t="s">
        <v>933</v>
      </c>
      <c r="B51" s="417">
        <v>58.3</v>
      </c>
      <c r="C51" s="418">
        <v>0</v>
      </c>
      <c r="D51" s="418">
        <v>0</v>
      </c>
      <c r="E51" s="419" t="s">
        <v>450</v>
      </c>
      <c r="F51" s="420">
        <v>0</v>
      </c>
      <c r="G51" s="421"/>
      <c r="H51" s="422">
        <v>0</v>
      </c>
      <c r="I51" s="418">
        <v>0</v>
      </c>
      <c r="J51" s="418">
        <v>0</v>
      </c>
      <c r="K51" s="423">
        <v>0</v>
      </c>
      <c r="L51" s="424"/>
      <c r="M51" s="425">
        <v>0</v>
      </c>
      <c r="N51" s="418">
        <v>0</v>
      </c>
      <c r="O51" s="418">
        <v>0</v>
      </c>
      <c r="P51" s="423">
        <v>0</v>
      </c>
    </row>
    <row r="52" spans="1:16">
      <c r="A52" s="401" t="s">
        <v>934</v>
      </c>
      <c r="B52" s="417">
        <v>100</v>
      </c>
      <c r="C52" s="418">
        <v>6.4999999999999973</v>
      </c>
      <c r="D52" s="418">
        <v>1.7</v>
      </c>
      <c r="E52" s="419">
        <v>0.26153846153846166</v>
      </c>
      <c r="F52" s="420">
        <v>1.7000000000000004</v>
      </c>
      <c r="G52" s="421"/>
      <c r="H52" s="422">
        <v>0.5</v>
      </c>
      <c r="I52" s="418">
        <v>5.2999999999999972</v>
      </c>
      <c r="J52" s="418">
        <v>0.4</v>
      </c>
      <c r="K52" s="423">
        <v>0.30000000000000004</v>
      </c>
      <c r="L52" s="424"/>
      <c r="M52" s="425">
        <v>0.5</v>
      </c>
      <c r="N52" s="418">
        <v>1.0999999999999999</v>
      </c>
      <c r="O52" s="418">
        <v>0.1</v>
      </c>
      <c r="P52" s="423">
        <v>0</v>
      </c>
    </row>
    <row r="53" spans="1:16">
      <c r="A53" s="401" t="s">
        <v>935</v>
      </c>
      <c r="B53" s="417">
        <v>250</v>
      </c>
      <c r="C53" s="418">
        <v>1.75</v>
      </c>
      <c r="D53" s="418">
        <v>1</v>
      </c>
      <c r="E53" s="419">
        <v>0.5714285714285714</v>
      </c>
      <c r="F53" s="420">
        <v>1</v>
      </c>
      <c r="G53" s="421"/>
      <c r="H53" s="422">
        <v>0.5</v>
      </c>
      <c r="I53" s="418">
        <v>1</v>
      </c>
      <c r="J53" s="418">
        <v>0</v>
      </c>
      <c r="K53" s="423">
        <v>0.25</v>
      </c>
      <c r="L53" s="424"/>
      <c r="M53" s="425">
        <v>0</v>
      </c>
      <c r="N53" s="418">
        <v>1</v>
      </c>
      <c r="O53" s="418">
        <v>0</v>
      </c>
      <c r="P53" s="423">
        <v>0</v>
      </c>
    </row>
    <row r="54" spans="1:16">
      <c r="A54" s="401" t="s">
        <v>936</v>
      </c>
      <c r="B54" s="417">
        <v>500</v>
      </c>
      <c r="C54" s="418">
        <v>4.5</v>
      </c>
      <c r="D54" s="418">
        <v>1</v>
      </c>
      <c r="E54" s="419">
        <v>0.22222222222222221</v>
      </c>
      <c r="F54" s="420">
        <v>1</v>
      </c>
      <c r="G54" s="421"/>
      <c r="H54" s="422">
        <v>0</v>
      </c>
      <c r="I54" s="418">
        <v>3</v>
      </c>
      <c r="J54" s="418">
        <v>0</v>
      </c>
      <c r="K54" s="423">
        <v>1.5</v>
      </c>
      <c r="L54" s="424"/>
      <c r="M54" s="425">
        <v>0.5</v>
      </c>
      <c r="N54" s="418">
        <v>0.5</v>
      </c>
      <c r="O54" s="418">
        <v>0</v>
      </c>
      <c r="P54" s="423">
        <v>0</v>
      </c>
    </row>
    <row r="55" spans="1:16">
      <c r="A55" s="401" t="s">
        <v>937</v>
      </c>
      <c r="B55" s="417">
        <v>1000</v>
      </c>
      <c r="C55" s="418">
        <v>7</v>
      </c>
      <c r="D55" s="418">
        <v>4</v>
      </c>
      <c r="E55" s="419">
        <v>0.5714285714285714</v>
      </c>
      <c r="F55" s="420">
        <v>4</v>
      </c>
      <c r="G55" s="421"/>
      <c r="H55" s="422">
        <v>3</v>
      </c>
      <c r="I55" s="418">
        <v>2</v>
      </c>
      <c r="J55" s="418">
        <v>0</v>
      </c>
      <c r="K55" s="423">
        <v>2</v>
      </c>
      <c r="L55" s="424"/>
      <c r="M55" s="425">
        <v>2</v>
      </c>
      <c r="N55" s="418">
        <v>2</v>
      </c>
      <c r="O55" s="418">
        <v>0</v>
      </c>
      <c r="P55" s="423">
        <v>0</v>
      </c>
    </row>
    <row r="56" spans="1:16" ht="15" thickBot="1">
      <c r="B56" s="428" t="s">
        <v>58</v>
      </c>
      <c r="C56" s="429">
        <v>38.60000000000003</v>
      </c>
      <c r="D56" s="429">
        <v>12.935000000000002</v>
      </c>
      <c r="E56" s="448">
        <v>0.335103626943005</v>
      </c>
      <c r="F56" s="449">
        <v>12.934999999999995</v>
      </c>
      <c r="G56" s="431"/>
      <c r="H56" s="432">
        <v>7.07</v>
      </c>
      <c r="I56" s="429">
        <v>26.110000000000031</v>
      </c>
      <c r="J56" s="429">
        <v>1.18</v>
      </c>
      <c r="K56" s="433">
        <v>4.24</v>
      </c>
      <c r="L56" s="429"/>
      <c r="M56" s="450">
        <v>4.9250000000000007</v>
      </c>
      <c r="N56" s="429">
        <v>7.7700000000000005</v>
      </c>
      <c r="O56" s="429">
        <v>0.19</v>
      </c>
      <c r="P56" s="433">
        <v>0.05</v>
      </c>
    </row>
    <row r="60" spans="1:16">
      <c r="M60" s="451"/>
    </row>
    <row r="63" spans="1:16">
      <c r="M63" s="451"/>
    </row>
    <row r="65" spans="13:13">
      <c r="M65" s="451"/>
    </row>
  </sheetData>
  <mergeCells count="8">
    <mergeCell ref="C30:F30"/>
    <mergeCell ref="H30:K30"/>
    <mergeCell ref="M30:P30"/>
    <mergeCell ref="F1:P1"/>
    <mergeCell ref="F29:P29"/>
    <mergeCell ref="C2:F2"/>
    <mergeCell ref="H2:K2"/>
    <mergeCell ref="M2:P2"/>
  </mergeCells>
  <conditionalFormatting sqref="H4:K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{FFF03F4B-7373-48D8-9D0F-B805E1E22711}</x14:id>
        </ext>
      </extLst>
    </cfRule>
  </conditionalFormatting>
  <conditionalFormatting sqref="H5:K28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{0A891E4C-1F35-4ADB-8AAD-37949752910D}</x14:id>
        </ext>
      </extLst>
    </cfRule>
  </conditionalFormatting>
  <conditionalFormatting sqref="H32:K3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{687DDC2D-B3FD-4068-9262-0AC24ECA0C0B}</x14:id>
        </ext>
      </extLst>
    </cfRule>
  </conditionalFormatting>
  <conditionalFormatting sqref="H33:K5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{F99885D5-2F87-4E8D-9463-A049EA453AC2}</x14:id>
        </ext>
      </extLst>
    </cfRule>
  </conditionalFormatting>
  <conditionalFormatting sqref="M4:P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{4ECF2E53-B481-4722-9C9D-85166C80D7B6}</x14:id>
        </ext>
      </extLst>
    </cfRule>
  </conditionalFormatting>
  <conditionalFormatting sqref="M5:P27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{C3723E3E-AA2B-4F83-B8A7-F6E6D43AD7B1}</x14:id>
        </ext>
      </extLst>
    </cfRule>
  </conditionalFormatting>
  <conditionalFormatting sqref="M28:P2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{90A27FA3-875D-4740-B771-7945E8456143}</x14:id>
        </ext>
      </extLst>
    </cfRule>
  </conditionalFormatting>
  <conditionalFormatting sqref="M32:P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{FF94E306-7A61-4E45-A8CB-412D661F4EEB}</x14:id>
        </ext>
      </extLst>
    </cfRule>
  </conditionalFormatting>
  <conditionalFormatting sqref="M33:P5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{BB95EE1E-4321-484A-ADB6-D29524F74391}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F03F4B-7373-48D8-9D0F-B805E1E227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H4:K4</xm:sqref>
        </x14:conditionalFormatting>
        <x14:conditionalFormatting xmlns:xm="http://schemas.microsoft.com/office/excel/2006/main">
          <x14:cfRule type="dataBar" id="{0A891E4C-1F35-4ADB-8AAD-3794975291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H5:K28</xm:sqref>
        </x14:conditionalFormatting>
        <x14:conditionalFormatting xmlns:xm="http://schemas.microsoft.com/office/excel/2006/main">
          <x14:cfRule type="dataBar" id="{687DDC2D-B3FD-4068-9262-0AC24ECA0C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H32:K32</xm:sqref>
        </x14:conditionalFormatting>
        <x14:conditionalFormatting xmlns:xm="http://schemas.microsoft.com/office/excel/2006/main">
          <x14:cfRule type="dataBar" id="{F99885D5-2F87-4E8D-9463-A049EA453A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H33:K56</xm:sqref>
        </x14:conditionalFormatting>
        <x14:conditionalFormatting xmlns:xm="http://schemas.microsoft.com/office/excel/2006/main">
          <x14:cfRule type="dataBar" id="{4ECF2E53-B481-4722-9C9D-85166C80D7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M4:P4</xm:sqref>
        </x14:conditionalFormatting>
        <x14:conditionalFormatting xmlns:xm="http://schemas.microsoft.com/office/excel/2006/main">
          <x14:cfRule type="dataBar" id="{C3723E3E-AA2B-4F83-B8A7-F6E6D43AD7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M5:P27</xm:sqref>
        </x14:conditionalFormatting>
        <x14:conditionalFormatting xmlns:xm="http://schemas.microsoft.com/office/excel/2006/main">
          <x14:cfRule type="dataBar" id="{90A27FA3-875D-4740-B771-7945E8456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M28:P28</xm:sqref>
        </x14:conditionalFormatting>
        <x14:conditionalFormatting xmlns:xm="http://schemas.microsoft.com/office/excel/2006/main">
          <x14:cfRule type="dataBar" id="{FF94E306-7A61-4E45-A8CB-412D661F4E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M32:P32</xm:sqref>
        </x14:conditionalFormatting>
        <x14:conditionalFormatting xmlns:xm="http://schemas.microsoft.com/office/excel/2006/main">
          <x14:cfRule type="dataBar" id="{BB95EE1E-4321-484A-ADB6-D29524F743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M33:P56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0A61-5C29-4596-A006-E84D324B7A84}">
  <dimension ref="B2:H16"/>
  <sheetViews>
    <sheetView workbookViewId="0">
      <selection activeCell="B2" sqref="B2"/>
    </sheetView>
  </sheetViews>
  <sheetFormatPr defaultColWidth="8.7109375" defaultRowHeight="14.45"/>
  <cols>
    <col min="1" max="1" width="1" style="402" customWidth="1"/>
    <col min="2" max="2" width="11.42578125" style="452" bestFit="1" customWidth="1"/>
    <col min="3" max="3" width="9.5703125" style="453" bestFit="1" customWidth="1"/>
    <col min="4" max="4" width="8.7109375" style="453"/>
    <col min="5" max="5" width="11.140625" style="454" bestFit="1" customWidth="1"/>
    <col min="6" max="6" width="12.140625" style="454" bestFit="1" customWidth="1"/>
    <col min="7" max="7" width="8.85546875" style="455" bestFit="1" customWidth="1"/>
    <col min="8" max="8" width="9" style="455" bestFit="1" customWidth="1"/>
    <col min="9" max="16384" width="8.7109375" style="402"/>
  </cols>
  <sheetData>
    <row r="2" spans="2:8" ht="15" thickBot="1"/>
    <row r="3" spans="2:8" ht="15" customHeight="1">
      <c r="B3" s="456">
        <v>45810</v>
      </c>
      <c r="C3" s="745" t="s">
        <v>939</v>
      </c>
      <c r="D3" s="746"/>
      <c r="E3" s="745" t="s">
        <v>940</v>
      </c>
      <c r="F3" s="746"/>
      <c r="G3" s="747" t="s">
        <v>941</v>
      </c>
      <c r="H3" s="748"/>
    </row>
    <row r="4" spans="2:8">
      <c r="B4" s="457" t="s">
        <v>942</v>
      </c>
      <c r="C4" s="458" t="s">
        <v>943</v>
      </c>
      <c r="D4" s="459" t="s">
        <v>944</v>
      </c>
      <c r="E4" s="460" t="s">
        <v>943</v>
      </c>
      <c r="F4" s="461" t="s">
        <v>944</v>
      </c>
      <c r="G4" s="462" t="s">
        <v>943</v>
      </c>
      <c r="H4" s="463" t="s">
        <v>944</v>
      </c>
    </row>
    <row r="5" spans="2:8">
      <c r="B5" s="464" t="s">
        <v>945</v>
      </c>
      <c r="C5" s="465">
        <v>95.290322580645167</v>
      </c>
      <c r="D5" s="466">
        <v>35.064516129032256</v>
      </c>
      <c r="E5" s="467">
        <v>435.24080000000009</v>
      </c>
      <c r="F5" s="468">
        <v>4500.1612903225805</v>
      </c>
      <c r="G5" s="469">
        <v>4.567523628977658</v>
      </c>
      <c r="H5" s="470">
        <v>128.33946642134316</v>
      </c>
    </row>
    <row r="6" spans="2:8">
      <c r="B6" s="464" t="s">
        <v>946</v>
      </c>
      <c r="C6" s="465">
        <v>131.5</v>
      </c>
      <c r="D6" s="465">
        <v>77.7</v>
      </c>
      <c r="E6" s="467">
        <v>614.95579999999995</v>
      </c>
      <c r="F6" s="471">
        <v>9602.5876516666667</v>
      </c>
      <c r="G6" s="469">
        <v>4.6764699619771859</v>
      </c>
      <c r="H6" s="470">
        <v>123.58542666237666</v>
      </c>
    </row>
    <row r="7" spans="2:8">
      <c r="B7" s="464" t="s">
        <v>947</v>
      </c>
      <c r="C7" s="465">
        <v>124.90322580645162</v>
      </c>
      <c r="D7" s="465">
        <v>51.645161290322584</v>
      </c>
      <c r="E7" s="467">
        <v>495.90047258064527</v>
      </c>
      <c r="F7" s="471">
        <v>5874.3548387096771</v>
      </c>
      <c r="G7" s="469">
        <v>3.9702775439049596</v>
      </c>
      <c r="H7" s="470">
        <v>113.74453466583384</v>
      </c>
    </row>
    <row r="8" spans="2:8">
      <c r="B8" s="472" t="s">
        <v>948</v>
      </c>
      <c r="C8" s="473">
        <v>110</v>
      </c>
      <c r="D8" s="473">
        <v>66.5</v>
      </c>
      <c r="E8" s="473">
        <v>457.16670000000005</v>
      </c>
      <c r="F8" s="473">
        <v>6467.5</v>
      </c>
      <c r="G8" s="474">
        <v>4.1560609090909093</v>
      </c>
      <c r="H8" s="475">
        <v>97.255639097744364</v>
      </c>
    </row>
    <row r="9" spans="2:8">
      <c r="B9" s="476">
        <v>45810</v>
      </c>
      <c r="C9" s="477">
        <v>220</v>
      </c>
      <c r="D9" s="478">
        <v>133</v>
      </c>
      <c r="E9" s="479">
        <v>914.3334000000001</v>
      </c>
      <c r="F9" s="479">
        <v>12935</v>
      </c>
      <c r="G9" s="480">
        <v>4.1560609090909093</v>
      </c>
      <c r="H9" s="481">
        <v>97.255639097744364</v>
      </c>
    </row>
    <row r="10" spans="2:8" ht="15" thickBot="1">
      <c r="B10" s="482" t="s">
        <v>949</v>
      </c>
      <c r="C10" s="483">
        <v>220</v>
      </c>
      <c r="D10" s="484">
        <v>133</v>
      </c>
      <c r="E10" s="485">
        <v>914.3334000000001</v>
      </c>
      <c r="F10" s="485">
        <v>12935</v>
      </c>
      <c r="G10" s="486">
        <v>4.1560609090909093</v>
      </c>
      <c r="H10" s="487">
        <v>97.255639097744364</v>
      </c>
    </row>
    <row r="11" spans="2:8" hidden="1"/>
    <row r="12" spans="2:8" hidden="1">
      <c r="B12" s="488" t="s">
        <v>950</v>
      </c>
      <c r="C12" s="489"/>
      <c r="D12" s="489"/>
      <c r="E12" s="490">
        <v>-1.8996665999999995</v>
      </c>
      <c r="F12" s="490">
        <v>-24.645000000000039</v>
      </c>
      <c r="G12" s="491">
        <v>-0.77213523801936024</v>
      </c>
      <c r="H12" s="491">
        <v>-21.293256801309496</v>
      </c>
    </row>
    <row r="13" spans="2:8" hidden="1">
      <c r="E13" s="454">
        <v>13.849333399999999</v>
      </c>
    </row>
    <row r="14" spans="2:8" hidden="1">
      <c r="E14" s="454" t="e">
        <v>#REF!</v>
      </c>
    </row>
    <row r="16" spans="2:8">
      <c r="E16" s="453"/>
      <c r="F16" s="453"/>
      <c r="G16" s="492"/>
    </row>
  </sheetData>
  <mergeCells count="3">
    <mergeCell ref="C3:D3"/>
    <mergeCell ref="E3:F3"/>
    <mergeCell ref="G3:H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AE24-49FC-47FC-950B-4704F3052868}">
  <dimension ref="A1:U14"/>
  <sheetViews>
    <sheetView showGridLines="0" workbookViewId="0">
      <selection activeCell="G10" sqref="G10"/>
    </sheetView>
  </sheetViews>
  <sheetFormatPr defaultColWidth="9.140625" defaultRowHeight="12.95"/>
  <cols>
    <col min="1" max="1" width="5.85546875" style="497" bestFit="1" customWidth="1"/>
    <col min="2" max="3" width="11.42578125" style="497" bestFit="1" customWidth="1"/>
    <col min="4" max="4" width="5.85546875" style="497" bestFit="1" customWidth="1"/>
    <col min="5" max="5" width="5.5703125" style="498" bestFit="1" customWidth="1"/>
    <col min="6" max="6" width="5.7109375" style="498" bestFit="1" customWidth="1"/>
    <col min="7" max="7" width="11.140625" style="497" bestFit="1" customWidth="1"/>
    <col min="8" max="9" width="5.85546875" style="497" bestFit="1" customWidth="1"/>
    <col min="10" max="10" width="1.85546875" style="497" customWidth="1"/>
    <col min="11" max="11" width="11.42578125" style="497" bestFit="1" customWidth="1"/>
    <col min="12" max="13" width="5.85546875" style="497" bestFit="1" customWidth="1"/>
    <col min="14" max="14" width="5.7109375" style="497" bestFit="1" customWidth="1"/>
    <col min="15" max="15" width="11.140625" style="497" bestFit="1" customWidth="1"/>
    <col min="16" max="17" width="7" style="497" bestFit="1" customWidth="1"/>
    <col min="18" max="18" width="14" style="497" bestFit="1" customWidth="1"/>
    <col min="19" max="19" width="9.140625" style="496"/>
    <col min="20" max="16384" width="9.140625" style="493"/>
  </cols>
  <sheetData>
    <row r="1" spans="1:21">
      <c r="A1" s="493"/>
      <c r="B1" s="494"/>
      <c r="C1" s="494"/>
      <c r="D1" s="493"/>
      <c r="E1" s="495"/>
      <c r="F1" s="495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</row>
    <row r="2" spans="1:21">
      <c r="C2" s="494"/>
      <c r="D2" s="493"/>
      <c r="H2" s="493"/>
      <c r="I2" s="493"/>
    </row>
    <row r="3" spans="1:21">
      <c r="B3" s="499">
        <v>45810</v>
      </c>
      <c r="C3" s="500"/>
      <c r="D3" s="498"/>
      <c r="F3" s="497"/>
      <c r="K3" s="501"/>
      <c r="M3" s="498"/>
    </row>
    <row r="4" spans="1:21">
      <c r="B4" s="749" t="s">
        <v>500</v>
      </c>
      <c r="C4" s="751" t="s">
        <v>951</v>
      </c>
      <c r="D4" s="752"/>
      <c r="E4" s="752"/>
      <c r="F4" s="752"/>
      <c r="G4" s="752"/>
      <c r="H4" s="752"/>
      <c r="I4" s="753"/>
      <c r="K4" s="754" t="s">
        <v>952</v>
      </c>
      <c r="L4" s="755"/>
      <c r="M4" s="755"/>
      <c r="N4" s="755"/>
      <c r="O4" s="755"/>
      <c r="P4" s="755"/>
      <c r="Q4" s="756"/>
    </row>
    <row r="5" spans="1:21">
      <c r="B5" s="750"/>
      <c r="C5" s="502" t="s">
        <v>953</v>
      </c>
      <c r="D5" s="502" t="s">
        <v>954</v>
      </c>
      <c r="E5" s="503" t="s">
        <v>907</v>
      </c>
      <c r="F5" s="504" t="s">
        <v>955</v>
      </c>
      <c r="G5" s="505" t="s">
        <v>956</v>
      </c>
      <c r="H5" s="503" t="s">
        <v>957</v>
      </c>
      <c r="I5" s="505" t="s">
        <v>958</v>
      </c>
      <c r="K5" s="502" t="s">
        <v>953</v>
      </c>
      <c r="L5" s="502" t="s">
        <v>954</v>
      </c>
      <c r="M5" s="503" t="s">
        <v>907</v>
      </c>
      <c r="N5" s="504" t="s">
        <v>955</v>
      </c>
      <c r="O5" s="505" t="s">
        <v>956</v>
      </c>
      <c r="P5" s="503" t="s">
        <v>957</v>
      </c>
      <c r="Q5" s="505" t="s">
        <v>958</v>
      </c>
    </row>
    <row r="6" spans="1:21">
      <c r="B6" s="506" t="s">
        <v>959</v>
      </c>
      <c r="C6" s="507">
        <v>2.6985294117647074</v>
      </c>
      <c r="D6" s="507">
        <v>2.3000000000000007E-2</v>
      </c>
      <c r="E6" s="508">
        <v>0.41600000000000015</v>
      </c>
      <c r="F6" s="508">
        <v>0.18350000000000008</v>
      </c>
      <c r="G6" s="509">
        <v>0.44110576923076927</v>
      </c>
      <c r="H6" s="508">
        <v>102.27500000000202</v>
      </c>
      <c r="I6" s="510">
        <v>53.940999999998944</v>
      </c>
      <c r="K6" s="507">
        <v>86.403508771929708</v>
      </c>
      <c r="L6" s="507">
        <v>0.47</v>
      </c>
      <c r="M6" s="508">
        <v>7.07</v>
      </c>
      <c r="N6" s="508">
        <v>4.9250000000000007</v>
      </c>
      <c r="O6" s="509">
        <v>0.69660537482319673</v>
      </c>
      <c r="P6" s="508">
        <v>568.22799999999722</v>
      </c>
      <c r="Q6" s="510">
        <v>733.02999999999759</v>
      </c>
    </row>
    <row r="7" spans="1:21">
      <c r="B7" s="506" t="s">
        <v>960</v>
      </c>
      <c r="C7" s="507">
        <v>7.026571014492756</v>
      </c>
      <c r="D7" s="507"/>
      <c r="E7" s="508">
        <v>1.5490000000000008</v>
      </c>
      <c r="F7" s="508">
        <v>0.48483339999999997</v>
      </c>
      <c r="G7" s="509">
        <v>0.31299767591994815</v>
      </c>
      <c r="H7" s="508">
        <v>42.130999999999702</v>
      </c>
      <c r="I7" s="510">
        <v>73.361595599999305</v>
      </c>
      <c r="K7" s="507">
        <v>107.91666666666654</v>
      </c>
      <c r="L7" s="507"/>
      <c r="M7" s="508">
        <v>26.110000000000031</v>
      </c>
      <c r="N7" s="508">
        <v>7.7700000000000005</v>
      </c>
      <c r="O7" s="509">
        <v>0.29758713136729187</v>
      </c>
      <c r="P7" s="508">
        <v>566.39199999999892</v>
      </c>
      <c r="Q7" s="510">
        <v>1033.4499999999985</v>
      </c>
    </row>
    <row r="8" spans="1:21">
      <c r="B8" s="506" t="s">
        <v>311</v>
      </c>
      <c r="C8" s="507">
        <v>3.2727272727272734</v>
      </c>
      <c r="D8" s="507"/>
      <c r="E8" s="508">
        <v>1.8000000000000002E-2</v>
      </c>
      <c r="F8" s="508">
        <v>3.5999999999999997E-2</v>
      </c>
      <c r="G8" s="509">
        <v>1.9999999999999996</v>
      </c>
      <c r="H8" s="508">
        <v>9.1450000000000014</v>
      </c>
      <c r="I8" s="510">
        <v>32.060999999999268</v>
      </c>
      <c r="K8" s="507">
        <v>63.333333333333336</v>
      </c>
      <c r="L8" s="507"/>
      <c r="M8" s="508">
        <v>1.18</v>
      </c>
      <c r="N8" s="508">
        <v>0.19</v>
      </c>
      <c r="O8" s="509">
        <v>0.16101694915254239</v>
      </c>
      <c r="P8" s="508">
        <v>42.471999999999944</v>
      </c>
      <c r="Q8" s="510">
        <v>110.61000000000008</v>
      </c>
    </row>
    <row r="9" spans="1:21">
      <c r="B9" s="506" t="s">
        <v>961</v>
      </c>
      <c r="C9" s="507">
        <v>2.9166666666666687</v>
      </c>
      <c r="D9" s="507">
        <v>8.4000000000000061E-2</v>
      </c>
      <c r="E9" s="508">
        <v>0.64800000000000035</v>
      </c>
      <c r="F9" s="508">
        <v>0.21000000000000008</v>
      </c>
      <c r="G9" s="509">
        <v>0.32407407407407401</v>
      </c>
      <c r="H9" s="508">
        <v>8.6649999999999512</v>
      </c>
      <c r="I9" s="510">
        <v>11.692999999999948</v>
      </c>
      <c r="K9" s="507">
        <v>50</v>
      </c>
      <c r="L9" s="507">
        <v>0.25</v>
      </c>
      <c r="M9" s="508">
        <v>4.24</v>
      </c>
      <c r="N9" s="508">
        <v>0.05</v>
      </c>
      <c r="O9" s="509">
        <v>1.179245283018868E-2</v>
      </c>
      <c r="P9" s="508">
        <v>41.587999999999973</v>
      </c>
      <c r="Q9" s="510">
        <v>63.660000000000025</v>
      </c>
    </row>
    <row r="10" spans="1:21">
      <c r="B10" s="511" t="s">
        <v>58</v>
      </c>
      <c r="C10" s="512">
        <v>4.1560609090909129</v>
      </c>
      <c r="D10" s="512">
        <v>0.10700000000000007</v>
      </c>
      <c r="E10" s="513">
        <v>2.6310000000000011</v>
      </c>
      <c r="F10" s="513">
        <v>0.91433340000000018</v>
      </c>
      <c r="G10" s="514">
        <v>0.34752314709236026</v>
      </c>
      <c r="H10" s="513">
        <v>162.21600000000169</v>
      </c>
      <c r="I10" s="512">
        <v>171.05659559999748</v>
      </c>
      <c r="K10" s="515">
        <v>97.255639097744321</v>
      </c>
      <c r="L10" s="515">
        <v>0.72</v>
      </c>
      <c r="M10" s="513">
        <v>38.600000000000037</v>
      </c>
      <c r="N10" s="513">
        <v>12.935</v>
      </c>
      <c r="O10" s="514">
        <v>0.33510362694300488</v>
      </c>
      <c r="P10" s="513">
        <v>1218.6799999999962</v>
      </c>
      <c r="Q10" s="512">
        <v>1940.7499999999961</v>
      </c>
    </row>
    <row r="11" spans="1:21">
      <c r="E11" s="497"/>
      <c r="F11" s="497"/>
    </row>
    <row r="12" spans="1:21">
      <c r="U12" s="516"/>
    </row>
    <row r="14" spans="1:21">
      <c r="U14" s="517"/>
    </row>
  </sheetData>
  <mergeCells count="3">
    <mergeCell ref="B4:B5"/>
    <mergeCell ref="C4:I4"/>
    <mergeCell ref="K4:Q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FE4A-046B-4F50-98BE-E08C2253352C}">
  <dimension ref="B1:P31"/>
  <sheetViews>
    <sheetView showGridLines="0" topLeftCell="K16" zoomScaleNormal="100" workbookViewId="0">
      <selection activeCell="B1" sqref="B1"/>
    </sheetView>
  </sheetViews>
  <sheetFormatPr defaultColWidth="8.7109375" defaultRowHeight="14.45"/>
  <cols>
    <col min="1" max="1" width="2.140625" style="402" customWidth="1"/>
    <col min="2" max="2" width="12.42578125" style="402" bestFit="1" customWidth="1"/>
    <col min="3" max="3" width="10.42578125" style="402" bestFit="1" customWidth="1"/>
    <col min="4" max="4" width="7.140625" style="402" bestFit="1" customWidth="1"/>
    <col min="5" max="6" width="7.140625" style="426" bestFit="1" customWidth="1"/>
    <col min="7" max="15" width="7.140625" style="402" bestFit="1" customWidth="1"/>
    <col min="16" max="16" width="4.28515625" style="402" customWidth="1"/>
    <col min="17" max="19" width="8.7109375" style="402" customWidth="1"/>
    <col min="20" max="16384" width="8.7109375" style="402"/>
  </cols>
  <sheetData>
    <row r="1" spans="2:15">
      <c r="B1" s="402" t="s">
        <v>962</v>
      </c>
      <c r="F1" s="402"/>
    </row>
    <row r="2" spans="2:15">
      <c r="B2" s="518" t="s">
        <v>74</v>
      </c>
      <c r="C2" s="518" t="s">
        <v>315</v>
      </c>
      <c r="D2" s="519" t="s">
        <v>963</v>
      </c>
      <c r="E2" s="519" t="s">
        <v>642</v>
      </c>
      <c r="F2" s="519" t="s">
        <v>964</v>
      </c>
      <c r="G2" s="519" t="s">
        <v>965</v>
      </c>
      <c r="H2" s="519" t="s">
        <v>966</v>
      </c>
      <c r="I2" s="519" t="s">
        <v>967</v>
      </c>
      <c r="J2" s="519" t="s">
        <v>968</v>
      </c>
      <c r="K2" s="519" t="s">
        <v>969</v>
      </c>
      <c r="L2" s="519" t="s">
        <v>970</v>
      </c>
      <c r="M2" s="519" t="s">
        <v>971</v>
      </c>
      <c r="N2" s="519" t="s">
        <v>972</v>
      </c>
      <c r="O2" s="519" t="s">
        <v>973</v>
      </c>
    </row>
    <row r="3" spans="2:15">
      <c r="B3" s="520" t="s">
        <v>959</v>
      </c>
      <c r="C3" s="521">
        <v>685.99100000003057</v>
      </c>
      <c r="D3" s="522">
        <v>29.071000000000581</v>
      </c>
      <c r="E3" s="522">
        <v>90.841999999997441</v>
      </c>
      <c r="F3" s="522">
        <v>118.64399999999998</v>
      </c>
      <c r="G3" s="522">
        <v>222.54900000003624</v>
      </c>
      <c r="H3" s="522">
        <v>20.861999999999878</v>
      </c>
      <c r="I3" s="522">
        <v>18.583000000000048</v>
      </c>
      <c r="J3" s="522">
        <v>26.37699999999893</v>
      </c>
      <c r="K3" s="522">
        <v>21.601999999997723</v>
      </c>
      <c r="L3" s="522">
        <v>51.425999999999952</v>
      </c>
      <c r="M3" s="522">
        <v>39.96999999999985</v>
      </c>
      <c r="N3" s="522">
        <v>36.583999999999847</v>
      </c>
      <c r="O3" s="522">
        <v>9.4810000000001864</v>
      </c>
    </row>
    <row r="4" spans="2:15">
      <c r="B4" s="520" t="s">
        <v>960</v>
      </c>
      <c r="C4" s="521">
        <v>551.00999999999942</v>
      </c>
      <c r="D4" s="522">
        <v>77.174999999999912</v>
      </c>
      <c r="E4" s="522">
        <v>65.766999999999584</v>
      </c>
      <c r="F4" s="522">
        <v>64.694999999999865</v>
      </c>
      <c r="G4" s="522">
        <v>93.54299999999995</v>
      </c>
      <c r="H4" s="522">
        <v>28.594999999999995</v>
      </c>
      <c r="I4" s="522">
        <v>21.753000000000007</v>
      </c>
      <c r="J4" s="522">
        <v>26.902000000000033</v>
      </c>
      <c r="K4" s="522">
        <v>29.160999999999969</v>
      </c>
      <c r="L4" s="522">
        <v>45.12299999999999</v>
      </c>
      <c r="M4" s="522">
        <v>41.962000000000096</v>
      </c>
      <c r="N4" s="522">
        <v>38.229999999999983</v>
      </c>
      <c r="O4" s="522">
        <v>18.104000000000031</v>
      </c>
    </row>
    <row r="5" spans="2:15">
      <c r="B5" s="520" t="s">
        <v>311</v>
      </c>
      <c r="C5" s="521">
        <v>127.81099999999955</v>
      </c>
      <c r="D5" s="522">
        <v>4.5299999999999789</v>
      </c>
      <c r="E5" s="522">
        <v>9.5129999999999075</v>
      </c>
      <c r="F5" s="522">
        <v>31.221999999999689</v>
      </c>
      <c r="G5" s="522">
        <v>44.443000000000254</v>
      </c>
      <c r="H5" s="522">
        <v>3.018999999999993</v>
      </c>
      <c r="I5" s="522">
        <v>2.7689999999999948</v>
      </c>
      <c r="J5" s="522">
        <v>6.5399999999999139</v>
      </c>
      <c r="K5" s="522">
        <v>2.815999999999995</v>
      </c>
      <c r="L5" s="522">
        <v>8.2859999999998788</v>
      </c>
      <c r="M5" s="522">
        <v>5.7629999999999857</v>
      </c>
      <c r="N5" s="522">
        <v>6.5269999999999833</v>
      </c>
      <c r="O5" s="522">
        <v>2.3829999999999929</v>
      </c>
    </row>
    <row r="6" spans="2:15">
      <c r="B6" s="520" t="s">
        <v>961</v>
      </c>
      <c r="C6" s="521">
        <v>56.366999999999678</v>
      </c>
      <c r="D6" s="522">
        <v>7.0569999999999382</v>
      </c>
      <c r="E6" s="522">
        <v>5.54299999999997</v>
      </c>
      <c r="F6" s="522">
        <v>6.9449999999999381</v>
      </c>
      <c r="G6" s="522">
        <v>6.0159999999999476</v>
      </c>
      <c r="H6" s="522">
        <v>1.0890000000000002</v>
      </c>
      <c r="I6" s="522">
        <v>1.4599999999999991</v>
      </c>
      <c r="J6" s="522">
        <v>1.3270000000000004</v>
      </c>
      <c r="K6" s="522">
        <v>1.2070000000000005</v>
      </c>
      <c r="L6" s="522">
        <v>7.4259999999999469</v>
      </c>
      <c r="M6" s="522">
        <v>2.5139999999999993</v>
      </c>
      <c r="N6" s="522">
        <v>12.625999999999994</v>
      </c>
      <c r="O6" s="522">
        <v>3.1569999999999405</v>
      </c>
    </row>
    <row r="7" spans="2:15">
      <c r="B7" s="520" t="s">
        <v>974</v>
      </c>
      <c r="C7" s="521">
        <v>1.5200000000000005</v>
      </c>
      <c r="D7" s="522">
        <v>0.67500000000000038</v>
      </c>
      <c r="E7" s="522">
        <v>0.8450000000000002</v>
      </c>
      <c r="F7" s="522"/>
      <c r="G7" s="522"/>
      <c r="H7" s="522"/>
      <c r="I7" s="522"/>
      <c r="J7" s="522"/>
      <c r="K7" s="522"/>
      <c r="L7" s="522"/>
      <c r="M7" s="522"/>
      <c r="N7" s="522"/>
      <c r="O7" s="522"/>
    </row>
    <row r="8" spans="2:15">
      <c r="B8" s="523" t="s">
        <v>315</v>
      </c>
      <c r="C8" s="524">
        <v>1422.6990000000292</v>
      </c>
      <c r="D8" s="524">
        <v>118.50800000000039</v>
      </c>
      <c r="E8" s="524">
        <v>172.50999999999692</v>
      </c>
      <c r="F8" s="524">
        <v>221.50599999999946</v>
      </c>
      <c r="G8" s="524">
        <v>366.55100000003642</v>
      </c>
      <c r="H8" s="524">
        <v>53.564999999999863</v>
      </c>
      <c r="I8" s="524">
        <v>44.565000000000047</v>
      </c>
      <c r="J8" s="524">
        <v>61.145999999998871</v>
      </c>
      <c r="K8" s="524">
        <v>54.785999999997685</v>
      </c>
      <c r="L8" s="524">
        <v>112.26099999999977</v>
      </c>
      <c r="M8" s="524">
        <v>90.208999999999932</v>
      </c>
      <c r="N8" s="524">
        <v>93.9669999999998</v>
      </c>
      <c r="O8" s="524">
        <v>33.125000000000149</v>
      </c>
    </row>
    <row r="9" spans="2:15">
      <c r="F9" s="402"/>
    </row>
    <row r="10" spans="2:15">
      <c r="D10" s="426"/>
      <c r="E10" s="402"/>
      <c r="F10" s="402"/>
    </row>
    <row r="11" spans="2:15">
      <c r="B11" s="402" t="s">
        <v>975</v>
      </c>
      <c r="F11" s="402"/>
    </row>
    <row r="12" spans="2:15">
      <c r="B12" s="518" t="s">
        <v>74</v>
      </c>
      <c r="C12" s="518" t="s">
        <v>315</v>
      </c>
      <c r="D12" s="519" t="s">
        <v>963</v>
      </c>
      <c r="E12" s="519" t="s">
        <v>642</v>
      </c>
      <c r="F12" s="519" t="s">
        <v>964</v>
      </c>
      <c r="G12" s="519" t="s">
        <v>965</v>
      </c>
      <c r="H12" s="519" t="s">
        <v>966</v>
      </c>
      <c r="I12" s="519" t="s">
        <v>967</v>
      </c>
      <c r="J12" s="519" t="s">
        <v>968</v>
      </c>
      <c r="K12" s="519" t="s">
        <v>969</v>
      </c>
      <c r="L12" s="519" t="s">
        <v>970</v>
      </c>
      <c r="M12" s="519" t="s">
        <v>971</v>
      </c>
      <c r="N12" s="519" t="s">
        <v>972</v>
      </c>
      <c r="O12" s="519" t="s">
        <v>976</v>
      </c>
    </row>
    <row r="13" spans="2:15">
      <c r="B13" s="520" t="s">
        <v>959</v>
      </c>
      <c r="C13" s="521">
        <v>681.98900000000208</v>
      </c>
      <c r="D13" s="522">
        <v>59.310000000004365</v>
      </c>
      <c r="E13" s="522">
        <v>70.071000000000566</v>
      </c>
      <c r="F13" s="522">
        <v>50.622000000000597</v>
      </c>
      <c r="G13" s="522">
        <v>160.04600000000389</v>
      </c>
      <c r="H13" s="522">
        <v>146.88899999999208</v>
      </c>
      <c r="I13" s="522">
        <v>31.712000000000032</v>
      </c>
      <c r="J13" s="522">
        <v>30.586000000000055</v>
      </c>
      <c r="K13" s="522">
        <v>30.348000000000077</v>
      </c>
      <c r="L13" s="522">
        <v>21.940000000000033</v>
      </c>
      <c r="M13" s="522">
        <v>29.438000000000137</v>
      </c>
      <c r="N13" s="522">
        <v>39.048000000000386</v>
      </c>
      <c r="O13" s="522">
        <v>11.979000000000074</v>
      </c>
    </row>
    <row r="14" spans="2:15">
      <c r="B14" s="520" t="s">
        <v>960</v>
      </c>
      <c r="C14" s="521">
        <v>633.98799999999903</v>
      </c>
      <c r="D14" s="522">
        <v>29.215000000000082</v>
      </c>
      <c r="E14" s="522">
        <v>40.633000000000095</v>
      </c>
      <c r="F14" s="522">
        <v>45.601000000000077</v>
      </c>
      <c r="G14" s="522">
        <v>94.789999999999466</v>
      </c>
      <c r="H14" s="522">
        <v>119.71099999999889</v>
      </c>
      <c r="I14" s="522">
        <v>25.615000000000055</v>
      </c>
      <c r="J14" s="522">
        <v>43.666000000000118</v>
      </c>
      <c r="K14" s="522">
        <v>45.857000000000092</v>
      </c>
      <c r="L14" s="522">
        <v>40.569000000000173</v>
      </c>
      <c r="M14" s="522">
        <v>64.838999999999899</v>
      </c>
      <c r="N14" s="522">
        <v>58.027000000000029</v>
      </c>
      <c r="O14" s="522">
        <v>25.465</v>
      </c>
    </row>
    <row r="15" spans="2:15">
      <c r="B15" s="520" t="s">
        <v>311</v>
      </c>
      <c r="C15" s="521">
        <v>52.343999999999731</v>
      </c>
      <c r="D15" s="522">
        <v>3.3369999999999878</v>
      </c>
      <c r="E15" s="522">
        <v>4.0709999999999775</v>
      </c>
      <c r="F15" s="522">
        <v>5.0949999999999029</v>
      </c>
      <c r="G15" s="522">
        <v>9.7969999999999509</v>
      </c>
      <c r="H15" s="522">
        <v>11.917000000000007</v>
      </c>
      <c r="I15" s="522">
        <v>3.1529999999999734</v>
      </c>
      <c r="J15" s="522">
        <v>3.2849999999999846</v>
      </c>
      <c r="K15" s="522">
        <v>2.7299999999999902</v>
      </c>
      <c r="L15" s="522">
        <v>1.0390000000000004</v>
      </c>
      <c r="M15" s="522">
        <v>4.4889999999999759</v>
      </c>
      <c r="N15" s="522">
        <v>2.703999999999986</v>
      </c>
      <c r="O15" s="522">
        <v>0.72700000000000009</v>
      </c>
    </row>
    <row r="16" spans="2:15">
      <c r="B16" s="520" t="s">
        <v>961</v>
      </c>
      <c r="C16" s="521">
        <v>51.159999999999798</v>
      </c>
      <c r="D16" s="522">
        <v>2.1079999999999961</v>
      </c>
      <c r="E16" s="522">
        <v>2.8609999999999935</v>
      </c>
      <c r="F16" s="522">
        <v>6.1559999999999278</v>
      </c>
      <c r="G16" s="522">
        <v>13.851999999999837</v>
      </c>
      <c r="H16" s="522">
        <v>13.221000000000066</v>
      </c>
      <c r="I16" s="522">
        <v>3.1649999999999849</v>
      </c>
      <c r="J16" s="522">
        <v>2.9679999999999955</v>
      </c>
      <c r="K16" s="522">
        <v>0.96600000000000041</v>
      </c>
      <c r="L16" s="522">
        <v>1.9789999999999979</v>
      </c>
      <c r="M16" s="522"/>
      <c r="N16" s="522">
        <v>2.6429999999999909</v>
      </c>
      <c r="O16" s="522">
        <v>1.2409999999999994</v>
      </c>
    </row>
    <row r="17" spans="2:16">
      <c r="B17" s="520" t="s">
        <v>977</v>
      </c>
      <c r="C17" s="521">
        <v>1.1040000000000001</v>
      </c>
      <c r="D17" s="522"/>
      <c r="E17" s="522"/>
      <c r="F17" s="522"/>
      <c r="G17" s="522"/>
      <c r="H17" s="522">
        <v>2.6000000000000002E-2</v>
      </c>
      <c r="I17" s="522">
        <v>1E-3</v>
      </c>
      <c r="J17" s="522">
        <v>0.02</v>
      </c>
      <c r="K17" s="522">
        <v>0.10100000000000001</v>
      </c>
      <c r="L17" s="522">
        <v>0.05</v>
      </c>
      <c r="M17" s="522">
        <v>0.26300000000000001</v>
      </c>
      <c r="N17" s="522">
        <v>0.64300000000000013</v>
      </c>
      <c r="O17" s="522"/>
    </row>
    <row r="18" spans="2:16">
      <c r="B18" s="523" t="s">
        <v>315</v>
      </c>
      <c r="C18" s="524">
        <v>1420.5850000000009</v>
      </c>
      <c r="D18" s="524">
        <v>93.970000000004418</v>
      </c>
      <c r="E18" s="524">
        <v>117.63600000000064</v>
      </c>
      <c r="F18" s="524">
        <v>107.4740000000005</v>
      </c>
      <c r="G18" s="524">
        <v>278.4850000000032</v>
      </c>
      <c r="H18" s="524">
        <v>291.76399999999109</v>
      </c>
      <c r="I18" s="524">
        <v>63.646000000000036</v>
      </c>
      <c r="J18" s="524">
        <v>80.525000000000148</v>
      </c>
      <c r="K18" s="524">
        <v>80.002000000000152</v>
      </c>
      <c r="L18" s="524">
        <v>65.577000000000197</v>
      </c>
      <c r="M18" s="524">
        <v>99.029000000000025</v>
      </c>
      <c r="N18" s="524">
        <v>103.06500000000038</v>
      </c>
      <c r="O18" s="524">
        <v>39.41200000000007</v>
      </c>
    </row>
    <row r="19" spans="2:16">
      <c r="D19" s="426"/>
      <c r="E19" s="402"/>
      <c r="F19" s="402"/>
    </row>
    <row r="20" spans="2:16">
      <c r="D20" s="426"/>
      <c r="E20" s="402"/>
      <c r="F20" s="402"/>
    </row>
    <row r="21" spans="2:16">
      <c r="B21" s="525" t="s">
        <v>143</v>
      </c>
      <c r="C21" s="525" t="s">
        <v>978</v>
      </c>
      <c r="D21" s="526" t="s">
        <v>963</v>
      </c>
      <c r="E21" s="526" t="s">
        <v>642</v>
      </c>
      <c r="F21" s="526" t="s">
        <v>964</v>
      </c>
      <c r="G21" s="526" t="s">
        <v>965</v>
      </c>
      <c r="H21" s="526" t="s">
        <v>966</v>
      </c>
      <c r="I21" s="526" t="s">
        <v>967</v>
      </c>
      <c r="J21" s="526" t="s">
        <v>968</v>
      </c>
      <c r="K21" s="526" t="s">
        <v>969</v>
      </c>
      <c r="L21" s="526" t="s">
        <v>970</v>
      </c>
      <c r="M21" s="526" t="s">
        <v>979</v>
      </c>
      <c r="N21" s="526" t="s">
        <v>972</v>
      </c>
      <c r="O21" s="526" t="s">
        <v>976</v>
      </c>
    </row>
    <row r="22" spans="2:16">
      <c r="B22" s="527" t="s">
        <v>316</v>
      </c>
      <c r="C22" s="528" t="s">
        <v>962</v>
      </c>
      <c r="D22" s="529">
        <v>17.919999999999735</v>
      </c>
      <c r="E22" s="529">
        <v>21.808000000000664</v>
      </c>
      <c r="F22" s="529">
        <v>57.707000000001145</v>
      </c>
      <c r="G22" s="529">
        <v>52.787000000001441</v>
      </c>
      <c r="H22" s="529">
        <v>6.4529999999999115</v>
      </c>
      <c r="I22" s="529">
        <v>5.4369999999999585</v>
      </c>
      <c r="J22" s="529">
        <v>12.218999999999728</v>
      </c>
      <c r="K22" s="529">
        <v>11.607999999999514</v>
      </c>
      <c r="L22" s="529">
        <v>8.9989999999999224</v>
      </c>
      <c r="M22" s="529">
        <v>13.11999999999982</v>
      </c>
      <c r="N22" s="529">
        <v>14.709999999999706</v>
      </c>
      <c r="O22" s="529">
        <v>12.549999999999741</v>
      </c>
    </row>
    <row r="23" spans="2:16">
      <c r="B23" s="527" t="s">
        <v>316</v>
      </c>
      <c r="C23" s="528" t="s">
        <v>975</v>
      </c>
      <c r="D23" s="529">
        <v>17.565000000000566</v>
      </c>
      <c r="E23" s="529">
        <v>21.155000000000381</v>
      </c>
      <c r="F23" s="529">
        <v>11.381999999999852</v>
      </c>
      <c r="G23" s="529">
        <v>42.566000000000109</v>
      </c>
      <c r="H23" s="529">
        <v>27.728000000000787</v>
      </c>
      <c r="I23" s="529">
        <v>6.8349999999999058</v>
      </c>
      <c r="J23" s="529">
        <v>7.917999999999898</v>
      </c>
      <c r="K23" s="529">
        <v>6.3819999999999633</v>
      </c>
      <c r="L23" s="529">
        <v>5.639999999999981</v>
      </c>
      <c r="M23" s="529">
        <v>6.5389999999999704</v>
      </c>
      <c r="N23" s="529">
        <v>8.4229999999998526</v>
      </c>
      <c r="O23" s="529">
        <v>5.8749999999999698</v>
      </c>
    </row>
    <row r="24" spans="2:16">
      <c r="B24" s="527" t="s">
        <v>316</v>
      </c>
      <c r="C24" s="528" t="s">
        <v>980</v>
      </c>
      <c r="D24" s="529">
        <v>16.86</v>
      </c>
      <c r="E24" s="529">
        <v>13.082000000000008</v>
      </c>
      <c r="F24" s="529">
        <v>12.271000000000084</v>
      </c>
      <c r="G24" s="529">
        <v>26.864999999999739</v>
      </c>
      <c r="H24" s="529">
        <v>15.50599999999997</v>
      </c>
      <c r="I24" s="529">
        <v>11.061000000000003</v>
      </c>
      <c r="J24" s="529">
        <v>13.997999999999866</v>
      </c>
      <c r="K24" s="529">
        <v>12.914999999999997</v>
      </c>
      <c r="L24" s="529">
        <v>13.6</v>
      </c>
      <c r="M24" s="529">
        <v>18.554000000000002</v>
      </c>
      <c r="N24" s="529">
        <v>15.425262200000013</v>
      </c>
      <c r="O24" s="530">
        <v>0.91433340000000018</v>
      </c>
    </row>
    <row r="25" spans="2:16">
      <c r="B25" s="527" t="s">
        <v>317</v>
      </c>
      <c r="C25" s="528" t="s">
        <v>962</v>
      </c>
      <c r="D25" s="529">
        <v>100.58799999999984</v>
      </c>
      <c r="E25" s="529">
        <v>150.70199999999915</v>
      </c>
      <c r="F25" s="529">
        <v>163.79900000000009</v>
      </c>
      <c r="G25" s="529">
        <v>313.76400000000086</v>
      </c>
      <c r="H25" s="529">
        <v>47.111999999999981</v>
      </c>
      <c r="I25" s="529">
        <v>39.128</v>
      </c>
      <c r="J25" s="529">
        <v>48.926999999999985</v>
      </c>
      <c r="K25" s="529">
        <v>43.178000000000047</v>
      </c>
      <c r="L25" s="529">
        <v>103.26199999999982</v>
      </c>
      <c r="M25" s="529">
        <v>77.089000000000112</v>
      </c>
      <c r="N25" s="529">
        <v>79.257000000000062</v>
      </c>
      <c r="O25" s="529">
        <v>61.481000000000108</v>
      </c>
    </row>
    <row r="26" spans="2:16">
      <c r="B26" s="527" t="s">
        <v>317</v>
      </c>
      <c r="C26" s="528" t="s">
        <v>975</v>
      </c>
      <c r="D26" s="529">
        <v>76.405000000000101</v>
      </c>
      <c r="E26" s="529">
        <v>96.480999999999938</v>
      </c>
      <c r="F26" s="529">
        <v>96.092000000000255</v>
      </c>
      <c r="G26" s="529">
        <v>235.91899999999845</v>
      </c>
      <c r="H26" s="529">
        <v>264.03599999999733</v>
      </c>
      <c r="I26" s="529">
        <v>56.811000000000107</v>
      </c>
      <c r="J26" s="529">
        <v>72.607000000000113</v>
      </c>
      <c r="K26" s="529">
        <v>73.620000000000061</v>
      </c>
      <c r="L26" s="529">
        <v>59.937000000000168</v>
      </c>
      <c r="M26" s="529">
        <v>92.489999999999895</v>
      </c>
      <c r="N26" s="529">
        <v>94.64200000000001</v>
      </c>
      <c r="O26" s="529">
        <v>78.2590000000001</v>
      </c>
    </row>
    <row r="27" spans="2:16">
      <c r="B27" s="527" t="s">
        <v>317</v>
      </c>
      <c r="C27" s="528" t="s">
        <v>980</v>
      </c>
      <c r="D27" s="529">
        <v>103.52999999999997</v>
      </c>
      <c r="E27" s="529">
        <v>113.09099999999992</v>
      </c>
      <c r="F27" s="529">
        <v>112.35999999999871</v>
      </c>
      <c r="G27" s="529">
        <v>406.5099999999992</v>
      </c>
      <c r="H27" s="529">
        <v>233.30000000000021</v>
      </c>
      <c r="I27" s="529">
        <v>123.2500000000001</v>
      </c>
      <c r="J27" s="529">
        <v>103.06999999999995</v>
      </c>
      <c r="K27" s="529">
        <v>123.01600000000005</v>
      </c>
      <c r="L27" s="529">
        <v>139.51</v>
      </c>
      <c r="M27" s="529">
        <v>288.07799999999992</v>
      </c>
      <c r="N27" s="529">
        <v>182.1050000000003</v>
      </c>
      <c r="O27" s="530">
        <v>12.935</v>
      </c>
    </row>
    <row r="28" spans="2:16">
      <c r="B28" s="527" t="s">
        <v>58</v>
      </c>
      <c r="C28" s="528" t="s">
        <v>962</v>
      </c>
      <c r="D28" s="529">
        <v>118.50799999999957</v>
      </c>
      <c r="E28" s="529">
        <v>172.50999999999982</v>
      </c>
      <c r="F28" s="529">
        <v>221.50600000000122</v>
      </c>
      <c r="G28" s="529">
        <v>366.55100000000232</v>
      </c>
      <c r="H28" s="529">
        <v>53.564999999999891</v>
      </c>
      <c r="I28" s="529">
        <v>44.564999999999955</v>
      </c>
      <c r="J28" s="529">
        <v>61.145999999999717</v>
      </c>
      <c r="K28" s="529">
        <v>54.785999999999561</v>
      </c>
      <c r="L28" s="529">
        <v>112.26099999999974</v>
      </c>
      <c r="M28" s="529">
        <v>90.208999999999932</v>
      </c>
      <c r="N28" s="529">
        <v>93.966999999999771</v>
      </c>
      <c r="O28" s="529">
        <v>74.03099999999985</v>
      </c>
    </row>
    <row r="29" spans="2:16">
      <c r="B29" s="527" t="s">
        <v>58</v>
      </c>
      <c r="C29" s="528" t="s">
        <v>975</v>
      </c>
      <c r="D29" s="529">
        <v>93.970000000000667</v>
      </c>
      <c r="E29" s="529">
        <v>117.63600000000032</v>
      </c>
      <c r="F29" s="529">
        <v>107.4740000000001</v>
      </c>
      <c r="G29" s="529">
        <v>278.48499999999854</v>
      </c>
      <c r="H29" s="529">
        <v>291.76399999999813</v>
      </c>
      <c r="I29" s="529">
        <v>63.646000000000015</v>
      </c>
      <c r="J29" s="529">
        <v>80.525000000000006</v>
      </c>
      <c r="K29" s="529">
        <v>80.002000000000024</v>
      </c>
      <c r="L29" s="529">
        <v>65.577000000000155</v>
      </c>
      <c r="M29" s="529">
        <v>99.028999999999868</v>
      </c>
      <c r="N29" s="529">
        <v>103.06499999999986</v>
      </c>
      <c r="O29" s="529">
        <v>84.134000000000071</v>
      </c>
    </row>
    <row r="30" spans="2:16">
      <c r="D30" s="426"/>
      <c r="G30" s="426"/>
      <c r="H30" s="426"/>
      <c r="I30" s="426"/>
      <c r="J30" s="426"/>
      <c r="K30" s="426"/>
      <c r="L30" s="426"/>
      <c r="M30" s="426"/>
      <c r="N30" s="426"/>
      <c r="O30" s="426"/>
    </row>
    <row r="31" spans="2:16">
      <c r="D31" s="426"/>
      <c r="G31" s="426"/>
      <c r="H31" s="426"/>
      <c r="I31" s="426"/>
      <c r="J31" s="426"/>
      <c r="K31" s="426"/>
      <c r="L31" s="426"/>
      <c r="M31" s="426"/>
      <c r="N31" s="426"/>
      <c r="O31" s="426"/>
      <c r="P31" s="426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74AE-CF17-40D8-815E-242A70AFEBE0}">
  <dimension ref="A1:AG3"/>
  <sheetViews>
    <sheetView showGridLines="0" topLeftCell="D1" zoomScaleNormal="100" workbookViewId="0">
      <pane ySplit="1" topLeftCell="F2" activePane="bottomLeft" state="frozen"/>
      <selection pane="bottomLeft" activeCell="J3" sqref="J3"/>
      <selection activeCell="A4" sqref="A4:B4"/>
    </sheetView>
  </sheetViews>
  <sheetFormatPr defaultColWidth="8.7109375" defaultRowHeight="14.45"/>
  <cols>
    <col min="1" max="1" width="21.28515625" style="543" bestFit="1" customWidth="1"/>
    <col min="2" max="2" width="18.5703125" style="538" bestFit="1" customWidth="1"/>
    <col min="3" max="3" width="42.28515625" style="538" bestFit="1" customWidth="1"/>
    <col min="4" max="4" width="17.5703125" style="538" bestFit="1" customWidth="1"/>
    <col min="5" max="5" width="18.140625" style="538" bestFit="1" customWidth="1"/>
    <col min="6" max="6" width="24.5703125" style="538" bestFit="1" customWidth="1"/>
    <col min="7" max="7" width="24.85546875" style="538" bestFit="1" customWidth="1"/>
    <col min="8" max="8" width="11" style="538" bestFit="1" customWidth="1"/>
    <col min="9" max="9" width="24" style="538" bestFit="1" customWidth="1"/>
    <col min="10" max="10" width="8.140625" style="538" bestFit="1" customWidth="1"/>
    <col min="11" max="11" width="7.42578125" style="538" bestFit="1" customWidth="1"/>
    <col min="12" max="12" width="10" style="544" bestFit="1" customWidth="1"/>
    <col min="13" max="13" width="10.85546875" style="544" bestFit="1" customWidth="1"/>
    <col min="14" max="14" width="10.28515625" style="538" bestFit="1" customWidth="1"/>
    <col min="15" max="15" width="8.85546875" style="538" bestFit="1" customWidth="1"/>
    <col min="16" max="16" width="7.85546875" style="538" bestFit="1" customWidth="1"/>
    <col min="17" max="17" width="10" style="538" bestFit="1" customWidth="1"/>
    <col min="18" max="18" width="8.7109375" style="538" bestFit="1" customWidth="1"/>
    <col min="19" max="19" width="12" style="545" bestFit="1" customWidth="1"/>
    <col min="20" max="20" width="11.42578125" style="543" bestFit="1" customWidth="1"/>
    <col min="21" max="21" width="23.5703125" style="538" bestFit="1" customWidth="1"/>
    <col min="22" max="22" width="27.140625" style="538" bestFit="1" customWidth="1"/>
    <col min="23" max="23" width="7.7109375" style="538" bestFit="1" customWidth="1"/>
    <col min="24" max="24" width="13" style="538" bestFit="1" customWidth="1"/>
    <col min="25" max="25" width="5.85546875" style="538" bestFit="1" customWidth="1"/>
    <col min="26" max="26" width="15.5703125" style="538" bestFit="1" customWidth="1"/>
    <col min="27" max="27" width="25.7109375" style="538" bestFit="1" customWidth="1"/>
    <col min="28" max="28" width="16.85546875" style="538" bestFit="1" customWidth="1"/>
    <col min="29" max="29" width="10.140625" style="538" bestFit="1" customWidth="1"/>
    <col min="30" max="30" width="14.5703125" style="538" bestFit="1" customWidth="1"/>
    <col min="31" max="31" width="12.5703125" style="538" bestFit="1" customWidth="1"/>
    <col min="32" max="32" width="11.42578125" style="538" bestFit="1" customWidth="1"/>
    <col min="33" max="33" width="11.85546875" style="538" bestFit="1" customWidth="1"/>
    <col min="34" max="16384" width="8.7109375" style="538"/>
  </cols>
  <sheetData>
    <row r="1" spans="1:33">
      <c r="A1" s="531" t="s">
        <v>308</v>
      </c>
      <c r="B1" s="532" t="s">
        <v>981</v>
      </c>
      <c r="C1" s="532" t="s">
        <v>507</v>
      </c>
      <c r="D1" s="532" t="s">
        <v>120</v>
      </c>
      <c r="E1" s="532" t="s">
        <v>982</v>
      </c>
      <c r="F1" s="532" t="s">
        <v>983</v>
      </c>
      <c r="G1" s="533" t="s">
        <v>507</v>
      </c>
      <c r="H1" s="533" t="s">
        <v>88</v>
      </c>
      <c r="I1" s="534" t="s">
        <v>763</v>
      </c>
      <c r="J1" s="534" t="s">
        <v>471</v>
      </c>
      <c r="K1" s="534" t="s">
        <v>764</v>
      </c>
      <c r="L1" s="535" t="s">
        <v>765</v>
      </c>
      <c r="M1" s="535" t="s">
        <v>191</v>
      </c>
      <c r="N1" s="534" t="s">
        <v>766</v>
      </c>
      <c r="O1" s="534" t="s">
        <v>767</v>
      </c>
      <c r="P1" s="534" t="s">
        <v>768</v>
      </c>
      <c r="Q1" s="534" t="s">
        <v>769</v>
      </c>
      <c r="R1" s="534" t="s">
        <v>770</v>
      </c>
      <c r="S1" s="534" t="s">
        <v>771</v>
      </c>
      <c r="T1" s="536" t="s">
        <v>772</v>
      </c>
      <c r="U1" s="534" t="s">
        <v>773</v>
      </c>
      <c r="V1" s="534" t="s">
        <v>474</v>
      </c>
      <c r="W1" s="534" t="s">
        <v>774</v>
      </c>
      <c r="X1" s="534" t="s">
        <v>775</v>
      </c>
      <c r="Y1" s="534" t="s">
        <v>776</v>
      </c>
      <c r="Z1" s="534" t="s">
        <v>777</v>
      </c>
      <c r="AA1" s="534" t="s">
        <v>405</v>
      </c>
      <c r="AB1" s="534" t="s">
        <v>778</v>
      </c>
      <c r="AC1" s="534" t="s">
        <v>779</v>
      </c>
      <c r="AD1" s="534" t="s">
        <v>780</v>
      </c>
      <c r="AE1" s="534" t="s">
        <v>781</v>
      </c>
      <c r="AF1" s="534" t="s">
        <v>782</v>
      </c>
      <c r="AG1" s="534" t="s">
        <v>783</v>
      </c>
    </row>
    <row r="2" spans="1:33">
      <c r="A2" s="536">
        <v>45811.719247685185</v>
      </c>
      <c r="B2" s="536" t="s">
        <v>984</v>
      </c>
      <c r="C2" s="536" t="s">
        <v>985</v>
      </c>
      <c r="D2" s="536"/>
      <c r="E2" s="539"/>
      <c r="F2" s="539"/>
      <c r="G2" s="536" t="s">
        <v>282</v>
      </c>
      <c r="H2" s="540" t="str">
        <f>IF(COUNTIF(I:I,I2)=1,"New ID","Duplicate")</f>
        <v>New ID</v>
      </c>
      <c r="I2" s="537" t="s">
        <v>986</v>
      </c>
      <c r="J2" s="537" t="s">
        <v>787</v>
      </c>
      <c r="K2" s="537">
        <v>0</v>
      </c>
      <c r="L2" s="541">
        <v>56630</v>
      </c>
      <c r="M2" s="541">
        <v>56630</v>
      </c>
      <c r="N2" s="537" t="s">
        <v>788</v>
      </c>
      <c r="O2" s="537">
        <v>0</v>
      </c>
      <c r="P2" s="537">
        <v>0</v>
      </c>
      <c r="Q2" s="537">
        <v>0</v>
      </c>
      <c r="R2" s="537">
        <v>0</v>
      </c>
      <c r="S2" s="542">
        <v>45811.385625000003</v>
      </c>
      <c r="T2" s="542"/>
      <c r="U2" s="537"/>
      <c r="V2" s="537" t="s">
        <v>450</v>
      </c>
      <c r="W2" s="537" t="s">
        <v>790</v>
      </c>
      <c r="X2" s="537"/>
      <c r="Y2" s="537"/>
      <c r="Z2" s="537"/>
      <c r="AA2" s="537" t="s">
        <v>987</v>
      </c>
      <c r="AB2" s="537" t="s">
        <v>988</v>
      </c>
      <c r="AC2" s="537" t="s">
        <v>989</v>
      </c>
      <c r="AD2" s="537"/>
      <c r="AE2" s="537"/>
      <c r="AF2" s="537"/>
      <c r="AG2" s="537"/>
    </row>
    <row r="3" spans="1:33">
      <c r="A3" s="536"/>
      <c r="B3" s="536" t="s">
        <v>990</v>
      </c>
      <c r="C3" s="536" t="s">
        <v>543</v>
      </c>
      <c r="D3" s="536"/>
      <c r="E3" s="539">
        <v>45811.40829861111</v>
      </c>
      <c r="F3" s="539" t="s">
        <v>991</v>
      </c>
      <c r="G3" s="536" t="s">
        <v>692</v>
      </c>
      <c r="H3" s="540" t="str">
        <f>IF(COUNTIF(I:I,I3)=1,"New ID","Duplicate")</f>
        <v>New ID</v>
      </c>
      <c r="I3" s="537" t="s">
        <v>992</v>
      </c>
      <c r="J3" s="537" t="s">
        <v>787</v>
      </c>
      <c r="K3" s="537">
        <v>0</v>
      </c>
      <c r="L3" s="541">
        <v>910</v>
      </c>
      <c r="M3" s="541">
        <v>910</v>
      </c>
      <c r="N3" s="537" t="s">
        <v>788</v>
      </c>
      <c r="O3" s="537">
        <v>0</v>
      </c>
      <c r="P3" s="537">
        <v>0</v>
      </c>
      <c r="Q3" s="537">
        <v>0</v>
      </c>
      <c r="R3" s="537">
        <v>0</v>
      </c>
      <c r="S3" s="542">
        <v>45811.403564814813</v>
      </c>
      <c r="T3" s="542"/>
      <c r="U3" s="537"/>
      <c r="V3" s="537" t="s">
        <v>450</v>
      </c>
      <c r="W3" s="537" t="s">
        <v>790</v>
      </c>
      <c r="X3" s="537"/>
      <c r="Y3" s="537"/>
      <c r="Z3" s="537"/>
      <c r="AA3" s="537" t="s">
        <v>993</v>
      </c>
      <c r="AB3" s="537" t="s">
        <v>994</v>
      </c>
      <c r="AC3" s="537" t="s">
        <v>989</v>
      </c>
      <c r="AD3" s="537"/>
      <c r="AE3" s="537"/>
      <c r="AF3" s="537"/>
      <c r="AG3" s="537"/>
    </row>
  </sheetData>
  <conditionalFormatting sqref="I1:I1048576">
    <cfRule type="duplicateValues" dxfId="22" priority="1"/>
    <cfRule type="duplicateValues" dxfId="21" priority="2"/>
  </conditionalFormatting>
  <pageMargins left="0.7" right="0.7" top="0.75" bottom="0.75" header="0.3" footer="0.3"/>
  <pageSetup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0634-E689-488E-A49F-0D3B6E618FFA}">
  <dimension ref="A1:L2"/>
  <sheetViews>
    <sheetView showGridLines="0" zoomScale="85" zoomScaleNormal="85" workbookViewId="0">
      <pane ySplit="1" topLeftCell="C2" activePane="bottomLeft" state="frozen"/>
      <selection pane="bottomLeft" activeCell="F11" sqref="F11"/>
      <selection activeCell="B1" sqref="B1"/>
    </sheetView>
  </sheetViews>
  <sheetFormatPr defaultRowHeight="14.45"/>
  <cols>
    <col min="1" max="1" width="18.28515625" style="554" bestFit="1" customWidth="1"/>
    <col min="2" max="2" width="20.7109375" style="554" bestFit="1" customWidth="1"/>
    <col min="3" max="3" width="24.7109375" style="275" bestFit="1" customWidth="1"/>
    <col min="4" max="4" width="25.42578125" bestFit="1" customWidth="1"/>
    <col min="5" max="5" width="14.42578125" style="275" bestFit="1" customWidth="1"/>
    <col min="6" max="6" width="17.85546875" style="554" bestFit="1" customWidth="1"/>
    <col min="7" max="7" width="13.140625" style="554" bestFit="1" customWidth="1"/>
    <col min="8" max="8" width="42.28515625" bestFit="1" customWidth="1"/>
    <col min="9" max="9" width="11.85546875" bestFit="1" customWidth="1"/>
    <col min="10" max="10" width="11.5703125" bestFit="1" customWidth="1"/>
    <col min="11" max="11" width="19" bestFit="1" customWidth="1"/>
    <col min="12" max="12" width="52.140625" bestFit="1" customWidth="1"/>
  </cols>
  <sheetData>
    <row r="1" spans="1:12" s="549" customFormat="1" ht="26.45" customHeight="1">
      <c r="A1" s="546" t="s">
        <v>995</v>
      </c>
      <c r="B1" s="546" t="s">
        <v>996</v>
      </c>
      <c r="C1" s="547" t="s">
        <v>60</v>
      </c>
      <c r="D1" s="548" t="s">
        <v>61</v>
      </c>
      <c r="E1" s="547" t="s">
        <v>485</v>
      </c>
      <c r="F1" s="548" t="s">
        <v>76</v>
      </c>
      <c r="G1" s="548" t="s">
        <v>997</v>
      </c>
      <c r="H1" s="548" t="s">
        <v>998</v>
      </c>
      <c r="I1" s="548" t="s">
        <v>999</v>
      </c>
      <c r="J1" s="548" t="s">
        <v>507</v>
      </c>
      <c r="K1" s="548" t="s">
        <v>982</v>
      </c>
      <c r="L1" s="548" t="s">
        <v>1000</v>
      </c>
    </row>
    <row r="2" spans="1:12">
      <c r="A2" s="550">
        <v>45292</v>
      </c>
      <c r="B2" s="551">
        <v>45292.083344907405</v>
      </c>
      <c r="C2" s="262" t="s">
        <v>1001</v>
      </c>
      <c r="D2" s="262" t="s">
        <v>1002</v>
      </c>
      <c r="E2" s="552">
        <v>1310</v>
      </c>
      <c r="F2" s="262"/>
      <c r="G2" s="262" t="s">
        <v>989</v>
      </c>
      <c r="H2" s="304" t="s">
        <v>1003</v>
      </c>
      <c r="I2" s="304" t="s">
        <v>1004</v>
      </c>
      <c r="J2" s="262" t="s">
        <v>1005</v>
      </c>
      <c r="K2" s="553">
        <v>45292.083344907405</v>
      </c>
      <c r="L2" s="553" t="s">
        <v>1006</v>
      </c>
    </row>
  </sheetData>
  <conditionalFormatting sqref="C1">
    <cfRule type="duplicateValues" dxfId="20" priority="7"/>
    <cfRule type="duplicateValues" dxfId="19" priority="8"/>
    <cfRule type="duplicateValues" dxfId="18" priority="9"/>
    <cfRule type="duplicateValues" dxfId="17" priority="10"/>
  </conditionalFormatting>
  <conditionalFormatting sqref="C1:C1048576">
    <cfRule type="duplicateValues" dxfId="16" priority="1"/>
    <cfRule type="duplicateValues" dxfId="15" priority="11"/>
    <cfRule type="duplicateValues" dxfId="14" priority="12"/>
    <cfRule type="duplicateValues" dxfId="13" priority="13"/>
    <cfRule type="duplicateValues" dxfId="12" priority="14"/>
    <cfRule type="duplicateValues" dxfId="11" priority="15"/>
    <cfRule type="duplicateValues" dxfId="10" priority="16"/>
    <cfRule type="duplicateValues" dxfId="9" priority="17"/>
    <cfRule type="duplicateValues" dxfId="8" priority="18"/>
    <cfRule type="duplicateValues" dxfId="7" priority="19"/>
  </conditionalFormatting>
  <conditionalFormatting sqref="C2">
    <cfRule type="duplicateValues" dxfId="6" priority="174"/>
  </conditionalFormatting>
  <conditionalFormatting sqref="C3:C1048576 C1">
    <cfRule type="duplicateValues" dxfId="5" priority="21"/>
  </conditionalFormatting>
  <conditionalFormatting sqref="D1">
    <cfRule type="duplicateValues" dxfId="4" priority="6"/>
  </conditionalFormatting>
  <conditionalFormatting sqref="D1:D1048576">
    <cfRule type="duplicateValues" dxfId="3" priority="4"/>
    <cfRule type="duplicateValues" dxfId="2" priority="5"/>
  </conditionalFormatting>
  <conditionalFormatting sqref="F1:F1048576">
    <cfRule type="duplicateValues" dxfId="1" priority="2"/>
    <cfRule type="duplicateValues" dxfId="0" priority="3"/>
  </conditionalFormatting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F44D-A4E9-492C-BD6D-55E3F6159240}">
  <sheetPr>
    <pageSetUpPr fitToPage="1"/>
  </sheetPr>
  <dimension ref="A1:C2"/>
  <sheetViews>
    <sheetView topLeftCell="C1" zoomScale="85" zoomScaleNormal="85" workbookViewId="0"/>
  </sheetViews>
  <sheetFormatPr defaultColWidth="12.85546875" defaultRowHeight="14.45"/>
  <cols>
    <col min="1" max="1" width="21.7109375" style="556" bestFit="1" customWidth="1"/>
    <col min="2" max="2" width="10.28515625" style="556" bestFit="1" customWidth="1"/>
    <col min="3" max="3" width="8.5703125" style="556" bestFit="1" customWidth="1"/>
    <col min="4" max="16384" width="12.85546875" style="556"/>
  </cols>
  <sheetData>
    <row r="1" spans="1:3">
      <c r="A1" s="555" t="s">
        <v>1007</v>
      </c>
      <c r="B1" s="555" t="s">
        <v>485</v>
      </c>
      <c r="C1" s="555" t="s">
        <v>1008</v>
      </c>
    </row>
    <row r="2" spans="1:3">
      <c r="A2" s="556" t="s">
        <v>1009</v>
      </c>
      <c r="B2" s="556">
        <v>501000</v>
      </c>
      <c r="C2" s="556" t="s">
        <v>1010</v>
      </c>
    </row>
  </sheetData>
  <autoFilter ref="A1:C1" xr:uid="{79951CF4-60AD-4572-8484-70E3165021BD}"/>
  <pageMargins left="0" right="0" top="0" bottom="0" header="0" footer="0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3A7C-64A4-4CCC-838B-CB28E306D834}">
  <dimension ref="A1:R164"/>
  <sheetViews>
    <sheetView showGridLines="0" zoomScale="78" zoomScaleNormal="85" workbookViewId="0">
      <selection activeCell="A2" sqref="A2"/>
    </sheetView>
  </sheetViews>
  <sheetFormatPr defaultColWidth="9.140625" defaultRowHeight="14.45" outlineLevelRow="2"/>
  <cols>
    <col min="1" max="1" width="11.85546875" bestFit="1" customWidth="1"/>
    <col min="2" max="2" width="6.85546875" bestFit="1" customWidth="1"/>
    <col min="3" max="3" width="12" bestFit="1" customWidth="1"/>
    <col min="4" max="4" width="20.5703125" bestFit="1" customWidth="1"/>
    <col min="5" max="5" width="18.140625" bestFit="1" customWidth="1"/>
    <col min="6" max="6" width="15.5703125" bestFit="1" customWidth="1"/>
    <col min="7" max="7" width="17.85546875" bestFit="1" customWidth="1"/>
    <col min="8" max="8" width="17.7109375" bestFit="1" customWidth="1"/>
    <col min="9" max="9" width="17.85546875" bestFit="1" customWidth="1"/>
    <col min="10" max="10" width="5.85546875" bestFit="1" customWidth="1"/>
    <col min="11" max="11" width="17.85546875" bestFit="1" customWidth="1"/>
    <col min="12" max="12" width="10.42578125" bestFit="1" customWidth="1"/>
    <col min="13" max="13" width="2.7109375" customWidth="1"/>
    <col min="14" max="14" width="36.42578125" bestFit="1" customWidth="1"/>
    <col min="15" max="15" width="16" bestFit="1" customWidth="1"/>
    <col min="16" max="16" width="19.85546875" customWidth="1"/>
    <col min="17" max="17" width="48.85546875" bestFit="1" customWidth="1"/>
    <col min="18" max="18" width="20.85546875" hidden="1" customWidth="1"/>
  </cols>
  <sheetData>
    <row r="1" spans="1:15">
      <c r="A1" s="757" t="s">
        <v>1011</v>
      </c>
      <c r="B1" s="758"/>
      <c r="C1" s="758"/>
      <c r="D1" s="557"/>
      <c r="E1" s="557"/>
      <c r="F1" s="557"/>
      <c r="G1" s="557"/>
      <c r="H1" s="557"/>
      <c r="I1" s="557"/>
      <c r="J1" s="557"/>
      <c r="K1" s="557"/>
      <c r="N1" s="558"/>
    </row>
    <row r="2" spans="1:15">
      <c r="A2" s="759" t="s">
        <v>358</v>
      </c>
      <c r="B2" s="761" t="s">
        <v>58</v>
      </c>
      <c r="C2" s="761"/>
      <c r="D2" s="761" t="s">
        <v>311</v>
      </c>
      <c r="E2" s="761"/>
      <c r="F2" s="761" t="s">
        <v>494</v>
      </c>
      <c r="G2" s="761"/>
      <c r="H2" s="761" t="s">
        <v>313</v>
      </c>
      <c r="I2" s="761"/>
      <c r="J2" s="761" t="s">
        <v>974</v>
      </c>
      <c r="K2" s="761"/>
      <c r="N2" s="560" t="s">
        <v>1012</v>
      </c>
    </row>
    <row r="3" spans="1:15">
      <c r="A3" s="760"/>
      <c r="B3" s="559" t="s">
        <v>1013</v>
      </c>
      <c r="C3" s="559" t="s">
        <v>485</v>
      </c>
      <c r="D3" s="559" t="s">
        <v>1013</v>
      </c>
      <c r="E3" s="559" t="s">
        <v>485</v>
      </c>
      <c r="F3" s="559" t="s">
        <v>1013</v>
      </c>
      <c r="G3" s="559" t="s">
        <v>485</v>
      </c>
      <c r="H3" s="559" t="s">
        <v>1013</v>
      </c>
      <c r="I3" s="559" t="s">
        <v>485</v>
      </c>
      <c r="J3" s="559" t="s">
        <v>1013</v>
      </c>
      <c r="K3" s="559" t="s">
        <v>485</v>
      </c>
      <c r="N3" s="561"/>
    </row>
    <row r="4" spans="1:15">
      <c r="A4" s="562">
        <v>45717</v>
      </c>
      <c r="B4" s="563">
        <v>1</v>
      </c>
      <c r="C4" s="563">
        <v>0</v>
      </c>
      <c r="D4" s="563">
        <v>1</v>
      </c>
      <c r="E4" s="563">
        <v>0</v>
      </c>
      <c r="F4" s="563">
        <v>0</v>
      </c>
      <c r="G4" s="563">
        <v>0</v>
      </c>
      <c r="H4" s="563">
        <v>0</v>
      </c>
      <c r="I4" s="563">
        <v>0</v>
      </c>
      <c r="J4" s="563"/>
      <c r="K4" s="563"/>
      <c r="N4" t="s">
        <v>1014</v>
      </c>
    </row>
    <row r="5" spans="1:15">
      <c r="A5" s="562">
        <v>45748</v>
      </c>
      <c r="B5" s="563">
        <v>1</v>
      </c>
      <c r="C5" s="563">
        <v>110077</v>
      </c>
      <c r="D5" s="563">
        <v>1</v>
      </c>
      <c r="E5" s="563">
        <v>110077</v>
      </c>
      <c r="F5" s="563">
        <v>0</v>
      </c>
      <c r="G5" s="563">
        <v>0</v>
      </c>
      <c r="H5" s="563">
        <v>0</v>
      </c>
      <c r="I5" s="563">
        <v>0</v>
      </c>
      <c r="J5" s="563"/>
      <c r="K5" s="563"/>
    </row>
    <row r="6" spans="1:15">
      <c r="A6" s="562">
        <v>45778</v>
      </c>
      <c r="B6" s="563">
        <v>265</v>
      </c>
      <c r="C6" s="563">
        <v>7862637</v>
      </c>
      <c r="D6" s="563">
        <v>6</v>
      </c>
      <c r="E6" s="563">
        <v>22304</v>
      </c>
      <c r="F6" s="563">
        <v>5</v>
      </c>
      <c r="G6" s="563">
        <v>563820</v>
      </c>
      <c r="H6" s="563">
        <v>254</v>
      </c>
      <c r="I6" s="563">
        <v>7276513</v>
      </c>
      <c r="J6" s="563"/>
      <c r="K6" s="563"/>
    </row>
    <row r="7" spans="1:15">
      <c r="A7" s="562">
        <v>45809</v>
      </c>
      <c r="B7" s="563">
        <v>36</v>
      </c>
      <c r="C7" s="563">
        <v>699891</v>
      </c>
      <c r="D7" s="563">
        <v>1</v>
      </c>
      <c r="E7" s="563">
        <v>21482</v>
      </c>
      <c r="F7" s="563">
        <v>10</v>
      </c>
      <c r="G7" s="563">
        <v>220967</v>
      </c>
      <c r="H7" s="563">
        <v>25</v>
      </c>
      <c r="I7" s="563">
        <v>457442</v>
      </c>
      <c r="J7" s="563"/>
      <c r="K7" s="563"/>
    </row>
    <row r="8" spans="1:15">
      <c r="A8" s="564" t="s">
        <v>315</v>
      </c>
      <c r="B8" s="564">
        <v>303</v>
      </c>
      <c r="C8" s="564">
        <v>8672605</v>
      </c>
      <c r="D8" s="564">
        <v>9</v>
      </c>
      <c r="E8" s="564">
        <v>153863</v>
      </c>
      <c r="F8" s="564">
        <v>15</v>
      </c>
      <c r="G8" s="564">
        <v>784787</v>
      </c>
      <c r="H8" s="564">
        <v>279</v>
      </c>
      <c r="I8" s="564">
        <v>7733955</v>
      </c>
      <c r="J8" s="564">
        <v>0</v>
      </c>
      <c r="K8" s="564">
        <v>0</v>
      </c>
    </row>
    <row r="9" spans="1:15" s="565" customFormat="1">
      <c r="A9"/>
      <c r="B9"/>
      <c r="C9"/>
      <c r="D9"/>
      <c r="E9"/>
      <c r="F9"/>
      <c r="G9"/>
      <c r="H9"/>
      <c r="I9"/>
      <c r="J9"/>
      <c r="K9"/>
      <c r="M9"/>
      <c r="N9"/>
      <c r="O9"/>
    </row>
    <row r="10" spans="1:15" ht="15" thickBot="1">
      <c r="A10" s="757" t="s">
        <v>1015</v>
      </c>
      <c r="B10" s="758"/>
      <c r="C10" s="758"/>
      <c r="D10" s="566"/>
      <c r="E10" s="566"/>
      <c r="F10" s="566"/>
      <c r="G10" s="567"/>
      <c r="H10" s="566"/>
      <c r="I10" s="566"/>
      <c r="J10" s="566"/>
      <c r="K10" s="566"/>
      <c r="L10" s="565"/>
      <c r="M10" s="565"/>
      <c r="N10" s="565"/>
      <c r="O10" s="565"/>
    </row>
    <row r="11" spans="1:15" ht="15" thickBot="1">
      <c r="A11" s="759" t="s">
        <v>358</v>
      </c>
      <c r="B11" s="761" t="s">
        <v>58</v>
      </c>
      <c r="C11" s="761"/>
      <c r="D11" s="761" t="s">
        <v>311</v>
      </c>
      <c r="E11" s="761"/>
      <c r="F11" s="761" t="s">
        <v>494</v>
      </c>
      <c r="G11" s="761"/>
      <c r="H11" s="761" t="s">
        <v>313</v>
      </c>
      <c r="I11" s="761"/>
      <c r="J11" s="761" t="s">
        <v>974</v>
      </c>
      <c r="K11" s="761"/>
      <c r="L11" s="559" t="s">
        <v>1016</v>
      </c>
      <c r="N11" s="568" t="s">
        <v>500</v>
      </c>
      <c r="O11" s="568" t="s">
        <v>579</v>
      </c>
    </row>
    <row r="12" spans="1:15" ht="15" thickBot="1">
      <c r="A12" s="760"/>
      <c r="B12" s="559" t="s">
        <v>1013</v>
      </c>
      <c r="C12" s="559" t="s">
        <v>485</v>
      </c>
      <c r="D12" s="559" t="s">
        <v>1013</v>
      </c>
      <c r="E12" s="559" t="s">
        <v>485</v>
      </c>
      <c r="F12" s="559" t="s">
        <v>1013</v>
      </c>
      <c r="G12" s="559" t="s">
        <v>485</v>
      </c>
      <c r="H12" s="559" t="s">
        <v>1013</v>
      </c>
      <c r="I12" s="559" t="s">
        <v>485</v>
      </c>
      <c r="J12" s="559" t="s">
        <v>1013</v>
      </c>
      <c r="K12" s="559" t="s">
        <v>485</v>
      </c>
      <c r="L12" s="559" t="s">
        <v>95</v>
      </c>
      <c r="N12" s="569" t="s">
        <v>311</v>
      </c>
      <c r="O12" s="570">
        <v>15178646.66134467</v>
      </c>
    </row>
    <row r="13" spans="1:15" ht="15" outlineLevel="1" thickBot="1">
      <c r="A13" s="571" t="s">
        <v>810</v>
      </c>
      <c r="B13" s="572">
        <v>0</v>
      </c>
      <c r="C13" s="572">
        <v>0</v>
      </c>
      <c r="D13" s="572">
        <v>0</v>
      </c>
      <c r="E13" s="572">
        <v>0</v>
      </c>
      <c r="F13" s="572">
        <v>0</v>
      </c>
      <c r="G13" s="572">
        <v>0</v>
      </c>
      <c r="H13" s="572">
        <v>0</v>
      </c>
      <c r="I13" s="572">
        <v>0</v>
      </c>
      <c r="J13" s="572">
        <v>0</v>
      </c>
      <c r="K13" s="572">
        <v>0</v>
      </c>
      <c r="L13" s="573"/>
      <c r="N13" s="574" t="s">
        <v>494</v>
      </c>
      <c r="O13" s="575">
        <v>8150360.7400000012</v>
      </c>
    </row>
    <row r="14" spans="1:15" ht="15" outlineLevel="1" thickBot="1">
      <c r="A14" s="571">
        <v>44743</v>
      </c>
      <c r="B14" s="572">
        <v>1</v>
      </c>
      <c r="C14" s="572">
        <v>54000.969999999994</v>
      </c>
      <c r="D14" s="576">
        <v>0</v>
      </c>
      <c r="E14" s="577">
        <v>0</v>
      </c>
      <c r="F14" s="578">
        <v>1</v>
      </c>
      <c r="G14" s="577">
        <v>54000.969999999994</v>
      </c>
      <c r="H14" s="576">
        <v>0</v>
      </c>
      <c r="I14" s="576">
        <v>0</v>
      </c>
      <c r="J14" s="576"/>
      <c r="K14" s="576"/>
      <c r="L14" s="573">
        <v>1072</v>
      </c>
      <c r="N14" s="574" t="s">
        <v>1017</v>
      </c>
      <c r="O14" s="579">
        <v>7702870.8186000101</v>
      </c>
    </row>
    <row r="15" spans="1:15" outlineLevel="1">
      <c r="A15" s="571">
        <v>44774</v>
      </c>
      <c r="B15" s="572">
        <v>2</v>
      </c>
      <c r="C15" s="572">
        <v>65314.208599999991</v>
      </c>
      <c r="D15" s="576">
        <v>1</v>
      </c>
      <c r="E15" s="577">
        <v>10891.098599999999</v>
      </c>
      <c r="F15" s="578">
        <v>1</v>
      </c>
      <c r="G15" s="577">
        <v>54423.109999999993</v>
      </c>
      <c r="H15" s="576">
        <v>0</v>
      </c>
      <c r="I15" s="576">
        <v>0</v>
      </c>
      <c r="J15" s="576"/>
      <c r="K15" s="576"/>
      <c r="L15" s="573">
        <v>1041</v>
      </c>
      <c r="N15" s="580"/>
      <c r="O15" s="565"/>
    </row>
    <row r="16" spans="1:15" outlineLevel="1">
      <c r="A16" s="571">
        <v>44805</v>
      </c>
      <c r="B16" s="572">
        <v>95</v>
      </c>
      <c r="C16" s="572">
        <v>1980555.551</v>
      </c>
      <c r="D16" s="576">
        <v>95</v>
      </c>
      <c r="E16" s="577">
        <v>1980555.551</v>
      </c>
      <c r="F16" s="578">
        <v>0</v>
      </c>
      <c r="G16" s="577">
        <v>0</v>
      </c>
      <c r="H16" s="576">
        <v>0</v>
      </c>
      <c r="I16" s="576">
        <v>0</v>
      </c>
      <c r="J16" s="576"/>
      <c r="K16" s="576"/>
      <c r="L16" s="573">
        <v>1010</v>
      </c>
      <c r="M16" s="565"/>
      <c r="N16" s="580"/>
      <c r="O16" s="565"/>
    </row>
    <row r="17" spans="1:15" outlineLevel="1">
      <c r="A17" s="571">
        <v>44835</v>
      </c>
      <c r="B17" s="572">
        <v>298</v>
      </c>
      <c r="C17" s="572">
        <v>6278351.9688000008</v>
      </c>
      <c r="D17" s="576">
        <v>285</v>
      </c>
      <c r="E17" s="577">
        <v>5278069.6488000005</v>
      </c>
      <c r="F17" s="578">
        <v>13</v>
      </c>
      <c r="G17" s="577">
        <v>1000282.3200000003</v>
      </c>
      <c r="H17" s="576">
        <v>0</v>
      </c>
      <c r="I17" s="576">
        <v>0</v>
      </c>
      <c r="J17" s="576"/>
      <c r="K17" s="576"/>
      <c r="L17" s="573">
        <v>980</v>
      </c>
      <c r="M17" s="565"/>
    </row>
    <row r="18" spans="1:15" outlineLevel="1">
      <c r="A18" s="571">
        <v>44866</v>
      </c>
      <c r="B18" s="572">
        <v>5</v>
      </c>
      <c r="C18" s="572">
        <v>126008.3726</v>
      </c>
      <c r="D18" s="576">
        <v>5</v>
      </c>
      <c r="E18" s="577">
        <v>126008.3726</v>
      </c>
      <c r="F18" s="578">
        <v>0</v>
      </c>
      <c r="G18" s="577">
        <v>0</v>
      </c>
      <c r="H18" s="576">
        <v>0</v>
      </c>
      <c r="I18" s="576">
        <v>0</v>
      </c>
      <c r="J18" s="576"/>
      <c r="K18" s="576"/>
      <c r="L18" s="573">
        <v>949</v>
      </c>
      <c r="M18" s="565"/>
      <c r="N18" s="559" t="s">
        <v>86</v>
      </c>
      <c r="O18" s="286"/>
    </row>
    <row r="19" spans="1:15" outlineLevel="1">
      <c r="A19" s="571">
        <v>44896</v>
      </c>
      <c r="B19" s="572">
        <v>4</v>
      </c>
      <c r="C19" s="572">
        <v>42026.133600000001</v>
      </c>
      <c r="D19" s="576">
        <v>4</v>
      </c>
      <c r="E19" s="577">
        <v>42026.133600000001</v>
      </c>
      <c r="F19" s="578">
        <v>0</v>
      </c>
      <c r="G19" s="577">
        <v>0</v>
      </c>
      <c r="H19" s="576">
        <v>0</v>
      </c>
      <c r="I19" s="576">
        <v>0</v>
      </c>
      <c r="J19" s="576"/>
      <c r="K19" s="576"/>
      <c r="L19" s="573">
        <v>919</v>
      </c>
      <c r="M19" s="565"/>
      <c r="N19" t="s">
        <v>1018</v>
      </c>
    </row>
    <row r="20" spans="1:15" outlineLevel="1">
      <c r="A20" s="571">
        <v>44927</v>
      </c>
      <c r="B20" s="572">
        <v>4</v>
      </c>
      <c r="C20" s="572">
        <v>92911.859799999991</v>
      </c>
      <c r="D20" s="576">
        <v>1</v>
      </c>
      <c r="E20" s="577">
        <v>12839.459800000001</v>
      </c>
      <c r="F20" s="578">
        <v>3</v>
      </c>
      <c r="G20" s="577">
        <v>80072.399999999994</v>
      </c>
      <c r="H20" s="576">
        <v>0</v>
      </c>
      <c r="I20" s="576">
        <v>0</v>
      </c>
      <c r="J20" s="576"/>
      <c r="K20" s="576"/>
      <c r="L20" s="573">
        <v>888</v>
      </c>
      <c r="M20" s="565"/>
      <c r="N20" t="s">
        <v>1019</v>
      </c>
    </row>
    <row r="21" spans="1:15" outlineLevel="1">
      <c r="A21" s="571">
        <v>44958</v>
      </c>
      <c r="B21" s="572">
        <v>2</v>
      </c>
      <c r="C21" s="572">
        <v>136032.52340000001</v>
      </c>
      <c r="D21" s="576">
        <v>1</v>
      </c>
      <c r="E21" s="577">
        <v>123300.52340000001</v>
      </c>
      <c r="F21" s="578">
        <v>1</v>
      </c>
      <c r="G21" s="577">
        <v>12732.000000000004</v>
      </c>
      <c r="H21" s="576">
        <v>0</v>
      </c>
      <c r="I21" s="576">
        <v>0</v>
      </c>
      <c r="J21" s="576"/>
      <c r="K21" s="576"/>
      <c r="L21" s="573">
        <v>857</v>
      </c>
      <c r="M21" s="565"/>
      <c r="N21" t="s">
        <v>1020</v>
      </c>
    </row>
    <row r="22" spans="1:15" outlineLevel="1">
      <c r="A22" s="571">
        <v>44986</v>
      </c>
      <c r="B22" s="572">
        <v>1</v>
      </c>
      <c r="C22" s="572">
        <v>12868.470000000001</v>
      </c>
      <c r="D22" s="576">
        <v>0</v>
      </c>
      <c r="E22" s="577">
        <v>0</v>
      </c>
      <c r="F22" s="578">
        <v>1</v>
      </c>
      <c r="G22" s="577">
        <v>12868.470000000001</v>
      </c>
      <c r="H22" s="576">
        <v>0</v>
      </c>
      <c r="I22" s="576">
        <v>0</v>
      </c>
      <c r="J22" s="576"/>
      <c r="K22" s="576"/>
      <c r="L22" s="573">
        <v>829</v>
      </c>
      <c r="N22" t="s">
        <v>1021</v>
      </c>
    </row>
    <row r="23" spans="1:15" outlineLevel="1">
      <c r="A23" s="571">
        <v>45017</v>
      </c>
      <c r="B23" s="572">
        <v>1</v>
      </c>
      <c r="C23" s="572">
        <v>26894.06</v>
      </c>
      <c r="D23" s="576">
        <v>0</v>
      </c>
      <c r="E23" s="577">
        <v>0</v>
      </c>
      <c r="F23" s="578">
        <v>1</v>
      </c>
      <c r="G23" s="577">
        <v>26894.06</v>
      </c>
      <c r="H23" s="576">
        <v>0</v>
      </c>
      <c r="I23" s="576">
        <v>0</v>
      </c>
      <c r="J23" s="576"/>
      <c r="K23" s="576"/>
      <c r="L23" s="573">
        <v>798</v>
      </c>
      <c r="N23" t="s">
        <v>1022</v>
      </c>
    </row>
    <row r="24" spans="1:15" outlineLevel="1">
      <c r="A24" s="571">
        <v>45047</v>
      </c>
      <c r="B24" s="572">
        <v>5</v>
      </c>
      <c r="C24" s="572">
        <v>47518.376800000005</v>
      </c>
      <c r="D24" s="576">
        <v>2</v>
      </c>
      <c r="E24" s="577">
        <v>9275.8868000000002</v>
      </c>
      <c r="F24" s="578">
        <v>3</v>
      </c>
      <c r="G24" s="577">
        <v>38242.490000000005</v>
      </c>
      <c r="H24" s="576">
        <v>0</v>
      </c>
      <c r="I24" s="576">
        <v>0</v>
      </c>
      <c r="J24" s="576"/>
      <c r="K24" s="576"/>
      <c r="L24" s="573">
        <v>768</v>
      </c>
      <c r="N24" t="s">
        <v>1023</v>
      </c>
    </row>
    <row r="25" spans="1:15" outlineLevel="1">
      <c r="A25" s="571">
        <v>45078</v>
      </c>
      <c r="B25" s="572">
        <v>1</v>
      </c>
      <c r="C25" s="572">
        <v>63372.279999999992</v>
      </c>
      <c r="D25" s="576">
        <v>0</v>
      </c>
      <c r="E25" s="577">
        <v>0</v>
      </c>
      <c r="F25" s="578">
        <v>1</v>
      </c>
      <c r="G25" s="577">
        <v>63372.279999999992</v>
      </c>
      <c r="H25" s="576">
        <v>0</v>
      </c>
      <c r="I25" s="576">
        <v>0</v>
      </c>
      <c r="J25" s="576"/>
      <c r="K25" s="576"/>
      <c r="L25" s="573">
        <v>737</v>
      </c>
    </row>
    <row r="26" spans="1:15" ht="15" outlineLevel="1" thickBot="1">
      <c r="A26" s="581" t="s">
        <v>1024</v>
      </c>
      <c r="B26" s="582">
        <v>419</v>
      </c>
      <c r="C26" s="582">
        <v>8925854.7746000029</v>
      </c>
      <c r="D26" s="583">
        <v>394</v>
      </c>
      <c r="E26" s="583">
        <v>7582966.6746000024</v>
      </c>
      <c r="F26" s="583">
        <v>25</v>
      </c>
      <c r="G26" s="583">
        <v>1342888.1000000003</v>
      </c>
      <c r="H26" s="583">
        <v>0</v>
      </c>
      <c r="I26" s="583">
        <v>0</v>
      </c>
      <c r="J26" s="583">
        <v>0</v>
      </c>
      <c r="K26" s="583">
        <v>0</v>
      </c>
      <c r="L26" s="584"/>
      <c r="N26" s="762" t="s">
        <v>1025</v>
      </c>
      <c r="O26" s="763"/>
    </row>
    <row r="27" spans="1:15" outlineLevel="1">
      <c r="A27" s="571">
        <v>45108</v>
      </c>
      <c r="B27" s="572">
        <v>3</v>
      </c>
      <c r="C27" s="572">
        <v>57623.710000000006</v>
      </c>
      <c r="D27" s="576">
        <v>0</v>
      </c>
      <c r="E27" s="577">
        <v>0</v>
      </c>
      <c r="F27" s="578">
        <v>3</v>
      </c>
      <c r="G27" s="577">
        <v>57623.710000000006</v>
      </c>
      <c r="H27" s="576">
        <v>0</v>
      </c>
      <c r="I27" s="576">
        <v>0</v>
      </c>
      <c r="J27" s="577">
        <v>0</v>
      </c>
      <c r="K27" s="577">
        <v>0</v>
      </c>
      <c r="L27" s="573">
        <v>707</v>
      </c>
      <c r="N27" s="585" t="s">
        <v>579</v>
      </c>
      <c r="O27" s="586">
        <v>225244.32209999999</v>
      </c>
    </row>
    <row r="28" spans="1:15" outlineLevel="1">
      <c r="A28" s="571">
        <v>45139</v>
      </c>
      <c r="B28" s="572">
        <v>28</v>
      </c>
      <c r="C28" s="572">
        <v>2150776.17</v>
      </c>
      <c r="D28" s="576">
        <v>0</v>
      </c>
      <c r="E28" s="577">
        <v>0</v>
      </c>
      <c r="F28" s="578">
        <v>28</v>
      </c>
      <c r="G28" s="577">
        <v>2150776.17</v>
      </c>
      <c r="H28" s="576">
        <v>0</v>
      </c>
      <c r="I28" s="576">
        <v>0</v>
      </c>
      <c r="J28" s="577">
        <v>0</v>
      </c>
      <c r="K28" s="577">
        <v>0</v>
      </c>
      <c r="L28" s="573">
        <v>676</v>
      </c>
      <c r="N28" s="587" t="s">
        <v>1026</v>
      </c>
      <c r="O28" s="588">
        <v>222154.44</v>
      </c>
    </row>
    <row r="29" spans="1:15" ht="15" outlineLevel="1" thickBot="1">
      <c r="A29" s="571">
        <v>45170</v>
      </c>
      <c r="B29" s="572">
        <v>0</v>
      </c>
      <c r="C29" s="572">
        <v>0</v>
      </c>
      <c r="D29" s="576">
        <v>0</v>
      </c>
      <c r="E29" s="577">
        <v>0</v>
      </c>
      <c r="F29" s="578">
        <v>0</v>
      </c>
      <c r="G29" s="577">
        <v>0</v>
      </c>
      <c r="H29" s="576">
        <v>0</v>
      </c>
      <c r="I29" s="576">
        <v>0</v>
      </c>
      <c r="J29" s="577">
        <v>0</v>
      </c>
      <c r="K29" s="577">
        <v>0</v>
      </c>
      <c r="L29" s="573">
        <v>645</v>
      </c>
      <c r="N29" s="589" t="s">
        <v>1027</v>
      </c>
      <c r="O29" s="590" t="s">
        <v>1028</v>
      </c>
    </row>
    <row r="30" spans="1:15" outlineLevel="1">
      <c r="A30" s="571">
        <v>45200</v>
      </c>
      <c r="B30" s="572">
        <v>0</v>
      </c>
      <c r="C30" s="572">
        <v>0</v>
      </c>
      <c r="D30" s="576">
        <v>0</v>
      </c>
      <c r="E30" s="577">
        <v>0</v>
      </c>
      <c r="F30" s="578">
        <v>0</v>
      </c>
      <c r="G30" s="577">
        <v>0</v>
      </c>
      <c r="H30" s="576">
        <v>0</v>
      </c>
      <c r="I30" s="576">
        <v>0</v>
      </c>
      <c r="J30" s="577">
        <v>0</v>
      </c>
      <c r="K30" s="577">
        <v>0</v>
      </c>
      <c r="L30" s="573">
        <v>615</v>
      </c>
    </row>
    <row r="31" spans="1:15" outlineLevel="1">
      <c r="A31" s="571">
        <v>45231</v>
      </c>
      <c r="B31" s="572">
        <v>1</v>
      </c>
      <c r="C31" s="572">
        <v>13334.269999999999</v>
      </c>
      <c r="D31" s="576">
        <v>0</v>
      </c>
      <c r="E31" s="577">
        <v>0</v>
      </c>
      <c r="F31" s="578">
        <v>1</v>
      </c>
      <c r="G31" s="577">
        <v>13334.269999999999</v>
      </c>
      <c r="H31" s="576">
        <v>0</v>
      </c>
      <c r="I31" s="576">
        <v>0</v>
      </c>
      <c r="J31" s="577">
        <v>0</v>
      </c>
      <c r="K31" s="577">
        <v>0</v>
      </c>
      <c r="L31" s="573">
        <v>584</v>
      </c>
    </row>
    <row r="32" spans="1:15" outlineLevel="1">
      <c r="A32" s="571">
        <v>45261</v>
      </c>
      <c r="B32" s="572">
        <v>4</v>
      </c>
      <c r="C32" s="572">
        <v>118343.79639999999</v>
      </c>
      <c r="D32" s="576">
        <v>4</v>
      </c>
      <c r="E32" s="577">
        <v>118343.79639999999</v>
      </c>
      <c r="F32" s="578">
        <v>0</v>
      </c>
      <c r="G32" s="577">
        <v>0</v>
      </c>
      <c r="H32" s="576">
        <v>0</v>
      </c>
      <c r="I32" s="576">
        <v>0</v>
      </c>
      <c r="J32" s="576">
        <v>0</v>
      </c>
      <c r="K32" s="576">
        <v>0</v>
      </c>
      <c r="L32" s="573">
        <v>554</v>
      </c>
      <c r="N32" s="559" t="s">
        <v>1029</v>
      </c>
    </row>
    <row r="33" spans="1:14" outlineLevel="1">
      <c r="A33" s="571">
        <v>45292</v>
      </c>
      <c r="B33" s="572">
        <v>1</v>
      </c>
      <c r="C33" s="572">
        <v>7200</v>
      </c>
      <c r="D33" s="576">
        <v>1</v>
      </c>
      <c r="E33" s="577">
        <v>7200</v>
      </c>
      <c r="F33" s="578">
        <v>0</v>
      </c>
      <c r="G33" s="577">
        <v>0</v>
      </c>
      <c r="H33" s="576">
        <v>0</v>
      </c>
      <c r="I33" s="576">
        <v>0</v>
      </c>
      <c r="J33" s="576">
        <v>0</v>
      </c>
      <c r="K33" s="576">
        <v>0</v>
      </c>
      <c r="L33" s="573">
        <v>523</v>
      </c>
      <c r="N33" t="s">
        <v>1030</v>
      </c>
    </row>
    <row r="34" spans="1:14" outlineLevel="1">
      <c r="A34" s="571">
        <v>45323</v>
      </c>
      <c r="B34" s="572">
        <v>0</v>
      </c>
      <c r="C34" s="572">
        <v>0</v>
      </c>
      <c r="D34" s="576">
        <v>0</v>
      </c>
      <c r="E34" s="577">
        <v>0</v>
      </c>
      <c r="F34" s="578">
        <v>0</v>
      </c>
      <c r="G34" s="577">
        <v>0</v>
      </c>
      <c r="H34" s="576">
        <v>0</v>
      </c>
      <c r="I34" s="576">
        <v>0</v>
      </c>
      <c r="J34" s="576">
        <v>0</v>
      </c>
      <c r="K34" s="576">
        <v>0</v>
      </c>
      <c r="L34" s="573">
        <v>492</v>
      </c>
      <c r="N34" t="s">
        <v>1031</v>
      </c>
    </row>
    <row r="35" spans="1:14">
      <c r="A35" s="571">
        <v>45352</v>
      </c>
      <c r="B35" s="572">
        <v>0</v>
      </c>
      <c r="C35" s="572">
        <v>0</v>
      </c>
      <c r="D35" s="576">
        <v>0</v>
      </c>
      <c r="E35" s="577">
        <v>0</v>
      </c>
      <c r="F35" s="578">
        <v>0</v>
      </c>
      <c r="G35" s="577">
        <v>0</v>
      </c>
      <c r="H35" s="576">
        <v>0</v>
      </c>
      <c r="I35" s="576">
        <v>0</v>
      </c>
      <c r="J35" s="576">
        <v>0</v>
      </c>
      <c r="K35" s="576">
        <v>0</v>
      </c>
      <c r="L35" s="573">
        <v>463</v>
      </c>
    </row>
    <row r="36" spans="1:14">
      <c r="A36" s="571">
        <v>45383</v>
      </c>
      <c r="B36" s="572">
        <v>0</v>
      </c>
      <c r="C36" s="572">
        <v>0</v>
      </c>
      <c r="D36" s="576">
        <v>0</v>
      </c>
      <c r="E36" s="577">
        <v>0</v>
      </c>
      <c r="F36" s="578">
        <v>0</v>
      </c>
      <c r="G36" s="577">
        <v>0</v>
      </c>
      <c r="H36" s="576">
        <v>0</v>
      </c>
      <c r="I36" s="576">
        <v>0</v>
      </c>
      <c r="J36" s="576">
        <v>0</v>
      </c>
      <c r="K36" s="576">
        <v>0</v>
      </c>
      <c r="L36" s="573">
        <v>432</v>
      </c>
    </row>
    <row r="37" spans="1:14">
      <c r="A37" s="571">
        <v>45413</v>
      </c>
      <c r="B37" s="572">
        <v>0</v>
      </c>
      <c r="C37" s="572">
        <v>0</v>
      </c>
      <c r="D37" s="576">
        <v>0</v>
      </c>
      <c r="E37" s="577">
        <v>0</v>
      </c>
      <c r="F37" s="578">
        <v>0</v>
      </c>
      <c r="G37" s="577">
        <v>0</v>
      </c>
      <c r="H37" s="576">
        <v>0</v>
      </c>
      <c r="I37" s="576">
        <v>0</v>
      </c>
      <c r="J37" s="576">
        <v>0</v>
      </c>
      <c r="K37" s="576">
        <v>0</v>
      </c>
      <c r="L37" s="573">
        <v>402</v>
      </c>
    </row>
    <row r="38" spans="1:14">
      <c r="A38" s="571">
        <v>45444</v>
      </c>
      <c r="B38" s="572">
        <v>0</v>
      </c>
      <c r="C38" s="572">
        <v>0</v>
      </c>
      <c r="D38" s="576">
        <v>0</v>
      </c>
      <c r="E38" s="577">
        <v>0</v>
      </c>
      <c r="F38" s="578">
        <v>0</v>
      </c>
      <c r="G38" s="577">
        <v>0</v>
      </c>
      <c r="H38" s="576">
        <v>0</v>
      </c>
      <c r="I38" s="576">
        <v>0</v>
      </c>
      <c r="J38" s="576">
        <v>0</v>
      </c>
      <c r="K38" s="576">
        <v>0</v>
      </c>
      <c r="L38" s="573">
        <v>371</v>
      </c>
    </row>
    <row r="39" spans="1:14">
      <c r="A39" s="571">
        <v>45474</v>
      </c>
      <c r="B39" s="572">
        <v>1</v>
      </c>
      <c r="C39" s="572">
        <v>1778.1236499999995</v>
      </c>
      <c r="D39" s="576">
        <v>1</v>
      </c>
      <c r="E39" s="577">
        <v>1778.1236499999995</v>
      </c>
      <c r="F39" s="578">
        <v>0</v>
      </c>
      <c r="G39" s="577">
        <v>0</v>
      </c>
      <c r="H39" s="576">
        <v>0</v>
      </c>
      <c r="I39" s="576">
        <v>0</v>
      </c>
      <c r="J39" s="576">
        <v>0</v>
      </c>
      <c r="K39" s="576">
        <v>0</v>
      </c>
      <c r="L39" s="573">
        <v>341</v>
      </c>
    </row>
    <row r="40" spans="1:14">
      <c r="A40" s="571">
        <v>45505</v>
      </c>
      <c r="B40" s="572">
        <v>1</v>
      </c>
      <c r="C40" s="572">
        <v>1696.4794499999989</v>
      </c>
      <c r="D40" s="576">
        <v>1</v>
      </c>
      <c r="E40" s="577">
        <v>1696.4794499999989</v>
      </c>
      <c r="F40" s="578">
        <v>0</v>
      </c>
      <c r="G40" s="577">
        <v>0</v>
      </c>
      <c r="H40" s="576">
        <v>0</v>
      </c>
      <c r="I40" s="576">
        <v>0</v>
      </c>
      <c r="J40" s="576">
        <v>0</v>
      </c>
      <c r="K40" s="576">
        <v>0</v>
      </c>
      <c r="L40" s="573">
        <v>310</v>
      </c>
    </row>
    <row r="41" spans="1:14">
      <c r="A41" s="571">
        <v>45536</v>
      </c>
      <c r="B41" s="572">
        <v>0</v>
      </c>
      <c r="C41" s="572">
        <v>0</v>
      </c>
      <c r="D41" s="576">
        <v>0</v>
      </c>
      <c r="E41" s="577">
        <v>0</v>
      </c>
      <c r="F41" s="578">
        <v>0</v>
      </c>
      <c r="G41" s="577">
        <v>0</v>
      </c>
      <c r="H41" s="576">
        <v>0</v>
      </c>
      <c r="I41" s="576">
        <v>0</v>
      </c>
      <c r="J41" s="576">
        <v>0</v>
      </c>
      <c r="K41" s="576">
        <v>0</v>
      </c>
      <c r="L41" s="573">
        <v>279</v>
      </c>
    </row>
    <row r="42" spans="1:14">
      <c r="A42" s="571">
        <v>45566</v>
      </c>
      <c r="B42" s="572">
        <v>5</v>
      </c>
      <c r="C42" s="572">
        <v>21501.331760000001</v>
      </c>
      <c r="D42" s="576">
        <v>5</v>
      </c>
      <c r="E42" s="577">
        <v>21501.331760000001</v>
      </c>
      <c r="F42" s="578">
        <v>0</v>
      </c>
      <c r="G42" s="577">
        <v>0</v>
      </c>
      <c r="H42" s="576">
        <v>0</v>
      </c>
      <c r="I42" s="576">
        <v>0</v>
      </c>
      <c r="J42" s="576">
        <v>0</v>
      </c>
      <c r="K42" s="576">
        <v>0</v>
      </c>
      <c r="L42" s="573">
        <v>249</v>
      </c>
    </row>
    <row r="43" spans="1:14">
      <c r="A43" s="571">
        <v>45597</v>
      </c>
      <c r="B43" s="572">
        <v>1</v>
      </c>
      <c r="C43" s="572">
        <v>12300</v>
      </c>
      <c r="D43" s="576">
        <v>1</v>
      </c>
      <c r="E43" s="577">
        <v>12300</v>
      </c>
      <c r="F43" s="578">
        <v>0</v>
      </c>
      <c r="G43" s="577">
        <v>0</v>
      </c>
      <c r="H43" s="576">
        <v>0</v>
      </c>
      <c r="I43" s="576">
        <v>0</v>
      </c>
      <c r="J43" s="576">
        <v>0</v>
      </c>
      <c r="K43" s="576">
        <v>0</v>
      </c>
      <c r="L43" s="573">
        <v>218</v>
      </c>
    </row>
    <row r="44" spans="1:14">
      <c r="A44" s="571">
        <v>45627</v>
      </c>
      <c r="B44" s="572">
        <v>2</v>
      </c>
      <c r="C44" s="572">
        <v>17002.761919999997</v>
      </c>
      <c r="D44" s="576">
        <v>1</v>
      </c>
      <c r="E44" s="577">
        <v>841.97191999999995</v>
      </c>
      <c r="F44" s="578">
        <v>1</v>
      </c>
      <c r="G44" s="577">
        <v>16160.789999999999</v>
      </c>
      <c r="H44" s="576">
        <v>0</v>
      </c>
      <c r="I44" s="576">
        <v>0</v>
      </c>
      <c r="J44" s="576">
        <v>0</v>
      </c>
      <c r="K44" s="576">
        <v>0</v>
      </c>
      <c r="L44" s="573">
        <v>188</v>
      </c>
    </row>
    <row r="45" spans="1:14">
      <c r="A45" s="571">
        <v>45658</v>
      </c>
      <c r="B45" s="572">
        <v>1</v>
      </c>
      <c r="C45" s="572">
        <v>2405.3600000000006</v>
      </c>
      <c r="D45" s="576">
        <v>0</v>
      </c>
      <c r="E45" s="577">
        <v>0</v>
      </c>
      <c r="F45" s="578">
        <v>1</v>
      </c>
      <c r="G45" s="577">
        <v>2405.3600000000006</v>
      </c>
      <c r="H45" s="576">
        <v>0</v>
      </c>
      <c r="I45" s="576">
        <v>0</v>
      </c>
      <c r="J45" s="576">
        <v>0</v>
      </c>
      <c r="K45" s="576">
        <v>0</v>
      </c>
      <c r="L45" s="573">
        <v>157</v>
      </c>
    </row>
    <row r="46" spans="1:14">
      <c r="A46" s="571">
        <v>45689</v>
      </c>
      <c r="B46" s="572">
        <v>0</v>
      </c>
      <c r="C46" s="572">
        <v>0</v>
      </c>
      <c r="D46" s="576">
        <v>0</v>
      </c>
      <c r="E46" s="577">
        <v>0</v>
      </c>
      <c r="F46" s="578">
        <v>0</v>
      </c>
      <c r="G46" s="577">
        <v>0</v>
      </c>
      <c r="H46" s="576">
        <v>0</v>
      </c>
      <c r="I46" s="576">
        <v>0</v>
      </c>
      <c r="J46" s="576">
        <v>0</v>
      </c>
      <c r="K46" s="576">
        <v>0</v>
      </c>
      <c r="L46" s="573">
        <v>126</v>
      </c>
    </row>
    <row r="47" spans="1:14">
      <c r="A47" s="571">
        <v>45717</v>
      </c>
      <c r="B47" s="572">
        <v>2</v>
      </c>
      <c r="C47" s="572">
        <v>292224.70554</v>
      </c>
      <c r="D47" s="576">
        <v>1</v>
      </c>
      <c r="E47" s="577">
        <v>96019.906740000006</v>
      </c>
      <c r="F47" s="578">
        <v>0</v>
      </c>
      <c r="G47" s="577">
        <v>0</v>
      </c>
      <c r="H47" s="576">
        <v>1</v>
      </c>
      <c r="I47" s="576">
        <v>196204.79880000002</v>
      </c>
      <c r="J47" s="576">
        <v>0</v>
      </c>
      <c r="K47" s="576">
        <v>0</v>
      </c>
      <c r="L47" s="573">
        <v>98</v>
      </c>
    </row>
    <row r="48" spans="1:14">
      <c r="A48" s="571">
        <v>45748</v>
      </c>
      <c r="B48" s="572">
        <v>35</v>
      </c>
      <c r="C48" s="572">
        <v>1680282.7197000002</v>
      </c>
      <c r="D48" s="576">
        <v>33</v>
      </c>
      <c r="E48" s="577">
        <v>1058760.9636000001</v>
      </c>
      <c r="F48" s="578">
        <v>0</v>
      </c>
      <c r="G48" s="577">
        <v>0</v>
      </c>
      <c r="H48" s="576">
        <v>2</v>
      </c>
      <c r="I48" s="576">
        <v>621521.7561</v>
      </c>
      <c r="J48" s="576">
        <v>0</v>
      </c>
      <c r="K48" s="576">
        <v>0</v>
      </c>
      <c r="L48" s="573">
        <v>7</v>
      </c>
    </row>
    <row r="49" spans="1:12">
      <c r="A49" s="571">
        <v>45778</v>
      </c>
      <c r="B49" s="572">
        <v>485</v>
      </c>
      <c r="C49" s="572">
        <v>16383552.764780009</v>
      </c>
      <c r="D49" s="576">
        <v>147</v>
      </c>
      <c r="E49" s="577">
        <v>6041961.9610799998</v>
      </c>
      <c r="F49" s="578">
        <v>146</v>
      </c>
      <c r="G49" s="577">
        <v>3456446.5399999996</v>
      </c>
      <c r="H49" s="576">
        <v>192</v>
      </c>
      <c r="I49" s="576">
        <v>6885144.2637000103</v>
      </c>
      <c r="J49" s="576">
        <v>0</v>
      </c>
      <c r="K49" s="576">
        <v>0</v>
      </c>
      <c r="L49" s="573">
        <v>7</v>
      </c>
    </row>
    <row r="50" spans="1:12">
      <c r="A50" s="581" t="s">
        <v>58</v>
      </c>
      <c r="B50" s="582">
        <v>570</v>
      </c>
      <c r="C50" s="582">
        <v>20760022.193200011</v>
      </c>
      <c r="D50" s="582">
        <v>195</v>
      </c>
      <c r="E50" s="582">
        <v>7360404.5345999999</v>
      </c>
      <c r="F50" s="582">
        <v>180</v>
      </c>
      <c r="G50" s="582">
        <v>5696746.8399999999</v>
      </c>
      <c r="H50" s="582">
        <v>195</v>
      </c>
      <c r="I50" s="582">
        <v>7702870.8186000101</v>
      </c>
      <c r="J50" s="582">
        <v>0</v>
      </c>
      <c r="K50" s="582">
        <v>0</v>
      </c>
    </row>
    <row r="51" spans="1:12">
      <c r="A51" s="564" t="s">
        <v>315</v>
      </c>
      <c r="B51" s="564">
        <v>989</v>
      </c>
      <c r="C51" s="564">
        <v>29685876.967800014</v>
      </c>
      <c r="D51" s="564">
        <v>589</v>
      </c>
      <c r="E51" s="564">
        <v>14943371.209200002</v>
      </c>
      <c r="F51" s="564">
        <v>205</v>
      </c>
      <c r="G51" s="564">
        <v>7039634.9400000004</v>
      </c>
      <c r="H51" s="564">
        <v>195</v>
      </c>
      <c r="I51" s="564">
        <v>7702870.8186000101</v>
      </c>
      <c r="J51" s="564">
        <v>0</v>
      </c>
      <c r="K51" s="564">
        <v>0</v>
      </c>
    </row>
    <row r="53" spans="1:12" outlineLevel="2">
      <c r="A53" s="757" t="s">
        <v>1032</v>
      </c>
      <c r="B53" s="758"/>
      <c r="C53" s="758"/>
    </row>
    <row r="54" spans="1:12" outlineLevel="2">
      <c r="A54" s="761" t="s">
        <v>358</v>
      </c>
      <c r="B54" s="761" t="s">
        <v>58</v>
      </c>
      <c r="C54" s="761"/>
      <c r="D54" s="764" t="s">
        <v>311</v>
      </c>
      <c r="E54" s="765"/>
      <c r="F54" s="764" t="s">
        <v>494</v>
      </c>
      <c r="G54" s="765"/>
      <c r="H54" s="764" t="s">
        <v>313</v>
      </c>
      <c r="I54" s="765"/>
      <c r="J54" s="761" t="s">
        <v>974</v>
      </c>
      <c r="K54" s="761"/>
      <c r="L54" s="559" t="s">
        <v>1016</v>
      </c>
    </row>
    <row r="55" spans="1:12" outlineLevel="2">
      <c r="A55" s="761"/>
      <c r="B55" s="559" t="s">
        <v>1013</v>
      </c>
      <c r="C55" s="559" t="s">
        <v>485</v>
      </c>
      <c r="D55" s="559" t="s">
        <v>1013</v>
      </c>
      <c r="E55" s="559" t="s">
        <v>1032</v>
      </c>
      <c r="F55" s="559" t="s">
        <v>1013</v>
      </c>
      <c r="G55" s="559" t="s">
        <v>1032</v>
      </c>
      <c r="H55" s="559" t="s">
        <v>1013</v>
      </c>
      <c r="I55" s="559" t="s">
        <v>1032</v>
      </c>
      <c r="J55" s="559" t="s">
        <v>1013</v>
      </c>
      <c r="K55" s="559" t="s">
        <v>1032</v>
      </c>
      <c r="L55" s="559" t="s">
        <v>95</v>
      </c>
    </row>
    <row r="56" spans="1:12" outlineLevel="2">
      <c r="A56" s="571">
        <v>45108</v>
      </c>
      <c r="B56" s="572">
        <v>0</v>
      </c>
      <c r="C56" s="572">
        <v>0</v>
      </c>
      <c r="D56" s="576">
        <v>0</v>
      </c>
      <c r="E56" s="577">
        <v>0</v>
      </c>
      <c r="F56" s="578">
        <v>0</v>
      </c>
      <c r="G56" s="563">
        <v>0</v>
      </c>
      <c r="H56" s="593">
        <v>0</v>
      </c>
      <c r="I56" s="593">
        <v>0</v>
      </c>
      <c r="J56" s="593">
        <v>0</v>
      </c>
      <c r="K56" s="593">
        <v>0</v>
      </c>
      <c r="L56" s="573">
        <v>707</v>
      </c>
    </row>
    <row r="57" spans="1:12" outlineLevel="2">
      <c r="A57" s="571">
        <v>45139</v>
      </c>
      <c r="B57" s="572">
        <v>0</v>
      </c>
      <c r="C57" s="572">
        <v>0</v>
      </c>
      <c r="D57" s="576">
        <v>0</v>
      </c>
      <c r="E57" s="577">
        <v>0</v>
      </c>
      <c r="F57" s="578">
        <v>0</v>
      </c>
      <c r="G57" s="563">
        <v>0</v>
      </c>
      <c r="H57" s="593">
        <v>0</v>
      </c>
      <c r="I57" s="593">
        <v>0</v>
      </c>
      <c r="J57" s="593">
        <v>0</v>
      </c>
      <c r="K57" s="593">
        <v>0</v>
      </c>
      <c r="L57" s="573">
        <v>676</v>
      </c>
    </row>
    <row r="58" spans="1:12" outlineLevel="2">
      <c r="A58" s="571">
        <v>45170</v>
      </c>
      <c r="B58" s="572">
        <v>0</v>
      </c>
      <c r="C58" s="572">
        <v>0</v>
      </c>
      <c r="D58" s="576">
        <v>0</v>
      </c>
      <c r="E58" s="577">
        <v>0</v>
      </c>
      <c r="F58" s="578">
        <v>0</v>
      </c>
      <c r="G58" s="563">
        <v>0</v>
      </c>
      <c r="H58" s="593">
        <v>0</v>
      </c>
      <c r="I58" s="593">
        <v>0</v>
      </c>
      <c r="J58" s="593">
        <v>0</v>
      </c>
      <c r="K58" s="593">
        <v>0</v>
      </c>
      <c r="L58" s="573">
        <v>645</v>
      </c>
    </row>
    <row r="59" spans="1:12" outlineLevel="2">
      <c r="A59" s="571">
        <v>45200</v>
      </c>
      <c r="B59" s="572">
        <v>0</v>
      </c>
      <c r="C59" s="572">
        <v>0</v>
      </c>
      <c r="D59" s="576">
        <v>0</v>
      </c>
      <c r="E59" s="577">
        <v>0</v>
      </c>
      <c r="F59" s="578">
        <v>0</v>
      </c>
      <c r="G59" s="563">
        <v>0</v>
      </c>
      <c r="H59" s="593">
        <v>0</v>
      </c>
      <c r="I59" s="593">
        <v>0</v>
      </c>
      <c r="J59" s="593">
        <v>0</v>
      </c>
      <c r="K59" s="593">
        <v>0</v>
      </c>
      <c r="L59" s="573">
        <v>615</v>
      </c>
    </row>
    <row r="60" spans="1:12">
      <c r="A60" s="571">
        <v>45231</v>
      </c>
      <c r="B60" s="572">
        <v>0</v>
      </c>
      <c r="C60" s="572">
        <v>0</v>
      </c>
      <c r="D60" s="576">
        <v>0</v>
      </c>
      <c r="E60" s="577">
        <v>0</v>
      </c>
      <c r="F60" s="578">
        <v>0</v>
      </c>
      <c r="G60" s="563">
        <v>0</v>
      </c>
      <c r="H60" s="593">
        <v>0</v>
      </c>
      <c r="I60" s="593">
        <v>0</v>
      </c>
      <c r="J60" s="593">
        <v>0</v>
      </c>
      <c r="K60" s="593">
        <v>0</v>
      </c>
      <c r="L60" s="573">
        <v>584</v>
      </c>
    </row>
    <row r="61" spans="1:12">
      <c r="A61" s="571">
        <v>45261</v>
      </c>
      <c r="B61" s="572">
        <v>0</v>
      </c>
      <c r="C61" s="572">
        <v>0</v>
      </c>
      <c r="D61" s="576">
        <v>0</v>
      </c>
      <c r="E61" s="577">
        <v>0</v>
      </c>
      <c r="F61" s="578">
        <v>0</v>
      </c>
      <c r="G61" s="563">
        <v>0</v>
      </c>
      <c r="H61" s="593">
        <v>0</v>
      </c>
      <c r="I61" s="593">
        <v>0</v>
      </c>
      <c r="J61" s="593">
        <v>0</v>
      </c>
      <c r="K61" s="593">
        <v>0</v>
      </c>
      <c r="L61" s="573">
        <v>554</v>
      </c>
    </row>
    <row r="62" spans="1:12">
      <c r="A62" s="571">
        <v>45292</v>
      </c>
      <c r="B62" s="572">
        <v>0</v>
      </c>
      <c r="C62" s="572">
        <v>0</v>
      </c>
      <c r="D62" s="576">
        <v>0</v>
      </c>
      <c r="E62" s="577">
        <v>0</v>
      </c>
      <c r="F62" s="578">
        <v>0</v>
      </c>
      <c r="G62" s="563">
        <v>0</v>
      </c>
      <c r="H62" s="593">
        <v>0</v>
      </c>
      <c r="I62" s="593">
        <v>0</v>
      </c>
      <c r="J62" s="593">
        <v>0</v>
      </c>
      <c r="K62" s="593">
        <v>0</v>
      </c>
      <c r="L62" s="573">
        <v>523</v>
      </c>
    </row>
    <row r="63" spans="1:12">
      <c r="A63" s="571">
        <v>45323</v>
      </c>
      <c r="B63" s="572">
        <v>0</v>
      </c>
      <c r="C63" s="572">
        <v>0</v>
      </c>
      <c r="D63" s="576">
        <v>0</v>
      </c>
      <c r="E63" s="577">
        <v>0</v>
      </c>
      <c r="F63" s="578">
        <v>0</v>
      </c>
      <c r="G63" s="563">
        <v>0</v>
      </c>
      <c r="H63" s="593">
        <v>0</v>
      </c>
      <c r="I63" s="593">
        <v>0</v>
      </c>
      <c r="J63" s="593">
        <v>0</v>
      </c>
      <c r="K63" s="593">
        <v>0</v>
      </c>
      <c r="L63" s="573">
        <v>492</v>
      </c>
    </row>
    <row r="64" spans="1:12">
      <c r="A64" s="571">
        <v>45352</v>
      </c>
      <c r="B64" s="572">
        <v>0</v>
      </c>
      <c r="C64" s="572">
        <v>0</v>
      </c>
      <c r="D64" s="576">
        <v>0</v>
      </c>
      <c r="E64" s="577">
        <v>0</v>
      </c>
      <c r="F64" s="578">
        <v>0</v>
      </c>
      <c r="G64" s="563">
        <v>0</v>
      </c>
      <c r="H64" s="593">
        <v>0</v>
      </c>
      <c r="I64" s="593">
        <v>0</v>
      </c>
      <c r="J64" s="593">
        <v>0</v>
      </c>
      <c r="K64" s="593">
        <v>0</v>
      </c>
      <c r="L64" s="573">
        <v>463</v>
      </c>
    </row>
    <row r="65" spans="1:12">
      <c r="A65" s="571">
        <v>45383</v>
      </c>
      <c r="B65" s="572">
        <v>0</v>
      </c>
      <c r="C65" s="572">
        <v>0</v>
      </c>
      <c r="D65" s="576">
        <v>0</v>
      </c>
      <c r="E65" s="577">
        <v>0</v>
      </c>
      <c r="F65" s="578">
        <v>0</v>
      </c>
      <c r="G65" s="563">
        <v>0</v>
      </c>
      <c r="H65" s="593">
        <v>0</v>
      </c>
      <c r="I65" s="593">
        <v>0</v>
      </c>
      <c r="J65" s="593">
        <v>0</v>
      </c>
      <c r="K65" s="593">
        <v>0</v>
      </c>
      <c r="L65" s="573">
        <v>432</v>
      </c>
    </row>
    <row r="66" spans="1:12">
      <c r="A66" s="571">
        <v>45413</v>
      </c>
      <c r="B66" s="572">
        <v>0</v>
      </c>
      <c r="C66" s="572">
        <v>0</v>
      </c>
      <c r="D66" s="576">
        <v>0</v>
      </c>
      <c r="E66" s="577">
        <v>0</v>
      </c>
      <c r="F66" s="578">
        <v>0</v>
      </c>
      <c r="G66" s="563">
        <v>0</v>
      </c>
      <c r="H66" s="593">
        <v>0</v>
      </c>
      <c r="I66" s="593">
        <v>0</v>
      </c>
      <c r="J66" s="593">
        <v>0</v>
      </c>
      <c r="K66" s="593">
        <v>0</v>
      </c>
      <c r="L66" s="573">
        <v>402</v>
      </c>
    </row>
    <row r="67" spans="1:12">
      <c r="A67" s="571">
        <v>45444</v>
      </c>
      <c r="B67" s="572">
        <v>0</v>
      </c>
      <c r="C67" s="572">
        <v>0</v>
      </c>
      <c r="D67" s="576">
        <v>0</v>
      </c>
      <c r="E67" s="577">
        <v>0</v>
      </c>
      <c r="F67" s="578">
        <v>0</v>
      </c>
      <c r="G67" s="563">
        <v>0</v>
      </c>
      <c r="H67" s="593">
        <v>0</v>
      </c>
      <c r="I67" s="593">
        <v>0</v>
      </c>
      <c r="J67" s="593">
        <v>0</v>
      </c>
      <c r="K67" s="593">
        <v>0</v>
      </c>
      <c r="L67" s="573">
        <v>371</v>
      </c>
    </row>
    <row r="68" spans="1:12">
      <c r="A68" s="571">
        <v>45474</v>
      </c>
      <c r="B68" s="572">
        <v>0</v>
      </c>
      <c r="C68" s="572">
        <v>0</v>
      </c>
      <c r="D68" s="576">
        <v>0</v>
      </c>
      <c r="E68" s="577">
        <v>0</v>
      </c>
      <c r="F68" s="594">
        <v>0</v>
      </c>
      <c r="G68" s="595">
        <v>0</v>
      </c>
      <c r="H68" s="593">
        <v>0</v>
      </c>
      <c r="I68" s="593">
        <v>0</v>
      </c>
      <c r="J68" s="593">
        <v>0</v>
      </c>
      <c r="K68" s="593">
        <v>0</v>
      </c>
      <c r="L68" s="573">
        <v>341</v>
      </c>
    </row>
    <row r="69" spans="1:12">
      <c r="A69" s="571">
        <v>45505</v>
      </c>
      <c r="B69" s="572">
        <v>0</v>
      </c>
      <c r="C69" s="572">
        <v>0</v>
      </c>
      <c r="D69" s="576">
        <v>0</v>
      </c>
      <c r="E69" s="577">
        <v>0</v>
      </c>
      <c r="F69" s="594">
        <v>0</v>
      </c>
      <c r="G69" s="595">
        <v>0</v>
      </c>
      <c r="H69" s="593">
        <v>0</v>
      </c>
      <c r="I69" s="593">
        <v>0</v>
      </c>
      <c r="J69" s="593">
        <v>0</v>
      </c>
      <c r="K69" s="593">
        <v>0</v>
      </c>
      <c r="L69" s="573">
        <v>310</v>
      </c>
    </row>
    <row r="70" spans="1:12">
      <c r="A70" s="571">
        <v>45536</v>
      </c>
      <c r="B70" s="572">
        <v>0</v>
      </c>
      <c r="C70" s="572">
        <v>0</v>
      </c>
      <c r="D70" s="576">
        <v>0</v>
      </c>
      <c r="E70" s="577">
        <v>0</v>
      </c>
      <c r="F70" s="578">
        <v>0</v>
      </c>
      <c r="G70" s="563">
        <v>0</v>
      </c>
      <c r="H70" s="593">
        <v>0</v>
      </c>
      <c r="I70" s="593">
        <v>0</v>
      </c>
      <c r="J70" s="593">
        <v>0</v>
      </c>
      <c r="K70" s="593">
        <v>0</v>
      </c>
      <c r="L70" s="573">
        <v>279</v>
      </c>
    </row>
    <row r="71" spans="1:12">
      <c r="A71" s="571">
        <v>45566</v>
      </c>
      <c r="B71" s="572">
        <v>0</v>
      </c>
      <c r="C71" s="572">
        <v>0</v>
      </c>
      <c r="D71" s="576">
        <v>0</v>
      </c>
      <c r="E71" s="577">
        <v>0</v>
      </c>
      <c r="F71" s="578">
        <v>0</v>
      </c>
      <c r="G71" s="563">
        <v>0</v>
      </c>
      <c r="H71" s="593">
        <v>0</v>
      </c>
      <c r="I71" s="593">
        <v>0</v>
      </c>
      <c r="J71" s="593">
        <v>0</v>
      </c>
      <c r="K71" s="593">
        <v>0</v>
      </c>
      <c r="L71" s="573">
        <v>249</v>
      </c>
    </row>
    <row r="72" spans="1:12" outlineLevel="1">
      <c r="A72" s="571">
        <v>45597</v>
      </c>
      <c r="B72" s="572">
        <v>1</v>
      </c>
      <c r="C72" s="572">
        <v>1444.42</v>
      </c>
      <c r="D72" s="576">
        <v>0</v>
      </c>
      <c r="E72" s="577">
        <v>0</v>
      </c>
      <c r="F72" s="578">
        <v>1</v>
      </c>
      <c r="G72" s="577">
        <v>1444.42</v>
      </c>
      <c r="H72" s="576">
        <v>0</v>
      </c>
      <c r="I72" s="576">
        <v>0</v>
      </c>
      <c r="J72" s="577">
        <v>0</v>
      </c>
      <c r="K72" s="577">
        <v>0</v>
      </c>
      <c r="L72" s="573">
        <v>218</v>
      </c>
    </row>
    <row r="73" spans="1:12" outlineLevel="1">
      <c r="A73" s="571">
        <v>45627</v>
      </c>
      <c r="B73" s="572">
        <v>4</v>
      </c>
      <c r="C73" s="572">
        <v>18772.62</v>
      </c>
      <c r="D73" s="576">
        <v>0</v>
      </c>
      <c r="E73" s="577">
        <v>0</v>
      </c>
      <c r="F73" s="578">
        <v>4</v>
      </c>
      <c r="G73" s="577">
        <v>18772.62</v>
      </c>
      <c r="H73" s="576">
        <v>0</v>
      </c>
      <c r="I73" s="576">
        <v>0</v>
      </c>
      <c r="J73" s="577">
        <v>0</v>
      </c>
      <c r="K73" s="577">
        <v>0</v>
      </c>
      <c r="L73" s="573">
        <v>188</v>
      </c>
    </row>
    <row r="74" spans="1:12" outlineLevel="1">
      <c r="A74" s="571">
        <v>45658</v>
      </c>
      <c r="B74" s="572">
        <v>25</v>
      </c>
      <c r="C74" s="572">
        <v>92653.950000000026</v>
      </c>
      <c r="D74" s="576">
        <v>0</v>
      </c>
      <c r="E74" s="577">
        <v>0</v>
      </c>
      <c r="F74" s="578">
        <v>25</v>
      </c>
      <c r="G74" s="577">
        <v>92653.950000000026</v>
      </c>
      <c r="H74" s="576">
        <v>0</v>
      </c>
      <c r="I74" s="576">
        <v>0</v>
      </c>
      <c r="J74" s="577">
        <v>0</v>
      </c>
      <c r="K74" s="577">
        <v>0</v>
      </c>
      <c r="L74" s="573">
        <v>157</v>
      </c>
    </row>
    <row r="75" spans="1:12" outlineLevel="1">
      <c r="A75" s="571">
        <v>45689</v>
      </c>
      <c r="B75" s="572">
        <v>7</v>
      </c>
      <c r="C75" s="572">
        <v>79453.679999999993</v>
      </c>
      <c r="D75" s="576">
        <v>1</v>
      </c>
      <c r="E75" s="577">
        <v>19478.7</v>
      </c>
      <c r="F75" s="578">
        <v>6</v>
      </c>
      <c r="G75" s="577">
        <v>59974.979999999996</v>
      </c>
      <c r="H75" s="576">
        <v>0</v>
      </c>
      <c r="I75" s="576">
        <v>0</v>
      </c>
      <c r="J75" s="577">
        <v>0</v>
      </c>
      <c r="K75" s="577">
        <v>0</v>
      </c>
      <c r="L75" s="573">
        <v>126</v>
      </c>
    </row>
    <row r="76" spans="1:12" outlineLevel="1">
      <c r="A76" s="571">
        <v>45717</v>
      </c>
      <c r="B76" s="572">
        <v>2</v>
      </c>
      <c r="C76" s="572">
        <v>56587.537800000006</v>
      </c>
      <c r="D76" s="576">
        <v>1</v>
      </c>
      <c r="E76" s="577">
        <v>9678.1077999999998</v>
      </c>
      <c r="F76" s="578">
        <v>1</v>
      </c>
      <c r="G76" s="577">
        <v>46909.430000000008</v>
      </c>
      <c r="H76" s="576">
        <v>0</v>
      </c>
      <c r="I76" s="576">
        <v>0</v>
      </c>
      <c r="J76" s="577">
        <v>0</v>
      </c>
      <c r="K76" s="577">
        <v>0</v>
      </c>
      <c r="L76" s="573">
        <v>98</v>
      </c>
    </row>
    <row r="77" spans="1:12" outlineLevel="1">
      <c r="A77" s="571">
        <v>45748</v>
      </c>
      <c r="B77" s="572">
        <v>3</v>
      </c>
      <c r="C77" s="572">
        <v>159027.01732000001</v>
      </c>
      <c r="D77" s="576">
        <v>1</v>
      </c>
      <c r="E77" s="577">
        <v>79539.547319999998</v>
      </c>
      <c r="F77" s="578">
        <v>2</v>
      </c>
      <c r="G77" s="577">
        <v>79487.470000000016</v>
      </c>
      <c r="H77" s="576">
        <v>0</v>
      </c>
      <c r="I77" s="576">
        <v>0</v>
      </c>
      <c r="J77" s="577">
        <v>0</v>
      </c>
      <c r="K77" s="577">
        <v>0</v>
      </c>
      <c r="L77" s="573">
        <v>67</v>
      </c>
    </row>
    <row r="78" spans="1:12" outlineLevel="1">
      <c r="A78" s="571">
        <v>45778</v>
      </c>
      <c r="B78" s="572">
        <v>2</v>
      </c>
      <c r="C78" s="572">
        <v>120426.55334000001</v>
      </c>
      <c r="D78" s="576">
        <v>2</v>
      </c>
      <c r="E78" s="577">
        <v>120426.55334000001</v>
      </c>
      <c r="F78" s="578">
        <v>0</v>
      </c>
      <c r="G78" s="577">
        <v>0</v>
      </c>
      <c r="H78" s="576">
        <v>0</v>
      </c>
      <c r="I78" s="576">
        <v>0</v>
      </c>
      <c r="J78" s="577">
        <v>0</v>
      </c>
      <c r="K78" s="577">
        <v>0</v>
      </c>
      <c r="L78" s="573">
        <v>37</v>
      </c>
    </row>
    <row r="79" spans="1:12" outlineLevel="1">
      <c r="A79" s="596" t="s">
        <v>315</v>
      </c>
      <c r="B79" s="564">
        <v>44</v>
      </c>
      <c r="C79" s="564">
        <v>528365.77846000006</v>
      </c>
      <c r="D79" s="564">
        <v>5</v>
      </c>
      <c r="E79" s="564">
        <v>229122.90846000001</v>
      </c>
      <c r="F79" s="564">
        <v>39</v>
      </c>
      <c r="G79" s="564">
        <v>299242.87000000005</v>
      </c>
      <c r="H79" s="564">
        <v>0</v>
      </c>
      <c r="I79" s="564">
        <v>0</v>
      </c>
      <c r="J79" s="564">
        <v>0</v>
      </c>
      <c r="K79" s="564">
        <v>0</v>
      </c>
    </row>
    <row r="80" spans="1:12" outlineLevel="1"/>
    <row r="81" spans="1:12" outlineLevel="1">
      <c r="A81" s="757" t="s">
        <v>1033</v>
      </c>
      <c r="B81" s="758"/>
      <c r="C81" s="758"/>
      <c r="D81" s="566"/>
      <c r="E81" s="566"/>
      <c r="F81" s="566"/>
      <c r="G81" s="566"/>
      <c r="H81" s="566"/>
      <c r="I81" s="566"/>
      <c r="J81" s="566"/>
      <c r="K81" s="566"/>
    </row>
    <row r="82" spans="1:12" outlineLevel="1">
      <c r="A82" s="761" t="s">
        <v>358</v>
      </c>
      <c r="B82" s="761" t="s">
        <v>58</v>
      </c>
      <c r="C82" s="761"/>
      <c r="D82" s="764" t="s">
        <v>311</v>
      </c>
      <c r="E82" s="765"/>
      <c r="F82" s="764" t="s">
        <v>494</v>
      </c>
      <c r="G82" s="765"/>
      <c r="H82" s="761" t="s">
        <v>313</v>
      </c>
      <c r="I82" s="761"/>
      <c r="J82" s="761" t="s">
        <v>974</v>
      </c>
      <c r="K82" s="761"/>
      <c r="L82" s="559" t="s">
        <v>1016</v>
      </c>
    </row>
    <row r="83" spans="1:12" outlineLevel="1">
      <c r="A83" s="761"/>
      <c r="B83" s="559" t="s">
        <v>1013</v>
      </c>
      <c r="C83" s="559" t="s">
        <v>485</v>
      </c>
      <c r="D83" s="559" t="s">
        <v>1013</v>
      </c>
      <c r="E83" s="559" t="s">
        <v>485</v>
      </c>
      <c r="F83" s="559" t="s">
        <v>1013</v>
      </c>
      <c r="G83" s="559" t="s">
        <v>485</v>
      </c>
      <c r="H83" s="559" t="s">
        <v>1013</v>
      </c>
      <c r="I83" s="559" t="s">
        <v>485</v>
      </c>
      <c r="J83" s="559" t="s">
        <v>1013</v>
      </c>
      <c r="K83" s="559" t="s">
        <v>485</v>
      </c>
      <c r="L83" s="559" t="s">
        <v>95</v>
      </c>
    </row>
    <row r="84" spans="1:12" outlineLevel="1">
      <c r="A84" s="571">
        <v>44743</v>
      </c>
      <c r="B84" s="572">
        <v>2</v>
      </c>
      <c r="C84" s="572">
        <v>69.408199999999852</v>
      </c>
      <c r="D84" s="578">
        <v>1</v>
      </c>
      <c r="E84" s="563">
        <v>11.408199999999852</v>
      </c>
      <c r="F84" s="578">
        <v>0</v>
      </c>
      <c r="G84" s="577">
        <v>0</v>
      </c>
      <c r="H84" s="593">
        <v>1</v>
      </c>
      <c r="I84" s="593">
        <v>58</v>
      </c>
      <c r="J84" s="593">
        <v>0</v>
      </c>
      <c r="K84" s="593">
        <v>0</v>
      </c>
      <c r="L84" s="573">
        <v>1072</v>
      </c>
    </row>
    <row r="85" spans="1:12" outlineLevel="1">
      <c r="A85" s="571">
        <v>44774</v>
      </c>
      <c r="B85" s="572">
        <v>3</v>
      </c>
      <c r="C85" s="572">
        <v>26.757533333334777</v>
      </c>
      <c r="D85" s="578">
        <v>3</v>
      </c>
      <c r="E85" s="563">
        <v>26.757533333334777</v>
      </c>
      <c r="F85" s="578">
        <v>0</v>
      </c>
      <c r="G85" s="577">
        <v>0</v>
      </c>
      <c r="H85" s="593">
        <v>0</v>
      </c>
      <c r="I85" s="593">
        <v>0</v>
      </c>
      <c r="J85" s="593">
        <v>0</v>
      </c>
      <c r="K85" s="593">
        <v>0</v>
      </c>
      <c r="L85" s="573">
        <v>1041</v>
      </c>
    </row>
    <row r="86" spans="1:12" outlineLevel="1">
      <c r="A86" s="571">
        <v>44805</v>
      </c>
      <c r="B86" s="572">
        <v>34</v>
      </c>
      <c r="C86" s="572">
        <v>204.59399999998357</v>
      </c>
      <c r="D86" s="578">
        <v>33</v>
      </c>
      <c r="E86" s="563">
        <v>88.703999999983239</v>
      </c>
      <c r="F86" s="578">
        <v>1</v>
      </c>
      <c r="G86" s="577">
        <v>115.89000000000033</v>
      </c>
      <c r="H86" s="593">
        <v>0</v>
      </c>
      <c r="I86" s="593">
        <v>0</v>
      </c>
      <c r="J86" s="593">
        <v>0</v>
      </c>
      <c r="K86" s="593">
        <v>0</v>
      </c>
      <c r="L86" s="573">
        <v>1010</v>
      </c>
    </row>
    <row r="87" spans="1:12" outlineLevel="1">
      <c r="A87" s="571">
        <v>44835</v>
      </c>
      <c r="B87" s="572">
        <v>65</v>
      </c>
      <c r="C87" s="572">
        <v>2258.7754666666469</v>
      </c>
      <c r="D87" s="578">
        <v>61</v>
      </c>
      <c r="E87" s="563">
        <v>473.88546666668572</v>
      </c>
      <c r="F87" s="578">
        <v>4</v>
      </c>
      <c r="G87" s="577">
        <v>1784.8899999999612</v>
      </c>
      <c r="H87" s="593">
        <v>0</v>
      </c>
      <c r="I87" s="593">
        <v>0</v>
      </c>
      <c r="J87" s="593">
        <v>0</v>
      </c>
      <c r="K87" s="593">
        <v>0</v>
      </c>
      <c r="L87" s="573">
        <v>980</v>
      </c>
    </row>
    <row r="88" spans="1:12" outlineLevel="1">
      <c r="A88" s="571">
        <v>44866</v>
      </c>
      <c r="B88" s="572">
        <v>1</v>
      </c>
      <c r="C88" s="572">
        <v>30.679799999998068</v>
      </c>
      <c r="D88" s="578">
        <v>1</v>
      </c>
      <c r="E88" s="563">
        <v>30.679799999998068</v>
      </c>
      <c r="F88" s="578">
        <v>0</v>
      </c>
      <c r="G88" s="577">
        <v>0</v>
      </c>
      <c r="H88" s="593">
        <v>0</v>
      </c>
      <c r="I88" s="593">
        <v>0</v>
      </c>
      <c r="J88" s="593">
        <v>0</v>
      </c>
      <c r="K88" s="593">
        <v>0</v>
      </c>
      <c r="L88" s="573">
        <v>949</v>
      </c>
    </row>
    <row r="89" spans="1:12" outlineLevel="1">
      <c r="A89" s="571">
        <v>44896</v>
      </c>
      <c r="B89" s="572">
        <v>1</v>
      </c>
      <c r="C89" s="572">
        <v>30.672599999998056</v>
      </c>
      <c r="D89" s="578">
        <v>1</v>
      </c>
      <c r="E89" s="563">
        <v>30.672599999998056</v>
      </c>
      <c r="F89" s="578">
        <v>0</v>
      </c>
      <c r="G89" s="577">
        <v>0</v>
      </c>
      <c r="H89" s="593">
        <v>0</v>
      </c>
      <c r="I89" s="593">
        <v>0</v>
      </c>
      <c r="J89" s="593">
        <v>0</v>
      </c>
      <c r="K89" s="593">
        <v>0</v>
      </c>
      <c r="L89" s="573">
        <v>919</v>
      </c>
    </row>
    <row r="90" spans="1:12" outlineLevel="1">
      <c r="A90" s="571">
        <v>44927</v>
      </c>
      <c r="B90" s="572">
        <v>2</v>
      </c>
      <c r="C90" s="572">
        <v>65.66660000000229</v>
      </c>
      <c r="D90" s="578">
        <v>2</v>
      </c>
      <c r="E90" s="563">
        <v>65.66660000000229</v>
      </c>
      <c r="F90" s="578">
        <v>0</v>
      </c>
      <c r="G90" s="577">
        <v>0</v>
      </c>
      <c r="H90" s="593">
        <v>0</v>
      </c>
      <c r="I90" s="593">
        <v>0</v>
      </c>
      <c r="J90" s="593">
        <v>0</v>
      </c>
      <c r="K90" s="593">
        <v>0</v>
      </c>
      <c r="L90" s="573">
        <v>888</v>
      </c>
    </row>
    <row r="91" spans="1:12" outlineLevel="1">
      <c r="A91" s="571">
        <v>44958</v>
      </c>
      <c r="B91" s="572">
        <v>1</v>
      </c>
      <c r="C91" s="572">
        <v>1925.8400000000256</v>
      </c>
      <c r="D91" s="578">
        <v>0</v>
      </c>
      <c r="E91" s="563">
        <v>0</v>
      </c>
      <c r="F91" s="578">
        <v>1</v>
      </c>
      <c r="G91" s="577">
        <v>1925.8400000000256</v>
      </c>
      <c r="H91" s="593">
        <v>0</v>
      </c>
      <c r="I91" s="593">
        <v>0</v>
      </c>
      <c r="J91" s="593">
        <v>0</v>
      </c>
      <c r="K91" s="593">
        <v>0</v>
      </c>
      <c r="L91" s="573">
        <v>857</v>
      </c>
    </row>
    <row r="92" spans="1:12" outlineLevel="1">
      <c r="A92" s="571">
        <v>44986</v>
      </c>
      <c r="B92" s="572">
        <v>34</v>
      </c>
      <c r="C92" s="572">
        <v>9751.7080000000096</v>
      </c>
      <c r="D92" s="578">
        <v>15</v>
      </c>
      <c r="E92" s="563">
        <v>228.60800000001154</v>
      </c>
      <c r="F92" s="578">
        <v>19</v>
      </c>
      <c r="G92" s="577">
        <v>9523.0999999999985</v>
      </c>
      <c r="H92" s="593">
        <v>0</v>
      </c>
      <c r="I92" s="593">
        <v>0</v>
      </c>
      <c r="J92" s="593">
        <v>0</v>
      </c>
      <c r="K92" s="593">
        <v>0</v>
      </c>
      <c r="L92" s="573">
        <v>829</v>
      </c>
    </row>
    <row r="93" spans="1:12" outlineLevel="1">
      <c r="A93" s="571">
        <v>45017</v>
      </c>
      <c r="B93" s="572">
        <v>24</v>
      </c>
      <c r="C93" s="572">
        <v>55508.591800000017</v>
      </c>
      <c r="D93" s="578">
        <v>8</v>
      </c>
      <c r="E93" s="563">
        <v>148.6918000000046</v>
      </c>
      <c r="F93" s="578">
        <v>16</v>
      </c>
      <c r="G93" s="577">
        <v>55359.900000000009</v>
      </c>
      <c r="H93" s="593">
        <v>0</v>
      </c>
      <c r="I93" s="593">
        <v>0</v>
      </c>
      <c r="J93" s="593">
        <v>0</v>
      </c>
      <c r="K93" s="593">
        <v>0</v>
      </c>
      <c r="L93" s="573">
        <v>798</v>
      </c>
    </row>
    <row r="94" spans="1:12" outlineLevel="1">
      <c r="A94" s="571">
        <v>45047</v>
      </c>
      <c r="B94" s="572">
        <v>7</v>
      </c>
      <c r="C94" s="572">
        <v>33331.012600000016</v>
      </c>
      <c r="D94" s="578">
        <v>2</v>
      </c>
      <c r="E94" s="563">
        <v>17.302599999995437</v>
      </c>
      <c r="F94" s="578">
        <v>5</v>
      </c>
      <c r="G94" s="577">
        <v>33313.710000000021</v>
      </c>
      <c r="H94" s="593">
        <v>0</v>
      </c>
      <c r="I94" s="593">
        <v>0</v>
      </c>
      <c r="J94" s="593">
        <v>0</v>
      </c>
      <c r="K94" s="593">
        <v>0</v>
      </c>
      <c r="L94" s="573">
        <v>768</v>
      </c>
    </row>
    <row r="95" spans="1:12" outlineLevel="1">
      <c r="A95" s="571">
        <v>45078</v>
      </c>
      <c r="B95" s="572">
        <v>16</v>
      </c>
      <c r="C95" s="572">
        <v>13795.559999999998</v>
      </c>
      <c r="D95" s="578">
        <v>0</v>
      </c>
      <c r="E95" s="563">
        <v>0</v>
      </c>
      <c r="F95" s="578">
        <v>16</v>
      </c>
      <c r="G95" s="577">
        <v>13795.559999999998</v>
      </c>
      <c r="H95" s="593">
        <v>0</v>
      </c>
      <c r="I95" s="593">
        <v>0</v>
      </c>
      <c r="J95" s="593">
        <v>0</v>
      </c>
      <c r="K95" s="593">
        <v>0</v>
      </c>
      <c r="L95" s="573">
        <v>737</v>
      </c>
    </row>
    <row r="96" spans="1:12">
      <c r="A96" s="571">
        <v>45108</v>
      </c>
      <c r="B96" s="572">
        <v>31</v>
      </c>
      <c r="C96" s="572">
        <v>21269.849999999973</v>
      </c>
      <c r="D96" s="578">
        <v>0</v>
      </c>
      <c r="E96" s="563">
        <v>0</v>
      </c>
      <c r="F96" s="578">
        <v>31</v>
      </c>
      <c r="G96" s="577">
        <v>21269.849999999973</v>
      </c>
      <c r="H96" s="577">
        <v>0</v>
      </c>
      <c r="I96" s="577">
        <v>0</v>
      </c>
      <c r="J96" s="577">
        <v>0</v>
      </c>
      <c r="K96" s="577">
        <v>0</v>
      </c>
      <c r="L96" s="573">
        <v>707</v>
      </c>
    </row>
    <row r="97" spans="1:12">
      <c r="A97" s="571">
        <v>45139</v>
      </c>
      <c r="B97" s="572">
        <v>130</v>
      </c>
      <c r="C97" s="572">
        <v>98615.300400000022</v>
      </c>
      <c r="D97" s="578">
        <v>97</v>
      </c>
      <c r="E97" s="563">
        <v>114.46040000001392</v>
      </c>
      <c r="F97" s="578">
        <v>33</v>
      </c>
      <c r="G97" s="577">
        <v>98500.840000000011</v>
      </c>
      <c r="H97" s="577">
        <v>0</v>
      </c>
      <c r="I97" s="577">
        <v>0</v>
      </c>
      <c r="J97" s="577">
        <v>0</v>
      </c>
      <c r="K97" s="577">
        <v>0</v>
      </c>
      <c r="L97" s="573">
        <v>676</v>
      </c>
    </row>
    <row r="98" spans="1:12">
      <c r="A98" s="571">
        <v>45170</v>
      </c>
      <c r="B98" s="572">
        <v>52</v>
      </c>
      <c r="C98" s="572">
        <v>2383.733599999975</v>
      </c>
      <c r="D98" s="578">
        <v>48</v>
      </c>
      <c r="E98" s="563">
        <v>97.953599999978223</v>
      </c>
      <c r="F98" s="578">
        <v>4</v>
      </c>
      <c r="G98" s="577">
        <v>2285.779999999997</v>
      </c>
      <c r="H98" s="577">
        <v>0</v>
      </c>
      <c r="I98" s="577">
        <v>0</v>
      </c>
      <c r="J98" s="577">
        <v>0</v>
      </c>
      <c r="K98" s="577">
        <v>0</v>
      </c>
      <c r="L98" s="573">
        <v>645</v>
      </c>
    </row>
    <row r="99" spans="1:12">
      <c r="A99" s="571">
        <v>45200</v>
      </c>
      <c r="B99" s="572">
        <v>199</v>
      </c>
      <c r="C99" s="572">
        <v>59885.122066666707</v>
      </c>
      <c r="D99" s="578">
        <v>180</v>
      </c>
      <c r="E99" s="563">
        <v>304.42206666668267</v>
      </c>
      <c r="F99" s="578">
        <v>19</v>
      </c>
      <c r="G99" s="577">
        <v>59580.700000000026</v>
      </c>
      <c r="H99" s="577">
        <v>0</v>
      </c>
      <c r="I99" s="577">
        <v>0</v>
      </c>
      <c r="J99" s="577">
        <v>0</v>
      </c>
      <c r="K99" s="577">
        <v>0</v>
      </c>
      <c r="L99" s="573">
        <v>615</v>
      </c>
    </row>
    <row r="100" spans="1:12">
      <c r="A100" s="571">
        <v>45231</v>
      </c>
      <c r="B100" s="572">
        <v>309</v>
      </c>
      <c r="C100" s="572">
        <v>1882.5777999999693</v>
      </c>
      <c r="D100" s="578">
        <v>306</v>
      </c>
      <c r="E100" s="563">
        <v>827.50779999996871</v>
      </c>
      <c r="F100" s="578">
        <v>3</v>
      </c>
      <c r="G100" s="577">
        <v>1055.0700000000006</v>
      </c>
      <c r="H100" s="577">
        <v>0</v>
      </c>
      <c r="I100" s="577">
        <v>0</v>
      </c>
      <c r="J100" s="577">
        <v>0</v>
      </c>
      <c r="K100" s="577">
        <v>0</v>
      </c>
      <c r="L100" s="573">
        <v>584</v>
      </c>
    </row>
    <row r="101" spans="1:12" outlineLevel="1">
      <c r="A101" s="571">
        <v>45261</v>
      </c>
      <c r="B101" s="572">
        <v>110</v>
      </c>
      <c r="C101" s="572">
        <v>8364.9088000000665</v>
      </c>
      <c r="D101" s="578">
        <v>102</v>
      </c>
      <c r="E101" s="563">
        <v>206.44880000005787</v>
      </c>
      <c r="F101" s="578">
        <v>8</v>
      </c>
      <c r="G101" s="577">
        <v>8158.4600000000091</v>
      </c>
      <c r="H101" s="577">
        <v>0</v>
      </c>
      <c r="I101" s="577">
        <v>0</v>
      </c>
      <c r="J101" s="577">
        <v>0</v>
      </c>
      <c r="K101" s="577">
        <v>0</v>
      </c>
      <c r="L101" s="573">
        <v>554</v>
      </c>
    </row>
    <row r="102" spans="1:12" outlineLevel="1">
      <c r="A102" s="571">
        <v>45292</v>
      </c>
      <c r="B102" s="572">
        <v>116</v>
      </c>
      <c r="C102" s="572">
        <v>751.87159999997743</v>
      </c>
      <c r="D102" s="578">
        <v>115</v>
      </c>
      <c r="E102" s="563">
        <v>274.87159999997471</v>
      </c>
      <c r="F102" s="578">
        <v>1</v>
      </c>
      <c r="G102" s="577">
        <v>477.00000000000273</v>
      </c>
      <c r="H102" s="577">
        <v>0</v>
      </c>
      <c r="I102" s="577">
        <v>0</v>
      </c>
      <c r="J102" s="577">
        <v>0</v>
      </c>
      <c r="K102" s="577">
        <v>0</v>
      </c>
      <c r="L102" s="573">
        <v>523</v>
      </c>
    </row>
    <row r="103" spans="1:12" outlineLevel="1">
      <c r="A103" s="571">
        <v>45323</v>
      </c>
      <c r="B103" s="572">
        <v>12</v>
      </c>
      <c r="C103" s="572">
        <v>15305.642800000003</v>
      </c>
      <c r="D103" s="578">
        <v>3</v>
      </c>
      <c r="E103" s="563">
        <v>71.29280000000108</v>
      </c>
      <c r="F103" s="578">
        <v>9</v>
      </c>
      <c r="G103" s="577">
        <v>15234.350000000002</v>
      </c>
      <c r="H103" s="577">
        <v>0</v>
      </c>
      <c r="I103" s="577">
        <v>0</v>
      </c>
      <c r="J103" s="577">
        <v>0</v>
      </c>
      <c r="K103" s="577">
        <v>0</v>
      </c>
      <c r="L103" s="573">
        <v>492</v>
      </c>
    </row>
    <row r="104" spans="1:12" outlineLevel="1">
      <c r="A104" s="571">
        <v>45352</v>
      </c>
      <c r="B104" s="572">
        <v>105</v>
      </c>
      <c r="C104" s="572">
        <v>6397.7121999999936</v>
      </c>
      <c r="D104" s="578">
        <v>104</v>
      </c>
      <c r="E104" s="563">
        <v>580.4421999999895</v>
      </c>
      <c r="F104" s="578">
        <v>1</v>
      </c>
      <c r="G104" s="577">
        <v>5817.2700000000041</v>
      </c>
      <c r="H104" s="577">
        <v>0</v>
      </c>
      <c r="I104" s="577">
        <v>0</v>
      </c>
      <c r="J104" s="577">
        <v>0</v>
      </c>
      <c r="K104" s="577">
        <v>0</v>
      </c>
      <c r="L104" s="573">
        <v>463</v>
      </c>
    </row>
    <row r="105" spans="1:12" outlineLevel="1">
      <c r="A105" s="571">
        <v>45383</v>
      </c>
      <c r="B105" s="572">
        <v>198</v>
      </c>
      <c r="C105" s="572">
        <v>731.84319999995796</v>
      </c>
      <c r="D105" s="578">
        <v>198</v>
      </c>
      <c r="E105" s="563">
        <v>731.84319999995796</v>
      </c>
      <c r="F105" s="578">
        <v>0</v>
      </c>
      <c r="G105" s="577">
        <v>0</v>
      </c>
      <c r="H105" s="577">
        <v>0</v>
      </c>
      <c r="I105" s="577">
        <v>0</v>
      </c>
      <c r="J105" s="577">
        <v>4</v>
      </c>
      <c r="K105" s="577">
        <v>2824.1222239999997</v>
      </c>
      <c r="L105" s="573">
        <v>432</v>
      </c>
    </row>
    <row r="106" spans="1:12" outlineLevel="1">
      <c r="A106" s="571">
        <v>45413</v>
      </c>
      <c r="B106" s="572">
        <v>190</v>
      </c>
      <c r="C106" s="572">
        <v>3238.9474000000705</v>
      </c>
      <c r="D106" s="578">
        <v>188</v>
      </c>
      <c r="E106" s="563">
        <v>844.88740000007101</v>
      </c>
      <c r="F106" s="578">
        <v>2</v>
      </c>
      <c r="G106" s="577">
        <v>2394.0599999999995</v>
      </c>
      <c r="H106" s="577">
        <v>0</v>
      </c>
      <c r="I106" s="577">
        <v>0</v>
      </c>
      <c r="J106" s="577">
        <v>2</v>
      </c>
      <c r="K106" s="577">
        <v>418.25949600000098</v>
      </c>
      <c r="L106" s="573">
        <v>402</v>
      </c>
    </row>
    <row r="107" spans="1:12" outlineLevel="1">
      <c r="A107" s="571">
        <v>45444</v>
      </c>
      <c r="B107" s="572">
        <v>3</v>
      </c>
      <c r="C107" s="572">
        <v>500.96699999999873</v>
      </c>
      <c r="D107" s="578">
        <v>2</v>
      </c>
      <c r="E107" s="563">
        <v>23.61699999999837</v>
      </c>
      <c r="F107" s="578">
        <v>1</v>
      </c>
      <c r="G107" s="577">
        <v>477.35000000000036</v>
      </c>
      <c r="H107" s="577">
        <v>0</v>
      </c>
      <c r="I107" s="577">
        <v>0</v>
      </c>
      <c r="J107" s="577">
        <v>0</v>
      </c>
      <c r="K107" s="577">
        <v>0</v>
      </c>
      <c r="L107" s="573">
        <v>371</v>
      </c>
    </row>
    <row r="108" spans="1:12" outlineLevel="1">
      <c r="A108" s="571">
        <v>45474</v>
      </c>
      <c r="B108" s="572">
        <v>5</v>
      </c>
      <c r="C108" s="572">
        <v>20691.52199999999</v>
      </c>
      <c r="D108" s="578">
        <v>2</v>
      </c>
      <c r="E108" s="563">
        <v>3.8519999999980428</v>
      </c>
      <c r="F108" s="578">
        <v>3</v>
      </c>
      <c r="G108" s="577">
        <v>20687.669999999991</v>
      </c>
      <c r="H108" s="577">
        <v>0</v>
      </c>
      <c r="I108" s="577">
        <v>0</v>
      </c>
      <c r="J108" s="577">
        <v>0</v>
      </c>
      <c r="K108" s="577">
        <v>0</v>
      </c>
      <c r="L108" s="573">
        <v>341</v>
      </c>
    </row>
    <row r="109" spans="1:12" outlineLevel="1">
      <c r="A109" s="571">
        <v>45505</v>
      </c>
      <c r="B109" s="572">
        <v>16</v>
      </c>
      <c r="C109" s="572">
        <v>48.076799999991636</v>
      </c>
      <c r="D109" s="578">
        <v>16</v>
      </c>
      <c r="E109" s="563">
        <v>48.076799999991636</v>
      </c>
      <c r="F109" s="578">
        <v>0</v>
      </c>
      <c r="G109" s="577">
        <v>0</v>
      </c>
      <c r="H109" s="577">
        <v>0</v>
      </c>
      <c r="I109" s="577">
        <v>0</v>
      </c>
      <c r="J109" s="577">
        <v>0</v>
      </c>
      <c r="K109" s="577">
        <v>0</v>
      </c>
      <c r="L109" s="573">
        <v>310</v>
      </c>
    </row>
    <row r="110" spans="1:12" outlineLevel="1">
      <c r="A110" s="571">
        <v>45536</v>
      </c>
      <c r="B110" s="572">
        <v>14</v>
      </c>
      <c r="C110" s="572">
        <v>19533.141713999983</v>
      </c>
      <c r="D110" s="578">
        <v>13</v>
      </c>
      <c r="E110" s="563">
        <v>48.99171399998886</v>
      </c>
      <c r="F110" s="578">
        <v>1</v>
      </c>
      <c r="G110" s="577">
        <v>19484.149999999994</v>
      </c>
      <c r="H110" s="577">
        <v>0</v>
      </c>
      <c r="I110" s="577">
        <v>0</v>
      </c>
      <c r="J110" s="577">
        <v>0</v>
      </c>
      <c r="K110" s="577">
        <v>0</v>
      </c>
      <c r="L110" s="573">
        <v>279</v>
      </c>
    </row>
    <row r="111" spans="1:12" outlineLevel="1">
      <c r="A111" s="571">
        <v>45566</v>
      </c>
      <c r="B111" s="572">
        <v>43</v>
      </c>
      <c r="C111" s="572">
        <v>34379.592828000008</v>
      </c>
      <c r="D111" s="578">
        <v>37</v>
      </c>
      <c r="E111" s="563">
        <v>149.30282800000441</v>
      </c>
      <c r="F111" s="578">
        <v>6</v>
      </c>
      <c r="G111" s="577">
        <v>34230.29</v>
      </c>
      <c r="H111" s="577">
        <v>0</v>
      </c>
      <c r="I111" s="577">
        <v>0</v>
      </c>
      <c r="J111" s="577">
        <v>0</v>
      </c>
      <c r="K111" s="577">
        <v>0</v>
      </c>
      <c r="L111" s="573">
        <v>249</v>
      </c>
    </row>
    <row r="112" spans="1:12" outlineLevel="1">
      <c r="A112" s="571">
        <v>45597</v>
      </c>
      <c r="B112" s="572">
        <v>8</v>
      </c>
      <c r="C112" s="572">
        <v>124.96610000000646</v>
      </c>
      <c r="D112" s="578">
        <v>7</v>
      </c>
      <c r="E112" s="563">
        <v>47.456100000006245</v>
      </c>
      <c r="F112" s="578">
        <v>1</v>
      </c>
      <c r="G112" s="577">
        <v>77.510000000000218</v>
      </c>
      <c r="H112" s="577">
        <v>0</v>
      </c>
      <c r="I112" s="577">
        <v>0</v>
      </c>
      <c r="J112" s="577">
        <v>0</v>
      </c>
      <c r="K112" s="577">
        <v>0</v>
      </c>
      <c r="L112" s="573">
        <v>218</v>
      </c>
    </row>
    <row r="113" spans="1:12" outlineLevel="1">
      <c r="A113" s="571">
        <v>45627</v>
      </c>
      <c r="B113" s="572">
        <v>11</v>
      </c>
      <c r="C113" s="572">
        <v>2083.6947600000094</v>
      </c>
      <c r="D113" s="578">
        <v>5</v>
      </c>
      <c r="E113" s="563">
        <v>34.254760000001852</v>
      </c>
      <c r="F113" s="578">
        <v>6</v>
      </c>
      <c r="G113" s="577">
        <v>2049.4400000000073</v>
      </c>
      <c r="H113" s="577">
        <v>0</v>
      </c>
      <c r="I113" s="577">
        <v>0</v>
      </c>
      <c r="J113" s="577">
        <v>0</v>
      </c>
      <c r="K113" s="577">
        <v>0</v>
      </c>
      <c r="L113" s="573">
        <v>188</v>
      </c>
    </row>
    <row r="114" spans="1:12" outlineLevel="1">
      <c r="A114" s="571">
        <v>45658</v>
      </c>
      <c r="B114" s="572">
        <v>5</v>
      </c>
      <c r="C114" s="572">
        <v>19160.278139999999</v>
      </c>
      <c r="D114" s="578">
        <v>1</v>
      </c>
      <c r="E114" s="563">
        <v>1.9381399999983842</v>
      </c>
      <c r="F114" s="578">
        <v>4</v>
      </c>
      <c r="G114" s="577">
        <v>19158.34</v>
      </c>
      <c r="H114" s="577">
        <v>0</v>
      </c>
      <c r="I114" s="577">
        <v>0</v>
      </c>
      <c r="J114" s="577">
        <v>0</v>
      </c>
      <c r="K114" s="577">
        <v>0</v>
      </c>
      <c r="L114" s="573">
        <v>157</v>
      </c>
    </row>
    <row r="115" spans="1:12" outlineLevel="1">
      <c r="A115" s="571">
        <v>45689</v>
      </c>
      <c r="B115" s="572">
        <v>11</v>
      </c>
      <c r="C115" s="572">
        <v>2195.9873359999929</v>
      </c>
      <c r="D115" s="578">
        <v>8</v>
      </c>
      <c r="E115" s="563">
        <v>73.80733599999985</v>
      </c>
      <c r="F115" s="578">
        <v>3</v>
      </c>
      <c r="G115" s="577">
        <v>2122.179999999993</v>
      </c>
      <c r="H115" s="577">
        <v>0</v>
      </c>
      <c r="I115" s="577">
        <v>0</v>
      </c>
      <c r="J115" s="577">
        <v>0</v>
      </c>
      <c r="K115" s="577">
        <v>0</v>
      </c>
      <c r="L115" s="573">
        <v>126</v>
      </c>
    </row>
    <row r="116" spans="1:12" outlineLevel="1">
      <c r="A116" s="571">
        <v>45717</v>
      </c>
      <c r="B116" s="572">
        <v>14</v>
      </c>
      <c r="C116" s="572">
        <v>85878.941403999983</v>
      </c>
      <c r="D116" s="578">
        <v>5</v>
      </c>
      <c r="E116" s="563">
        <v>73.508043999999245</v>
      </c>
      <c r="F116" s="578">
        <v>8</v>
      </c>
      <c r="G116" s="577">
        <v>85795.749999999985</v>
      </c>
      <c r="H116" s="577">
        <v>1</v>
      </c>
      <c r="I116" s="577">
        <v>9.6833599999999933</v>
      </c>
      <c r="J116" s="577">
        <v>0</v>
      </c>
      <c r="K116" s="577">
        <v>0</v>
      </c>
      <c r="L116" s="573">
        <v>98</v>
      </c>
    </row>
    <row r="117" spans="1:12" outlineLevel="1">
      <c r="A117" s="571">
        <v>45748</v>
      </c>
      <c r="B117" s="572">
        <v>48</v>
      </c>
      <c r="C117" s="572">
        <v>107882.66353600004</v>
      </c>
      <c r="D117" s="578">
        <v>42</v>
      </c>
      <c r="E117" s="563">
        <v>225.22353599997905</v>
      </c>
      <c r="F117" s="578">
        <v>6</v>
      </c>
      <c r="G117" s="577">
        <v>107657.44000000006</v>
      </c>
      <c r="H117" s="577">
        <v>0</v>
      </c>
      <c r="I117" s="577">
        <v>0</v>
      </c>
      <c r="J117" s="577">
        <v>0</v>
      </c>
      <c r="K117" s="577">
        <v>0</v>
      </c>
      <c r="L117" s="573">
        <v>67</v>
      </c>
    </row>
    <row r="118" spans="1:12" outlineLevel="1">
      <c r="A118" s="571">
        <v>45778</v>
      </c>
      <c r="B118" s="572">
        <v>12</v>
      </c>
      <c r="C118" s="572">
        <v>246.00896000001376</v>
      </c>
      <c r="D118" s="578">
        <v>12</v>
      </c>
      <c r="E118" s="563">
        <v>246.00896000001376</v>
      </c>
      <c r="F118" s="578">
        <v>0</v>
      </c>
      <c r="G118" s="577">
        <v>0</v>
      </c>
      <c r="H118" s="577">
        <v>0</v>
      </c>
      <c r="I118" s="577">
        <v>0</v>
      </c>
      <c r="J118" s="577">
        <v>0</v>
      </c>
      <c r="K118" s="577">
        <v>0</v>
      </c>
      <c r="L118" s="573">
        <v>37</v>
      </c>
    </row>
    <row r="119" spans="1:12" outlineLevel="1">
      <c r="A119" s="596" t="s">
        <v>315</v>
      </c>
      <c r="B119" s="564">
        <v>1832</v>
      </c>
      <c r="C119" s="564">
        <v>628552.6170446669</v>
      </c>
      <c r="D119" s="564">
        <v>1618</v>
      </c>
      <c r="E119" s="564">
        <v>6152.5436846666889</v>
      </c>
      <c r="F119" s="564">
        <v>212</v>
      </c>
      <c r="G119" s="564">
        <v>622332.39000000013</v>
      </c>
      <c r="H119" s="564">
        <v>2</v>
      </c>
      <c r="I119" s="564">
        <v>67.683359999999993</v>
      </c>
      <c r="J119" s="564">
        <v>6</v>
      </c>
      <c r="K119" s="564">
        <v>3242.3817200000008</v>
      </c>
      <c r="L119" s="573"/>
    </row>
    <row r="120" spans="1:12" outlineLevel="1"/>
    <row r="121" spans="1:12" outlineLevel="1">
      <c r="A121" s="757" t="s">
        <v>1034</v>
      </c>
      <c r="B121" s="758"/>
      <c r="C121" s="758"/>
      <c r="D121" s="566"/>
      <c r="E121" s="566"/>
      <c r="F121" s="566"/>
      <c r="G121" s="566"/>
      <c r="H121" s="566"/>
      <c r="I121" s="566"/>
      <c r="J121" s="566"/>
      <c r="K121" s="566"/>
    </row>
    <row r="122" spans="1:12" outlineLevel="1">
      <c r="A122" s="761" t="s">
        <v>358</v>
      </c>
      <c r="B122" s="761" t="s">
        <v>58</v>
      </c>
      <c r="C122" s="761"/>
      <c r="D122" s="591" t="s">
        <v>494</v>
      </c>
      <c r="E122" s="597"/>
      <c r="F122" s="597"/>
      <c r="G122" s="597"/>
      <c r="H122" s="597"/>
      <c r="I122" s="597"/>
      <c r="J122" s="597"/>
      <c r="K122" s="592"/>
      <c r="L122" s="559" t="s">
        <v>1016</v>
      </c>
    </row>
    <row r="123" spans="1:12" outlineLevel="1">
      <c r="A123" s="761"/>
      <c r="B123" s="559" t="s">
        <v>1013</v>
      </c>
      <c r="C123" s="559" t="s">
        <v>485</v>
      </c>
      <c r="D123" s="559"/>
      <c r="E123" s="559"/>
      <c r="F123" s="559" t="s">
        <v>1013</v>
      </c>
      <c r="G123" s="559" t="s">
        <v>485</v>
      </c>
      <c r="H123" s="559"/>
      <c r="I123" s="559"/>
      <c r="J123" s="559"/>
      <c r="K123" s="559"/>
      <c r="L123" s="559" t="s">
        <v>95</v>
      </c>
    </row>
    <row r="124" spans="1:12" outlineLevel="1">
      <c r="A124" s="571">
        <v>44743</v>
      </c>
      <c r="B124" s="572">
        <v>0</v>
      </c>
      <c r="C124" s="572">
        <v>0</v>
      </c>
      <c r="D124" s="578">
        <v>0</v>
      </c>
      <c r="E124" s="563">
        <v>0</v>
      </c>
      <c r="F124" s="578">
        <v>0</v>
      </c>
      <c r="G124" s="563">
        <v>0</v>
      </c>
      <c r="H124" s="578">
        <v>0</v>
      </c>
      <c r="I124" s="563">
        <v>0</v>
      </c>
      <c r="J124" s="578">
        <v>0</v>
      </c>
      <c r="K124" s="563">
        <v>0</v>
      </c>
      <c r="L124" s="573">
        <v>1072</v>
      </c>
    </row>
    <row r="125" spans="1:12" outlineLevel="1">
      <c r="A125" s="571">
        <v>44774</v>
      </c>
      <c r="B125" s="572">
        <v>16</v>
      </c>
      <c r="C125" s="572">
        <v>5557.7305084745767</v>
      </c>
      <c r="D125" s="578">
        <v>0</v>
      </c>
      <c r="E125" s="563">
        <v>0</v>
      </c>
      <c r="F125" s="578">
        <v>16</v>
      </c>
      <c r="G125" s="577">
        <v>5557.7305084745767</v>
      </c>
      <c r="H125" s="578">
        <v>0</v>
      </c>
      <c r="I125" s="563">
        <v>0</v>
      </c>
      <c r="J125" s="578">
        <v>0</v>
      </c>
      <c r="K125" s="563">
        <v>0</v>
      </c>
      <c r="L125" s="573">
        <v>1041</v>
      </c>
    </row>
    <row r="126" spans="1:12" outlineLevel="1">
      <c r="A126" s="571">
        <v>44805</v>
      </c>
      <c r="B126" s="572">
        <v>121</v>
      </c>
      <c r="C126" s="572">
        <v>67721.833898305107</v>
      </c>
      <c r="D126" s="578">
        <v>0</v>
      </c>
      <c r="E126" s="563">
        <v>0</v>
      </c>
      <c r="F126" s="578">
        <v>121</v>
      </c>
      <c r="G126" s="577">
        <v>67721.833898305107</v>
      </c>
      <c r="H126" s="578">
        <v>0</v>
      </c>
      <c r="I126" s="563">
        <v>0</v>
      </c>
      <c r="J126" s="578">
        <v>0</v>
      </c>
      <c r="K126" s="563">
        <v>0</v>
      </c>
      <c r="L126" s="573">
        <v>1010</v>
      </c>
    </row>
    <row r="127" spans="1:12" outlineLevel="1">
      <c r="A127" s="571">
        <v>44835</v>
      </c>
      <c r="B127" s="572">
        <v>182</v>
      </c>
      <c r="C127" s="572">
        <v>182397.69152542402</v>
      </c>
      <c r="D127" s="578">
        <v>0</v>
      </c>
      <c r="E127" s="563">
        <v>0</v>
      </c>
      <c r="F127" s="578">
        <v>182</v>
      </c>
      <c r="G127" s="577">
        <v>182397.69152542402</v>
      </c>
      <c r="H127" s="578">
        <v>0</v>
      </c>
      <c r="I127" s="563">
        <v>0</v>
      </c>
      <c r="J127" s="578">
        <v>0</v>
      </c>
      <c r="K127" s="563">
        <v>0</v>
      </c>
      <c r="L127" s="573">
        <v>980</v>
      </c>
    </row>
    <row r="128" spans="1:12" outlineLevel="1">
      <c r="A128" s="571">
        <v>44866</v>
      </c>
      <c r="B128" s="572">
        <v>0</v>
      </c>
      <c r="C128" s="572">
        <v>0</v>
      </c>
      <c r="D128" s="578">
        <v>0</v>
      </c>
      <c r="E128" s="563">
        <v>0</v>
      </c>
      <c r="F128" s="578">
        <v>0</v>
      </c>
      <c r="G128" s="577">
        <v>0</v>
      </c>
      <c r="H128" s="578">
        <v>0</v>
      </c>
      <c r="I128" s="563">
        <v>0</v>
      </c>
      <c r="J128" s="578">
        <v>0</v>
      </c>
      <c r="K128" s="563">
        <v>0</v>
      </c>
      <c r="L128" s="573">
        <v>949</v>
      </c>
    </row>
    <row r="129" spans="1:12" outlineLevel="1">
      <c r="A129" s="571">
        <v>44896</v>
      </c>
      <c r="B129" s="572">
        <v>0</v>
      </c>
      <c r="C129" s="572">
        <v>0</v>
      </c>
      <c r="D129" s="578">
        <v>0</v>
      </c>
      <c r="E129" s="563">
        <v>0</v>
      </c>
      <c r="F129" s="578">
        <v>0</v>
      </c>
      <c r="G129" s="577">
        <v>0</v>
      </c>
      <c r="H129" s="578">
        <v>0</v>
      </c>
      <c r="I129" s="563">
        <v>0</v>
      </c>
      <c r="J129" s="578">
        <v>0</v>
      </c>
      <c r="K129" s="563">
        <v>0</v>
      </c>
      <c r="L129" s="573">
        <v>919</v>
      </c>
    </row>
    <row r="130" spans="1:12" outlineLevel="1">
      <c r="A130" s="571">
        <v>44927</v>
      </c>
      <c r="B130" s="572">
        <v>10</v>
      </c>
      <c r="C130" s="572">
        <v>10676.889830508475</v>
      </c>
      <c r="D130" s="578">
        <v>0</v>
      </c>
      <c r="E130" s="563">
        <v>0</v>
      </c>
      <c r="F130" s="578">
        <v>10</v>
      </c>
      <c r="G130" s="577">
        <v>10676.889830508475</v>
      </c>
      <c r="H130" s="578">
        <v>0</v>
      </c>
      <c r="I130" s="563">
        <v>0</v>
      </c>
      <c r="J130" s="578">
        <v>0</v>
      </c>
      <c r="K130" s="563">
        <v>0</v>
      </c>
      <c r="L130" s="573">
        <v>888</v>
      </c>
    </row>
    <row r="131" spans="1:12" outlineLevel="1">
      <c r="A131" s="571">
        <v>44958</v>
      </c>
      <c r="B131" s="572">
        <v>0</v>
      </c>
      <c r="C131" s="572">
        <v>0</v>
      </c>
      <c r="D131" s="578">
        <v>0</v>
      </c>
      <c r="E131" s="563">
        <v>0</v>
      </c>
      <c r="F131" s="578">
        <v>0</v>
      </c>
      <c r="G131" s="577">
        <v>0</v>
      </c>
      <c r="H131" s="578">
        <v>0</v>
      </c>
      <c r="I131" s="563">
        <v>0</v>
      </c>
      <c r="J131" s="578">
        <v>0</v>
      </c>
      <c r="K131" s="563">
        <v>0</v>
      </c>
      <c r="L131" s="573">
        <v>857</v>
      </c>
    </row>
    <row r="132" spans="1:12" outlineLevel="1">
      <c r="A132" s="571">
        <v>44986</v>
      </c>
      <c r="B132" s="572">
        <v>9</v>
      </c>
      <c r="C132" s="572">
        <v>15103.741525423729</v>
      </c>
      <c r="D132" s="578">
        <v>0</v>
      </c>
      <c r="E132" s="563">
        <v>0</v>
      </c>
      <c r="F132" s="578">
        <v>9</v>
      </c>
      <c r="G132" s="577">
        <v>15103.741525423729</v>
      </c>
      <c r="H132" s="578">
        <v>0</v>
      </c>
      <c r="I132" s="563">
        <v>0</v>
      </c>
      <c r="J132" s="578">
        <v>0</v>
      </c>
      <c r="K132" s="563">
        <v>0</v>
      </c>
      <c r="L132" s="573">
        <v>829</v>
      </c>
    </row>
    <row r="133" spans="1:12" outlineLevel="1">
      <c r="A133" s="571">
        <v>45017</v>
      </c>
      <c r="B133" s="572">
        <v>46</v>
      </c>
      <c r="C133" s="572">
        <v>49438.652542372889</v>
      </c>
      <c r="D133" s="578" t="s">
        <v>862</v>
      </c>
      <c r="E133" s="563" t="s">
        <v>1035</v>
      </c>
      <c r="F133" s="578">
        <v>46</v>
      </c>
      <c r="G133" s="577">
        <v>49438.652542372889</v>
      </c>
      <c r="H133" s="578">
        <v>0</v>
      </c>
      <c r="I133" s="598">
        <v>54752</v>
      </c>
      <c r="J133" s="578">
        <v>0</v>
      </c>
      <c r="K133" s="563">
        <v>0</v>
      </c>
      <c r="L133" s="573">
        <v>798</v>
      </c>
    </row>
    <row r="134" spans="1:12" outlineLevel="1">
      <c r="A134" s="571">
        <v>45047</v>
      </c>
      <c r="B134" s="572">
        <v>257</v>
      </c>
      <c r="C134" s="572">
        <v>167975.57620338988</v>
      </c>
      <c r="D134" s="578" t="s">
        <v>862</v>
      </c>
      <c r="E134" s="563" t="s">
        <v>1036</v>
      </c>
      <c r="F134" s="578">
        <v>257</v>
      </c>
      <c r="G134" s="577">
        <v>167975.57620338988</v>
      </c>
      <c r="H134" s="578">
        <v>0</v>
      </c>
      <c r="I134" s="598">
        <v>257.95</v>
      </c>
      <c r="J134" s="578">
        <v>0</v>
      </c>
      <c r="K134" s="563">
        <v>0</v>
      </c>
      <c r="L134" s="573">
        <v>768</v>
      </c>
    </row>
    <row r="135" spans="1:12" outlineLevel="1">
      <c r="A135" s="571">
        <v>45078</v>
      </c>
      <c r="B135" s="572">
        <v>1</v>
      </c>
      <c r="C135" s="572">
        <v>1492.1016949152545</v>
      </c>
      <c r="D135" s="578" t="s">
        <v>1037</v>
      </c>
      <c r="E135" s="563" t="s">
        <v>1036</v>
      </c>
      <c r="F135" s="563">
        <v>1</v>
      </c>
      <c r="G135" s="563">
        <v>1492.1016949152545</v>
      </c>
      <c r="H135" s="578">
        <v>0</v>
      </c>
      <c r="I135" s="598">
        <v>340647.38</v>
      </c>
      <c r="J135" s="578">
        <v>0</v>
      </c>
      <c r="K135" s="563">
        <v>0</v>
      </c>
      <c r="L135" s="573">
        <v>737</v>
      </c>
    </row>
    <row r="136" spans="1:12">
      <c r="A136" s="769" t="s">
        <v>1038</v>
      </c>
      <c r="B136" s="770"/>
      <c r="C136" s="771"/>
      <c r="D136" s="578" t="s">
        <v>1037</v>
      </c>
      <c r="E136" s="563" t="s">
        <v>1039</v>
      </c>
      <c r="F136" s="563"/>
      <c r="G136" s="598"/>
      <c r="H136" s="578">
        <v>0</v>
      </c>
      <c r="I136" s="598">
        <v>1458398.22</v>
      </c>
      <c r="J136" s="578">
        <v>0</v>
      </c>
      <c r="K136" s="563">
        <v>0</v>
      </c>
      <c r="L136" s="573"/>
    </row>
    <row r="137" spans="1:12">
      <c r="A137" s="766" t="s">
        <v>1040</v>
      </c>
      <c r="B137" s="767"/>
      <c r="C137" s="768"/>
      <c r="D137" s="583">
        <v>0</v>
      </c>
      <c r="E137" s="583">
        <v>0</v>
      </c>
      <c r="F137" s="583">
        <v>642</v>
      </c>
      <c r="G137" s="583">
        <v>500364.21772881394</v>
      </c>
      <c r="H137" s="583">
        <v>0</v>
      </c>
      <c r="I137" s="583">
        <v>1854055.55</v>
      </c>
      <c r="J137" s="583">
        <v>0</v>
      </c>
      <c r="K137" s="583">
        <v>0</v>
      </c>
      <c r="L137" s="584"/>
    </row>
    <row r="138" spans="1:12">
      <c r="A138" s="571">
        <v>45108</v>
      </c>
      <c r="B138" s="572">
        <v>1464</v>
      </c>
      <c r="C138" s="572">
        <v>358679.71406779689</v>
      </c>
      <c r="D138" s="578">
        <v>0</v>
      </c>
      <c r="E138" s="563">
        <v>0</v>
      </c>
      <c r="F138" s="563">
        <v>1464</v>
      </c>
      <c r="G138" s="598">
        <v>358679.71406779689</v>
      </c>
      <c r="H138" s="578">
        <v>0</v>
      </c>
      <c r="I138" s="563">
        <v>0</v>
      </c>
      <c r="J138" s="578">
        <v>0</v>
      </c>
      <c r="K138" s="563">
        <v>0</v>
      </c>
      <c r="L138" s="573">
        <v>707</v>
      </c>
    </row>
    <row r="139" spans="1:12">
      <c r="A139" s="571">
        <v>45139</v>
      </c>
      <c r="B139" s="572">
        <v>171</v>
      </c>
      <c r="C139" s="572">
        <v>40854.427966101706</v>
      </c>
      <c r="D139" s="578">
        <v>0</v>
      </c>
      <c r="E139" s="563">
        <v>0</v>
      </c>
      <c r="F139" s="563">
        <v>171</v>
      </c>
      <c r="G139" s="598">
        <v>40854.427966101706</v>
      </c>
      <c r="H139" s="578">
        <v>0</v>
      </c>
      <c r="I139" s="563">
        <v>0</v>
      </c>
      <c r="J139" s="578">
        <v>0</v>
      </c>
      <c r="K139" s="563">
        <v>0</v>
      </c>
      <c r="L139" s="573">
        <v>676</v>
      </c>
    </row>
    <row r="140" spans="1:12">
      <c r="A140" s="571">
        <v>45170</v>
      </c>
      <c r="B140" s="572">
        <v>0</v>
      </c>
      <c r="C140" s="572">
        <v>0</v>
      </c>
      <c r="D140" s="578">
        <v>0</v>
      </c>
      <c r="E140" s="563">
        <v>0</v>
      </c>
      <c r="F140" s="563">
        <v>0</v>
      </c>
      <c r="G140" s="598">
        <v>0</v>
      </c>
      <c r="H140" s="578">
        <v>0</v>
      </c>
      <c r="I140" s="563">
        <v>0</v>
      </c>
      <c r="J140" s="578">
        <v>0</v>
      </c>
      <c r="K140" s="563">
        <v>0</v>
      </c>
      <c r="L140" s="573">
        <v>645</v>
      </c>
    </row>
    <row r="141" spans="1:12">
      <c r="A141" s="571">
        <v>45200</v>
      </c>
      <c r="B141" s="572">
        <v>0</v>
      </c>
      <c r="C141" s="572">
        <v>0</v>
      </c>
      <c r="D141" s="578">
        <v>0</v>
      </c>
      <c r="E141" s="563">
        <v>0</v>
      </c>
      <c r="F141" s="563">
        <v>0</v>
      </c>
      <c r="G141" s="598">
        <v>0</v>
      </c>
      <c r="H141" s="578">
        <v>0</v>
      </c>
      <c r="I141" s="563">
        <v>0</v>
      </c>
      <c r="J141" s="578">
        <v>0</v>
      </c>
      <c r="K141" s="563">
        <v>0</v>
      </c>
      <c r="L141" s="573">
        <v>615</v>
      </c>
    </row>
    <row r="142" spans="1:12">
      <c r="A142" s="571">
        <v>45231</v>
      </c>
      <c r="B142" s="572">
        <v>0</v>
      </c>
      <c r="C142" s="572">
        <v>0</v>
      </c>
      <c r="D142" s="578">
        <v>0</v>
      </c>
      <c r="E142" s="563">
        <v>0</v>
      </c>
      <c r="F142" s="563">
        <v>0</v>
      </c>
      <c r="G142" s="598">
        <v>0</v>
      </c>
      <c r="H142" s="578">
        <v>0</v>
      </c>
      <c r="I142" s="563">
        <v>0</v>
      </c>
      <c r="J142" s="578">
        <v>0</v>
      </c>
      <c r="K142" s="563">
        <v>0</v>
      </c>
      <c r="L142" s="573">
        <v>584</v>
      </c>
    </row>
    <row r="143" spans="1:12">
      <c r="A143" s="571">
        <v>45261</v>
      </c>
      <c r="B143" s="572">
        <v>0</v>
      </c>
      <c r="C143" s="572">
        <v>0</v>
      </c>
      <c r="D143" s="578" t="s">
        <v>862</v>
      </c>
      <c r="E143" s="563" t="s">
        <v>1041</v>
      </c>
      <c r="F143" s="563">
        <v>0</v>
      </c>
      <c r="G143" s="598">
        <v>0</v>
      </c>
      <c r="H143" s="578">
        <v>0</v>
      </c>
      <c r="I143" s="598">
        <v>239.99</v>
      </c>
      <c r="J143" s="578">
        <v>0</v>
      </c>
      <c r="K143" s="563">
        <v>0</v>
      </c>
      <c r="L143" s="573">
        <v>554</v>
      </c>
    </row>
    <row r="144" spans="1:12">
      <c r="A144" s="571">
        <v>45292</v>
      </c>
      <c r="B144" s="572">
        <v>0</v>
      </c>
      <c r="C144" s="572">
        <v>0</v>
      </c>
      <c r="D144" s="578" t="s">
        <v>1037</v>
      </c>
      <c r="E144" s="563" t="s">
        <v>1041</v>
      </c>
      <c r="F144" s="563">
        <v>0</v>
      </c>
      <c r="G144" s="598"/>
      <c r="H144" s="578">
        <v>0</v>
      </c>
      <c r="I144" s="598">
        <v>403547.46</v>
      </c>
      <c r="J144" s="578">
        <v>0</v>
      </c>
      <c r="K144" s="563">
        <v>0</v>
      </c>
      <c r="L144" s="573">
        <v>523</v>
      </c>
    </row>
    <row r="145" spans="1:12">
      <c r="A145" s="571">
        <v>45323</v>
      </c>
      <c r="B145" s="572">
        <v>1</v>
      </c>
      <c r="C145" s="572">
        <v>2694.203389830509</v>
      </c>
      <c r="D145" s="578">
        <v>0</v>
      </c>
      <c r="E145" s="563">
        <v>0</v>
      </c>
      <c r="F145" s="563">
        <v>1</v>
      </c>
      <c r="G145" s="598">
        <v>2694.203389830509</v>
      </c>
      <c r="H145" s="578">
        <v>0</v>
      </c>
      <c r="I145" s="563">
        <v>0</v>
      </c>
      <c r="J145" s="578">
        <v>0</v>
      </c>
      <c r="K145" s="563">
        <v>0</v>
      </c>
      <c r="L145" s="573">
        <v>492</v>
      </c>
    </row>
    <row r="146" spans="1:12">
      <c r="A146" s="571">
        <v>45352</v>
      </c>
      <c r="B146" s="572">
        <v>0</v>
      </c>
      <c r="C146" s="572">
        <v>0</v>
      </c>
      <c r="D146" s="578">
        <v>0</v>
      </c>
      <c r="E146" s="563">
        <v>0</v>
      </c>
      <c r="F146" s="563">
        <v>0</v>
      </c>
      <c r="G146" s="598">
        <v>0</v>
      </c>
      <c r="H146" s="578">
        <v>0</v>
      </c>
      <c r="I146" s="563">
        <v>0</v>
      </c>
      <c r="J146" s="578">
        <v>0</v>
      </c>
      <c r="K146" s="563">
        <v>0</v>
      </c>
      <c r="L146" s="573">
        <v>463</v>
      </c>
    </row>
    <row r="147" spans="1:12">
      <c r="A147" s="571">
        <v>45383</v>
      </c>
      <c r="B147" s="572">
        <v>0</v>
      </c>
      <c r="C147" s="572">
        <v>0</v>
      </c>
      <c r="D147" s="578">
        <v>0</v>
      </c>
      <c r="E147" s="563">
        <v>0</v>
      </c>
      <c r="F147" s="563">
        <v>0</v>
      </c>
      <c r="G147" s="598">
        <v>0</v>
      </c>
      <c r="H147" s="578">
        <v>0</v>
      </c>
      <c r="I147" s="563">
        <v>0</v>
      </c>
      <c r="J147" s="578">
        <v>0</v>
      </c>
      <c r="K147" s="563">
        <v>0</v>
      </c>
      <c r="L147" s="573">
        <v>432</v>
      </c>
    </row>
    <row r="148" spans="1:12">
      <c r="A148" s="571">
        <v>45413</v>
      </c>
      <c r="B148" s="572">
        <v>2</v>
      </c>
      <c r="C148" s="572">
        <v>324.29000000000002</v>
      </c>
      <c r="D148" s="578">
        <v>0</v>
      </c>
      <c r="E148" s="563">
        <v>0</v>
      </c>
      <c r="F148" s="563">
        <v>2</v>
      </c>
      <c r="G148" s="598">
        <v>324.29000000000002</v>
      </c>
      <c r="H148" s="578">
        <v>0</v>
      </c>
      <c r="I148" s="563">
        <v>0</v>
      </c>
      <c r="J148" s="578">
        <v>0</v>
      </c>
      <c r="K148" s="563">
        <v>0</v>
      </c>
      <c r="L148" s="573">
        <v>402</v>
      </c>
    </row>
    <row r="149" spans="1:12">
      <c r="A149" s="571">
        <v>45444</v>
      </c>
      <c r="B149" s="572">
        <v>0</v>
      </c>
      <c r="C149" s="572">
        <v>0</v>
      </c>
      <c r="D149" s="578">
        <v>0</v>
      </c>
      <c r="E149" s="563">
        <v>0</v>
      </c>
      <c r="F149" s="563">
        <v>0</v>
      </c>
      <c r="G149" s="598">
        <v>0</v>
      </c>
      <c r="H149" s="578">
        <v>0</v>
      </c>
      <c r="I149" s="563">
        <v>0</v>
      </c>
      <c r="J149" s="578">
        <v>0</v>
      </c>
      <c r="K149" s="563">
        <v>0</v>
      </c>
      <c r="L149" s="573">
        <v>371</v>
      </c>
    </row>
    <row r="150" spans="1:12">
      <c r="A150" s="571">
        <v>45474</v>
      </c>
      <c r="B150" s="572">
        <v>0</v>
      </c>
      <c r="C150" s="572">
        <v>0</v>
      </c>
      <c r="D150" s="578">
        <v>0</v>
      </c>
      <c r="E150" s="563">
        <v>0</v>
      </c>
      <c r="F150" s="563">
        <v>0</v>
      </c>
      <c r="G150" s="598">
        <v>0</v>
      </c>
      <c r="H150" s="578">
        <v>0</v>
      </c>
      <c r="I150" s="563">
        <v>0</v>
      </c>
      <c r="J150" s="578">
        <v>0</v>
      </c>
      <c r="K150" s="563">
        <v>0</v>
      </c>
      <c r="L150" s="573">
        <v>341</v>
      </c>
    </row>
    <row r="151" spans="1:12">
      <c r="A151" s="571">
        <v>45505</v>
      </c>
      <c r="B151" s="572">
        <v>0</v>
      </c>
      <c r="C151" s="572">
        <v>0</v>
      </c>
      <c r="D151" s="578">
        <v>0</v>
      </c>
      <c r="E151" s="563">
        <v>0</v>
      </c>
      <c r="F151" s="563">
        <v>0</v>
      </c>
      <c r="G151" s="598">
        <v>0</v>
      </c>
      <c r="H151" s="578">
        <v>0</v>
      </c>
      <c r="I151" s="563">
        <v>0</v>
      </c>
      <c r="J151" s="578">
        <v>0</v>
      </c>
      <c r="K151" s="563">
        <v>0</v>
      </c>
      <c r="L151" s="573">
        <v>310</v>
      </c>
    </row>
    <row r="152" spans="1:12">
      <c r="A152" s="571">
        <v>45536</v>
      </c>
      <c r="B152" s="572">
        <v>0</v>
      </c>
      <c r="C152" s="572">
        <v>0</v>
      </c>
      <c r="D152" s="578">
        <v>0</v>
      </c>
      <c r="E152" s="563">
        <v>0</v>
      </c>
      <c r="F152" s="563">
        <v>0</v>
      </c>
      <c r="G152" s="598">
        <v>0</v>
      </c>
      <c r="H152" s="578">
        <v>0</v>
      </c>
      <c r="I152" s="563">
        <v>0</v>
      </c>
      <c r="J152" s="578">
        <v>0</v>
      </c>
      <c r="K152" s="563">
        <v>0</v>
      </c>
      <c r="L152" s="573">
        <v>279</v>
      </c>
    </row>
    <row r="153" spans="1:12">
      <c r="A153" s="571">
        <v>45566</v>
      </c>
      <c r="B153" s="572">
        <v>0</v>
      </c>
      <c r="C153" s="572">
        <v>0</v>
      </c>
      <c r="D153" s="578">
        <v>0</v>
      </c>
      <c r="E153" s="563">
        <v>0</v>
      </c>
      <c r="F153" s="563">
        <v>0</v>
      </c>
      <c r="G153" s="598">
        <v>0</v>
      </c>
      <c r="H153" s="578">
        <v>0</v>
      </c>
      <c r="I153" s="563">
        <v>0</v>
      </c>
      <c r="J153" s="578">
        <v>0</v>
      </c>
      <c r="K153" s="563">
        <v>0</v>
      </c>
      <c r="L153" s="573">
        <v>249</v>
      </c>
    </row>
    <row r="154" spans="1:12">
      <c r="A154" s="571">
        <v>45597</v>
      </c>
      <c r="B154" s="572">
        <v>0</v>
      </c>
      <c r="C154" s="572">
        <v>0</v>
      </c>
      <c r="D154" s="578">
        <v>0</v>
      </c>
      <c r="E154" s="563">
        <v>0</v>
      </c>
      <c r="F154" s="563">
        <v>0</v>
      </c>
      <c r="G154" s="598">
        <v>0</v>
      </c>
      <c r="H154" s="578">
        <v>0</v>
      </c>
      <c r="I154" s="563">
        <v>0</v>
      </c>
      <c r="J154" s="578">
        <v>0</v>
      </c>
      <c r="K154" s="563">
        <v>0</v>
      </c>
      <c r="L154" s="573">
        <v>218</v>
      </c>
    </row>
    <row r="155" spans="1:12">
      <c r="A155" s="571">
        <v>45627</v>
      </c>
      <c r="B155" s="572">
        <v>0</v>
      </c>
      <c r="C155" s="572">
        <v>0</v>
      </c>
      <c r="D155" s="578">
        <v>0</v>
      </c>
      <c r="E155" s="563">
        <v>0</v>
      </c>
      <c r="F155" s="563">
        <v>0</v>
      </c>
      <c r="G155" s="598">
        <v>0</v>
      </c>
      <c r="H155" s="578">
        <v>0</v>
      </c>
      <c r="I155" s="563">
        <v>0</v>
      </c>
      <c r="J155" s="578">
        <v>0</v>
      </c>
      <c r="K155" s="563">
        <v>0</v>
      </c>
      <c r="L155" s="573">
        <v>188</v>
      </c>
    </row>
    <row r="156" spans="1:12">
      <c r="A156" s="571">
        <v>45658</v>
      </c>
      <c r="B156" s="572">
        <v>0</v>
      </c>
      <c r="C156" s="572">
        <v>0</v>
      </c>
      <c r="D156" s="578">
        <v>0</v>
      </c>
      <c r="E156" s="563">
        <v>0</v>
      </c>
      <c r="F156" s="563">
        <v>0</v>
      </c>
      <c r="G156" s="598">
        <v>0</v>
      </c>
      <c r="H156" s="578">
        <v>0</v>
      </c>
      <c r="I156" s="563">
        <v>0</v>
      </c>
      <c r="J156" s="578">
        <v>0</v>
      </c>
      <c r="K156" s="563">
        <v>0</v>
      </c>
      <c r="L156" s="573">
        <v>157</v>
      </c>
    </row>
    <row r="157" spans="1:12">
      <c r="A157" s="571">
        <v>45689</v>
      </c>
      <c r="B157" s="572">
        <v>0</v>
      </c>
      <c r="C157" s="572">
        <v>0</v>
      </c>
      <c r="D157" s="578">
        <v>0</v>
      </c>
      <c r="E157" s="563">
        <v>0</v>
      </c>
      <c r="F157" s="563">
        <v>0</v>
      </c>
      <c r="G157" s="598">
        <v>0</v>
      </c>
      <c r="H157" s="578">
        <v>0</v>
      </c>
      <c r="I157" s="563">
        <v>0</v>
      </c>
      <c r="J157" s="578">
        <v>0</v>
      </c>
      <c r="K157" s="563">
        <v>0</v>
      </c>
      <c r="L157" s="573">
        <v>126</v>
      </c>
    </row>
    <row r="158" spans="1:12">
      <c r="A158" s="571">
        <v>45717</v>
      </c>
      <c r="B158" s="572">
        <v>0</v>
      </c>
      <c r="C158" s="572">
        <v>0</v>
      </c>
      <c r="D158" s="578">
        <v>0</v>
      </c>
      <c r="E158" s="563">
        <v>0</v>
      </c>
      <c r="F158" s="563">
        <v>0</v>
      </c>
      <c r="G158" s="598">
        <v>0</v>
      </c>
      <c r="H158" s="578">
        <v>0</v>
      </c>
      <c r="I158" s="563">
        <v>0</v>
      </c>
      <c r="J158" s="578">
        <v>0</v>
      </c>
      <c r="K158" s="563">
        <v>0</v>
      </c>
      <c r="L158" s="573">
        <v>98</v>
      </c>
    </row>
    <row r="159" spans="1:12">
      <c r="A159" s="571">
        <v>45748</v>
      </c>
      <c r="B159" s="572">
        <v>0</v>
      </c>
      <c r="C159" s="572">
        <v>0</v>
      </c>
      <c r="D159" s="578">
        <v>0</v>
      </c>
      <c r="E159" s="563">
        <v>0</v>
      </c>
      <c r="F159" s="563">
        <v>0</v>
      </c>
      <c r="G159" s="598">
        <v>0</v>
      </c>
      <c r="H159" s="578">
        <v>0</v>
      </c>
      <c r="I159" s="563">
        <v>0</v>
      </c>
      <c r="J159" s="578">
        <v>0</v>
      </c>
      <c r="K159" s="563">
        <v>0</v>
      </c>
      <c r="L159" s="573"/>
    </row>
    <row r="160" spans="1:12">
      <c r="A160" s="571">
        <v>45778</v>
      </c>
      <c r="B160" s="572">
        <v>0</v>
      </c>
      <c r="C160" s="572">
        <v>0</v>
      </c>
      <c r="D160" s="578">
        <v>0</v>
      </c>
      <c r="E160" s="563">
        <v>0</v>
      </c>
      <c r="F160" s="563">
        <v>0</v>
      </c>
      <c r="G160" s="598">
        <v>0</v>
      </c>
      <c r="H160" s="578">
        <v>0</v>
      </c>
      <c r="I160" s="563">
        <v>0</v>
      </c>
      <c r="J160" s="578">
        <v>0</v>
      </c>
      <c r="K160" s="563">
        <v>0</v>
      </c>
      <c r="L160" s="573"/>
    </row>
    <row r="161" spans="1:12">
      <c r="A161" s="766" t="s">
        <v>1042</v>
      </c>
      <c r="B161" s="767"/>
      <c r="C161" s="768"/>
      <c r="D161" s="583">
        <v>0</v>
      </c>
      <c r="E161" s="583">
        <v>0</v>
      </c>
      <c r="F161" s="583">
        <v>1638</v>
      </c>
      <c r="G161" s="583">
        <v>402552.63542372914</v>
      </c>
      <c r="H161" s="583">
        <v>0</v>
      </c>
      <c r="I161" s="583">
        <v>403787.45</v>
      </c>
      <c r="J161" s="583">
        <v>0</v>
      </c>
      <c r="K161" s="583">
        <v>0</v>
      </c>
      <c r="L161" s="584"/>
    </row>
    <row r="162" spans="1:12">
      <c r="A162" s="596" t="s">
        <v>315</v>
      </c>
      <c r="B162" s="564">
        <v>2280</v>
      </c>
      <c r="C162" s="564">
        <v>3160759.8531525433</v>
      </c>
      <c r="D162" s="564">
        <v>0</v>
      </c>
      <c r="E162" s="564">
        <v>0</v>
      </c>
      <c r="F162" s="564">
        <v>2280</v>
      </c>
      <c r="G162" s="599">
        <v>902916.85315254307</v>
      </c>
      <c r="H162" s="564">
        <v>0</v>
      </c>
      <c r="I162" s="600">
        <v>2257843</v>
      </c>
      <c r="J162" s="564">
        <v>0</v>
      </c>
      <c r="K162" s="564">
        <v>0</v>
      </c>
    </row>
    <row r="163" spans="1:12">
      <c r="H163" t="s">
        <v>1043</v>
      </c>
      <c r="I163" s="601">
        <v>2446993.54</v>
      </c>
    </row>
    <row r="164" spans="1:12">
      <c r="H164" t="s">
        <v>1044</v>
      </c>
      <c r="I164" s="602">
        <v>189150.54000000004</v>
      </c>
    </row>
  </sheetData>
  <dataConsolidate link="1"/>
  <mergeCells count="35">
    <mergeCell ref="A161:C161"/>
    <mergeCell ref="J82:K82"/>
    <mergeCell ref="A121:C121"/>
    <mergeCell ref="A122:A123"/>
    <mergeCell ref="B122:C122"/>
    <mergeCell ref="A136:C136"/>
    <mergeCell ref="A137:C137"/>
    <mergeCell ref="H82:I82"/>
    <mergeCell ref="A81:C81"/>
    <mergeCell ref="A82:A83"/>
    <mergeCell ref="B82:C82"/>
    <mergeCell ref="D82:E82"/>
    <mergeCell ref="F82:G82"/>
    <mergeCell ref="N26:O26"/>
    <mergeCell ref="A53:C53"/>
    <mergeCell ref="A54:A55"/>
    <mergeCell ref="B54:C54"/>
    <mergeCell ref="D54:E54"/>
    <mergeCell ref="F54:G54"/>
    <mergeCell ref="H54:I54"/>
    <mergeCell ref="J54:K54"/>
    <mergeCell ref="J2:K2"/>
    <mergeCell ref="A10:C10"/>
    <mergeCell ref="A11:A12"/>
    <mergeCell ref="B11:C11"/>
    <mergeCell ref="D11:E11"/>
    <mergeCell ref="F11:G11"/>
    <mergeCell ref="H11:I11"/>
    <mergeCell ref="J11:K11"/>
    <mergeCell ref="H2:I2"/>
    <mergeCell ref="A1:C1"/>
    <mergeCell ref="A2:A3"/>
    <mergeCell ref="B2:C2"/>
    <mergeCell ref="D2:E2"/>
    <mergeCell ref="F2:G2"/>
  </mergeCells>
  <pageMargins left="0.7" right="0.7" top="0.75" bottom="0.75" header="0.3" footer="0.3"/>
  <pageSetup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F06D-333E-4A39-8278-662F3164D5E3}">
  <dimension ref="A1:P35"/>
  <sheetViews>
    <sheetView showGridLines="0" zoomScaleNormal="100" workbookViewId="0">
      <selection activeCell="B6" sqref="B6"/>
    </sheetView>
  </sheetViews>
  <sheetFormatPr defaultColWidth="19.7109375" defaultRowHeight="14.45"/>
  <cols>
    <col min="1" max="1" width="21.85546875" bestFit="1" customWidth="1"/>
    <col min="2" max="2" width="11.85546875" bestFit="1" customWidth="1"/>
    <col min="3" max="3" width="15" style="394" bestFit="1" customWidth="1"/>
    <col min="4" max="4" width="18.42578125" style="394" bestFit="1" customWidth="1"/>
    <col min="5" max="5" width="12.42578125" style="394" bestFit="1" customWidth="1"/>
    <col min="6" max="6" width="16.28515625" style="394" bestFit="1" customWidth="1"/>
    <col min="7" max="7" width="14" style="394" bestFit="1" customWidth="1"/>
    <col min="8" max="8" width="12.42578125" hidden="1" customWidth="1"/>
    <col min="9" max="9" width="10.85546875" hidden="1" customWidth="1"/>
    <col min="10" max="10" width="19.28515625" style="394" hidden="1" customWidth="1"/>
    <col min="11" max="11" width="23.7109375" style="394" hidden="1" customWidth="1"/>
    <col min="12" max="12" width="11.42578125" style="394" hidden="1" customWidth="1"/>
    <col min="13" max="13" width="17.85546875" hidden="1" customWidth="1"/>
    <col min="14" max="14" width="20.7109375" hidden="1" customWidth="1"/>
  </cols>
  <sheetData>
    <row r="1" spans="1:16" ht="16.5" thickBot="1">
      <c r="B1" s="772" t="s">
        <v>1045</v>
      </c>
      <c r="C1" s="772"/>
      <c r="D1" s="772"/>
      <c r="E1" s="772"/>
      <c r="F1" s="772"/>
    </row>
    <row r="2" spans="1:16" ht="15" thickBot="1">
      <c r="A2" s="603" t="s">
        <v>1046</v>
      </c>
      <c r="B2" s="603" t="s">
        <v>574</v>
      </c>
      <c r="C2" s="604" t="s">
        <v>215</v>
      </c>
      <c r="D2" s="604" t="s">
        <v>1047</v>
      </c>
      <c r="E2" s="604" t="s">
        <v>1048</v>
      </c>
      <c r="F2" s="604" t="s">
        <v>1049</v>
      </c>
      <c r="G2" s="604" t="s">
        <v>154</v>
      </c>
      <c r="H2" s="605" t="s">
        <v>11</v>
      </c>
      <c r="I2" s="606" t="s">
        <v>10</v>
      </c>
      <c r="J2" s="606" t="s">
        <v>1050</v>
      </c>
      <c r="K2" s="606" t="s">
        <v>1051</v>
      </c>
      <c r="L2" s="606" t="s">
        <v>118</v>
      </c>
      <c r="M2" s="606" t="s">
        <v>273</v>
      </c>
      <c r="N2" s="606" t="s">
        <v>1052</v>
      </c>
    </row>
    <row r="3" spans="1:16" s="621" customFormat="1" ht="15" thickBot="1">
      <c r="A3" s="607" t="s">
        <v>312</v>
      </c>
      <c r="B3" s="608">
        <v>2088</v>
      </c>
      <c r="C3" s="609">
        <v>54007889.079999968</v>
      </c>
      <c r="D3" s="609">
        <v>2890639.75</v>
      </c>
      <c r="E3" s="609">
        <v>0</v>
      </c>
      <c r="F3" s="610">
        <v>520315.15499999997</v>
      </c>
      <c r="G3" s="611">
        <v>3410954.9049999998</v>
      </c>
      <c r="H3" s="612"/>
      <c r="I3" s="613"/>
      <c r="J3" s="614"/>
      <c r="K3" s="615"/>
      <c r="L3" s="616">
        <v>3410954.9049999998</v>
      </c>
      <c r="M3" s="617"/>
      <c r="N3" s="618">
        <v>54007889.079999968</v>
      </c>
      <c r="O3" s="619"/>
      <c r="P3" s="620"/>
    </row>
    <row r="4" spans="1:16" s="621" customFormat="1" ht="7.5" customHeight="1" thickBot="1">
      <c r="B4" s="622"/>
      <c r="C4" s="622"/>
      <c r="D4" s="622"/>
      <c r="E4" s="622"/>
      <c r="F4" s="623"/>
      <c r="G4" s="622"/>
      <c r="P4" s="620"/>
    </row>
    <row r="5" spans="1:16" s="621" customFormat="1" ht="15" thickBot="1">
      <c r="A5" s="607" t="s">
        <v>311</v>
      </c>
      <c r="B5" s="608">
        <v>2700</v>
      </c>
      <c r="C5" s="609">
        <v>37334473</v>
      </c>
      <c r="D5" s="609">
        <v>604300.77</v>
      </c>
      <c r="E5" s="609">
        <v>0</v>
      </c>
      <c r="F5" s="610">
        <v>108774.13860000001</v>
      </c>
      <c r="G5" s="611">
        <v>713074.90859999997</v>
      </c>
      <c r="H5" s="612"/>
      <c r="I5" s="613"/>
      <c r="J5" s="614"/>
      <c r="K5" s="615"/>
      <c r="L5" s="616">
        <v>713074.90859999997</v>
      </c>
      <c r="M5" s="617"/>
      <c r="N5" s="618">
        <v>37334473</v>
      </c>
      <c r="O5" s="619"/>
      <c r="P5" s="620"/>
    </row>
    <row r="6" spans="1:16" s="621" customFormat="1" ht="7.5" customHeight="1" thickBot="1">
      <c r="B6" s="622"/>
      <c r="C6" s="622"/>
      <c r="D6" s="622"/>
      <c r="E6" s="622"/>
      <c r="F6" s="623"/>
      <c r="G6" s="622"/>
    </row>
    <row r="7" spans="1:16" ht="15" thickBot="1">
      <c r="A7" s="624" t="s">
        <v>1053</v>
      </c>
      <c r="B7" s="625">
        <v>1099</v>
      </c>
      <c r="C7" s="609">
        <v>57828698.950000033</v>
      </c>
      <c r="D7" s="609">
        <v>701097.42999999924</v>
      </c>
      <c r="E7" s="609">
        <v>0</v>
      </c>
      <c r="F7" s="610">
        <v>126197.53739999986</v>
      </c>
      <c r="G7" s="611">
        <v>827294.96739999903</v>
      </c>
      <c r="M7" s="617"/>
      <c r="N7" s="618"/>
      <c r="P7" s="620"/>
    </row>
    <row r="8" spans="1:16" ht="7.5" customHeight="1" thickBot="1">
      <c r="F8" s="623"/>
      <c r="H8" s="626"/>
      <c r="J8"/>
      <c r="K8"/>
    </row>
    <row r="9" spans="1:16" ht="15" thickBot="1">
      <c r="A9" s="624" t="s">
        <v>1017</v>
      </c>
      <c r="B9" s="625">
        <v>591</v>
      </c>
      <c r="C9" s="609">
        <v>20227095.570000097</v>
      </c>
      <c r="D9" s="609">
        <v>82740</v>
      </c>
      <c r="E9" s="627">
        <v>0</v>
      </c>
      <c r="F9" s="610">
        <v>14893.199999999999</v>
      </c>
      <c r="G9" s="611">
        <v>97633.2</v>
      </c>
      <c r="H9" s="626"/>
      <c r="J9"/>
      <c r="K9"/>
      <c r="O9" s="628"/>
      <c r="P9" s="620"/>
    </row>
    <row r="10" spans="1:16" ht="7.5" customHeight="1"/>
    <row r="11" spans="1:16" ht="15" hidden="1" thickBot="1">
      <c r="A11" s="624" t="s">
        <v>974</v>
      </c>
      <c r="B11" s="627">
        <v>0</v>
      </c>
      <c r="C11" s="627">
        <v>0</v>
      </c>
      <c r="D11" s="627">
        <v>0</v>
      </c>
      <c r="E11" s="627">
        <v>0</v>
      </c>
      <c r="F11" s="610">
        <v>0</v>
      </c>
      <c r="G11" s="611">
        <v>0</v>
      </c>
    </row>
    <row r="12" spans="1:16">
      <c r="A12" t="s">
        <v>1054</v>
      </c>
    </row>
    <row r="13" spans="1:16">
      <c r="A13" s="629" t="s">
        <v>1055</v>
      </c>
    </row>
    <row r="15" spans="1:16" hidden="1">
      <c r="B15" s="394">
        <v>2088</v>
      </c>
      <c r="C15" s="394">
        <v>54007889.079999968</v>
      </c>
      <c r="D15" s="394">
        <v>2890639.75</v>
      </c>
      <c r="E15" s="394">
        <v>0</v>
      </c>
      <c r="F15" s="394">
        <v>520315.15499999997</v>
      </c>
      <c r="G15" s="394">
        <v>3410954.9049999998</v>
      </c>
    </row>
    <row r="16" spans="1:16" hidden="1">
      <c r="A16" t="s">
        <v>1056</v>
      </c>
      <c r="B16" s="628">
        <v>80.307692307692307</v>
      </c>
      <c r="C16" s="628">
        <v>2077226.5030769219</v>
      </c>
      <c r="D16" s="628">
        <v>111178.45192307692</v>
      </c>
      <c r="E16" s="628">
        <v>0</v>
      </c>
      <c r="F16" s="628">
        <v>20012.121346153846</v>
      </c>
      <c r="G16" s="628">
        <v>131190.57326923075</v>
      </c>
    </row>
    <row r="17" spans="1:7" hidden="1">
      <c r="B17" s="394">
        <v>2700</v>
      </c>
      <c r="C17" s="394">
        <v>37334473</v>
      </c>
      <c r="D17" s="394">
        <v>604300.77</v>
      </c>
      <c r="E17" s="394">
        <v>0</v>
      </c>
      <c r="F17" s="394">
        <v>108774.13860000001</v>
      </c>
      <c r="G17" s="394">
        <v>713074.90859999997</v>
      </c>
    </row>
    <row r="18" spans="1:7" hidden="1">
      <c r="A18" t="s">
        <v>1056</v>
      </c>
      <c r="B18" s="628">
        <v>103.84615384615384</v>
      </c>
      <c r="C18" s="628">
        <v>1435941.2692307692</v>
      </c>
      <c r="D18" s="628">
        <v>23242.337307692309</v>
      </c>
      <c r="E18" s="628">
        <v>0</v>
      </c>
      <c r="F18" s="628">
        <v>4183.6207153846153</v>
      </c>
      <c r="G18" s="628">
        <v>27425.958023076921</v>
      </c>
    </row>
    <row r="19" spans="1:7" hidden="1">
      <c r="B19" s="394">
        <v>1099</v>
      </c>
      <c r="C19" s="394">
        <v>57828698.950000033</v>
      </c>
      <c r="D19" s="394">
        <v>701097.42999999924</v>
      </c>
      <c r="E19" s="394">
        <v>0</v>
      </c>
      <c r="F19" s="394">
        <v>126197.53739999986</v>
      </c>
      <c r="G19" s="394">
        <v>827294.96739999903</v>
      </c>
    </row>
    <row r="20" spans="1:7" hidden="1">
      <c r="A20" t="s">
        <v>1056</v>
      </c>
      <c r="B20" s="628">
        <v>42.269230769230766</v>
      </c>
      <c r="C20" s="628">
        <v>2224180.7288461551</v>
      </c>
      <c r="D20" s="628">
        <v>26965.285769230741</v>
      </c>
      <c r="E20" s="628">
        <v>0</v>
      </c>
      <c r="F20" s="628">
        <v>4853.7514384615333</v>
      </c>
      <c r="G20" s="628">
        <v>31819.037207692272</v>
      </c>
    </row>
    <row r="21" spans="1:7" hidden="1">
      <c r="B21" s="394">
        <v>591</v>
      </c>
      <c r="C21" s="394">
        <v>20227095.570000097</v>
      </c>
      <c r="D21" s="394">
        <v>82740</v>
      </c>
      <c r="E21" s="394">
        <v>0</v>
      </c>
      <c r="F21" s="394">
        <v>14893.199999999999</v>
      </c>
      <c r="G21" s="394">
        <v>97633.2</v>
      </c>
    </row>
    <row r="22" spans="1:7" hidden="1">
      <c r="A22" t="s">
        <v>1056</v>
      </c>
      <c r="B22" s="628">
        <v>22.73076923076923</v>
      </c>
      <c r="C22" s="628">
        <v>777965.21423077292</v>
      </c>
      <c r="D22" s="628">
        <v>3182.3076923076924</v>
      </c>
      <c r="E22" s="628">
        <v>0</v>
      </c>
      <c r="F22" s="628">
        <v>572.81538461538457</v>
      </c>
      <c r="G22" s="628">
        <v>3755.123076923077</v>
      </c>
    </row>
    <row r="23" spans="1:7" hidden="1">
      <c r="B23" s="394">
        <v>0</v>
      </c>
      <c r="C23" s="394">
        <v>0</v>
      </c>
      <c r="D23" s="394">
        <v>0</v>
      </c>
      <c r="E23" s="394">
        <v>0</v>
      </c>
      <c r="F23" s="394">
        <v>0</v>
      </c>
      <c r="G23" s="394">
        <v>0</v>
      </c>
    </row>
    <row r="24" spans="1:7" hidden="1">
      <c r="A24" t="s">
        <v>1056</v>
      </c>
      <c r="B24" s="628">
        <v>0</v>
      </c>
      <c r="C24" s="628">
        <v>0</v>
      </c>
      <c r="D24" s="628">
        <v>0</v>
      </c>
      <c r="E24" s="628">
        <v>0</v>
      </c>
      <c r="F24" s="628">
        <v>0</v>
      </c>
      <c r="G24" s="628">
        <v>0</v>
      </c>
    </row>
    <row r="25" spans="1:7" ht="15" thickBot="1">
      <c r="B25" s="773" t="s">
        <v>1057</v>
      </c>
      <c r="C25" s="773"/>
      <c r="D25" s="773"/>
      <c r="E25" s="773"/>
      <c r="F25" s="773"/>
      <c r="G25"/>
    </row>
    <row r="26" spans="1:7" ht="15" thickBot="1">
      <c r="A26" s="603" t="s">
        <v>1046</v>
      </c>
      <c r="B26" s="630" t="s">
        <v>574</v>
      </c>
      <c r="C26" s="631" t="s">
        <v>215</v>
      </c>
      <c r="D26" s="631" t="s">
        <v>807</v>
      </c>
      <c r="E26" s="631" t="s">
        <v>1048</v>
      </c>
      <c r="F26" s="631" t="s">
        <v>1049</v>
      </c>
      <c r="G26" s="631" t="s">
        <v>154</v>
      </c>
    </row>
    <row r="27" spans="1:7" ht="15" thickBot="1">
      <c r="A27" s="607" t="s">
        <v>312</v>
      </c>
      <c r="B27" s="632">
        <v>2489.5384615384614</v>
      </c>
      <c r="C27" s="632">
        <v>64394021.595384583</v>
      </c>
      <c r="D27" s="632">
        <v>3446532.0096153845</v>
      </c>
      <c r="E27" s="632">
        <v>0</v>
      </c>
      <c r="F27" s="632">
        <v>620375.76173076918</v>
      </c>
      <c r="G27" s="632">
        <v>4066907.7713461532</v>
      </c>
    </row>
    <row r="28" spans="1:7" ht="9.9499999999999993" customHeight="1" thickBot="1">
      <c r="A28" s="633"/>
      <c r="B28" s="634"/>
      <c r="C28" s="634"/>
      <c r="D28" s="634"/>
      <c r="E28" s="634"/>
      <c r="F28" s="634"/>
      <c r="G28" s="635"/>
    </row>
    <row r="29" spans="1:7" ht="15" thickBot="1">
      <c r="A29" s="607" t="s">
        <v>311</v>
      </c>
      <c r="B29" s="632">
        <v>3219.2307692307691</v>
      </c>
      <c r="C29" s="632">
        <v>44514179.346153848</v>
      </c>
      <c r="D29" s="632">
        <v>720512.45653846161</v>
      </c>
      <c r="E29" s="632">
        <v>0</v>
      </c>
      <c r="F29" s="632">
        <v>129692.24217692307</v>
      </c>
      <c r="G29" s="632">
        <v>850204.69871538458</v>
      </c>
    </row>
    <row r="30" spans="1:7" ht="9.9499999999999993" customHeight="1" thickBot="1">
      <c r="A30" s="636"/>
      <c r="B30" s="635"/>
      <c r="C30" s="635"/>
      <c r="D30" s="635"/>
      <c r="E30" s="635"/>
      <c r="F30" s="635"/>
      <c r="G30" s="635"/>
    </row>
    <row r="31" spans="1:7" ht="15" thickBot="1">
      <c r="A31" s="624" t="s">
        <v>1053</v>
      </c>
      <c r="B31" s="632">
        <v>1310.3461538461538</v>
      </c>
      <c r="C31" s="632">
        <v>68949602.594230801</v>
      </c>
      <c r="D31" s="632">
        <v>835923.85884615302</v>
      </c>
      <c r="E31" s="632">
        <v>0</v>
      </c>
      <c r="F31" s="632">
        <v>150466.29459230753</v>
      </c>
      <c r="G31" s="632">
        <v>986390.15343846043</v>
      </c>
    </row>
    <row r="32" spans="1:7" ht="9.9499999999999993" customHeight="1" thickBot="1">
      <c r="A32" s="637"/>
      <c r="B32" s="635"/>
      <c r="C32" s="635"/>
      <c r="D32" s="635"/>
      <c r="E32" s="635"/>
      <c r="F32" s="635"/>
      <c r="G32" s="635"/>
    </row>
    <row r="33" spans="1:7" ht="15" thickBot="1">
      <c r="A33" s="624" t="s">
        <v>1017</v>
      </c>
      <c r="B33" s="632">
        <v>704.65384615384608</v>
      </c>
      <c r="C33" s="632">
        <v>24116921.641153961</v>
      </c>
      <c r="D33" s="632">
        <v>98651.538461538468</v>
      </c>
      <c r="E33" s="632">
        <v>0</v>
      </c>
      <c r="F33" s="632">
        <v>17757.276923076923</v>
      </c>
      <c r="G33" s="632">
        <v>116408.81538461539</v>
      </c>
    </row>
    <row r="34" spans="1:7" ht="9.9499999999999993" hidden="1" customHeight="1" thickBot="1">
      <c r="A34" s="637"/>
      <c r="B34" s="638"/>
      <c r="C34" s="639"/>
      <c r="D34" s="639"/>
      <c r="E34" s="639"/>
      <c r="F34" s="639"/>
      <c r="G34" s="639"/>
    </row>
    <row r="35" spans="1:7" ht="15" hidden="1" thickBot="1">
      <c r="A35" s="624" t="s">
        <v>974</v>
      </c>
      <c r="B35" s="640">
        <v>0</v>
      </c>
      <c r="C35" s="640">
        <v>0</v>
      </c>
      <c r="D35" s="640">
        <v>0</v>
      </c>
      <c r="E35" s="640">
        <v>0</v>
      </c>
      <c r="F35" s="640">
        <v>0</v>
      </c>
      <c r="G35" s="640">
        <v>0</v>
      </c>
    </row>
  </sheetData>
  <mergeCells count="2">
    <mergeCell ref="B1:F1"/>
    <mergeCell ref="B25:F25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4C56-4C1B-4739-BD8F-9518A102D4C4}">
  <dimension ref="A1:AB6"/>
  <sheetViews>
    <sheetView workbookViewId="0">
      <selection activeCell="N3" sqref="N3"/>
    </sheetView>
  </sheetViews>
  <sheetFormatPr defaultRowHeight="14.45" outlineLevelCol="1"/>
  <cols>
    <col min="1" max="1" width="21.85546875" bestFit="1" customWidth="1"/>
    <col min="2" max="11" width="12.140625" hidden="1" customWidth="1" outlineLevel="1"/>
    <col min="12" max="12" width="6.85546875" hidden="1" customWidth="1" outlineLevel="1"/>
    <col min="13" max="13" width="6.28515625" hidden="1" customWidth="1" outlineLevel="1"/>
    <col min="14" max="14" width="13.85546875" bestFit="1" customWidth="1" collapsed="1"/>
    <col min="15" max="24" width="12.140625" hidden="1" customWidth="1" outlineLevel="1"/>
    <col min="25" max="25" width="6.85546875" hidden="1" customWidth="1" outlineLevel="1"/>
    <col min="26" max="26" width="6.28515625" hidden="1" customWidth="1" outlineLevel="1"/>
    <col min="27" max="27" width="13.85546875" bestFit="1" customWidth="1" collapsed="1"/>
    <col min="28" max="28" width="14.42578125" bestFit="1" customWidth="1"/>
  </cols>
  <sheetData>
    <row r="1" spans="1:28" ht="15" thickBot="1"/>
    <row r="2" spans="1:28" ht="15" thickBot="1">
      <c r="A2" s="641" t="s">
        <v>1046</v>
      </c>
      <c r="B2" s="642">
        <v>45474</v>
      </c>
      <c r="C2" s="642">
        <v>45505</v>
      </c>
      <c r="D2" s="642">
        <v>45536</v>
      </c>
      <c r="E2" s="642">
        <v>45566</v>
      </c>
      <c r="F2" s="642">
        <v>45597</v>
      </c>
      <c r="G2" s="642">
        <v>45627</v>
      </c>
      <c r="H2" s="642">
        <v>45658</v>
      </c>
      <c r="I2" s="642">
        <v>45689</v>
      </c>
      <c r="J2" s="642">
        <v>45717</v>
      </c>
      <c r="K2" s="642">
        <v>45748</v>
      </c>
      <c r="L2" s="642">
        <v>45778</v>
      </c>
      <c r="M2" s="642">
        <v>45809</v>
      </c>
      <c r="N2" s="603" t="s">
        <v>1058</v>
      </c>
      <c r="O2" s="642">
        <v>45474</v>
      </c>
      <c r="P2" s="642">
        <v>45505</v>
      </c>
      <c r="Q2" s="642">
        <v>45536</v>
      </c>
      <c r="R2" s="642">
        <v>45566</v>
      </c>
      <c r="S2" s="642">
        <v>45597</v>
      </c>
      <c r="T2" s="642">
        <v>45627</v>
      </c>
      <c r="U2" s="642">
        <v>45658</v>
      </c>
      <c r="V2" s="642">
        <v>45689</v>
      </c>
      <c r="W2" s="642">
        <v>45717</v>
      </c>
      <c r="X2" s="642">
        <v>45748</v>
      </c>
      <c r="Y2" s="642">
        <v>45778</v>
      </c>
      <c r="Z2" s="642">
        <v>45809</v>
      </c>
      <c r="AA2" s="603" t="s">
        <v>1059</v>
      </c>
      <c r="AB2" s="630" t="s">
        <v>1060</v>
      </c>
    </row>
    <row r="3" spans="1:28">
      <c r="A3" s="643" t="s">
        <v>494</v>
      </c>
      <c r="B3" s="644">
        <v>2572308.966</v>
      </c>
      <c r="C3" s="644">
        <v>1792636.3569491601</v>
      </c>
      <c r="D3" s="644">
        <v>2283605.1355932197</v>
      </c>
      <c r="E3" s="644">
        <v>6549075.54</v>
      </c>
      <c r="F3" s="644">
        <v>2794505.39</v>
      </c>
      <c r="G3" s="644">
        <v>1545703.32</v>
      </c>
      <c r="H3" s="644">
        <v>3351493.45</v>
      </c>
      <c r="I3" s="644">
        <v>2564022.6864406802</v>
      </c>
      <c r="J3" s="644">
        <v>2789546.77</v>
      </c>
      <c r="K3" s="644">
        <v>3136039.26</v>
      </c>
      <c r="L3" s="644">
        <v>0</v>
      </c>
      <c r="M3" s="645">
        <v>0</v>
      </c>
      <c r="N3" s="646">
        <v>29378936.874983057</v>
      </c>
      <c r="O3" s="647">
        <v>2549617.79</v>
      </c>
      <c r="P3" s="644">
        <v>1669004.3699999999</v>
      </c>
      <c r="Q3" s="644">
        <v>4274904.9700000007</v>
      </c>
      <c r="R3" s="644">
        <v>9059280.4800000004</v>
      </c>
      <c r="S3" s="644">
        <v>3275948.38</v>
      </c>
      <c r="T3" s="644">
        <v>2557258.25</v>
      </c>
      <c r="U3" s="644">
        <v>5789387.6699999999</v>
      </c>
      <c r="V3" s="644">
        <v>4592926.0600000005</v>
      </c>
      <c r="W3" s="644">
        <v>3892021.8099999996</v>
      </c>
      <c r="X3" s="644">
        <v>5608665.9299999997</v>
      </c>
      <c r="Y3" s="644">
        <v>0</v>
      </c>
      <c r="Z3" s="645">
        <v>0</v>
      </c>
      <c r="AA3" s="646">
        <v>43269015.710000001</v>
      </c>
      <c r="AB3" s="648">
        <v>-13890078.835016944</v>
      </c>
    </row>
    <row r="4" spans="1:28">
      <c r="A4" s="649" t="s">
        <v>311</v>
      </c>
      <c r="B4" s="644">
        <v>6288.29</v>
      </c>
      <c r="C4" s="644">
        <v>1307812.8399999901</v>
      </c>
      <c r="D4" s="644">
        <v>392428.03</v>
      </c>
      <c r="E4" s="644">
        <v>1958199.4</v>
      </c>
      <c r="F4" s="644">
        <v>853154.96</v>
      </c>
      <c r="G4" s="644">
        <v>402854.69</v>
      </c>
      <c r="H4" s="644">
        <v>179602.32</v>
      </c>
      <c r="I4" s="644">
        <v>323348.14</v>
      </c>
      <c r="J4" s="644">
        <v>193104.36</v>
      </c>
      <c r="K4" s="644">
        <v>519806.61</v>
      </c>
      <c r="L4" s="644">
        <v>0</v>
      </c>
      <c r="M4" s="645">
        <v>0</v>
      </c>
      <c r="N4" s="646">
        <v>6136599.6399999913</v>
      </c>
      <c r="O4" s="647">
        <v>556843.52000000002</v>
      </c>
      <c r="P4" s="644">
        <v>1039130.2100000001</v>
      </c>
      <c r="Q4" s="644">
        <v>428491.8</v>
      </c>
      <c r="R4" s="644">
        <v>2174036.29</v>
      </c>
      <c r="S4" s="644">
        <v>839099.09000000008</v>
      </c>
      <c r="T4" s="644">
        <v>466679.88</v>
      </c>
      <c r="U4" s="644">
        <v>479810.06</v>
      </c>
      <c r="V4" s="644">
        <v>651382.21</v>
      </c>
      <c r="W4" s="644">
        <v>436308.69</v>
      </c>
      <c r="X4" s="644">
        <v>631317.94999999995</v>
      </c>
      <c r="Y4" s="644">
        <v>0</v>
      </c>
      <c r="Z4" s="645">
        <v>0</v>
      </c>
      <c r="AA4" s="646">
        <v>7703099.7000000002</v>
      </c>
      <c r="AB4" s="650">
        <v>-1566500.0600000089</v>
      </c>
    </row>
    <row r="5" spans="1:28">
      <c r="A5" s="651" t="s">
        <v>1061</v>
      </c>
      <c r="B5" s="644">
        <v>735516.1399999999</v>
      </c>
      <c r="C5" s="644">
        <v>1062983.69</v>
      </c>
      <c r="D5" s="644">
        <v>673157.73000000045</v>
      </c>
      <c r="E5" s="644">
        <v>1556364.5199999977</v>
      </c>
      <c r="F5" s="644">
        <v>504381.83999999968</v>
      </c>
      <c r="G5" s="644">
        <v>291155.7099999999</v>
      </c>
      <c r="H5" s="644">
        <v>426666.46</v>
      </c>
      <c r="I5" s="644">
        <v>789105.88000000035</v>
      </c>
      <c r="J5" s="644">
        <v>958568.45000000135</v>
      </c>
      <c r="K5" s="644">
        <v>1625890.8999999971</v>
      </c>
      <c r="L5" s="644">
        <v>0</v>
      </c>
      <c r="M5" s="645">
        <v>0</v>
      </c>
      <c r="N5" s="646">
        <v>8623791.3199999966</v>
      </c>
      <c r="O5" s="647">
        <v>601499.14</v>
      </c>
      <c r="P5" s="644">
        <v>357983.69</v>
      </c>
      <c r="Q5" s="644">
        <v>394157.73</v>
      </c>
      <c r="R5" s="644">
        <v>956364.52</v>
      </c>
      <c r="S5" s="644">
        <v>504381.84</v>
      </c>
      <c r="T5" s="644">
        <v>291155.71000000002</v>
      </c>
      <c r="U5" s="644">
        <v>426666.46</v>
      </c>
      <c r="V5" s="644">
        <v>789105.88</v>
      </c>
      <c r="W5" s="644">
        <v>958568.45</v>
      </c>
      <c r="X5" s="644">
        <v>1625890.9</v>
      </c>
      <c r="Y5" s="644">
        <v>0</v>
      </c>
      <c r="Z5" s="645">
        <v>0</v>
      </c>
      <c r="AA5" s="646">
        <v>6905774.3200000003</v>
      </c>
      <c r="AB5" s="650">
        <v>1718016.9999999963</v>
      </c>
    </row>
    <row r="6" spans="1:28" ht="15" thickBot="1">
      <c r="A6" s="652" t="s">
        <v>1017</v>
      </c>
      <c r="B6" s="653">
        <v>69860</v>
      </c>
      <c r="C6" s="653">
        <v>78820</v>
      </c>
      <c r="D6" s="653">
        <v>116340</v>
      </c>
      <c r="E6" s="653">
        <v>90160</v>
      </c>
      <c r="F6" s="653">
        <v>19040</v>
      </c>
      <c r="G6" s="653">
        <v>74060</v>
      </c>
      <c r="H6" s="653">
        <v>34300</v>
      </c>
      <c r="I6" s="653">
        <v>10360</v>
      </c>
      <c r="J6" s="653">
        <v>104300</v>
      </c>
      <c r="K6" s="653">
        <v>58380</v>
      </c>
      <c r="L6" s="653">
        <v>0</v>
      </c>
      <c r="M6" s="654">
        <v>0</v>
      </c>
      <c r="N6" s="655">
        <v>655620</v>
      </c>
      <c r="O6" s="656">
        <v>0</v>
      </c>
      <c r="P6" s="653">
        <v>0</v>
      </c>
      <c r="Q6" s="653">
        <v>0</v>
      </c>
      <c r="R6" s="653">
        <v>0</v>
      </c>
      <c r="S6" s="653">
        <v>0</v>
      </c>
      <c r="T6" s="653">
        <v>0</v>
      </c>
      <c r="U6" s="653">
        <v>0</v>
      </c>
      <c r="V6" s="653">
        <v>0</v>
      </c>
      <c r="W6" s="653">
        <v>0</v>
      </c>
      <c r="X6" s="653">
        <v>0</v>
      </c>
      <c r="Y6" s="653">
        <v>0</v>
      </c>
      <c r="Z6" s="654">
        <v>0</v>
      </c>
      <c r="AA6" s="655">
        <v>0</v>
      </c>
      <c r="AB6" s="657">
        <v>655620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48DE-8791-484C-865F-3F51471A778D}">
  <dimension ref="A1:K7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9.140625" bestFit="1" customWidth="1"/>
    <col min="2" max="2" width="6.85546875" bestFit="1" customWidth="1"/>
    <col min="3" max="3" width="21.85546875" bestFit="1" customWidth="1"/>
    <col min="4" max="4" width="15.7109375" bestFit="1" customWidth="1"/>
    <col min="5" max="5" width="17.28515625" bestFit="1" customWidth="1"/>
    <col min="6" max="6" width="22.85546875" bestFit="1" customWidth="1"/>
    <col min="7" max="7" width="12.42578125" bestFit="1" customWidth="1"/>
    <col min="8" max="8" width="20.85546875" bestFit="1" customWidth="1"/>
    <col min="9" max="9" width="14.7109375" bestFit="1" customWidth="1"/>
    <col min="10" max="11" width="17.5703125" bestFit="1" customWidth="1"/>
  </cols>
  <sheetData>
    <row r="1" spans="1:11" ht="15" thickBot="1">
      <c r="A1" t="s">
        <v>1062</v>
      </c>
      <c r="B1" s="603" t="s">
        <v>358</v>
      </c>
      <c r="C1" s="603" t="s">
        <v>1046</v>
      </c>
      <c r="D1" s="603" t="s">
        <v>574</v>
      </c>
      <c r="E1" s="604" t="s">
        <v>215</v>
      </c>
      <c r="F1" s="604" t="s">
        <v>1047</v>
      </c>
      <c r="G1" s="604" t="s">
        <v>1048</v>
      </c>
      <c r="H1" s="604" t="s">
        <v>1049</v>
      </c>
      <c r="I1" s="604" t="s">
        <v>154</v>
      </c>
      <c r="J1" s="658" t="s">
        <v>1063</v>
      </c>
      <c r="K1" s="658" t="s">
        <v>1064</v>
      </c>
    </row>
    <row r="2" spans="1:11" ht="15" thickBot="1">
      <c r="A2" t="s">
        <v>1065</v>
      </c>
      <c r="B2" s="659">
        <v>45474</v>
      </c>
      <c r="C2" s="607" t="s">
        <v>494</v>
      </c>
      <c r="D2" s="608">
        <v>1788</v>
      </c>
      <c r="E2" s="609">
        <v>43186559.999999724</v>
      </c>
      <c r="F2" s="609">
        <v>1954557.966</v>
      </c>
      <c r="G2" s="609">
        <v>617751</v>
      </c>
      <c r="H2" s="610">
        <v>351820.43387999997</v>
      </c>
      <c r="I2" s="660">
        <v>2572308.966</v>
      </c>
      <c r="J2" s="661">
        <v>2549617.79</v>
      </c>
      <c r="K2" s="662">
        <v>22691.175999999978</v>
      </c>
    </row>
    <row r="3" spans="1:11" ht="15" thickBot="1">
      <c r="A3" t="s">
        <v>1066</v>
      </c>
      <c r="B3" s="659">
        <v>45474</v>
      </c>
      <c r="C3" s="607" t="s">
        <v>311</v>
      </c>
      <c r="D3" s="608">
        <v>45</v>
      </c>
      <c r="E3" s="609">
        <v>907760</v>
      </c>
      <c r="F3" s="609">
        <v>6288.29</v>
      </c>
      <c r="G3" s="609">
        <v>0</v>
      </c>
      <c r="H3" s="610">
        <v>1131.8922</v>
      </c>
      <c r="I3" s="660">
        <v>6288.29</v>
      </c>
      <c r="J3" s="661">
        <v>556843.52000000002</v>
      </c>
      <c r="K3" s="662">
        <v>-550555.23</v>
      </c>
    </row>
    <row r="4" spans="1:11" ht="15" thickBot="1">
      <c r="A4" t="s">
        <v>1067</v>
      </c>
      <c r="B4" s="659">
        <v>45474</v>
      </c>
      <c r="C4" s="607" t="s">
        <v>1061</v>
      </c>
      <c r="D4" s="608">
        <v>1130</v>
      </c>
      <c r="E4" s="609">
        <v>79402820</v>
      </c>
      <c r="F4" s="609">
        <v>601499.1399999999</v>
      </c>
      <c r="G4" s="609">
        <v>134017</v>
      </c>
      <c r="H4" s="610">
        <v>108269.84519999998</v>
      </c>
      <c r="I4" s="660">
        <v>601499.1399999999</v>
      </c>
      <c r="J4" s="661">
        <v>601499.14</v>
      </c>
      <c r="K4" s="662">
        <v>0</v>
      </c>
    </row>
    <row r="5" spans="1:11" ht="15" thickBot="1">
      <c r="A5" t="s">
        <v>1068</v>
      </c>
      <c r="B5" s="659">
        <v>45474</v>
      </c>
      <c r="C5" s="607" t="s">
        <v>1017</v>
      </c>
      <c r="D5" s="608">
        <v>499</v>
      </c>
      <c r="E5" s="609">
        <v>10464384.460000033</v>
      </c>
      <c r="F5" s="609">
        <v>69860</v>
      </c>
      <c r="G5" s="609">
        <v>0</v>
      </c>
      <c r="H5" s="610">
        <v>12574.8</v>
      </c>
      <c r="I5" s="660">
        <v>69860</v>
      </c>
      <c r="J5" s="661">
        <v>0</v>
      </c>
      <c r="K5" s="662">
        <v>69860</v>
      </c>
    </row>
    <row r="6" spans="1:11" ht="15" thickBot="1">
      <c r="A6" t="s">
        <v>450</v>
      </c>
      <c r="H6" s="663">
        <f>SUM(H2:H5)</f>
        <v>473796.97127999994</v>
      </c>
      <c r="I6" s="663">
        <f>SUM(I2:I5)</f>
        <v>3249956.3959999997</v>
      </c>
      <c r="J6" s="549"/>
      <c r="K6" s="663">
        <f>SUM(K2:K5)</f>
        <v>-458004.054</v>
      </c>
    </row>
    <row r="7" spans="1:11" ht="15" thickTop="1"/>
  </sheetData>
  <autoFilter ref="B1:K6" xr:uid="{00A3B921-EEEA-429B-9E55-ABA59D36973F}"/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3FC8-9E5A-4F12-9A5F-16AFA95CC2C3}">
  <dimension ref="A1:AE1036679"/>
  <sheetViews>
    <sheetView topLeftCell="A3" workbookViewId="0">
      <selection activeCell="A2" sqref="A2:R3"/>
    </sheetView>
  </sheetViews>
  <sheetFormatPr defaultColWidth="9.140625" defaultRowHeight="14.1"/>
  <cols>
    <col min="1" max="1" width="5.42578125" style="664" bestFit="1" customWidth="1"/>
    <col min="2" max="2" width="19.28515625" style="664" bestFit="1" customWidth="1"/>
    <col min="3" max="3" width="13.42578125" style="664" bestFit="1" customWidth="1"/>
    <col min="4" max="4" width="15.140625" style="664" bestFit="1" customWidth="1"/>
    <col min="5" max="5" width="19.42578125" style="664" bestFit="1" customWidth="1"/>
    <col min="6" max="6" width="54.140625" style="664" bestFit="1" customWidth="1"/>
    <col min="7" max="7" width="17" style="664" bestFit="1" customWidth="1"/>
    <col min="8" max="8" width="10.140625" style="664" bestFit="1" customWidth="1"/>
    <col min="9" max="9" width="14.42578125" style="664" bestFit="1" customWidth="1"/>
    <col min="10" max="10" width="16.28515625" style="664" bestFit="1" customWidth="1"/>
    <col min="11" max="11" width="17.5703125" style="664" bestFit="1" customWidth="1"/>
    <col min="12" max="13" width="16.85546875" style="664" bestFit="1" customWidth="1"/>
    <col min="14" max="14" width="11.7109375" style="664" bestFit="1" customWidth="1"/>
    <col min="15" max="15" width="14.42578125" style="664" bestFit="1" customWidth="1"/>
    <col min="16" max="16" width="16.28515625" style="664" bestFit="1" customWidth="1"/>
    <col min="17" max="17" width="22.85546875" style="664" bestFit="1" customWidth="1"/>
    <col min="18" max="16384" width="9.140625" style="664"/>
  </cols>
  <sheetData>
    <row r="1" spans="1:31" ht="14.45" thickBot="1">
      <c r="A1" s="774" t="s">
        <v>1069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</row>
    <row r="2" spans="1:31" ht="15" customHeight="1">
      <c r="A2" s="775" t="s">
        <v>1070</v>
      </c>
      <c r="B2" s="776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7"/>
      <c r="S2" s="665"/>
      <c r="T2" s="665"/>
      <c r="U2" s="665"/>
      <c r="V2" s="665"/>
      <c r="W2" s="665"/>
      <c r="X2" s="665"/>
      <c r="Y2" s="665"/>
      <c r="Z2" s="665"/>
      <c r="AA2" s="665"/>
      <c r="AB2" s="665"/>
      <c r="AC2" s="665"/>
      <c r="AD2" s="665"/>
      <c r="AE2" s="665"/>
    </row>
    <row r="3" spans="1:31" ht="273" customHeight="1" thickBot="1">
      <c r="A3" s="778"/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80"/>
      <c r="S3" s="665"/>
      <c r="T3" s="665"/>
      <c r="U3" s="665"/>
      <c r="V3" s="665"/>
      <c r="W3" s="665"/>
      <c r="X3" s="665"/>
      <c r="Y3" s="665"/>
      <c r="Z3" s="665"/>
      <c r="AA3" s="665"/>
      <c r="AB3" s="665"/>
      <c r="AC3" s="665"/>
      <c r="AD3" s="665"/>
      <c r="AE3" s="665"/>
    </row>
    <row r="4" spans="1:31" ht="18.75" customHeight="1" thickBot="1">
      <c r="B4" s="781" t="s">
        <v>1071</v>
      </c>
      <c r="C4" s="782"/>
      <c r="D4" s="782"/>
      <c r="E4" s="782"/>
      <c r="F4" s="782"/>
      <c r="G4" s="782"/>
      <c r="H4" s="782"/>
      <c r="I4" s="782"/>
      <c r="J4" s="782"/>
      <c r="K4" s="783"/>
      <c r="L4" s="784" t="s">
        <v>1072</v>
      </c>
      <c r="M4" s="785"/>
      <c r="N4" s="785"/>
      <c r="O4" s="785"/>
      <c r="P4" s="785"/>
      <c r="Q4" s="786"/>
    </row>
    <row r="5" spans="1:31" ht="27.95">
      <c r="A5" s="666" t="s">
        <v>1073</v>
      </c>
      <c r="B5" s="666" t="s">
        <v>1074</v>
      </c>
      <c r="C5" s="666" t="s">
        <v>1075</v>
      </c>
      <c r="D5" s="666" t="s">
        <v>1076</v>
      </c>
      <c r="E5" s="666" t="s">
        <v>1077</v>
      </c>
      <c r="F5" s="666" t="s">
        <v>719</v>
      </c>
      <c r="G5" s="666" t="s">
        <v>1078</v>
      </c>
      <c r="H5" s="666" t="s">
        <v>1079</v>
      </c>
      <c r="I5" s="666" t="s">
        <v>1080</v>
      </c>
      <c r="J5" s="666" t="s">
        <v>1081</v>
      </c>
      <c r="K5" s="666" t="s">
        <v>1082</v>
      </c>
      <c r="L5" s="666" t="s">
        <v>1083</v>
      </c>
      <c r="M5" s="666" t="s">
        <v>1084</v>
      </c>
      <c r="N5" s="666" t="s">
        <v>610</v>
      </c>
      <c r="O5" s="666" t="s">
        <v>1080</v>
      </c>
      <c r="P5" s="666" t="s">
        <v>1081</v>
      </c>
      <c r="Q5" s="666" t="s">
        <v>1085</v>
      </c>
    </row>
    <row r="6" spans="1:31" ht="14.45">
      <c r="A6" s="666">
        <v>1</v>
      </c>
      <c r="B6" s="262" t="s">
        <v>1086</v>
      </c>
      <c r="C6" s="262" t="s">
        <v>1087</v>
      </c>
      <c r="D6" s="667">
        <v>45759</v>
      </c>
      <c r="E6" s="668">
        <v>6077.67</v>
      </c>
      <c r="F6" s="669" t="s">
        <v>493</v>
      </c>
      <c r="G6" s="668">
        <v>313</v>
      </c>
      <c r="H6" s="668">
        <v>56.34</v>
      </c>
      <c r="I6" s="669">
        <v>0</v>
      </c>
      <c r="J6" s="669">
        <v>75.52</v>
      </c>
      <c r="K6" s="668">
        <v>187.79999999999998</v>
      </c>
      <c r="L6" s="670">
        <v>4.9999947909667025E-2</v>
      </c>
      <c r="M6" s="670">
        <v>0.03</v>
      </c>
      <c r="N6" s="668">
        <v>33.803999999999995</v>
      </c>
      <c r="O6" s="669">
        <v>0</v>
      </c>
      <c r="P6" s="669">
        <v>75.52</v>
      </c>
      <c r="Q6" s="671">
        <v>125.20000000000002</v>
      </c>
      <c r="R6" s="672"/>
    </row>
    <row r="7" spans="1:31" ht="14.45">
      <c r="A7" s="666">
        <v>2</v>
      </c>
      <c r="B7" s="262" t="s">
        <v>1088</v>
      </c>
      <c r="C7" s="262" t="s">
        <v>1089</v>
      </c>
      <c r="D7" s="667">
        <v>45757</v>
      </c>
      <c r="E7" s="668">
        <v>28184.47</v>
      </c>
      <c r="F7" s="669" t="s">
        <v>822</v>
      </c>
      <c r="G7" s="668">
        <v>1451.5</v>
      </c>
      <c r="H7" s="668">
        <v>261.27</v>
      </c>
      <c r="I7" s="669">
        <v>0</v>
      </c>
      <c r="J7" s="669">
        <v>75.52</v>
      </c>
      <c r="K7" s="668">
        <v>870.9</v>
      </c>
      <c r="L7" s="670">
        <v>4.9999947909667025E-2</v>
      </c>
      <c r="M7" s="670">
        <v>0.03</v>
      </c>
      <c r="N7" s="668">
        <v>156.762</v>
      </c>
      <c r="O7" s="669">
        <v>0</v>
      </c>
      <c r="P7" s="669">
        <v>75.52</v>
      </c>
      <c r="Q7" s="671">
        <v>580.6</v>
      </c>
      <c r="R7" s="672"/>
    </row>
    <row r="1036679" spans="10:10">
      <c r="J1036679" s="669">
        <v>30</v>
      </c>
    </row>
  </sheetData>
  <autoFilter ref="B5:Q7" xr:uid="{54CBD6F1-DA79-4F19-A7FD-15323044F6ED}"/>
  <mergeCells count="4">
    <mergeCell ref="A1:R1"/>
    <mergeCell ref="A2:R3"/>
    <mergeCell ref="B4:K4"/>
    <mergeCell ref="L4:Q4"/>
  </mergeCells>
  <pageMargins left="0.7" right="0.7" top="0.75" bottom="0.75" header="0.3" footer="0.3"/>
  <pageSetup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AD74-D518-464F-A6B9-765E64B5ACAA}">
  <dimension ref="A1:AO3"/>
  <sheetViews>
    <sheetView topLeftCell="U1" workbookViewId="0">
      <pane ySplit="1" topLeftCell="AB2" activePane="bottomLeft" state="frozen"/>
      <selection pane="bottomLeft" activeCell="Z6" sqref="Z6"/>
    </sheetView>
  </sheetViews>
  <sheetFormatPr defaultRowHeight="14.45"/>
  <cols>
    <col min="1" max="1" width="13" bestFit="1" customWidth="1"/>
    <col min="2" max="2" width="15" bestFit="1" customWidth="1"/>
    <col min="3" max="3" width="7.7109375" bestFit="1" customWidth="1"/>
    <col min="4" max="4" width="19.28515625" bestFit="1" customWidth="1"/>
    <col min="5" max="5" width="17.5703125" bestFit="1" customWidth="1"/>
    <col min="6" max="6" width="80" bestFit="1" customWidth="1"/>
    <col min="7" max="7" width="10" bestFit="1" customWidth="1"/>
    <col min="8" max="8" width="14.42578125" bestFit="1" customWidth="1"/>
    <col min="9" max="9" width="50.42578125" bestFit="1" customWidth="1"/>
    <col min="10" max="10" width="11.5703125" bestFit="1" customWidth="1"/>
    <col min="11" max="11" width="40.42578125" bestFit="1" customWidth="1"/>
    <col min="12" max="12" width="17.5703125" bestFit="1" customWidth="1"/>
    <col min="13" max="13" width="14.28515625" bestFit="1" customWidth="1"/>
    <col min="14" max="14" width="15.28515625" bestFit="1" customWidth="1"/>
    <col min="15" max="15" width="17.140625" bestFit="1" customWidth="1"/>
    <col min="16" max="16" width="21.42578125" bestFit="1" customWidth="1"/>
    <col min="17" max="17" width="42.28515625" bestFit="1" customWidth="1"/>
    <col min="18" max="18" width="11" bestFit="1" customWidth="1"/>
    <col min="19" max="19" width="10.85546875" bestFit="1" customWidth="1"/>
    <col min="20" max="20" width="10.42578125" bestFit="1" customWidth="1"/>
    <col min="21" max="21" width="19.5703125" bestFit="1" customWidth="1"/>
    <col min="22" max="22" width="13.140625" bestFit="1" customWidth="1"/>
    <col min="23" max="23" width="10.7109375" bestFit="1" customWidth="1"/>
    <col min="24" max="24" width="22.5703125" bestFit="1" customWidth="1"/>
    <col min="25" max="25" width="8.5703125" bestFit="1" customWidth="1"/>
    <col min="26" max="26" width="10.28515625" bestFit="1" customWidth="1"/>
    <col min="27" max="27" width="19.5703125" bestFit="1" customWidth="1"/>
    <col min="28" max="28" width="16.5703125" bestFit="1" customWidth="1"/>
    <col min="29" max="29" width="11.42578125" bestFit="1" customWidth="1"/>
    <col min="30" max="30" width="8.140625" bestFit="1" customWidth="1"/>
    <col min="31" max="31" width="22" bestFit="1" customWidth="1"/>
    <col min="32" max="32" width="14.5703125" bestFit="1" customWidth="1"/>
    <col min="33" max="33" width="21.140625" bestFit="1" customWidth="1"/>
    <col min="34" max="34" width="14.5703125" bestFit="1" customWidth="1"/>
    <col min="35" max="35" width="24.7109375" bestFit="1" customWidth="1"/>
    <col min="36" max="36" width="33.5703125" bestFit="1" customWidth="1"/>
    <col min="37" max="37" width="30.5703125" bestFit="1" customWidth="1"/>
    <col min="38" max="38" width="8.28515625" bestFit="1" customWidth="1"/>
    <col min="39" max="39" width="21.140625" bestFit="1" customWidth="1"/>
    <col min="40" max="40" width="14.5703125" bestFit="1" customWidth="1"/>
    <col min="41" max="41" width="22.42578125" bestFit="1" customWidth="1"/>
  </cols>
  <sheetData>
    <row r="1" spans="1:41">
      <c r="A1" s="673" t="s">
        <v>308</v>
      </c>
      <c r="B1" s="262" t="s">
        <v>811</v>
      </c>
      <c r="C1" s="262" t="s">
        <v>835</v>
      </c>
      <c r="D1" s="262" t="s">
        <v>472</v>
      </c>
      <c r="E1" s="262" t="s">
        <v>473</v>
      </c>
      <c r="F1" s="262" t="s">
        <v>812</v>
      </c>
      <c r="G1" s="262" t="s">
        <v>414</v>
      </c>
      <c r="H1" s="262" t="s">
        <v>813</v>
      </c>
      <c r="I1" s="262" t="s">
        <v>476</v>
      </c>
      <c r="J1" s="262" t="s">
        <v>477</v>
      </c>
      <c r="K1" s="262" t="s">
        <v>814</v>
      </c>
      <c r="L1" s="262" t="s">
        <v>815</v>
      </c>
      <c r="M1" s="262" t="s">
        <v>816</v>
      </c>
      <c r="N1" s="674" t="s">
        <v>172</v>
      </c>
      <c r="O1" s="262" t="s">
        <v>836</v>
      </c>
      <c r="P1" s="262" t="s">
        <v>837</v>
      </c>
      <c r="Q1" s="674" t="s">
        <v>175</v>
      </c>
      <c r="R1" s="262" t="s">
        <v>176</v>
      </c>
      <c r="S1" s="262" t="s">
        <v>177</v>
      </c>
      <c r="T1" s="262" t="s">
        <v>178</v>
      </c>
      <c r="U1" s="262" t="s">
        <v>483</v>
      </c>
      <c r="V1" s="674" t="s">
        <v>838</v>
      </c>
      <c r="W1" s="674" t="s">
        <v>839</v>
      </c>
      <c r="X1" s="674" t="s">
        <v>840</v>
      </c>
      <c r="Y1" s="262" t="s">
        <v>841</v>
      </c>
      <c r="Z1" s="262" t="s">
        <v>842</v>
      </c>
      <c r="AA1" s="674" t="s">
        <v>1090</v>
      </c>
      <c r="AB1" s="674" t="s">
        <v>1091</v>
      </c>
      <c r="AC1" s="674" t="s">
        <v>1092</v>
      </c>
      <c r="AD1" s="674" t="s">
        <v>507</v>
      </c>
      <c r="AE1" s="675" t="s">
        <v>1090</v>
      </c>
      <c r="AF1" s="675" t="s">
        <v>1093</v>
      </c>
      <c r="AG1" s="675" t="s">
        <v>1080</v>
      </c>
      <c r="AH1" s="675" t="s">
        <v>1081</v>
      </c>
      <c r="AI1" s="675" t="s">
        <v>1083</v>
      </c>
      <c r="AJ1" s="675" t="s">
        <v>1094</v>
      </c>
      <c r="AK1" s="676" t="s">
        <v>1095</v>
      </c>
      <c r="AL1" s="675" t="s">
        <v>610</v>
      </c>
      <c r="AM1" s="675" t="s">
        <v>1080</v>
      </c>
      <c r="AN1" s="675" t="s">
        <v>1081</v>
      </c>
      <c r="AO1" s="677" t="s">
        <v>1085</v>
      </c>
    </row>
    <row r="2" spans="1:41" ht="15" thickBot="1">
      <c r="A2" s="678">
        <v>45778</v>
      </c>
      <c r="B2" s="679">
        <v>24706397712</v>
      </c>
      <c r="C2" s="679" t="s">
        <v>488</v>
      </c>
      <c r="D2" s="679" t="s">
        <v>1096</v>
      </c>
      <c r="E2" s="679" t="s">
        <v>884</v>
      </c>
      <c r="F2" s="679" t="s">
        <v>1097</v>
      </c>
      <c r="G2" s="679">
        <v>1</v>
      </c>
      <c r="H2" s="679" t="s">
        <v>492</v>
      </c>
      <c r="I2" s="679" t="s">
        <v>822</v>
      </c>
      <c r="J2" s="679" t="s">
        <v>494</v>
      </c>
      <c r="K2" s="679" t="s">
        <v>1098</v>
      </c>
      <c r="L2" s="679" t="s">
        <v>1099</v>
      </c>
      <c r="M2" s="679">
        <v>534216</v>
      </c>
      <c r="N2" s="680">
        <v>21135.919999999998</v>
      </c>
      <c r="O2" s="679">
        <v>0</v>
      </c>
      <c r="P2" s="679">
        <v>-396.12</v>
      </c>
      <c r="Q2" s="679">
        <v>622.20000000000005</v>
      </c>
      <c r="R2" s="679">
        <v>0</v>
      </c>
      <c r="S2" s="679">
        <v>0</v>
      </c>
      <c r="T2" s="681">
        <v>-103.7</v>
      </c>
      <c r="U2" s="681">
        <v>-1068.1016949152543</v>
      </c>
      <c r="V2" s="679">
        <v>-1260.3599999999999</v>
      </c>
      <c r="W2" s="679">
        <v>-74.34</v>
      </c>
      <c r="X2" s="679">
        <v>-75.52</v>
      </c>
      <c r="Y2" s="682">
        <v>0</v>
      </c>
      <c r="Z2" s="311">
        <v>19827.34</v>
      </c>
      <c r="AA2" s="311">
        <v>21758.12</v>
      </c>
      <c r="AB2" s="683">
        <v>4.9089797046585566E-2</v>
      </c>
      <c r="AC2" s="262" t="s">
        <v>1100</v>
      </c>
      <c r="AD2" s="262" t="s">
        <v>1101</v>
      </c>
      <c r="AE2" s="684">
        <v>21758.12</v>
      </c>
      <c r="AF2" s="685">
        <v>1068.1016949152543</v>
      </c>
      <c r="AG2" s="262">
        <v>0</v>
      </c>
      <c r="AH2" s="686">
        <v>75.52</v>
      </c>
      <c r="AI2" s="687">
        <v>4.9089797046585566E-2</v>
      </c>
      <c r="AJ2" s="686">
        <v>1087.9059999999999</v>
      </c>
      <c r="AK2" s="683">
        <v>0.05</v>
      </c>
      <c r="AL2" s="688">
        <v>0.18</v>
      </c>
      <c r="AM2" s="262">
        <v>0</v>
      </c>
      <c r="AN2" s="681">
        <v>75.52</v>
      </c>
      <c r="AO2" s="689">
        <v>-19.804305084745693</v>
      </c>
    </row>
    <row r="3" spans="1:41" ht="15" thickBot="1">
      <c r="A3" s="678">
        <v>45778</v>
      </c>
      <c r="B3" s="679">
        <v>24706397712</v>
      </c>
      <c r="C3" s="679" t="s">
        <v>488</v>
      </c>
      <c r="D3" s="679" t="s">
        <v>1102</v>
      </c>
      <c r="E3" s="679" t="s">
        <v>554</v>
      </c>
      <c r="F3" s="679" t="s">
        <v>1103</v>
      </c>
      <c r="G3" s="679">
        <v>1</v>
      </c>
      <c r="H3" s="679" t="s">
        <v>492</v>
      </c>
      <c r="I3" s="679" t="s">
        <v>822</v>
      </c>
      <c r="J3" s="679" t="s">
        <v>494</v>
      </c>
      <c r="K3" s="679" t="s">
        <v>1104</v>
      </c>
      <c r="L3" s="679" t="s">
        <v>1099</v>
      </c>
      <c r="M3" s="679">
        <v>533308</v>
      </c>
      <c r="N3" s="680">
        <v>20563.11</v>
      </c>
      <c r="O3" s="679">
        <v>38.83</v>
      </c>
      <c r="P3" s="679">
        <v>-38.83</v>
      </c>
      <c r="Q3" s="679">
        <v>616.89</v>
      </c>
      <c r="R3" s="679">
        <v>0</v>
      </c>
      <c r="S3" s="679">
        <v>0</v>
      </c>
      <c r="T3" s="681">
        <v>-103.03</v>
      </c>
      <c r="U3" s="681">
        <v>-1059</v>
      </c>
      <c r="V3" s="679">
        <v>-1249.6199999999999</v>
      </c>
      <c r="W3" s="679">
        <v>-74.34</v>
      </c>
      <c r="X3" s="679">
        <v>-75.52</v>
      </c>
      <c r="Y3" s="682">
        <v>0</v>
      </c>
      <c r="Z3" s="311">
        <v>19656.88</v>
      </c>
      <c r="AA3" s="311">
        <v>21180</v>
      </c>
      <c r="AB3" s="683">
        <v>0.05</v>
      </c>
      <c r="AC3" s="262" t="s">
        <v>1100</v>
      </c>
      <c r="AD3" s="262" t="s">
        <v>1101</v>
      </c>
      <c r="AE3" s="684">
        <v>21180</v>
      </c>
      <c r="AF3" s="685">
        <v>1059</v>
      </c>
      <c r="AG3" s="262">
        <v>0</v>
      </c>
      <c r="AH3" s="686">
        <v>75.52</v>
      </c>
      <c r="AI3" s="687">
        <v>0.05</v>
      </c>
      <c r="AJ3" s="686">
        <v>1059</v>
      </c>
      <c r="AK3" s="683">
        <v>0.05</v>
      </c>
      <c r="AL3" s="688">
        <v>0.18</v>
      </c>
      <c r="AM3" s="262">
        <v>0</v>
      </c>
      <c r="AN3" s="681">
        <v>75.52</v>
      </c>
      <c r="AO3" s="689">
        <v>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E38C34A66E8847BFCAAFC6D2ADDCAC" ma:contentTypeVersion="3" ma:contentTypeDescription="Create a new document." ma:contentTypeScope="" ma:versionID="aeb1867f79c276ff6a190e7b71c0a5e3">
  <xsd:schema xmlns:xsd="http://www.w3.org/2001/XMLSchema" xmlns:xs="http://www.w3.org/2001/XMLSchema" xmlns:p="http://schemas.microsoft.com/office/2006/metadata/properties" xmlns:ns2="000e5a50-d659-47e0-bdff-0076e0679fb4" targetNamespace="http://schemas.microsoft.com/office/2006/metadata/properties" ma:root="true" ma:fieldsID="ea5d2ad5323e768e391ff7338e0ab093" ns2:_="">
    <xsd:import namespace="000e5a50-d659-47e0-bdff-0076e0679f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e5a50-d659-47e0-bdff-0076e0679f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D3B78C-2350-4633-8331-A72AC277F545}"/>
</file>

<file path=customXml/itemProps2.xml><?xml version="1.0" encoding="utf-8"?>
<ds:datastoreItem xmlns:ds="http://schemas.openxmlformats.org/officeDocument/2006/customXml" ds:itemID="{118C6BE6-12C0-419E-B039-D4D1E245699A}"/>
</file>

<file path=customXml/itemProps3.xml><?xml version="1.0" encoding="utf-8"?>
<ds:datastoreItem xmlns:ds="http://schemas.openxmlformats.org/officeDocument/2006/customXml" ds:itemID="{EEA8D2A1-14C3-484A-A663-D83CE8CAB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MMTCPAMP INDIA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Kumar</dc:creator>
  <cp:keywords/>
  <dc:description/>
  <cp:lastModifiedBy/>
  <cp:revision/>
  <dcterms:created xsi:type="dcterms:W3CDTF">2025-06-04T09:48:29Z</dcterms:created>
  <dcterms:modified xsi:type="dcterms:W3CDTF">2025-12-16T13:09:28Z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0x010100C2E38C34A66E8847BFCAAFC6D2ADDCAC</vt:lpwstr>
  </property>
</Properties>
</file>